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filterPrivacy="1"/>
  <xr:revisionPtr revIDLastSave="0" documentId="13_ncr:1_{495C235D-AFF7-564C-8A03-256AB517693C}" xr6:coauthVersionLast="47" xr6:coauthVersionMax="47" xr10:uidLastSave="{00000000-0000-0000-0000-000000000000}"/>
  <bookViews>
    <workbookView xWindow="0" yWindow="680" windowWidth="29400" windowHeight="18440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E5" i="2"/>
  <c r="E4" i="2"/>
  <c r="E3" i="2"/>
  <c r="E2" i="2"/>
  <c r="D5" i="2"/>
  <c r="F5" i="2" s="1"/>
  <c r="D4" i="2"/>
  <c r="F4" i="2" s="1"/>
  <c r="D3" i="2"/>
  <c r="F3" i="2" s="1"/>
  <c r="D2" i="2"/>
  <c r="F2" i="2" s="1"/>
  <c r="B4" i="2"/>
  <c r="B3" i="2"/>
  <c r="B2" i="2"/>
  <c r="B5" i="2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T26" i="1"/>
  <c r="U26" i="1"/>
  <c r="V26" i="1"/>
  <c r="W26" i="1"/>
  <c r="T27" i="1"/>
  <c r="U27" i="1"/>
  <c r="V27" i="1"/>
  <c r="W27" i="1"/>
  <c r="T28" i="1"/>
  <c r="U28" i="1"/>
  <c r="V28" i="1"/>
  <c r="W28" i="1"/>
  <c r="T29" i="1"/>
  <c r="U29" i="1"/>
  <c r="V29" i="1"/>
  <c r="W29" i="1"/>
  <c r="T30" i="1"/>
  <c r="U30" i="1"/>
  <c r="V30" i="1"/>
  <c r="W30" i="1"/>
  <c r="T31" i="1"/>
  <c r="U31" i="1"/>
  <c r="V31" i="1"/>
  <c r="W31" i="1"/>
  <c r="T32" i="1"/>
  <c r="U32" i="1"/>
  <c r="V32" i="1"/>
  <c r="W32" i="1"/>
  <c r="T33" i="1"/>
  <c r="U33" i="1"/>
  <c r="V33" i="1"/>
  <c r="W33" i="1"/>
  <c r="T34" i="1"/>
  <c r="U34" i="1"/>
  <c r="V34" i="1"/>
  <c r="W34" i="1"/>
  <c r="T35" i="1"/>
  <c r="U35" i="1"/>
  <c r="V35" i="1"/>
  <c r="W35" i="1"/>
  <c r="T36" i="1"/>
  <c r="U36" i="1"/>
  <c r="V36" i="1"/>
  <c r="W36" i="1"/>
  <c r="T37" i="1"/>
  <c r="U37" i="1"/>
  <c r="V37" i="1"/>
  <c r="W37" i="1"/>
  <c r="T38" i="1"/>
  <c r="U38" i="1"/>
  <c r="V38" i="1"/>
  <c r="W38" i="1"/>
  <c r="T39" i="1"/>
  <c r="U39" i="1"/>
  <c r="V39" i="1"/>
  <c r="W39" i="1"/>
  <c r="T40" i="1"/>
  <c r="U40" i="1"/>
  <c r="V40" i="1"/>
  <c r="W40" i="1"/>
  <c r="T41" i="1"/>
  <c r="U41" i="1"/>
  <c r="V41" i="1"/>
  <c r="W41" i="1"/>
  <c r="T42" i="1"/>
  <c r="U42" i="1"/>
  <c r="V42" i="1"/>
  <c r="W42" i="1"/>
  <c r="T43" i="1"/>
  <c r="U43" i="1"/>
  <c r="V43" i="1"/>
  <c r="W43" i="1"/>
  <c r="T44" i="1"/>
  <c r="U44" i="1"/>
  <c r="V44" i="1"/>
  <c r="W44" i="1"/>
  <c r="T45" i="1"/>
  <c r="U45" i="1"/>
  <c r="V45" i="1"/>
  <c r="W45" i="1"/>
  <c r="T46" i="1"/>
  <c r="U46" i="1"/>
  <c r="V46" i="1"/>
  <c r="W46" i="1"/>
  <c r="T47" i="1"/>
  <c r="U47" i="1"/>
  <c r="V47" i="1"/>
  <c r="W47" i="1"/>
  <c r="T48" i="1"/>
  <c r="U48" i="1"/>
  <c r="V48" i="1"/>
  <c r="W48" i="1"/>
  <c r="T49" i="1"/>
  <c r="U49" i="1"/>
  <c r="V49" i="1"/>
  <c r="W49" i="1"/>
  <c r="T50" i="1"/>
  <c r="U50" i="1"/>
  <c r="V50" i="1"/>
  <c r="W50" i="1"/>
  <c r="T51" i="1"/>
  <c r="U51" i="1"/>
  <c r="V51" i="1"/>
  <c r="W51" i="1"/>
  <c r="T52" i="1"/>
  <c r="U52" i="1"/>
  <c r="V52" i="1"/>
  <c r="W52" i="1"/>
  <c r="T53" i="1"/>
  <c r="U53" i="1"/>
  <c r="V53" i="1"/>
  <c r="W53" i="1"/>
  <c r="T54" i="1"/>
  <c r="U54" i="1"/>
  <c r="V54" i="1"/>
  <c r="W54" i="1"/>
  <c r="T55" i="1"/>
  <c r="U55" i="1"/>
  <c r="V55" i="1"/>
  <c r="W55" i="1"/>
  <c r="T56" i="1"/>
  <c r="U56" i="1"/>
  <c r="V56" i="1"/>
  <c r="W56" i="1"/>
  <c r="T57" i="1"/>
  <c r="U57" i="1"/>
  <c r="V57" i="1"/>
  <c r="W57" i="1"/>
  <c r="T58" i="1"/>
  <c r="U58" i="1"/>
  <c r="V58" i="1"/>
  <c r="W58" i="1"/>
  <c r="T59" i="1"/>
  <c r="U59" i="1"/>
  <c r="V59" i="1"/>
  <c r="W59" i="1"/>
  <c r="T60" i="1"/>
  <c r="U60" i="1"/>
  <c r="V60" i="1"/>
  <c r="W60" i="1"/>
  <c r="T61" i="1"/>
  <c r="U61" i="1"/>
  <c r="V61" i="1"/>
  <c r="W61" i="1"/>
  <c r="T62" i="1"/>
  <c r="U62" i="1"/>
  <c r="V62" i="1"/>
  <c r="W62" i="1"/>
  <c r="T63" i="1"/>
  <c r="U63" i="1"/>
  <c r="V63" i="1"/>
  <c r="W63" i="1"/>
  <c r="T64" i="1"/>
  <c r="U64" i="1"/>
  <c r="V64" i="1"/>
  <c r="W64" i="1"/>
  <c r="T65" i="1"/>
  <c r="U65" i="1"/>
  <c r="V65" i="1"/>
  <c r="W65" i="1"/>
  <c r="T66" i="1"/>
  <c r="U66" i="1"/>
  <c r="V66" i="1"/>
  <c r="W66" i="1"/>
  <c r="T67" i="1"/>
  <c r="U67" i="1"/>
  <c r="V67" i="1"/>
  <c r="W67" i="1"/>
  <c r="T68" i="1"/>
  <c r="U68" i="1"/>
  <c r="V68" i="1"/>
  <c r="W68" i="1"/>
  <c r="T69" i="1"/>
  <c r="U69" i="1"/>
  <c r="V69" i="1"/>
  <c r="W69" i="1"/>
  <c r="T70" i="1"/>
  <c r="U70" i="1"/>
  <c r="V70" i="1"/>
  <c r="W70" i="1"/>
  <c r="T71" i="1"/>
  <c r="U71" i="1"/>
  <c r="V71" i="1"/>
  <c r="W71" i="1"/>
  <c r="T72" i="1"/>
  <c r="U72" i="1"/>
  <c r="V72" i="1"/>
  <c r="W72" i="1"/>
  <c r="T73" i="1"/>
  <c r="U73" i="1"/>
  <c r="V73" i="1"/>
  <c r="W73" i="1"/>
  <c r="T74" i="1"/>
  <c r="U74" i="1"/>
  <c r="V74" i="1"/>
  <c r="W74" i="1"/>
  <c r="T75" i="1"/>
  <c r="U75" i="1"/>
  <c r="V75" i="1"/>
  <c r="W75" i="1"/>
  <c r="T76" i="1"/>
  <c r="U76" i="1"/>
  <c r="V76" i="1"/>
  <c r="W76" i="1"/>
  <c r="T77" i="1"/>
  <c r="U77" i="1"/>
  <c r="V77" i="1"/>
  <c r="W77" i="1"/>
  <c r="T78" i="1"/>
  <c r="U78" i="1"/>
  <c r="V78" i="1"/>
  <c r="W78" i="1"/>
  <c r="T79" i="1"/>
  <c r="U79" i="1"/>
  <c r="V79" i="1"/>
  <c r="W79" i="1"/>
  <c r="T80" i="1"/>
  <c r="U80" i="1"/>
  <c r="V80" i="1"/>
  <c r="W80" i="1"/>
  <c r="T81" i="1"/>
  <c r="U81" i="1"/>
  <c r="V81" i="1"/>
  <c r="W81" i="1"/>
  <c r="T82" i="1"/>
  <c r="U82" i="1"/>
  <c r="V82" i="1"/>
  <c r="W82" i="1"/>
  <c r="T83" i="1"/>
  <c r="U83" i="1"/>
  <c r="V83" i="1"/>
  <c r="W83" i="1"/>
  <c r="T84" i="1"/>
  <c r="U84" i="1"/>
  <c r="V84" i="1"/>
  <c r="W84" i="1"/>
  <c r="T85" i="1"/>
  <c r="U85" i="1"/>
  <c r="V85" i="1"/>
  <c r="W85" i="1"/>
  <c r="T86" i="1"/>
  <c r="U86" i="1"/>
  <c r="V86" i="1"/>
  <c r="W86" i="1"/>
  <c r="T87" i="1"/>
  <c r="U87" i="1"/>
  <c r="V87" i="1"/>
  <c r="W87" i="1"/>
  <c r="T88" i="1"/>
  <c r="U88" i="1"/>
  <c r="V88" i="1"/>
  <c r="W88" i="1"/>
  <c r="T89" i="1"/>
  <c r="U89" i="1"/>
  <c r="V89" i="1"/>
  <c r="W89" i="1"/>
  <c r="T90" i="1"/>
  <c r="U90" i="1"/>
  <c r="V90" i="1"/>
  <c r="W90" i="1"/>
  <c r="T91" i="1"/>
  <c r="U91" i="1"/>
  <c r="V91" i="1"/>
  <c r="W91" i="1"/>
  <c r="T92" i="1"/>
  <c r="U92" i="1"/>
  <c r="V92" i="1"/>
  <c r="W92" i="1"/>
  <c r="T93" i="1"/>
  <c r="U93" i="1"/>
  <c r="V93" i="1"/>
  <c r="W93" i="1"/>
  <c r="T94" i="1"/>
  <c r="U94" i="1"/>
  <c r="V94" i="1"/>
  <c r="W94" i="1"/>
  <c r="T95" i="1"/>
  <c r="U95" i="1"/>
  <c r="V95" i="1"/>
  <c r="W95" i="1"/>
  <c r="T96" i="1"/>
  <c r="U96" i="1"/>
  <c r="V96" i="1"/>
  <c r="W96" i="1"/>
  <c r="T97" i="1"/>
  <c r="U97" i="1"/>
  <c r="V97" i="1"/>
  <c r="W97" i="1"/>
  <c r="T98" i="1"/>
  <c r="U98" i="1"/>
  <c r="V98" i="1"/>
  <c r="W98" i="1"/>
  <c r="T99" i="1"/>
  <c r="U99" i="1"/>
  <c r="V99" i="1"/>
  <c r="W99" i="1"/>
  <c r="T100" i="1"/>
  <c r="U100" i="1"/>
  <c r="V100" i="1"/>
  <c r="W100" i="1"/>
  <c r="T101" i="1"/>
  <c r="U101" i="1"/>
  <c r="V101" i="1"/>
  <c r="W101" i="1"/>
  <c r="T102" i="1"/>
  <c r="U102" i="1"/>
  <c r="V102" i="1"/>
  <c r="W102" i="1"/>
  <c r="T103" i="1"/>
  <c r="U103" i="1"/>
  <c r="V103" i="1"/>
  <c r="W103" i="1"/>
  <c r="T104" i="1"/>
  <c r="U104" i="1"/>
  <c r="V104" i="1"/>
  <c r="W104" i="1"/>
  <c r="T105" i="1"/>
  <c r="U105" i="1"/>
  <c r="V105" i="1"/>
  <c r="W105" i="1"/>
  <c r="T106" i="1"/>
  <c r="U106" i="1"/>
  <c r="V106" i="1"/>
  <c r="W106" i="1"/>
  <c r="T107" i="1"/>
  <c r="U107" i="1"/>
  <c r="V107" i="1"/>
  <c r="W107" i="1"/>
  <c r="T108" i="1"/>
  <c r="U108" i="1"/>
  <c r="V108" i="1"/>
  <c r="W108" i="1"/>
  <c r="T109" i="1"/>
  <c r="U109" i="1"/>
  <c r="V109" i="1"/>
  <c r="W109" i="1"/>
  <c r="T110" i="1"/>
  <c r="U110" i="1"/>
  <c r="V110" i="1"/>
  <c r="W110" i="1"/>
  <c r="T111" i="1"/>
  <c r="U111" i="1"/>
  <c r="V111" i="1"/>
  <c r="W111" i="1"/>
  <c r="T112" i="1"/>
  <c r="U112" i="1"/>
  <c r="V112" i="1"/>
  <c r="W112" i="1"/>
  <c r="T113" i="1"/>
  <c r="U113" i="1"/>
  <c r="V113" i="1"/>
  <c r="W113" i="1"/>
  <c r="T114" i="1"/>
  <c r="U114" i="1"/>
  <c r="V114" i="1"/>
  <c r="W114" i="1"/>
  <c r="T115" i="1"/>
  <c r="U115" i="1"/>
  <c r="V115" i="1"/>
  <c r="W115" i="1"/>
  <c r="T116" i="1"/>
  <c r="U116" i="1"/>
  <c r="V116" i="1"/>
  <c r="W116" i="1"/>
  <c r="T117" i="1"/>
  <c r="U117" i="1"/>
  <c r="V117" i="1"/>
  <c r="W117" i="1"/>
  <c r="T118" i="1"/>
  <c r="U118" i="1"/>
  <c r="V118" i="1"/>
  <c r="W118" i="1"/>
  <c r="T119" i="1"/>
  <c r="U119" i="1"/>
  <c r="V119" i="1"/>
  <c r="W119" i="1"/>
  <c r="T120" i="1"/>
  <c r="U120" i="1"/>
  <c r="V120" i="1"/>
  <c r="W120" i="1"/>
  <c r="T121" i="1"/>
  <c r="U121" i="1"/>
  <c r="V121" i="1"/>
  <c r="W121" i="1"/>
  <c r="T122" i="1"/>
  <c r="U122" i="1"/>
  <c r="V122" i="1"/>
  <c r="W122" i="1"/>
  <c r="T123" i="1"/>
  <c r="U123" i="1"/>
  <c r="V123" i="1"/>
  <c r="W123" i="1"/>
  <c r="T124" i="1"/>
  <c r="U124" i="1"/>
  <c r="V124" i="1"/>
  <c r="W124" i="1"/>
  <c r="T125" i="1"/>
  <c r="U125" i="1"/>
  <c r="V125" i="1"/>
  <c r="W125" i="1"/>
  <c r="T126" i="1"/>
  <c r="U126" i="1"/>
  <c r="V126" i="1"/>
  <c r="W126" i="1"/>
  <c r="T127" i="1"/>
  <c r="U127" i="1"/>
  <c r="V127" i="1"/>
  <c r="W127" i="1"/>
  <c r="T128" i="1"/>
  <c r="U128" i="1"/>
  <c r="V128" i="1"/>
  <c r="W128" i="1"/>
  <c r="T129" i="1"/>
  <c r="U129" i="1"/>
  <c r="V129" i="1"/>
  <c r="W129" i="1"/>
  <c r="T130" i="1"/>
  <c r="U130" i="1"/>
  <c r="V130" i="1"/>
  <c r="W130" i="1"/>
  <c r="T131" i="1"/>
  <c r="U131" i="1"/>
  <c r="V131" i="1"/>
  <c r="W131" i="1"/>
  <c r="T132" i="1"/>
  <c r="U132" i="1"/>
  <c r="V132" i="1"/>
  <c r="W132" i="1"/>
  <c r="T133" i="1"/>
  <c r="U133" i="1"/>
  <c r="V133" i="1"/>
  <c r="W133" i="1"/>
  <c r="T134" i="1"/>
  <c r="U134" i="1"/>
  <c r="V134" i="1"/>
  <c r="W134" i="1"/>
  <c r="T135" i="1"/>
  <c r="U135" i="1"/>
  <c r="V135" i="1"/>
  <c r="W135" i="1"/>
  <c r="T136" i="1"/>
  <c r="U136" i="1"/>
  <c r="V136" i="1"/>
  <c r="W136" i="1"/>
  <c r="T137" i="1"/>
  <c r="U137" i="1"/>
  <c r="V137" i="1"/>
  <c r="W137" i="1"/>
  <c r="T138" i="1"/>
  <c r="U138" i="1"/>
  <c r="V138" i="1"/>
  <c r="W138" i="1"/>
  <c r="T139" i="1"/>
  <c r="U139" i="1"/>
  <c r="V139" i="1"/>
  <c r="W139" i="1"/>
  <c r="T140" i="1"/>
  <c r="U140" i="1"/>
  <c r="V140" i="1"/>
  <c r="W140" i="1"/>
  <c r="T141" i="1"/>
  <c r="U141" i="1"/>
  <c r="V141" i="1"/>
  <c r="W141" i="1"/>
  <c r="T142" i="1"/>
  <c r="U142" i="1"/>
  <c r="V142" i="1"/>
  <c r="W142" i="1"/>
  <c r="T143" i="1"/>
  <c r="U143" i="1"/>
  <c r="V143" i="1"/>
  <c r="W143" i="1"/>
  <c r="T144" i="1"/>
  <c r="U144" i="1"/>
  <c r="V144" i="1"/>
  <c r="W144" i="1"/>
  <c r="T145" i="1"/>
  <c r="U145" i="1"/>
  <c r="V145" i="1"/>
  <c r="W145" i="1"/>
  <c r="T146" i="1"/>
  <c r="U146" i="1"/>
  <c r="V146" i="1"/>
  <c r="W146" i="1"/>
  <c r="T147" i="1"/>
  <c r="U147" i="1"/>
  <c r="V147" i="1"/>
  <c r="W147" i="1"/>
  <c r="T148" i="1"/>
  <c r="U148" i="1"/>
  <c r="V148" i="1"/>
  <c r="W148" i="1"/>
  <c r="T149" i="1"/>
  <c r="U149" i="1"/>
  <c r="V149" i="1"/>
  <c r="W149" i="1"/>
  <c r="T150" i="1"/>
  <c r="U150" i="1"/>
  <c r="V150" i="1"/>
  <c r="W150" i="1"/>
  <c r="T151" i="1"/>
  <c r="U151" i="1"/>
  <c r="V151" i="1"/>
  <c r="W151" i="1"/>
  <c r="T152" i="1"/>
  <c r="U152" i="1"/>
  <c r="V152" i="1"/>
  <c r="W152" i="1"/>
  <c r="T153" i="1"/>
  <c r="U153" i="1"/>
  <c r="V153" i="1"/>
  <c r="W153" i="1"/>
  <c r="T154" i="1"/>
  <c r="U154" i="1"/>
  <c r="V154" i="1"/>
  <c r="W154" i="1"/>
  <c r="T155" i="1"/>
  <c r="U155" i="1"/>
  <c r="V155" i="1"/>
  <c r="W155" i="1"/>
  <c r="T156" i="1"/>
  <c r="U156" i="1"/>
  <c r="V156" i="1"/>
  <c r="W156" i="1"/>
  <c r="T157" i="1"/>
  <c r="U157" i="1"/>
  <c r="V157" i="1"/>
  <c r="W157" i="1"/>
  <c r="T158" i="1"/>
  <c r="U158" i="1"/>
  <c r="V158" i="1"/>
  <c r="W158" i="1"/>
  <c r="T159" i="1"/>
  <c r="U159" i="1"/>
  <c r="V159" i="1"/>
  <c r="W159" i="1"/>
  <c r="T160" i="1"/>
  <c r="U160" i="1"/>
  <c r="V160" i="1"/>
  <c r="W160" i="1"/>
  <c r="T161" i="1"/>
  <c r="U161" i="1"/>
  <c r="V161" i="1"/>
  <c r="W161" i="1"/>
  <c r="T162" i="1"/>
  <c r="U162" i="1"/>
  <c r="V162" i="1"/>
  <c r="W162" i="1"/>
  <c r="W7" i="1"/>
  <c r="V7" i="1"/>
  <c r="U7" i="1"/>
  <c r="T7" i="1"/>
  <c r="G2" i="2" l="1"/>
  <c r="G3" i="2"/>
  <c r="G4" i="2"/>
  <c r="G5" i="2"/>
</calcChain>
</file>

<file path=xl/sharedStrings.xml><?xml version="1.0" encoding="utf-8"?>
<sst xmlns="http://schemas.openxmlformats.org/spreadsheetml/2006/main" count="35" uniqueCount="31">
  <si>
    <t>Date</t>
  </si>
  <si>
    <t>T-bills</t>
  </si>
  <si>
    <t>Inflation</t>
  </si>
  <si>
    <t>TOYOTA</t>
  </si>
  <si>
    <t>GM</t>
  </si>
  <si>
    <t>BMW</t>
  </si>
  <si>
    <t>FORD</t>
  </si>
  <si>
    <t>CHRYSLER</t>
  </si>
  <si>
    <t>APPLE</t>
  </si>
  <si>
    <t>IBM</t>
  </si>
  <si>
    <t>COMPAQ</t>
  </si>
  <si>
    <t>HP</t>
  </si>
  <si>
    <t>BUSCH</t>
  </si>
  <si>
    <t>HEINEKEN</t>
  </si>
  <si>
    <t>KIRIN</t>
  </si>
  <si>
    <t>MOLSON</t>
  </si>
  <si>
    <t>Market: US</t>
  </si>
  <si>
    <t>Market: World</t>
  </si>
  <si>
    <t>Market indexes</t>
  </si>
  <si>
    <t>EQUITIES</t>
  </si>
  <si>
    <t>Portfolio</t>
  </si>
  <si>
    <t>P1</t>
  </si>
  <si>
    <t>P2</t>
  </si>
  <si>
    <t>P3</t>
  </si>
  <si>
    <t>P4</t>
  </si>
  <si>
    <t>Variance</t>
  </si>
  <si>
    <t>R2</t>
  </si>
  <si>
    <t>Average RR</t>
  </si>
  <si>
    <t>B vs World</t>
  </si>
  <si>
    <t>Systematic R</t>
  </si>
  <si>
    <t>Idiosyncratic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</si>
</sst>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Fill="1" applyBorder="1" applyAlignment="1">
      <alignment wrapText="1"/>
    </xf>
    <xf numFmtId="2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W163"/>
  <sheetViews>
    <sheetView topLeftCell="G1" zoomScale="190" zoomScaleNormal="190" workbookViewId="0">
      <pane ySplit="6" topLeftCell="A140" activePane="bottomLeft" state="frozen"/>
      <selection pane="bottomLeft" activeCell="B163" sqref="B163"/>
    </sheetView>
  </sheetViews>
  <sheetFormatPr baseColWidth="10" defaultColWidth="8.83203125" defaultRowHeight="13" x14ac:dyDescent="0.15"/>
  <cols>
    <col min="1" max="1" width="9.83203125" customWidth="1"/>
    <col min="2" max="2" width="13" customWidth="1"/>
    <col min="3" max="3" width="11.83203125" customWidth="1"/>
    <col min="4" max="4" width="15.33203125" customWidth="1"/>
    <col min="5" max="5" width="18.83203125" style="3" customWidth="1"/>
    <col min="10" max="10" width="10.33203125" customWidth="1"/>
    <col min="16" max="16" width="9.5" customWidth="1"/>
  </cols>
  <sheetData>
    <row r="5" spans="1:23" x14ac:dyDescent="0.15">
      <c r="B5" s="8" t="s">
        <v>18</v>
      </c>
      <c r="C5" s="8"/>
      <c r="F5" s="8" t="s">
        <v>19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23" ht="28" x14ac:dyDescent="0.15">
      <c r="A6" s="5" t="s">
        <v>0</v>
      </c>
      <c r="B6" s="5" t="s">
        <v>17</v>
      </c>
      <c r="C6" s="5" t="s">
        <v>16</v>
      </c>
      <c r="D6" s="5" t="s">
        <v>1</v>
      </c>
      <c r="E6" s="5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9</v>
      </c>
      <c r="M6" s="6" t="s">
        <v>10</v>
      </c>
      <c r="N6" s="6" t="s">
        <v>11</v>
      </c>
      <c r="O6" s="6" t="s">
        <v>12</v>
      </c>
      <c r="P6" s="6" t="s">
        <v>13</v>
      </c>
      <c r="Q6" s="6" t="s">
        <v>14</v>
      </c>
      <c r="R6" s="6" t="s">
        <v>15</v>
      </c>
      <c r="S6" s="7"/>
      <c r="T6" s="11" t="s">
        <v>21</v>
      </c>
      <c r="U6" s="11" t="s">
        <v>22</v>
      </c>
      <c r="V6" s="11" t="s">
        <v>23</v>
      </c>
      <c r="W6" s="11" t="s">
        <v>24</v>
      </c>
    </row>
    <row r="7" spans="1:23" x14ac:dyDescent="0.15">
      <c r="A7" s="1">
        <v>31078</v>
      </c>
      <c r="B7" s="2">
        <v>5.5751113541346431</v>
      </c>
      <c r="C7" s="2">
        <v>9.2375088799431673</v>
      </c>
      <c r="D7" s="2">
        <v>0.64739999999999998</v>
      </c>
      <c r="E7" s="4">
        <v>0.19020000000000001</v>
      </c>
      <c r="F7" s="2">
        <v>7.761310452418102</v>
      </c>
      <c r="G7" s="2">
        <v>6.0850111856823208</v>
      </c>
      <c r="H7" s="2">
        <v>-0.90477267586518417</v>
      </c>
      <c r="I7" s="2">
        <v>7.9176201372997745</v>
      </c>
      <c r="J7" s="2">
        <v>3.9558417663293488</v>
      </c>
      <c r="K7" s="2">
        <v>-0.25884383088871088</v>
      </c>
      <c r="L7" s="2">
        <v>10.744147157190632</v>
      </c>
      <c r="M7" s="2">
        <v>22.483221476510074</v>
      </c>
      <c r="N7" s="2">
        <v>10.706703063390965</v>
      </c>
      <c r="O7" s="2">
        <v>2.5834230355220589</v>
      </c>
      <c r="P7" s="2">
        <v>6.1247853463079593</v>
      </c>
      <c r="Q7" s="2">
        <v>1.2396694214876103</v>
      </c>
      <c r="R7" s="2">
        <v>9.379310344827573</v>
      </c>
      <c r="T7" s="2">
        <f>AVERAGE(G7,L7)</f>
        <v>8.4145791714364755</v>
      </c>
      <c r="U7" s="2">
        <f>AVERAGE(G7,L7,O7)</f>
        <v>6.4708604594650039</v>
      </c>
      <c r="V7" s="2">
        <f>AVERAGE(G7,F7,L7,O7)</f>
        <v>6.7934729577032789</v>
      </c>
      <c r="W7" s="2">
        <f>AVERAGE(F7:R7)</f>
        <v>6.755186683093271</v>
      </c>
    </row>
    <row r="8" spans="1:23" x14ac:dyDescent="0.15">
      <c r="A8" s="1">
        <v>31106</v>
      </c>
      <c r="B8" s="2">
        <v>0.24601573205864646</v>
      </c>
      <c r="C8" s="2">
        <v>0.97873447356440213</v>
      </c>
      <c r="D8" s="2">
        <v>0.57809999999999995</v>
      </c>
      <c r="E8" s="4">
        <v>0.41130000000000005</v>
      </c>
      <c r="F8" s="2">
        <v>-4.7050307636626876</v>
      </c>
      <c r="G8" s="2">
        <v>-2.8679881906368498</v>
      </c>
      <c r="H8" s="2">
        <v>-2.1684546907098867</v>
      </c>
      <c r="I8" s="2">
        <v>-8.4393553859202779</v>
      </c>
      <c r="J8" s="2">
        <v>0.35398230088496963</v>
      </c>
      <c r="K8" s="2">
        <v>-14.53287197231834</v>
      </c>
      <c r="L8" s="2">
        <v>-0.9060022650056565</v>
      </c>
      <c r="M8" s="2">
        <v>20</v>
      </c>
      <c r="N8" s="2">
        <v>-1.3424657534246487</v>
      </c>
      <c r="O8" s="2">
        <v>4.8793284365162615</v>
      </c>
      <c r="P8" s="2">
        <v>-5.9331175836030203</v>
      </c>
      <c r="Q8" s="2">
        <v>-1.6034985422740511</v>
      </c>
      <c r="R8" s="2">
        <v>-14.817150063051699</v>
      </c>
      <c r="T8" s="2">
        <f t="shared" ref="T8:T71" si="0">AVERAGE(G8,L8)</f>
        <v>-1.8869952278212532</v>
      </c>
      <c r="U8" s="2">
        <f t="shared" ref="U8:U71" si="1">AVERAGE(G8,L8,O8)</f>
        <v>0.36844599362458502</v>
      </c>
      <c r="V8" s="2">
        <f t="shared" ref="V8:V71" si="2">AVERAGE(G8,F8,L8,O8)</f>
        <v>-0.89992319569723311</v>
      </c>
      <c r="W8" s="2">
        <f t="shared" ref="W8:W71" si="3">AVERAGE(F8:R8)</f>
        <v>-2.4678941902466063</v>
      </c>
    </row>
    <row r="9" spans="1:23" x14ac:dyDescent="0.15">
      <c r="A9" s="1">
        <v>31135</v>
      </c>
      <c r="B9" s="2">
        <v>3.5226844626231157</v>
      </c>
      <c r="C9" s="2">
        <v>-0.18944882734932555</v>
      </c>
      <c r="D9" s="2">
        <v>0.61599999999999999</v>
      </c>
      <c r="E9" s="4">
        <v>0.44109999999999999</v>
      </c>
      <c r="F9" s="2">
        <v>5.6969236612225416E-2</v>
      </c>
      <c r="G9" s="2">
        <v>-8.163265306122458</v>
      </c>
      <c r="H9" s="2">
        <v>7.4195053663089094</v>
      </c>
      <c r="I9" s="2">
        <v>-5.0486336266790222</v>
      </c>
      <c r="J9" s="2">
        <v>5.2910052910053018</v>
      </c>
      <c r="K9" s="2">
        <v>-10.425101214574894</v>
      </c>
      <c r="L9" s="2">
        <v>-5.2571428571428598</v>
      </c>
      <c r="M9" s="2">
        <v>-16.666666666666664</v>
      </c>
      <c r="N9" s="2">
        <v>-7.9422382671480163</v>
      </c>
      <c r="O9" s="2">
        <v>3.2516258129064557</v>
      </c>
      <c r="P9" s="2">
        <v>10.837155963302747</v>
      </c>
      <c r="Q9" s="2">
        <v>11.051851851851847</v>
      </c>
      <c r="R9" s="2">
        <v>3.62694300518136</v>
      </c>
      <c r="T9" s="2">
        <f t="shared" si="0"/>
        <v>-6.7102040816326589</v>
      </c>
      <c r="U9" s="2">
        <f t="shared" si="1"/>
        <v>-3.3895941167862875</v>
      </c>
      <c r="V9" s="2">
        <f t="shared" si="2"/>
        <v>-2.5279532784366592</v>
      </c>
      <c r="W9" s="2">
        <f t="shared" si="3"/>
        <v>-0.92061472393577404</v>
      </c>
    </row>
    <row r="10" spans="1:23" x14ac:dyDescent="0.15">
      <c r="A10" s="1">
        <v>31167</v>
      </c>
      <c r="B10" s="2">
        <v>-0.22406429761562263</v>
      </c>
      <c r="C10" s="2">
        <v>-0.37692832984723701</v>
      </c>
      <c r="D10" s="2">
        <v>0.71619999999999995</v>
      </c>
      <c r="E10" s="4">
        <v>0.4078</v>
      </c>
      <c r="F10" s="2">
        <v>2.5811349402163675</v>
      </c>
      <c r="G10" s="2">
        <v>-7.375886524822695</v>
      </c>
      <c r="H10" s="2">
        <v>-5.2997393570807905</v>
      </c>
      <c r="I10" s="2">
        <v>-2.1463414634146361</v>
      </c>
      <c r="J10" s="2">
        <v>-0.33500837520938909</v>
      </c>
      <c r="K10" s="2">
        <v>-3.8418079096045221</v>
      </c>
      <c r="L10" s="2">
        <v>-0.36188178528346882</v>
      </c>
      <c r="M10" s="2">
        <v>10.821917808219194</v>
      </c>
      <c r="N10" s="2">
        <v>-6.6365007541478116</v>
      </c>
      <c r="O10" s="2">
        <v>3.7306201550387552</v>
      </c>
      <c r="P10" s="2">
        <v>-2.4831867563373078</v>
      </c>
      <c r="Q10" s="2">
        <v>5.8164354322305156</v>
      </c>
      <c r="R10" s="2">
        <v>-0.85714285714284522</v>
      </c>
      <c r="T10" s="2">
        <f t="shared" si="0"/>
        <v>-3.8688841550530819</v>
      </c>
      <c r="U10" s="2">
        <f t="shared" si="1"/>
        <v>-1.3357160516891362</v>
      </c>
      <c r="V10" s="2">
        <f t="shared" si="2"/>
        <v>-0.35650330371276029</v>
      </c>
      <c r="W10" s="2">
        <f t="shared" si="3"/>
        <v>-0.49133749594912562</v>
      </c>
    </row>
    <row r="11" spans="1:23" x14ac:dyDescent="0.15">
      <c r="A11" s="1">
        <v>31198</v>
      </c>
      <c r="B11" s="2">
        <v>5.1898011978668723</v>
      </c>
      <c r="C11" s="2">
        <v>5.1533927761825638</v>
      </c>
      <c r="D11" s="2">
        <v>0.66339999999999999</v>
      </c>
      <c r="E11" s="4">
        <v>0.37490000000000001</v>
      </c>
      <c r="F11" s="2">
        <v>-6.0314523589269253</v>
      </c>
      <c r="G11" s="2">
        <v>7.8101071975497538</v>
      </c>
      <c r="H11" s="2">
        <v>8.8073394495412849</v>
      </c>
      <c r="I11" s="2">
        <v>6.3808574277168573</v>
      </c>
      <c r="J11" s="2">
        <v>2.5210084033613356</v>
      </c>
      <c r="K11" s="2">
        <v>-17.97884841363102</v>
      </c>
      <c r="L11" s="2">
        <v>2.5423728813559254</v>
      </c>
      <c r="M11" s="2">
        <v>-2.7194066749072987</v>
      </c>
      <c r="N11" s="2">
        <v>4.7495961227786765</v>
      </c>
      <c r="O11" s="2">
        <v>8.9677720691265783</v>
      </c>
      <c r="P11" s="2">
        <v>-1.4323607427055629</v>
      </c>
      <c r="Q11" s="2">
        <v>15.859808371154816</v>
      </c>
      <c r="R11" s="2">
        <v>9.5100864553314004</v>
      </c>
      <c r="T11" s="2">
        <f t="shared" si="0"/>
        <v>5.1762400394528392</v>
      </c>
      <c r="U11" s="2">
        <f t="shared" si="1"/>
        <v>6.4400840493440858</v>
      </c>
      <c r="V11" s="2">
        <f t="shared" si="2"/>
        <v>3.3221999472763333</v>
      </c>
      <c r="W11" s="2">
        <f t="shared" si="3"/>
        <v>2.9989907836727556</v>
      </c>
    </row>
    <row r="12" spans="1:23" x14ac:dyDescent="0.15">
      <c r="A12" s="1">
        <v>31226</v>
      </c>
      <c r="B12" s="2">
        <v>1.8322312207444957</v>
      </c>
      <c r="C12" s="2">
        <v>1.519320001642499</v>
      </c>
      <c r="D12" s="2">
        <v>0.55459999999999998</v>
      </c>
      <c r="E12" s="4">
        <v>0.31</v>
      </c>
      <c r="F12" s="2">
        <v>9.1553455404607131</v>
      </c>
      <c r="G12" s="2">
        <v>0.52083333333334814</v>
      </c>
      <c r="H12" s="2">
        <v>16.041315345699836</v>
      </c>
      <c r="I12" s="2">
        <v>3.7488284910965231</v>
      </c>
      <c r="J12" s="2">
        <v>3.1147540983606614</v>
      </c>
      <c r="K12" s="2">
        <v>3.7249283667621924</v>
      </c>
      <c r="L12" s="2">
        <v>-3.7780401416765086</v>
      </c>
      <c r="M12" s="2">
        <v>12.833545108005072</v>
      </c>
      <c r="N12" s="2">
        <v>5.4287476866132112</v>
      </c>
      <c r="O12" s="2">
        <v>6.0008572653236225</v>
      </c>
      <c r="P12" s="2">
        <v>-0.10764262648009781</v>
      </c>
      <c r="Q12" s="2">
        <v>-4.6137105549510338</v>
      </c>
      <c r="R12" s="2">
        <v>-4.342105263157892</v>
      </c>
      <c r="T12" s="2">
        <f t="shared" si="0"/>
        <v>-1.6286034041715802</v>
      </c>
      <c r="U12" s="2">
        <f t="shared" si="1"/>
        <v>0.91455015232682069</v>
      </c>
      <c r="V12" s="2">
        <f t="shared" si="2"/>
        <v>2.974748999360294</v>
      </c>
      <c r="W12" s="2">
        <f t="shared" si="3"/>
        <v>3.6713582037992039</v>
      </c>
    </row>
    <row r="13" spans="1:23" x14ac:dyDescent="0.15">
      <c r="A13" s="1">
        <v>31259</v>
      </c>
      <c r="B13" s="2">
        <v>2.1110592263989369</v>
      </c>
      <c r="C13" s="2">
        <v>-0.24572260647979238</v>
      </c>
      <c r="D13" s="2">
        <v>0.62459999999999993</v>
      </c>
      <c r="E13" s="4">
        <v>0.15510000000000002</v>
      </c>
      <c r="F13" s="2">
        <v>-4.9242424242424203</v>
      </c>
      <c r="G13" s="2">
        <v>-1.6957136128120665</v>
      </c>
      <c r="H13" s="2">
        <v>-2.7792915531335116</v>
      </c>
      <c r="I13" s="2">
        <v>0.27100271002709064</v>
      </c>
      <c r="J13" s="2">
        <v>-0.71542130365659373</v>
      </c>
      <c r="K13" s="2">
        <v>-11.602209944751385</v>
      </c>
      <c r="L13" s="2">
        <v>6.1758691206543981</v>
      </c>
      <c r="M13" s="2">
        <v>13.851351351351337</v>
      </c>
      <c r="N13" s="2">
        <v>8.2211819777647577</v>
      </c>
      <c r="O13" s="2">
        <v>-0.80873433077234269</v>
      </c>
      <c r="P13" s="2">
        <v>12.284482758620685</v>
      </c>
      <c r="Q13" s="2">
        <v>6.8446269678301697E-2</v>
      </c>
      <c r="R13" s="2">
        <v>1.9257221458046647</v>
      </c>
      <c r="T13" s="2">
        <f t="shared" si="0"/>
        <v>2.2400777539211658</v>
      </c>
      <c r="U13" s="2">
        <f t="shared" si="1"/>
        <v>1.2238070590233296</v>
      </c>
      <c r="V13" s="2">
        <f t="shared" si="2"/>
        <v>-0.31320531179310784</v>
      </c>
      <c r="W13" s="2">
        <f t="shared" si="3"/>
        <v>1.5594187049640704</v>
      </c>
    </row>
    <row r="14" spans="1:23" x14ac:dyDescent="0.15">
      <c r="A14" s="1">
        <v>31289</v>
      </c>
      <c r="B14" s="2">
        <v>0.86578952382767582</v>
      </c>
      <c r="C14" s="2">
        <v>-1.0076128495980718</v>
      </c>
      <c r="D14" s="2">
        <v>0.55020000000000002</v>
      </c>
      <c r="E14" s="4">
        <v>0.21689999999999998</v>
      </c>
      <c r="F14" s="2">
        <v>1.3849364446973933</v>
      </c>
      <c r="G14" s="2">
        <v>-3.0666027791087624</v>
      </c>
      <c r="H14" s="2">
        <v>20.366218236173395</v>
      </c>
      <c r="I14" s="2">
        <v>-1.4414414414414378</v>
      </c>
      <c r="J14" s="2">
        <v>2.4819855884707698</v>
      </c>
      <c r="K14" s="2">
        <v>-5.15625</v>
      </c>
      <c r="L14" s="2">
        <v>-2.8120184899845913</v>
      </c>
      <c r="M14" s="2">
        <v>1.0880316518298905</v>
      </c>
      <c r="N14" s="2">
        <v>-6.2719653960529804</v>
      </c>
      <c r="O14" s="2">
        <v>1.4268242967794498</v>
      </c>
      <c r="P14" s="2">
        <v>-1.1036468330134386</v>
      </c>
      <c r="Q14" s="2">
        <v>9.9179206566347489</v>
      </c>
      <c r="R14" s="2">
        <v>5.8704453441295712</v>
      </c>
      <c r="T14" s="2">
        <f t="shared" si="0"/>
        <v>-2.9393106345466768</v>
      </c>
      <c r="U14" s="2">
        <f t="shared" si="1"/>
        <v>-1.4839323241046347</v>
      </c>
      <c r="V14" s="2">
        <f t="shared" si="2"/>
        <v>-0.76671513190412766</v>
      </c>
      <c r="W14" s="2">
        <f t="shared" si="3"/>
        <v>1.7449567137780009</v>
      </c>
    </row>
    <row r="15" spans="1:23" x14ac:dyDescent="0.15">
      <c r="A15" s="1">
        <v>31320</v>
      </c>
      <c r="B15" s="2">
        <v>0.79271186800886628</v>
      </c>
      <c r="C15" s="2">
        <v>-4.1923096615636641</v>
      </c>
      <c r="D15" s="2">
        <v>0.60489999999999999</v>
      </c>
      <c r="E15" s="4">
        <v>0.30909999999999999</v>
      </c>
      <c r="F15" s="2">
        <v>7.4850299401196807E-2</v>
      </c>
      <c r="G15" s="2">
        <v>-0.54374691052893054</v>
      </c>
      <c r="H15" s="2">
        <v>4.8897857808134049</v>
      </c>
      <c r="I15" s="2">
        <v>0.59414990859232297</v>
      </c>
      <c r="J15" s="2">
        <v>-3.125</v>
      </c>
      <c r="K15" s="2">
        <v>5.2718286655683677</v>
      </c>
      <c r="L15" s="2">
        <v>-2.1403091557669507</v>
      </c>
      <c r="M15" s="2">
        <v>-16.43835616438356</v>
      </c>
      <c r="N15" s="2">
        <v>-8.3068935679261653</v>
      </c>
      <c r="O15" s="2">
        <v>3.1350482315112504</v>
      </c>
      <c r="P15" s="2">
        <v>15.186802523047071</v>
      </c>
      <c r="Q15" s="2">
        <v>8.6081725783032645</v>
      </c>
      <c r="R15" s="2">
        <v>-0.44614404079031944</v>
      </c>
      <c r="T15" s="2">
        <f t="shared" si="0"/>
        <v>-1.3420280331479406</v>
      </c>
      <c r="U15" s="2">
        <f t="shared" si="1"/>
        <v>0.15033072173845641</v>
      </c>
      <c r="V15" s="2">
        <f t="shared" si="2"/>
        <v>0.13146061615414151</v>
      </c>
      <c r="W15" s="2">
        <f t="shared" si="3"/>
        <v>0.52001447291084224</v>
      </c>
    </row>
    <row r="16" spans="1:23" x14ac:dyDescent="0.15">
      <c r="A16" s="1">
        <v>31351</v>
      </c>
      <c r="B16" s="2">
        <v>5.427326398650556</v>
      </c>
      <c r="C16" s="2">
        <v>4.2079498936522741</v>
      </c>
      <c r="D16" s="2">
        <v>0.64879999999999993</v>
      </c>
      <c r="E16" s="4">
        <v>0.30820000000000003</v>
      </c>
      <c r="F16" s="2">
        <v>13.070306656694108</v>
      </c>
      <c r="G16" s="2">
        <v>-0.39761431411530213</v>
      </c>
      <c r="H16" s="2">
        <v>14.62187361254994</v>
      </c>
      <c r="I16" s="2">
        <v>6.67878237164925</v>
      </c>
      <c r="J16" s="2">
        <v>11.209677419354836</v>
      </c>
      <c r="K16" s="2">
        <v>18.466353677621285</v>
      </c>
      <c r="L16" s="2">
        <v>4.819765087079797</v>
      </c>
      <c r="M16" s="2">
        <v>11.826697892271664</v>
      </c>
      <c r="N16" s="2">
        <v>-6.9204152249134898</v>
      </c>
      <c r="O16" s="2">
        <v>12.97739672642242</v>
      </c>
      <c r="P16" s="2">
        <v>12.384161752316757</v>
      </c>
      <c r="Q16" s="2">
        <v>6.4171122994652441</v>
      </c>
      <c r="R16" s="2">
        <v>9.9871959026888835</v>
      </c>
      <c r="T16" s="2">
        <f t="shared" si="0"/>
        <v>2.2110753864822472</v>
      </c>
      <c r="U16" s="2">
        <f t="shared" si="1"/>
        <v>5.7998491664623044</v>
      </c>
      <c r="V16" s="2">
        <f t="shared" si="2"/>
        <v>7.6174635390202559</v>
      </c>
      <c r="W16" s="2">
        <f t="shared" si="3"/>
        <v>8.8570226045450315</v>
      </c>
    </row>
    <row r="17" spans="1:23" x14ac:dyDescent="0.15">
      <c r="A17" s="1">
        <v>31380</v>
      </c>
      <c r="B17" s="2">
        <v>5.6325915654457992</v>
      </c>
      <c r="C17" s="2">
        <v>6.5006461671008431</v>
      </c>
      <c r="D17" s="2">
        <v>0.60819999999999996</v>
      </c>
      <c r="E17" s="4">
        <v>0.33789999999999998</v>
      </c>
      <c r="F17" s="2">
        <v>4.6634694890028028</v>
      </c>
      <c r="G17" s="2">
        <v>7.0359281437125665</v>
      </c>
      <c r="H17" s="2">
        <v>10.47127178825049</v>
      </c>
      <c r="I17" s="2">
        <v>16.141396933560472</v>
      </c>
      <c r="J17" s="2">
        <v>7.2516316171138406</v>
      </c>
      <c r="K17" s="2">
        <v>8.3223249669748931</v>
      </c>
      <c r="L17" s="2">
        <v>8.5007727975270555</v>
      </c>
      <c r="M17" s="2">
        <v>16.439790575916224</v>
      </c>
      <c r="N17" s="2">
        <v>18.587360594795534</v>
      </c>
      <c r="O17" s="2">
        <v>-1.828216626422885</v>
      </c>
      <c r="P17" s="2">
        <v>23.875562218890558</v>
      </c>
      <c r="Q17" s="2">
        <v>3.5893754486719276</v>
      </c>
      <c r="R17" s="2">
        <v>6.4027939464493588</v>
      </c>
      <c r="T17" s="2">
        <f t="shared" si="0"/>
        <v>7.7683504706198114</v>
      </c>
      <c r="U17" s="2">
        <f t="shared" si="1"/>
        <v>4.5694947716055792</v>
      </c>
      <c r="V17" s="2">
        <f t="shared" si="2"/>
        <v>4.5929884509548842</v>
      </c>
      <c r="W17" s="2">
        <f t="shared" si="3"/>
        <v>9.9579586072648354</v>
      </c>
    </row>
    <row r="18" spans="1:23" x14ac:dyDescent="0.15">
      <c r="A18" s="1">
        <v>31412</v>
      </c>
      <c r="B18" s="2">
        <v>4.7217541490218728</v>
      </c>
      <c r="C18" s="2">
        <v>4.2360067799221968</v>
      </c>
      <c r="D18" s="2">
        <v>0.65039999999999998</v>
      </c>
      <c r="E18" s="4">
        <v>0.245</v>
      </c>
      <c r="F18" s="2">
        <v>6.6677200189603436</v>
      </c>
      <c r="G18" s="2">
        <v>3.170163170163165</v>
      </c>
      <c r="H18" s="2">
        <v>4.3361383824217059</v>
      </c>
      <c r="I18" s="2">
        <v>7.4074074074073959</v>
      </c>
      <c r="J18" s="2">
        <v>10.006761325219738</v>
      </c>
      <c r="K18" s="2">
        <v>9.5121951219512049</v>
      </c>
      <c r="L18" s="2">
        <v>11.253561253561251</v>
      </c>
      <c r="M18" s="2">
        <v>7.1043165467625791</v>
      </c>
      <c r="N18" s="2">
        <v>2.5933314334568358</v>
      </c>
      <c r="O18" s="2">
        <v>16.93605059732959</v>
      </c>
      <c r="P18" s="2">
        <v>11.739788199697433</v>
      </c>
      <c r="Q18" s="2">
        <v>0.74497574497573993</v>
      </c>
      <c r="R18" s="2">
        <v>-8.4792122538293153</v>
      </c>
      <c r="T18" s="2">
        <f t="shared" si="0"/>
        <v>7.2118622118622078</v>
      </c>
      <c r="U18" s="2">
        <f t="shared" si="1"/>
        <v>10.453258340351335</v>
      </c>
      <c r="V18" s="2">
        <f t="shared" si="2"/>
        <v>9.5068737600035877</v>
      </c>
      <c r="W18" s="2">
        <f t="shared" si="3"/>
        <v>6.384092072929052</v>
      </c>
    </row>
    <row r="19" spans="1:23" x14ac:dyDescent="0.15">
      <c r="A19" s="1">
        <v>31443</v>
      </c>
      <c r="B19" s="2">
        <v>1.5180856491990857</v>
      </c>
      <c r="C19" s="2">
        <v>0.89712614739292373</v>
      </c>
      <c r="D19" s="2">
        <v>0.55900000000000005</v>
      </c>
      <c r="E19" s="4">
        <v>0.3054</v>
      </c>
      <c r="F19" s="2">
        <v>6.2805510294771105</v>
      </c>
      <c r="G19" s="2">
        <v>5.15137821961138</v>
      </c>
      <c r="H19" s="2">
        <v>4.5480004480788594</v>
      </c>
      <c r="I19" s="2">
        <v>9.2523045407989066</v>
      </c>
      <c r="J19" s="2">
        <v>-1.0448678549477508</v>
      </c>
      <c r="K19" s="2">
        <v>5.2338530066815103</v>
      </c>
      <c r="L19" s="2">
        <v>-2.5608194622279146</v>
      </c>
      <c r="M19" s="2">
        <v>-3.7783375314861423</v>
      </c>
      <c r="N19" s="2">
        <v>7.1388888888888946</v>
      </c>
      <c r="O19" s="2">
        <v>-2.9447115384615419</v>
      </c>
      <c r="P19" s="2">
        <v>-4.8470078526942961</v>
      </c>
      <c r="Q19" s="2">
        <v>9.5270851246775479</v>
      </c>
      <c r="R19" s="2">
        <v>6.8141063956963288</v>
      </c>
      <c r="T19" s="2">
        <f t="shared" si="0"/>
        <v>1.2952793786917327</v>
      </c>
      <c r="U19" s="2">
        <f t="shared" si="1"/>
        <v>-0.11805092702602549</v>
      </c>
      <c r="V19" s="2">
        <f t="shared" si="2"/>
        <v>1.4815995620997584</v>
      </c>
      <c r="W19" s="2">
        <f t="shared" si="3"/>
        <v>2.9823402626225306</v>
      </c>
    </row>
    <row r="20" spans="1:23" x14ac:dyDescent="0.15">
      <c r="A20" s="1">
        <v>31471</v>
      </c>
      <c r="B20" s="2">
        <v>9.0490843070712756</v>
      </c>
      <c r="C20" s="2">
        <v>6.9515729519117553</v>
      </c>
      <c r="D20" s="2">
        <v>0.52960000000000007</v>
      </c>
      <c r="E20" s="4">
        <v>-0.27410000000000001</v>
      </c>
      <c r="F20" s="2">
        <v>1.0452961672473782</v>
      </c>
      <c r="G20" s="2">
        <v>6.8328319724967779</v>
      </c>
      <c r="H20" s="2">
        <v>-6.7502410800385775</v>
      </c>
      <c r="I20" s="2">
        <v>14.5625</v>
      </c>
      <c r="J20" s="2">
        <v>22.981366459627338</v>
      </c>
      <c r="K20" s="2">
        <v>8.359788359788368</v>
      </c>
      <c r="L20" s="2">
        <v>0.29566360052564189</v>
      </c>
      <c r="M20" s="2">
        <v>21.553228621291453</v>
      </c>
      <c r="N20" s="2">
        <v>11.433756805807626</v>
      </c>
      <c r="O20" s="2">
        <v>8.1424148606811251</v>
      </c>
      <c r="P20" s="2">
        <v>5.6061468412066162</v>
      </c>
      <c r="Q20" s="2">
        <v>25.985241011147743</v>
      </c>
      <c r="R20" s="2">
        <v>17.403469501958611</v>
      </c>
      <c r="T20" s="2">
        <f t="shared" si="0"/>
        <v>3.5642477865112099</v>
      </c>
      <c r="U20" s="2">
        <f t="shared" si="1"/>
        <v>5.0903034779011813</v>
      </c>
      <c r="V20" s="2">
        <f t="shared" si="2"/>
        <v>4.079051650237731</v>
      </c>
      <c r="W20" s="2">
        <f t="shared" si="3"/>
        <v>10.573189470903086</v>
      </c>
    </row>
    <row r="21" spans="1:23" x14ac:dyDescent="0.15">
      <c r="A21" s="1">
        <v>31502</v>
      </c>
      <c r="B21" s="2">
        <v>9.8075614469637085</v>
      </c>
      <c r="C21" s="2">
        <v>4.2590991206965745</v>
      </c>
      <c r="D21" s="2">
        <v>0.59540000000000004</v>
      </c>
      <c r="E21" s="4">
        <v>-0.45799999999999996</v>
      </c>
      <c r="F21" s="2">
        <v>11.613793103448277</v>
      </c>
      <c r="G21" s="2">
        <v>10.941271118262286</v>
      </c>
      <c r="H21" s="2">
        <v>5.2395725611857902</v>
      </c>
      <c r="I21" s="2">
        <v>14.102564102564097</v>
      </c>
      <c r="J21" s="2">
        <v>19.343434343434353</v>
      </c>
      <c r="K21" s="2">
        <v>13.0859375</v>
      </c>
      <c r="L21" s="2">
        <v>0.42581067802163197</v>
      </c>
      <c r="M21" s="2">
        <v>-7.2505384063173199</v>
      </c>
      <c r="N21" s="2">
        <v>0.41879944160074789</v>
      </c>
      <c r="O21" s="2">
        <v>8.2164328657314591</v>
      </c>
      <c r="P21" s="2">
        <v>7.5181891673403278</v>
      </c>
      <c r="Q21" s="2">
        <v>33.150548354935204</v>
      </c>
      <c r="R21" s="2">
        <v>7.9122974261201184</v>
      </c>
      <c r="T21" s="2">
        <f t="shared" si="0"/>
        <v>5.6835408981419588</v>
      </c>
      <c r="U21" s="2">
        <f t="shared" si="1"/>
        <v>6.527838220671792</v>
      </c>
      <c r="V21" s="2">
        <f t="shared" si="2"/>
        <v>7.799326941365913</v>
      </c>
      <c r="W21" s="2">
        <f t="shared" si="3"/>
        <v>9.5937009427943831</v>
      </c>
    </row>
    <row r="22" spans="1:23" x14ac:dyDescent="0.15">
      <c r="A22" s="1">
        <v>31532</v>
      </c>
      <c r="B22" s="2">
        <v>2.7802152584638362</v>
      </c>
      <c r="C22" s="2">
        <v>-5.1736243702338314E-2</v>
      </c>
      <c r="D22" s="2">
        <v>0.52080000000000004</v>
      </c>
      <c r="E22" s="4">
        <v>-0.2147</v>
      </c>
      <c r="F22" s="2">
        <v>35.430054374691068</v>
      </c>
      <c r="G22" s="2">
        <v>-7.2516316171138513</v>
      </c>
      <c r="H22" s="2">
        <v>10.721694508134071</v>
      </c>
      <c r="I22" s="2">
        <v>-6.6698541716471489</v>
      </c>
      <c r="J22" s="2">
        <v>-19.212865002115954</v>
      </c>
      <c r="K22" s="2">
        <v>7.2538860103626979</v>
      </c>
      <c r="L22" s="2">
        <v>3.1311154598825608</v>
      </c>
      <c r="M22" s="2">
        <v>16.563467492260074</v>
      </c>
      <c r="N22" s="2">
        <v>2.8498609823910837</v>
      </c>
      <c r="O22" s="2">
        <v>-3.6772486772486679</v>
      </c>
      <c r="P22" s="2">
        <v>-2.0050125313283207</v>
      </c>
      <c r="Q22" s="2">
        <v>3.1729689254960558</v>
      </c>
      <c r="R22" s="2">
        <v>11.484098939929321</v>
      </c>
      <c r="T22" s="2">
        <f t="shared" si="0"/>
        <v>-2.0602580786156452</v>
      </c>
      <c r="U22" s="2">
        <f t="shared" si="1"/>
        <v>-2.5992549448266526</v>
      </c>
      <c r="V22" s="2">
        <f t="shared" si="2"/>
        <v>6.9080723850527779</v>
      </c>
      <c r="W22" s="2">
        <f t="shared" si="3"/>
        <v>3.9838872841302311</v>
      </c>
    </row>
    <row r="23" spans="1:23" x14ac:dyDescent="0.15">
      <c r="A23" s="1">
        <v>31562</v>
      </c>
      <c r="B23" s="2">
        <v>-0.26062895023288846</v>
      </c>
      <c r="C23" s="2">
        <v>4.71290008503924</v>
      </c>
      <c r="D23" s="2">
        <v>0.49340000000000001</v>
      </c>
      <c r="E23" s="4">
        <v>0.30740000000000001</v>
      </c>
      <c r="F23" s="2">
        <v>-10.137786294369933</v>
      </c>
      <c r="G23" s="2">
        <v>1.2900703674745939</v>
      </c>
      <c r="H23" s="2">
        <v>-5.2953357657035793</v>
      </c>
      <c r="I23" s="2">
        <v>6.4549180327869049</v>
      </c>
      <c r="J23" s="2">
        <v>2.7763226820324727</v>
      </c>
      <c r="K23" s="2">
        <v>22.463768115942017</v>
      </c>
      <c r="L23" s="2">
        <v>-1.7710309930423662</v>
      </c>
      <c r="M23" s="2">
        <v>2.9880478087649376</v>
      </c>
      <c r="N23" s="2">
        <v>2.2077044379364752</v>
      </c>
      <c r="O23" s="2">
        <v>11.617687448503155</v>
      </c>
      <c r="P23" s="2">
        <v>1.2531969309462765</v>
      </c>
      <c r="Q23" s="2">
        <v>16.111766306813035</v>
      </c>
      <c r="R23" s="2">
        <v>-3.961965134706813</v>
      </c>
      <c r="T23" s="2">
        <f t="shared" si="0"/>
        <v>-0.24048031278388615</v>
      </c>
      <c r="U23" s="2">
        <f t="shared" si="1"/>
        <v>3.7122422743117944</v>
      </c>
      <c r="V23" s="2">
        <f t="shared" si="2"/>
        <v>0.24973513214136212</v>
      </c>
      <c r="W23" s="2">
        <f t="shared" si="3"/>
        <v>3.5382587648751667</v>
      </c>
    </row>
    <row r="24" spans="1:23" x14ac:dyDescent="0.15">
      <c r="A24" s="1">
        <v>31593</v>
      </c>
      <c r="B24" s="2">
        <v>4.0405522168631025</v>
      </c>
      <c r="C24" s="2">
        <v>1.1283342945360708</v>
      </c>
      <c r="D24" s="2">
        <v>0.52459999999999996</v>
      </c>
      <c r="E24" s="4">
        <v>0.49030000000000001</v>
      </c>
      <c r="F24" s="2">
        <v>6.4480097481722121</v>
      </c>
      <c r="G24" s="2">
        <v>-2.6630644538788273</v>
      </c>
      <c r="H24" s="2">
        <v>9.2773844231570202</v>
      </c>
      <c r="I24" s="2">
        <v>2.7189605389797755</v>
      </c>
      <c r="J24" s="2">
        <v>3.0581039755351647</v>
      </c>
      <c r="K24" s="2">
        <v>-2.9585798816568087</v>
      </c>
      <c r="L24" s="2">
        <v>-3.8634900193174504</v>
      </c>
      <c r="M24" s="2">
        <v>-17.408123791102515</v>
      </c>
      <c r="N24" s="2">
        <v>-11.24090808904562</v>
      </c>
      <c r="O24" s="2">
        <v>10.506889763779537</v>
      </c>
      <c r="P24" s="2">
        <v>0.22733013387219447</v>
      </c>
      <c r="Q24" s="2">
        <v>12.0321900148449</v>
      </c>
      <c r="R24" s="2">
        <v>6.2293729372937312</v>
      </c>
      <c r="T24" s="2">
        <f t="shared" si="0"/>
        <v>-3.2632772365981388</v>
      </c>
      <c r="U24" s="2">
        <f t="shared" si="1"/>
        <v>1.3267784301944197</v>
      </c>
      <c r="V24" s="2">
        <f t="shared" si="2"/>
        <v>2.6070862596888675</v>
      </c>
      <c r="W24" s="2">
        <f t="shared" si="3"/>
        <v>0.95108271543333178</v>
      </c>
    </row>
    <row r="25" spans="1:23" x14ac:dyDescent="0.15">
      <c r="A25" s="1">
        <v>31624</v>
      </c>
      <c r="B25" s="2">
        <v>0.83033648847770092</v>
      </c>
      <c r="C25" s="2">
        <v>-6.1428044924640712</v>
      </c>
      <c r="D25" s="2">
        <v>0.52</v>
      </c>
      <c r="E25" s="4">
        <v>0.03</v>
      </c>
      <c r="F25" s="2">
        <v>-12.591815320041977</v>
      </c>
      <c r="G25" s="2">
        <v>-12.25218080888183</v>
      </c>
      <c r="H25" s="2">
        <v>-2.0771796093377759</v>
      </c>
      <c r="I25" s="2">
        <v>-1.9910986179433099</v>
      </c>
      <c r="J25" s="2">
        <v>-6.2314540059347117</v>
      </c>
      <c r="K25" s="2">
        <v>-12.737127371273704</v>
      </c>
      <c r="L25" s="2">
        <v>-9.5445411922304046</v>
      </c>
      <c r="M25" s="2">
        <v>-3.5128805620608938</v>
      </c>
      <c r="N25" s="2">
        <v>-3.9731810280605906</v>
      </c>
      <c r="O25" s="2">
        <v>-0.44533511467379494</v>
      </c>
      <c r="P25" s="2">
        <v>2.9233870967741771</v>
      </c>
      <c r="Q25" s="2">
        <v>10.474928516632943</v>
      </c>
      <c r="R25" s="2">
        <v>-1.0873786407767039</v>
      </c>
      <c r="T25" s="2">
        <f t="shared" si="0"/>
        <v>-10.898361000556118</v>
      </c>
      <c r="U25" s="2">
        <f t="shared" si="1"/>
        <v>-7.4140190385953444</v>
      </c>
      <c r="V25" s="2">
        <f t="shared" si="2"/>
        <v>-8.7084681089570015</v>
      </c>
      <c r="W25" s="2">
        <f t="shared" si="3"/>
        <v>-4.0804505121391212</v>
      </c>
    </row>
    <row r="26" spans="1:23" x14ac:dyDescent="0.15">
      <c r="A26" s="1">
        <v>31653</v>
      </c>
      <c r="B26" s="2">
        <v>8.7643678160919549</v>
      </c>
      <c r="C26" s="2">
        <v>6.2637694218599549</v>
      </c>
      <c r="D26" s="2">
        <v>0.46</v>
      </c>
      <c r="E26" s="4">
        <v>0.18</v>
      </c>
      <c r="F26" s="2">
        <v>26.03950671177564</v>
      </c>
      <c r="G26" s="2">
        <v>7.5915047446904582</v>
      </c>
      <c r="H26" s="2">
        <v>37.686095163958356</v>
      </c>
      <c r="I26" s="2">
        <v>11.687380497131938</v>
      </c>
      <c r="J26" s="2">
        <v>8.3860759493670898</v>
      </c>
      <c r="K26" s="2">
        <v>18.478260869565212</v>
      </c>
      <c r="L26" s="2">
        <v>5.5905220288781754</v>
      </c>
      <c r="M26" s="2">
        <v>15.453074433656955</v>
      </c>
      <c r="N26" s="2">
        <v>18.101887768295843</v>
      </c>
      <c r="O26" s="2">
        <v>-3.5786177588906232</v>
      </c>
      <c r="P26" s="2">
        <v>14.91185112634672</v>
      </c>
      <c r="Q26" s="2">
        <v>2.0200744902468371</v>
      </c>
      <c r="R26" s="2">
        <v>-12.053396152336083</v>
      </c>
      <c r="T26" s="2">
        <f t="shared" si="0"/>
        <v>6.5910133867843168</v>
      </c>
      <c r="U26" s="2">
        <f t="shared" si="1"/>
        <v>3.2011363382260036</v>
      </c>
      <c r="V26" s="2">
        <f t="shared" si="2"/>
        <v>8.9107289316134128</v>
      </c>
      <c r="W26" s="2">
        <f t="shared" si="3"/>
        <v>11.562632297898963</v>
      </c>
    </row>
    <row r="27" spans="1:23" x14ac:dyDescent="0.15">
      <c r="A27" s="1">
        <v>31685</v>
      </c>
      <c r="B27" s="2">
        <v>-3.946764246709844</v>
      </c>
      <c r="C27" s="2">
        <v>-8.1828967073147023</v>
      </c>
      <c r="D27" s="2">
        <v>0.45</v>
      </c>
      <c r="E27" s="4">
        <v>0.49</v>
      </c>
      <c r="F27" s="2">
        <v>29.171356827430927</v>
      </c>
      <c r="G27" s="2">
        <v>-5.9218815623687471</v>
      </c>
      <c r="H27" s="2">
        <v>-3.9293286219081236</v>
      </c>
      <c r="I27" s="2">
        <v>-11.298951423068694</v>
      </c>
      <c r="J27" s="2">
        <v>-6.228710462287113</v>
      </c>
      <c r="K27" s="2">
        <v>-9.3053735255570036</v>
      </c>
      <c r="L27" s="2">
        <v>-3.0504908835904621</v>
      </c>
      <c r="M27" s="2">
        <v>-3.153468815697269</v>
      </c>
      <c r="N27" s="2">
        <v>-17.100941537114068</v>
      </c>
      <c r="O27" s="2">
        <v>-9.7193226629552427</v>
      </c>
      <c r="P27" s="2">
        <v>-6.0089494992542019</v>
      </c>
      <c r="Q27" s="2">
        <v>-13.384072767774269</v>
      </c>
      <c r="R27" s="2">
        <v>-1.4285714285714235</v>
      </c>
      <c r="T27" s="2">
        <f t="shared" si="0"/>
        <v>-4.4861862229796046</v>
      </c>
      <c r="U27" s="2">
        <f t="shared" si="1"/>
        <v>-6.2305650363048173</v>
      </c>
      <c r="V27" s="2">
        <f t="shared" si="2"/>
        <v>2.6199154296291187</v>
      </c>
      <c r="W27" s="2">
        <f t="shared" si="3"/>
        <v>-4.7199004894396683</v>
      </c>
    </row>
    <row r="28" spans="1:23" x14ac:dyDescent="0.15">
      <c r="A28" s="1">
        <v>31716</v>
      </c>
      <c r="B28" s="2">
        <v>-1.6931427058512027</v>
      </c>
      <c r="C28" s="2">
        <v>4.8689249644140009</v>
      </c>
      <c r="D28" s="2">
        <v>0.46449999999999997</v>
      </c>
      <c r="E28" s="4">
        <v>9.0899999999999995E-2</v>
      </c>
      <c r="F28" s="2">
        <v>-12.153103633194796</v>
      </c>
      <c r="G28" s="2">
        <v>5</v>
      </c>
      <c r="H28" s="2">
        <v>-7.0545829042224621</v>
      </c>
      <c r="I28" s="2">
        <v>9.4813027744270251</v>
      </c>
      <c r="J28" s="2">
        <v>6.9019200830306326</v>
      </c>
      <c r="K28" s="2">
        <v>3.4682080924855363</v>
      </c>
      <c r="L28" s="2">
        <v>-8.1012658227848089</v>
      </c>
      <c r="M28" s="2">
        <v>-1.5918958031837849</v>
      </c>
      <c r="N28" s="2">
        <v>1.2942419440042263</v>
      </c>
      <c r="O28" s="2">
        <v>8.7101747173689681</v>
      </c>
      <c r="P28" s="2">
        <v>-2.0176830650646238</v>
      </c>
      <c r="Q28" s="2">
        <v>-6.1651664523503342</v>
      </c>
      <c r="R28" s="2">
        <v>-2.1739130434782705</v>
      </c>
      <c r="T28" s="2">
        <f t="shared" si="0"/>
        <v>-1.5506329113924044</v>
      </c>
      <c r="U28" s="2">
        <f t="shared" si="1"/>
        <v>1.8696362981947197</v>
      </c>
      <c r="V28" s="2">
        <f t="shared" si="2"/>
        <v>-1.6360486846526592</v>
      </c>
      <c r="W28" s="2">
        <f t="shared" si="3"/>
        <v>-0.33859716253559163</v>
      </c>
    </row>
    <row r="29" spans="1:23" x14ac:dyDescent="0.15">
      <c r="A29" s="1">
        <v>31744</v>
      </c>
      <c r="B29" s="2">
        <v>4.2561595812965924</v>
      </c>
      <c r="C29" s="2">
        <v>1.1388012490860078</v>
      </c>
      <c r="D29" s="2">
        <v>0.39039999999999997</v>
      </c>
      <c r="E29" s="4">
        <v>9.0799999999999992E-2</v>
      </c>
      <c r="F29" s="2">
        <v>3.273559710034335</v>
      </c>
      <c r="G29" s="2">
        <v>4.1666666666666741</v>
      </c>
      <c r="H29" s="2">
        <v>8.1677878907795876</v>
      </c>
      <c r="I29" s="2">
        <v>1.9612163948876216</v>
      </c>
      <c r="J29" s="2">
        <v>2.2815533980582448</v>
      </c>
      <c r="K29" s="2">
        <v>15.642458100558665</v>
      </c>
      <c r="L29" s="2">
        <v>3.7386855568673827</v>
      </c>
      <c r="M29" s="2">
        <v>24.779411764705884</v>
      </c>
      <c r="N29" s="2">
        <v>11.551499348109528</v>
      </c>
      <c r="O29" s="2">
        <v>-2.3635074450489846E-2</v>
      </c>
      <c r="P29" s="2">
        <v>10.596945858398898</v>
      </c>
      <c r="Q29" s="2">
        <v>10.848877046060146</v>
      </c>
      <c r="R29" s="2">
        <v>-3.8425925925925974</v>
      </c>
      <c r="T29" s="2">
        <f t="shared" si="0"/>
        <v>3.9526761117670284</v>
      </c>
      <c r="U29" s="2">
        <f t="shared" si="1"/>
        <v>2.6272390496945222</v>
      </c>
      <c r="V29" s="2">
        <f t="shared" si="2"/>
        <v>2.7888192147794753</v>
      </c>
      <c r="W29" s="2">
        <f t="shared" si="3"/>
        <v>7.1648026206218356</v>
      </c>
    </row>
    <row r="30" spans="1:23" x14ac:dyDescent="0.15">
      <c r="A30" s="1">
        <v>31777</v>
      </c>
      <c r="B30" s="2">
        <v>2.0175230878522354</v>
      </c>
      <c r="C30" s="2">
        <v>-2.7420514459178813</v>
      </c>
      <c r="D30" s="2">
        <v>0.4874</v>
      </c>
      <c r="E30" s="4">
        <v>9.0799999999999992E-2</v>
      </c>
      <c r="F30" s="2">
        <v>10.418205999704444</v>
      </c>
      <c r="G30" s="2">
        <v>-9.4285714285714306</v>
      </c>
      <c r="H30" s="2">
        <v>0.51949952440184521</v>
      </c>
      <c r="I30" s="2">
        <v>-3.8469850875297196</v>
      </c>
      <c r="J30" s="2">
        <v>-5.1732320835310759</v>
      </c>
      <c r="K30" s="2">
        <v>1.3285024154589431</v>
      </c>
      <c r="L30" s="2">
        <v>-5.5766312594840777</v>
      </c>
      <c r="M30" s="2">
        <v>1.9446081319976605</v>
      </c>
      <c r="N30" s="2">
        <v>-3.6231884057971064</v>
      </c>
      <c r="O30" s="2">
        <v>-0.94562647754137252</v>
      </c>
      <c r="P30" s="2">
        <v>0.41841004184099972</v>
      </c>
      <c r="Q30" s="2">
        <v>10.879120879120885</v>
      </c>
      <c r="R30" s="2">
        <v>-0.43331728454500951</v>
      </c>
      <c r="T30" s="2">
        <f t="shared" si="0"/>
        <v>-7.5026013440277541</v>
      </c>
      <c r="U30" s="2">
        <f t="shared" si="1"/>
        <v>-5.3169430551989603</v>
      </c>
      <c r="V30" s="2">
        <f t="shared" si="2"/>
        <v>-1.3831557914731092</v>
      </c>
      <c r="W30" s="2">
        <f t="shared" si="3"/>
        <v>-0.27070807957500104</v>
      </c>
    </row>
    <row r="31" spans="1:23" x14ac:dyDescent="0.15">
      <c r="A31" s="1">
        <v>31807</v>
      </c>
      <c r="B31" s="2">
        <v>11.770928729287222</v>
      </c>
      <c r="C31" s="2">
        <v>12.651183802542153</v>
      </c>
      <c r="D31" s="2">
        <v>0.41510000000000002</v>
      </c>
      <c r="E31" s="4">
        <v>0.60399999999999998</v>
      </c>
      <c r="F31" s="2">
        <v>-9.3348501070663836</v>
      </c>
      <c r="G31" s="2">
        <v>14.015322217214955</v>
      </c>
      <c r="H31" s="2">
        <v>-9.324501383025174</v>
      </c>
      <c r="I31" s="2">
        <v>33.400764216677899</v>
      </c>
      <c r="J31" s="2">
        <v>29.079079079079051</v>
      </c>
      <c r="K31" s="2">
        <v>37.187127532777112</v>
      </c>
      <c r="L31" s="2">
        <v>7.2719967858577705</v>
      </c>
      <c r="M31" s="2">
        <v>24.046242774566462</v>
      </c>
      <c r="N31" s="2">
        <v>19.694397283531394</v>
      </c>
      <c r="O31" s="2">
        <v>25.84725536992838</v>
      </c>
      <c r="P31" s="2">
        <v>-1.1666666666666714</v>
      </c>
      <c r="Q31" s="2">
        <v>11.038156590683833</v>
      </c>
      <c r="R31" s="2">
        <v>13.297872340425521</v>
      </c>
      <c r="T31" s="2">
        <f t="shared" si="0"/>
        <v>10.643659501536362</v>
      </c>
      <c r="U31" s="2">
        <f t="shared" si="1"/>
        <v>15.711524791000366</v>
      </c>
      <c r="V31" s="2">
        <f t="shared" si="2"/>
        <v>9.4499310664836802</v>
      </c>
      <c r="W31" s="2">
        <f t="shared" si="3"/>
        <v>15.004015079537243</v>
      </c>
    </row>
    <row r="32" spans="1:23" x14ac:dyDescent="0.15">
      <c r="A32" s="1">
        <v>31835</v>
      </c>
      <c r="B32" s="2">
        <v>3.3183265011761831</v>
      </c>
      <c r="C32" s="2">
        <v>4.5501275975209587</v>
      </c>
      <c r="D32" s="2">
        <v>0.43140000000000001</v>
      </c>
      <c r="E32" s="4">
        <v>0.39029999999999998</v>
      </c>
      <c r="F32" s="2">
        <v>-5.1295298546018113</v>
      </c>
      <c r="G32" s="2">
        <v>0.7905138339920903</v>
      </c>
      <c r="H32" s="2">
        <v>-5.9324074817371786</v>
      </c>
      <c r="I32" s="2">
        <v>2.6790227464195349</v>
      </c>
      <c r="J32" s="2">
        <v>-1.3183404420317846</v>
      </c>
      <c r="K32" s="2">
        <v>26.151172893136398</v>
      </c>
      <c r="L32" s="2">
        <v>9.2134831460674249</v>
      </c>
      <c r="M32" s="2">
        <v>28.797763280521906</v>
      </c>
      <c r="N32" s="2">
        <v>9.4832826747720311</v>
      </c>
      <c r="O32" s="2">
        <v>1.5171629053669644</v>
      </c>
      <c r="P32" s="2">
        <v>-10.919055649241137</v>
      </c>
      <c r="Q32" s="2">
        <v>17.884636840343624</v>
      </c>
      <c r="R32" s="2">
        <v>4.139991463935111</v>
      </c>
      <c r="T32" s="2">
        <f t="shared" si="0"/>
        <v>5.0019984900297576</v>
      </c>
      <c r="U32" s="2">
        <f t="shared" si="1"/>
        <v>3.8403866284754931</v>
      </c>
      <c r="V32" s="2">
        <f t="shared" si="2"/>
        <v>1.5979075077061671</v>
      </c>
      <c r="W32" s="2">
        <f t="shared" si="3"/>
        <v>5.9505920274571666</v>
      </c>
    </row>
    <row r="33" spans="1:23" x14ac:dyDescent="0.15">
      <c r="A33" s="1">
        <v>31867</v>
      </c>
      <c r="B33" s="2">
        <v>6.2132412059077158</v>
      </c>
      <c r="C33" s="2">
        <v>2.1103211161130009</v>
      </c>
      <c r="D33" s="2">
        <v>0.47060000000000002</v>
      </c>
      <c r="E33" s="4">
        <v>0.44860000000000005</v>
      </c>
      <c r="F33" s="2">
        <v>-5.9514548000622387</v>
      </c>
      <c r="G33" s="2">
        <v>4.705882352941182</v>
      </c>
      <c r="H33" s="2">
        <v>11.230585424133821</v>
      </c>
      <c r="I33" s="2">
        <v>10.485723662618973</v>
      </c>
      <c r="J33" s="2">
        <v>17.799607072691547</v>
      </c>
      <c r="K33" s="2">
        <v>-7.885674931129472</v>
      </c>
      <c r="L33" s="2">
        <v>7.6131687242798396</v>
      </c>
      <c r="M33" s="2">
        <v>-10.564399421128801</v>
      </c>
      <c r="N33" s="2">
        <v>3.7386637053488991</v>
      </c>
      <c r="O33" s="2">
        <v>-0.37362226788716368</v>
      </c>
      <c r="P33" s="2">
        <v>18.883104590629429</v>
      </c>
      <c r="Q33" s="2">
        <v>4.7084989589248449</v>
      </c>
      <c r="R33" s="2">
        <v>2.8688524590164022</v>
      </c>
      <c r="T33" s="2">
        <f t="shared" si="0"/>
        <v>6.1595255386105112</v>
      </c>
      <c r="U33" s="2">
        <f t="shared" si="1"/>
        <v>3.981809603111286</v>
      </c>
      <c r="V33" s="2">
        <f t="shared" si="2"/>
        <v>1.4984935023179049</v>
      </c>
      <c r="W33" s="2">
        <f t="shared" si="3"/>
        <v>4.4045335023367125</v>
      </c>
    </row>
    <row r="34" spans="1:23" x14ac:dyDescent="0.15">
      <c r="A34" s="1">
        <v>31897</v>
      </c>
      <c r="B34" s="2">
        <v>5.8837292521126461</v>
      </c>
      <c r="C34" s="2">
        <v>-1.857372632182841</v>
      </c>
      <c r="D34" s="2">
        <v>0.44409999999999994</v>
      </c>
      <c r="E34" s="4">
        <v>0.53590000000000004</v>
      </c>
      <c r="F34" s="2">
        <v>10.546778062701634</v>
      </c>
      <c r="G34" s="2">
        <v>15.205992509363298</v>
      </c>
      <c r="H34" s="2">
        <v>10.04296455424274</v>
      </c>
      <c r="I34" s="2">
        <v>8.8519233625427027</v>
      </c>
      <c r="J34" s="2">
        <v>3.8358905937291521</v>
      </c>
      <c r="K34" s="2">
        <v>22.878504672897183</v>
      </c>
      <c r="L34" s="2">
        <v>6.6602931803696475</v>
      </c>
      <c r="M34" s="2">
        <v>34.991909385113274</v>
      </c>
      <c r="N34" s="2">
        <v>-1.5343443354148167</v>
      </c>
      <c r="O34" s="2">
        <v>4.8940558784924093</v>
      </c>
      <c r="P34" s="2">
        <v>4.140127388535042</v>
      </c>
      <c r="Q34" s="2">
        <v>41.998463415736452</v>
      </c>
      <c r="R34" s="2">
        <v>-5.0996015936255024</v>
      </c>
      <c r="T34" s="2">
        <f t="shared" si="0"/>
        <v>10.933142844866474</v>
      </c>
      <c r="U34" s="2">
        <f t="shared" si="1"/>
        <v>8.920113856075119</v>
      </c>
      <c r="V34" s="2">
        <f t="shared" si="2"/>
        <v>9.3267799077317477</v>
      </c>
      <c r="W34" s="2">
        <f t="shared" si="3"/>
        <v>12.108689005744862</v>
      </c>
    </row>
    <row r="35" spans="1:23" x14ac:dyDescent="0.15">
      <c r="A35" s="1">
        <v>31926</v>
      </c>
      <c r="B35" s="2">
        <v>0.15727971091730186</v>
      </c>
      <c r="C35" s="2">
        <v>0.31872620861952417</v>
      </c>
      <c r="D35" s="2">
        <v>0.376</v>
      </c>
      <c r="E35" s="4">
        <v>0.29610000000000003</v>
      </c>
      <c r="F35" s="2">
        <v>5.8440586650703397</v>
      </c>
      <c r="G35" s="2">
        <v>-3.966189856957103</v>
      </c>
      <c r="H35" s="2">
        <v>4.9362058146831256</v>
      </c>
      <c r="I35" s="2">
        <v>-0.13644426251876451</v>
      </c>
      <c r="J35" s="2">
        <v>-11.114680372630914</v>
      </c>
      <c r="K35" s="2">
        <v>-0.15211439002129623</v>
      </c>
      <c r="L35" s="2">
        <v>0.59755004481625296</v>
      </c>
      <c r="M35" s="2">
        <v>30.296673658975127</v>
      </c>
      <c r="N35" s="2">
        <v>16.289182822975178</v>
      </c>
      <c r="O35" s="2">
        <v>-3.2534858777261255</v>
      </c>
      <c r="P35" s="2">
        <v>-3.6314984709480247</v>
      </c>
      <c r="Q35" s="2">
        <v>-0.48376830044557506</v>
      </c>
      <c r="R35" s="2">
        <v>-4.1981528127623902</v>
      </c>
      <c r="T35" s="2">
        <f t="shared" si="0"/>
        <v>-1.684319906070425</v>
      </c>
      <c r="U35" s="2">
        <f t="shared" si="1"/>
        <v>-2.2073752299556584</v>
      </c>
      <c r="V35" s="2">
        <f t="shared" si="2"/>
        <v>-0.19451675619915898</v>
      </c>
      <c r="W35" s="2">
        <f t="shared" si="3"/>
        <v>2.3867182048084477</v>
      </c>
    </row>
    <row r="36" spans="1:23" x14ac:dyDescent="0.15">
      <c r="A36" s="1">
        <v>31958</v>
      </c>
      <c r="B36" s="2">
        <v>-4.0123376679557232E-2</v>
      </c>
      <c r="C36" s="2">
        <v>4.2246193333564719</v>
      </c>
      <c r="D36" s="2">
        <v>0.48190000000000005</v>
      </c>
      <c r="E36" s="4">
        <v>0.41330000000000006</v>
      </c>
      <c r="F36" s="2">
        <v>4.538706256627778</v>
      </c>
      <c r="G36" s="2">
        <v>-3.0805687203791399</v>
      </c>
      <c r="H36" s="2">
        <v>13.64028968174873</v>
      </c>
      <c r="I36" s="2">
        <v>8.9356469463041321</v>
      </c>
      <c r="J36" s="2">
        <v>1.0480664980123011</v>
      </c>
      <c r="K36" s="2">
        <v>2.5289457647775793</v>
      </c>
      <c r="L36" s="2">
        <v>1.5741015741015829</v>
      </c>
      <c r="M36" s="2">
        <v>-3.1048758049677994</v>
      </c>
      <c r="N36" s="2">
        <v>-6.0610782175132378</v>
      </c>
      <c r="O36" s="2">
        <v>1.4966740576496607</v>
      </c>
      <c r="P36" s="2">
        <v>2.7171757239190741</v>
      </c>
      <c r="Q36" s="2">
        <v>-12.747857234233095</v>
      </c>
      <c r="R36" s="2">
        <v>1.5337423312883347</v>
      </c>
      <c r="T36" s="2">
        <f t="shared" si="0"/>
        <v>-0.75323357313877848</v>
      </c>
      <c r="U36" s="2">
        <f t="shared" si="1"/>
        <v>-3.264362875965432E-3</v>
      </c>
      <c r="V36" s="2">
        <f t="shared" si="2"/>
        <v>1.1322282919999704</v>
      </c>
      <c r="W36" s="2">
        <f t="shared" si="3"/>
        <v>1.0014591428719919</v>
      </c>
    </row>
    <row r="37" spans="1:23" x14ac:dyDescent="0.15">
      <c r="A37" s="1">
        <v>31989</v>
      </c>
      <c r="B37" s="2">
        <v>2.0156295136631197</v>
      </c>
      <c r="C37" s="2">
        <v>4.314619454890356</v>
      </c>
      <c r="D37" s="2">
        <v>0.45729999999999998</v>
      </c>
      <c r="E37" s="4">
        <v>0.20579999999999998</v>
      </c>
      <c r="F37" s="2">
        <v>4.8353283289375826</v>
      </c>
      <c r="G37" s="2">
        <v>7.5794621026894715</v>
      </c>
      <c r="H37" s="2">
        <v>4.8877455565949468</v>
      </c>
      <c r="I37" s="2">
        <v>3.4115138592750505</v>
      </c>
      <c r="J37" s="2">
        <v>19.420600858369074</v>
      </c>
      <c r="K37" s="2">
        <v>1.8424962852897409</v>
      </c>
      <c r="L37" s="2">
        <v>-0.93567251461987855</v>
      </c>
      <c r="M37" s="2">
        <v>-2.6584381675765489</v>
      </c>
      <c r="N37" s="2">
        <v>0</v>
      </c>
      <c r="O37" s="2">
        <v>10.668123065720003</v>
      </c>
      <c r="P37" s="2">
        <v>5.8891677930102304</v>
      </c>
      <c r="Q37" s="2">
        <v>-2.2908877648266213</v>
      </c>
      <c r="R37" s="2">
        <v>11.221406991799743</v>
      </c>
      <c r="T37" s="2">
        <f t="shared" si="0"/>
        <v>3.3218947940347965</v>
      </c>
      <c r="U37" s="2">
        <f t="shared" si="1"/>
        <v>5.7706375512631993</v>
      </c>
      <c r="V37" s="2">
        <f t="shared" si="2"/>
        <v>5.5368102456817949</v>
      </c>
      <c r="W37" s="2">
        <f t="shared" si="3"/>
        <v>4.9131420303586761</v>
      </c>
    </row>
    <row r="38" spans="1:23" x14ac:dyDescent="0.15">
      <c r="A38" s="1">
        <v>32020</v>
      </c>
      <c r="B38" s="2">
        <v>5.9282622782522498</v>
      </c>
      <c r="C38" s="2">
        <v>2.7828555933068655</v>
      </c>
      <c r="D38" s="2">
        <v>0.47109999999999996</v>
      </c>
      <c r="E38" s="4">
        <v>0.5575</v>
      </c>
      <c r="F38" s="2">
        <v>-1.3095084505225119</v>
      </c>
      <c r="G38" s="2">
        <v>4.9999999999999822</v>
      </c>
      <c r="H38" s="2">
        <v>10.367892976588621</v>
      </c>
      <c r="I38" s="2">
        <v>6.2704669496664645</v>
      </c>
      <c r="J38" s="2">
        <v>9.8233003893381188</v>
      </c>
      <c r="K38" s="2">
        <v>31.076743507440916</v>
      </c>
      <c r="L38" s="2">
        <v>5.2833530106257243</v>
      </c>
      <c r="M38" s="2">
        <v>27.115337722506695</v>
      </c>
      <c r="N38" s="2">
        <v>8.3927682866147038</v>
      </c>
      <c r="O38" s="2">
        <v>1.7437078466853162</v>
      </c>
      <c r="P38" s="2">
        <v>-0.21881838074396809</v>
      </c>
      <c r="Q38" s="2">
        <v>6.5536256893123923</v>
      </c>
      <c r="R38" s="2">
        <v>2.405898331393086</v>
      </c>
      <c r="T38" s="2">
        <f t="shared" si="0"/>
        <v>5.1416765053128533</v>
      </c>
      <c r="U38" s="2">
        <f t="shared" si="1"/>
        <v>4.0090202857703412</v>
      </c>
      <c r="V38" s="2">
        <f t="shared" si="2"/>
        <v>2.6793881016971279</v>
      </c>
      <c r="W38" s="2">
        <f t="shared" si="3"/>
        <v>8.654212913761965</v>
      </c>
    </row>
    <row r="39" spans="1:23" x14ac:dyDescent="0.15">
      <c r="A39" s="1">
        <v>32050</v>
      </c>
      <c r="B39" s="2">
        <v>-1.7251615680738519</v>
      </c>
      <c r="C39" s="2">
        <v>-1.5767681219698515</v>
      </c>
      <c r="D39" s="2">
        <v>0.4521</v>
      </c>
      <c r="E39" s="4">
        <v>0.49609999999999999</v>
      </c>
      <c r="F39" s="2">
        <v>10.660827505065672</v>
      </c>
      <c r="G39" s="2">
        <v>-9.8021026592455147</v>
      </c>
      <c r="H39" s="2">
        <v>-7.5858585858585847</v>
      </c>
      <c r="I39" s="2">
        <v>-9.255877653503763</v>
      </c>
      <c r="J39" s="2">
        <v>-7.0084537769293682</v>
      </c>
      <c r="K39" s="2">
        <v>4.6304541406945621</v>
      </c>
      <c r="L39" s="2">
        <v>-10.456966638631904</v>
      </c>
      <c r="M39" s="2">
        <v>25.014387109150228</v>
      </c>
      <c r="N39" s="2">
        <v>6.5187452180566208</v>
      </c>
      <c r="O39" s="2">
        <v>-2.9587712206952221</v>
      </c>
      <c r="P39" s="2">
        <v>-8.1505847953216364</v>
      </c>
      <c r="Q39" s="2">
        <v>-7.2172933389663463</v>
      </c>
      <c r="R39" s="2">
        <v>-6.7828723001136737</v>
      </c>
      <c r="T39" s="2">
        <f t="shared" si="0"/>
        <v>-10.129534648938709</v>
      </c>
      <c r="U39" s="2">
        <f t="shared" si="1"/>
        <v>-7.7392801728575469</v>
      </c>
      <c r="V39" s="2">
        <f t="shared" si="2"/>
        <v>-3.1392532533767423</v>
      </c>
      <c r="W39" s="2">
        <f t="shared" si="3"/>
        <v>-1.7226436150999178</v>
      </c>
    </row>
    <row r="40" spans="1:23" x14ac:dyDescent="0.15">
      <c r="A40" s="1">
        <v>32080</v>
      </c>
      <c r="B40" s="2">
        <v>-16.963061368781162</v>
      </c>
      <c r="C40" s="2">
        <v>-22.948426038637905</v>
      </c>
      <c r="D40" s="2">
        <v>0.59730000000000005</v>
      </c>
      <c r="E40" s="4">
        <v>0.26129999999999998</v>
      </c>
      <c r="F40" s="2">
        <v>-12.031896042528057</v>
      </c>
      <c r="G40" s="2">
        <v>-29.516626671237567</v>
      </c>
      <c r="H40" s="2">
        <v>-24.215761285386371</v>
      </c>
      <c r="I40" s="2">
        <v>-21.8588856747579</v>
      </c>
      <c r="J40" s="2">
        <v>-35.659824046920818</v>
      </c>
      <c r="K40" s="2">
        <v>-31.638297872340427</v>
      </c>
      <c r="L40" s="2">
        <v>-18.753913587977454</v>
      </c>
      <c r="M40" s="2">
        <v>-27.06766917293233</v>
      </c>
      <c r="N40" s="2">
        <v>-28.903893118804781</v>
      </c>
      <c r="O40" s="2">
        <v>-15.54481839386872</v>
      </c>
      <c r="P40" s="2">
        <v>-14.882610425785913</v>
      </c>
      <c r="Q40" s="2">
        <v>-10.783941716627465</v>
      </c>
      <c r="R40" s="2">
        <v>-20.040650406504067</v>
      </c>
      <c r="T40" s="2">
        <f t="shared" si="0"/>
        <v>-24.135270129607513</v>
      </c>
      <c r="U40" s="2">
        <f t="shared" si="1"/>
        <v>-21.271786217694583</v>
      </c>
      <c r="V40" s="2">
        <f t="shared" si="2"/>
        <v>-18.961813673902949</v>
      </c>
      <c r="W40" s="2">
        <f t="shared" si="3"/>
        <v>-22.376829878128607</v>
      </c>
    </row>
    <row r="41" spans="1:23" x14ac:dyDescent="0.15">
      <c r="A41" s="1">
        <v>32111</v>
      </c>
      <c r="B41" s="2">
        <v>-2.4131699279447472</v>
      </c>
      <c r="C41" s="2">
        <v>-7.5246900695373871</v>
      </c>
      <c r="D41" s="2">
        <v>0.34520000000000001</v>
      </c>
      <c r="E41" s="4">
        <v>0.14480000000000001</v>
      </c>
      <c r="F41" s="2">
        <v>-0.8930369972470209</v>
      </c>
      <c r="G41" s="2">
        <v>-1.6050583657587492</v>
      </c>
      <c r="H41" s="2">
        <v>-14.28571428571429</v>
      </c>
      <c r="I41" s="2">
        <v>-5.7943022694350592</v>
      </c>
      <c r="J41" s="2">
        <v>-23.92889699179581</v>
      </c>
      <c r="K41" s="2">
        <v>-14.347961406784949</v>
      </c>
      <c r="L41" s="2">
        <v>-8.786127167630065</v>
      </c>
      <c r="M41" s="2">
        <v>-17.967599410898384</v>
      </c>
      <c r="N41" s="2">
        <v>-8.9715093958375398</v>
      </c>
      <c r="O41" s="2">
        <v>-4.320378772933509</v>
      </c>
      <c r="P41" s="2">
        <v>-14.679756895745676</v>
      </c>
      <c r="Q41" s="2">
        <v>4.0702619938754792</v>
      </c>
      <c r="R41" s="2">
        <v>4.9313675648195332</v>
      </c>
      <c r="T41" s="2">
        <f t="shared" si="0"/>
        <v>-5.1955927666944071</v>
      </c>
      <c r="U41" s="2">
        <f t="shared" si="1"/>
        <v>-4.9038547687741074</v>
      </c>
      <c r="V41" s="2">
        <f t="shared" si="2"/>
        <v>-3.9011503258923361</v>
      </c>
      <c r="W41" s="2">
        <f t="shared" si="3"/>
        <v>-8.1983624923912348</v>
      </c>
    </row>
    <row r="42" spans="1:23" x14ac:dyDescent="0.15">
      <c r="A42" s="1">
        <v>32142</v>
      </c>
      <c r="B42" s="2">
        <v>4.3518984158913865</v>
      </c>
      <c r="C42" s="2">
        <v>6.9787203908933115</v>
      </c>
      <c r="D42" s="2">
        <v>0.39139999999999997</v>
      </c>
      <c r="E42" s="4">
        <v>-2.8899999999999999E-2</v>
      </c>
      <c r="F42" s="2">
        <v>9.6341463414634241</v>
      </c>
      <c r="G42" s="2">
        <v>8.8482451804251063</v>
      </c>
      <c r="H42" s="2">
        <v>12.241292276627957</v>
      </c>
      <c r="I42" s="2">
        <v>5.9798393985990073</v>
      </c>
      <c r="J42" s="2">
        <v>10.485320551228284</v>
      </c>
      <c r="K42" s="2">
        <v>27.252906976744185</v>
      </c>
      <c r="L42" s="2">
        <v>4.3092522179974724</v>
      </c>
      <c r="M42" s="2">
        <v>27.673762503205968</v>
      </c>
      <c r="N42" s="2">
        <v>27.813540510543831</v>
      </c>
      <c r="O42" s="2">
        <v>12.185567010309285</v>
      </c>
      <c r="P42" s="2">
        <v>15.479452054794528</v>
      </c>
      <c r="Q42" s="2">
        <v>-0.61710736033347979</v>
      </c>
      <c r="R42" s="2">
        <v>11.8701550387597</v>
      </c>
      <c r="T42" s="2">
        <f t="shared" si="0"/>
        <v>6.5787486992112889</v>
      </c>
      <c r="U42" s="2">
        <f t="shared" si="1"/>
        <v>8.4476881362439542</v>
      </c>
      <c r="V42" s="2">
        <f t="shared" si="2"/>
        <v>8.7443026875488208</v>
      </c>
      <c r="W42" s="2">
        <f t="shared" si="3"/>
        <v>13.319720976951174</v>
      </c>
    </row>
    <row r="43" spans="1:23" x14ac:dyDescent="0.15">
      <c r="A43" s="1">
        <v>32171</v>
      </c>
      <c r="B43" s="2">
        <v>2.4592326644699236</v>
      </c>
      <c r="C43" s="2">
        <v>4.1657013305090418</v>
      </c>
      <c r="D43" s="2">
        <v>0.29420000000000002</v>
      </c>
      <c r="E43" s="4">
        <v>0.26</v>
      </c>
      <c r="F43" s="2">
        <v>2.2432332220986284</v>
      </c>
      <c r="G43" s="2">
        <v>7.1298819255222634</v>
      </c>
      <c r="H43" s="2">
        <v>-1.1318491867176261</v>
      </c>
      <c r="I43" s="2">
        <v>14.089956472674526</v>
      </c>
      <c r="J43" s="2">
        <v>18.655097613882866</v>
      </c>
      <c r="K43" s="2">
        <v>-1.1993146773272345</v>
      </c>
      <c r="L43" s="2">
        <v>-2.7136492507087939</v>
      </c>
      <c r="M43" s="2">
        <v>-14.463640016070711</v>
      </c>
      <c r="N43" s="2">
        <v>-2.5703369225425376</v>
      </c>
      <c r="O43" s="2">
        <v>-2.9957728358757651</v>
      </c>
      <c r="P43" s="2">
        <v>-10.652431791221817</v>
      </c>
      <c r="Q43" s="2">
        <v>8.8206266962743705</v>
      </c>
      <c r="R43" s="2">
        <v>8.0987440450411405</v>
      </c>
      <c r="T43" s="2">
        <f t="shared" si="0"/>
        <v>2.208116337406735</v>
      </c>
      <c r="U43" s="2">
        <f t="shared" si="1"/>
        <v>0.47348661297923494</v>
      </c>
      <c r="V43" s="2">
        <f t="shared" si="2"/>
        <v>0.91592326525908307</v>
      </c>
      <c r="W43" s="2">
        <f t="shared" si="3"/>
        <v>1.7931188688484083</v>
      </c>
    </row>
    <row r="44" spans="1:23" x14ac:dyDescent="0.15">
      <c r="A44" s="1">
        <v>32202</v>
      </c>
      <c r="B44" s="2">
        <v>5.8223692333380761</v>
      </c>
      <c r="C44" s="2">
        <v>4.683435207581188</v>
      </c>
      <c r="D44" s="2">
        <v>0.4556</v>
      </c>
      <c r="E44" s="4">
        <v>0.25929999999999997</v>
      </c>
      <c r="F44" s="2">
        <v>17.588395285584781</v>
      </c>
      <c r="G44" s="2">
        <v>12.081390419669336</v>
      </c>
      <c r="H44" s="2">
        <v>10.47763457164519</v>
      </c>
      <c r="I44" s="2">
        <v>6.1890631623569226</v>
      </c>
      <c r="J44" s="2">
        <v>-4.2504570383912306</v>
      </c>
      <c r="K44" s="2">
        <v>3.8150289017341077</v>
      </c>
      <c r="L44" s="2">
        <v>5.6203164029974939</v>
      </c>
      <c r="M44" s="2">
        <v>3.1705025833724809</v>
      </c>
      <c r="N44" s="2">
        <v>8.5918003565062406</v>
      </c>
      <c r="O44" s="2">
        <v>2.046229632436547</v>
      </c>
      <c r="P44" s="2">
        <v>1.2214551248008299</v>
      </c>
      <c r="Q44" s="2">
        <v>6.7603824207383756</v>
      </c>
      <c r="R44" s="2">
        <v>8.0128205128215946E-2</v>
      </c>
      <c r="T44" s="2">
        <f t="shared" si="0"/>
        <v>8.8508534113334143</v>
      </c>
      <c r="U44" s="2">
        <f t="shared" si="1"/>
        <v>6.5826454850344582</v>
      </c>
      <c r="V44" s="2">
        <f t="shared" si="2"/>
        <v>9.3340829351720398</v>
      </c>
      <c r="W44" s="2">
        <f t="shared" si="3"/>
        <v>5.6455284637368699</v>
      </c>
    </row>
    <row r="45" spans="1:23" x14ac:dyDescent="0.15">
      <c r="A45" s="1">
        <v>32233</v>
      </c>
      <c r="B45" s="2">
        <v>3.0381957948401039</v>
      </c>
      <c r="C45" s="2">
        <v>-1.6936484389523887</v>
      </c>
      <c r="D45" s="2">
        <v>0.44070000000000004</v>
      </c>
      <c r="E45" s="4">
        <v>0.43099999999999994</v>
      </c>
      <c r="F45" s="2">
        <v>10.233873040349529</v>
      </c>
      <c r="G45" s="2">
        <v>-1.2102874432677768</v>
      </c>
      <c r="H45" s="2">
        <v>-3.239088663189682</v>
      </c>
      <c r="I45" s="2">
        <v>-4.9900199600798389</v>
      </c>
      <c r="J45" s="2">
        <v>-5.5369928400954667</v>
      </c>
      <c r="K45" s="2">
        <v>-6.9599109131403107</v>
      </c>
      <c r="L45" s="2">
        <v>-8.395743003547496</v>
      </c>
      <c r="M45" s="2">
        <v>2.8226724334167841</v>
      </c>
      <c r="N45" s="2">
        <v>-1.3296126066973168</v>
      </c>
      <c r="O45" s="2">
        <v>-3.0449313033791281</v>
      </c>
      <c r="P45" s="2">
        <v>6.3746065057712409</v>
      </c>
      <c r="Q45" s="2">
        <v>3.6705365991788197</v>
      </c>
      <c r="R45" s="2">
        <v>7.5260208166533227</v>
      </c>
      <c r="T45" s="2">
        <f t="shared" si="0"/>
        <v>-4.8030152234076366</v>
      </c>
      <c r="U45" s="2">
        <f t="shared" si="1"/>
        <v>-4.2169872500648005</v>
      </c>
      <c r="V45" s="2">
        <f t="shared" si="2"/>
        <v>-0.60427217746121809</v>
      </c>
      <c r="W45" s="2">
        <f t="shared" si="3"/>
        <v>-0.31375979523287084</v>
      </c>
    </row>
    <row r="46" spans="1:23" x14ac:dyDescent="0.15">
      <c r="A46" s="1">
        <v>32262</v>
      </c>
      <c r="B46" s="2">
        <v>1.279758951949983</v>
      </c>
      <c r="C46" s="2">
        <v>0.67268987183000117</v>
      </c>
      <c r="D46" s="2">
        <v>0.46160000000000001</v>
      </c>
      <c r="E46" s="4">
        <v>0.51500000000000001</v>
      </c>
      <c r="F46" s="2">
        <v>2.3547514688053717</v>
      </c>
      <c r="G46" s="2">
        <v>5.0535987748851374</v>
      </c>
      <c r="H46" s="2">
        <v>2.1276595744668114E-2</v>
      </c>
      <c r="I46" s="2">
        <v>11.610644257703084</v>
      </c>
      <c r="J46" s="2">
        <v>-2.1728145528044474</v>
      </c>
      <c r="K46" s="2">
        <v>2.4835427887492489</v>
      </c>
      <c r="L46" s="2">
        <v>5.3356282271944888</v>
      </c>
      <c r="M46" s="2">
        <v>2.4795218065087443</v>
      </c>
      <c r="N46" s="2">
        <v>0.61553818000330551</v>
      </c>
      <c r="O46" s="2">
        <v>-3.5235541937954862</v>
      </c>
      <c r="P46" s="2">
        <v>3.6251541307028345</v>
      </c>
      <c r="Q46" s="2">
        <v>6.4461060466386666</v>
      </c>
      <c r="R46" s="2">
        <v>-5.2494415487714168</v>
      </c>
      <c r="T46" s="2">
        <f t="shared" si="0"/>
        <v>5.1946135010398127</v>
      </c>
      <c r="U46" s="2">
        <f t="shared" si="1"/>
        <v>2.2885576027613799</v>
      </c>
      <c r="V46" s="2">
        <f t="shared" si="2"/>
        <v>2.3051060692723775</v>
      </c>
      <c r="W46" s="2">
        <f t="shared" si="3"/>
        <v>2.2369193831972467</v>
      </c>
    </row>
    <row r="47" spans="1:23" x14ac:dyDescent="0.15">
      <c r="A47" s="1">
        <v>32294</v>
      </c>
      <c r="B47" s="2">
        <v>-1.9801927485569415</v>
      </c>
      <c r="C47" s="2">
        <v>-0.22656525539386241</v>
      </c>
      <c r="D47" s="2">
        <v>0.50529999999999997</v>
      </c>
      <c r="E47" s="4">
        <v>0.34160000000000001</v>
      </c>
      <c r="F47" s="2">
        <v>-6.4097307639742969</v>
      </c>
      <c r="G47" s="2">
        <v>1.8586005830903973</v>
      </c>
      <c r="H47" s="2">
        <v>-1.5599517833085108</v>
      </c>
      <c r="I47" s="2">
        <v>1.8571966369682613</v>
      </c>
      <c r="J47" s="2">
        <v>-4.8553719008264444</v>
      </c>
      <c r="K47" s="2">
        <v>1.4306569343065734</v>
      </c>
      <c r="L47" s="2">
        <v>0.20424836601307117</v>
      </c>
      <c r="M47" s="2">
        <v>-3.1540289479369155</v>
      </c>
      <c r="N47" s="2">
        <v>-7.7711640211640232</v>
      </c>
      <c r="O47" s="2">
        <v>0.8733624454148492</v>
      </c>
      <c r="P47" s="2">
        <v>-2.2608281770585381</v>
      </c>
      <c r="Q47" s="2">
        <v>-9.4524809956057272</v>
      </c>
      <c r="R47" s="2">
        <v>-1.9646365422396839</v>
      </c>
      <c r="T47" s="2">
        <f t="shared" si="0"/>
        <v>1.0314244745517342</v>
      </c>
      <c r="U47" s="2">
        <f t="shared" si="1"/>
        <v>0.97873713150610586</v>
      </c>
      <c r="V47" s="2">
        <f t="shared" si="2"/>
        <v>-0.86837984236399479</v>
      </c>
      <c r="W47" s="2">
        <f t="shared" si="3"/>
        <v>-2.4003175512554606</v>
      </c>
    </row>
    <row r="48" spans="1:23" x14ac:dyDescent="0.15">
      <c r="A48" s="1">
        <v>32324</v>
      </c>
      <c r="B48" s="2">
        <v>-0.12047093380723739</v>
      </c>
      <c r="C48" s="2">
        <v>4.8812538182824161</v>
      </c>
      <c r="D48" s="2">
        <v>0.48529999999999995</v>
      </c>
      <c r="E48" s="4">
        <v>0.42549999999999999</v>
      </c>
      <c r="F48" s="2">
        <v>-4.7799844236760087</v>
      </c>
      <c r="G48" s="2">
        <v>6.6547406082289928</v>
      </c>
      <c r="H48" s="2">
        <v>-6.0361593315565791</v>
      </c>
      <c r="I48" s="2">
        <v>10.644326721695197</v>
      </c>
      <c r="J48" s="2">
        <v>12.649294245385455</v>
      </c>
      <c r="K48" s="2">
        <v>11.427748992515841</v>
      </c>
      <c r="L48" s="2">
        <v>13.208316347329795</v>
      </c>
      <c r="M48" s="2">
        <v>30.58219942003122</v>
      </c>
      <c r="N48" s="2">
        <v>-0.98601649336680364</v>
      </c>
      <c r="O48" s="2">
        <v>3.2467532467532534</v>
      </c>
      <c r="P48" s="2">
        <v>3.1409788166544939</v>
      </c>
      <c r="Q48" s="2">
        <v>-14.236627701027283</v>
      </c>
      <c r="R48" s="2">
        <v>14.789579158316624</v>
      </c>
      <c r="T48" s="2">
        <f t="shared" si="0"/>
        <v>9.9315284777793948</v>
      </c>
      <c r="U48" s="2">
        <f t="shared" si="1"/>
        <v>7.703270067437348</v>
      </c>
      <c r="V48" s="2">
        <f t="shared" si="2"/>
        <v>4.5824564446590079</v>
      </c>
      <c r="W48" s="2">
        <f t="shared" si="3"/>
        <v>6.1773192005603237</v>
      </c>
    </row>
    <row r="49" spans="1:23" x14ac:dyDescent="0.15">
      <c r="A49" s="1">
        <v>32353</v>
      </c>
      <c r="B49" s="2">
        <v>1.898645378462005</v>
      </c>
      <c r="C49" s="2">
        <v>-1.0045243895737577</v>
      </c>
      <c r="D49" s="2">
        <v>0.50719999999999998</v>
      </c>
      <c r="E49" s="4">
        <v>0.42370000000000002</v>
      </c>
      <c r="F49" s="2">
        <v>29.046109804723443</v>
      </c>
      <c r="G49" s="2">
        <v>0</v>
      </c>
      <c r="H49" s="2">
        <v>-2.4837102338060579</v>
      </c>
      <c r="I49" s="2">
        <v>0.71261552165682307</v>
      </c>
      <c r="J49" s="2">
        <v>-4.0963855421686795</v>
      </c>
      <c r="K49" s="2">
        <v>-4.0557995350038905</v>
      </c>
      <c r="L49" s="2">
        <v>-1.2603528988116675</v>
      </c>
      <c r="M49" s="2">
        <v>-10.744789887256578</v>
      </c>
      <c r="N49" s="2">
        <v>-9.4151729132717641</v>
      </c>
      <c r="O49" s="2">
        <v>-5.0886220697541562</v>
      </c>
      <c r="P49" s="2">
        <v>-1.3456090651558172</v>
      </c>
      <c r="Q49" s="2">
        <v>0.92519928957912612</v>
      </c>
      <c r="R49" s="2">
        <v>-2.2695530726256963</v>
      </c>
      <c r="T49" s="2">
        <f t="shared" si="0"/>
        <v>-0.63017644940583373</v>
      </c>
      <c r="U49" s="2">
        <f t="shared" si="1"/>
        <v>-2.1163249895219409</v>
      </c>
      <c r="V49" s="2">
        <f t="shared" si="2"/>
        <v>5.6742837090394049</v>
      </c>
      <c r="W49" s="2">
        <f t="shared" si="3"/>
        <v>-0.7750823539919165</v>
      </c>
    </row>
    <row r="50" spans="1:23" x14ac:dyDescent="0.15">
      <c r="A50" s="1">
        <v>32386</v>
      </c>
      <c r="B50" s="2">
        <v>-5.4762397774793969</v>
      </c>
      <c r="C50" s="2">
        <v>-3.2854346225154818</v>
      </c>
      <c r="D50" s="2">
        <v>0.59379999999999999</v>
      </c>
      <c r="E50" s="4">
        <v>0.42189999999999994</v>
      </c>
      <c r="F50" s="2">
        <v>-15.690857233401989</v>
      </c>
      <c r="G50" s="2">
        <v>-7.5813485407581371</v>
      </c>
      <c r="H50" s="2">
        <v>-5.620627309173809</v>
      </c>
      <c r="I50" s="2">
        <v>-7.0757324488667788</v>
      </c>
      <c r="J50" s="2">
        <v>-2.6633165829145766</v>
      </c>
      <c r="K50" s="2">
        <v>-9.9623047926763579</v>
      </c>
      <c r="L50" s="2">
        <v>-10.539752005835146</v>
      </c>
      <c r="M50" s="2">
        <v>-10.10526315789474</v>
      </c>
      <c r="N50" s="2">
        <v>-7.9152508494903078</v>
      </c>
      <c r="O50" s="2">
        <v>-0.66265060240964235</v>
      </c>
      <c r="P50" s="2">
        <v>-0.93323761665469185</v>
      </c>
      <c r="Q50" s="2">
        <v>-11.340290566809896</v>
      </c>
      <c r="R50" s="2">
        <v>-3.2868881743479794</v>
      </c>
      <c r="T50" s="2">
        <f t="shared" si="0"/>
        <v>-9.0605502732966414</v>
      </c>
      <c r="U50" s="2">
        <f t="shared" si="1"/>
        <v>-6.2612503830009745</v>
      </c>
      <c r="V50" s="2">
        <f t="shared" si="2"/>
        <v>-8.6186520956012291</v>
      </c>
      <c r="W50" s="2">
        <f t="shared" si="3"/>
        <v>-7.1828861447103112</v>
      </c>
    </row>
    <row r="51" spans="1:23" x14ac:dyDescent="0.15">
      <c r="A51" s="1">
        <v>32416</v>
      </c>
      <c r="B51" s="2">
        <v>4.2610900016373243</v>
      </c>
      <c r="C51" s="2">
        <v>3.5669325986722678</v>
      </c>
      <c r="D51" s="2">
        <v>0.61670000000000003</v>
      </c>
      <c r="E51" s="4">
        <v>0.67230000000000001</v>
      </c>
      <c r="F51" s="2">
        <v>3.7118827233002971</v>
      </c>
      <c r="G51" s="2">
        <v>2.9038112522685955</v>
      </c>
      <c r="H51" s="2">
        <v>6.9548559053806525</v>
      </c>
      <c r="I51" s="2">
        <v>3.8072575847709622</v>
      </c>
      <c r="J51" s="2">
        <v>6.6081569437274279</v>
      </c>
      <c r="K51" s="2">
        <v>8.4629186602870767</v>
      </c>
      <c r="L51" s="2">
        <v>3.4651447207501018</v>
      </c>
      <c r="M51" s="2">
        <v>8.3670427932722937</v>
      </c>
      <c r="N51" s="2">
        <v>7.4451920989798248</v>
      </c>
      <c r="O51" s="2">
        <v>10.875277946230044</v>
      </c>
      <c r="P51" s="2">
        <v>2.3671497584541124</v>
      </c>
      <c r="Q51" s="2">
        <v>-3.2680945347119739</v>
      </c>
      <c r="R51" s="2">
        <v>8.865903213889915</v>
      </c>
      <c r="T51" s="2">
        <f t="shared" si="0"/>
        <v>3.1844779865093487</v>
      </c>
      <c r="U51" s="2">
        <f t="shared" si="1"/>
        <v>5.7480779730829141</v>
      </c>
      <c r="V51" s="2">
        <f t="shared" si="2"/>
        <v>5.2390291606372603</v>
      </c>
      <c r="W51" s="2">
        <f t="shared" si="3"/>
        <v>5.4281922358922561</v>
      </c>
    </row>
    <row r="52" spans="1:23" x14ac:dyDescent="0.15">
      <c r="A52" s="1">
        <v>32447</v>
      </c>
      <c r="B52" s="2">
        <v>6.6742045918527504</v>
      </c>
      <c r="C52" s="2">
        <v>1.6304167113094792</v>
      </c>
      <c r="D52" s="2">
        <v>0.61009999999999998</v>
      </c>
      <c r="E52" s="4">
        <v>0.33389999999999997</v>
      </c>
      <c r="F52" s="2">
        <v>1.9797943188510692</v>
      </c>
      <c r="G52" s="2">
        <v>11.1816578483245</v>
      </c>
      <c r="H52" s="2">
        <v>12.685927887236215</v>
      </c>
      <c r="I52" s="2">
        <v>1.8681948424068784</v>
      </c>
      <c r="J52" s="2">
        <v>10.944309927360774</v>
      </c>
      <c r="K52" s="2">
        <v>-10.697546181417151</v>
      </c>
      <c r="L52" s="2">
        <v>6.3041765169424835</v>
      </c>
      <c r="M52" s="2">
        <v>-1.3359528487229877</v>
      </c>
      <c r="N52" s="2">
        <v>1.2525252525252606</v>
      </c>
      <c r="O52" s="2">
        <v>-2.6435733819507701</v>
      </c>
      <c r="P52" s="2">
        <v>2.8551203397829017</v>
      </c>
      <c r="Q52" s="2">
        <v>2.8679137239931318</v>
      </c>
      <c r="R52" s="2">
        <v>6.8204954190702383</v>
      </c>
      <c r="T52" s="2">
        <f t="shared" si="0"/>
        <v>8.7429171826334908</v>
      </c>
      <c r="U52" s="2">
        <f t="shared" si="1"/>
        <v>4.947420327772071</v>
      </c>
      <c r="V52" s="2">
        <f t="shared" si="2"/>
        <v>4.2055138255418205</v>
      </c>
      <c r="W52" s="2">
        <f t="shared" si="3"/>
        <v>3.3910033588001958</v>
      </c>
    </row>
    <row r="53" spans="1:23" x14ac:dyDescent="0.15">
      <c r="A53" s="1">
        <v>32477</v>
      </c>
      <c r="B53" s="2">
        <v>3.4991410783832055</v>
      </c>
      <c r="C53" s="2">
        <v>-2.2091755125781543</v>
      </c>
      <c r="D53" s="2">
        <v>0.56620000000000004</v>
      </c>
      <c r="E53" s="4">
        <v>8.3199999999999996E-2</v>
      </c>
      <c r="F53" s="2">
        <v>5.095513105286531</v>
      </c>
      <c r="G53" s="2">
        <v>2.5697969543147181</v>
      </c>
      <c r="H53" s="2">
        <v>-2.9302004146510074</v>
      </c>
      <c r="I53" s="2">
        <v>0.97884788478848073</v>
      </c>
      <c r="J53" s="2">
        <v>-1.8769096464425927</v>
      </c>
      <c r="K53" s="2">
        <v>-2.3155294844087737</v>
      </c>
      <c r="L53" s="2">
        <v>-2.48332097850259</v>
      </c>
      <c r="M53" s="2">
        <v>-2.4492234169653515</v>
      </c>
      <c r="N53" s="2">
        <v>-4.2098962490023872</v>
      </c>
      <c r="O53" s="2">
        <v>-0.61797752808987472</v>
      </c>
      <c r="P53" s="2">
        <v>1.1929341592108456</v>
      </c>
      <c r="Q53" s="2">
        <v>17.159159437769645</v>
      </c>
      <c r="R53" s="2">
        <v>-4.8919949174078941</v>
      </c>
      <c r="T53" s="2">
        <f t="shared" si="0"/>
        <v>4.3237987906064035E-2</v>
      </c>
      <c r="U53" s="2">
        <f t="shared" si="1"/>
        <v>-0.17716718409258222</v>
      </c>
      <c r="V53" s="2">
        <f t="shared" si="2"/>
        <v>1.1410028882521961</v>
      </c>
      <c r="W53" s="2">
        <f t="shared" si="3"/>
        <v>0.40163068506921146</v>
      </c>
    </row>
    <row r="54" spans="1:23" x14ac:dyDescent="0.15">
      <c r="A54" s="1">
        <v>32507</v>
      </c>
      <c r="B54" s="2">
        <v>0.92091491150367855</v>
      </c>
      <c r="C54" s="2">
        <v>1.79886469667625</v>
      </c>
      <c r="D54" s="2">
        <v>0.6341</v>
      </c>
      <c r="E54" s="4">
        <v>0.1663</v>
      </c>
      <c r="F54" s="2">
        <v>-2.6588324808724528</v>
      </c>
      <c r="G54" s="2">
        <v>-0.89699969068977037</v>
      </c>
      <c r="H54" s="2">
        <v>-0.56243770468459298</v>
      </c>
      <c r="I54" s="2">
        <v>-2.8857938718662934</v>
      </c>
      <c r="J54" s="2">
        <v>-0.48932384341637825</v>
      </c>
      <c r="K54" s="2">
        <v>6.9848293299620723</v>
      </c>
      <c r="L54" s="2">
        <v>2.8506271379703518</v>
      </c>
      <c r="M54" s="2">
        <v>9.4100836905490972</v>
      </c>
      <c r="N54" s="2">
        <v>10.268694022078728</v>
      </c>
      <c r="O54" s="2">
        <v>-1.1682683248539716</v>
      </c>
      <c r="P54" s="2">
        <v>-0.99750623441396957</v>
      </c>
      <c r="Q54" s="2">
        <v>1.0571745327843107</v>
      </c>
      <c r="R54" s="2">
        <v>4.2752171008684003</v>
      </c>
      <c r="T54" s="2">
        <f t="shared" si="0"/>
        <v>0.97681372364029073</v>
      </c>
      <c r="U54" s="2">
        <f t="shared" si="1"/>
        <v>0.26178637414220329</v>
      </c>
      <c r="V54" s="2">
        <f t="shared" si="2"/>
        <v>-0.46836833961146074</v>
      </c>
      <c r="W54" s="2">
        <f t="shared" si="3"/>
        <v>1.9374972048781178</v>
      </c>
    </row>
    <row r="55" spans="1:23" x14ac:dyDescent="0.15">
      <c r="A55" s="1">
        <v>32539</v>
      </c>
      <c r="B55" s="2">
        <v>3.6350770648390762</v>
      </c>
      <c r="C55" s="2">
        <v>6.5307732195937884</v>
      </c>
      <c r="D55" s="2">
        <v>0.5514</v>
      </c>
      <c r="E55" s="4">
        <v>0.49790000000000001</v>
      </c>
      <c r="F55" s="2">
        <v>-0.2648949105437004</v>
      </c>
      <c r="G55" s="2">
        <v>9.4569288389513062</v>
      </c>
      <c r="H55" s="2">
        <v>-10.281377532755787</v>
      </c>
      <c r="I55" s="2">
        <v>9.7292335933914629</v>
      </c>
      <c r="J55" s="2">
        <v>13.097898971837285</v>
      </c>
      <c r="K55" s="2">
        <v>-6.2038404726735603</v>
      </c>
      <c r="L55" s="2">
        <v>7.1692535107169109</v>
      </c>
      <c r="M55" s="2">
        <v>16.977611940298498</v>
      </c>
      <c r="N55" s="2">
        <v>8.4435209671326117</v>
      </c>
      <c r="O55" s="2">
        <v>7.9313632030505232</v>
      </c>
      <c r="P55" s="2">
        <v>-1.4655369819097763</v>
      </c>
      <c r="Q55" s="2">
        <v>-2.2646240645692206</v>
      </c>
      <c r="R55" s="2">
        <v>19.346572709801425</v>
      </c>
      <c r="T55" s="2">
        <f t="shared" si="0"/>
        <v>8.3130911748341081</v>
      </c>
      <c r="U55" s="2">
        <f t="shared" si="1"/>
        <v>8.1858485175729125</v>
      </c>
      <c r="V55" s="2">
        <f t="shared" si="2"/>
        <v>6.0731626605437601</v>
      </c>
      <c r="W55" s="2">
        <f t="shared" si="3"/>
        <v>5.5132392132867674</v>
      </c>
    </row>
    <row r="56" spans="1:23" x14ac:dyDescent="0.15">
      <c r="A56" s="1">
        <v>32567</v>
      </c>
      <c r="B56" s="2">
        <v>-0.61310796121203381</v>
      </c>
      <c r="C56" s="2">
        <v>-2.0361572160177754</v>
      </c>
      <c r="D56" s="2">
        <v>0.61309999999999998</v>
      </c>
      <c r="E56" s="4">
        <v>0.41289999999999999</v>
      </c>
      <c r="F56" s="2">
        <v>-1.1973701397657521</v>
      </c>
      <c r="G56" s="2">
        <v>-5.0185343598517118</v>
      </c>
      <c r="H56" s="2">
        <v>4.5327587582794759</v>
      </c>
      <c r="I56" s="2">
        <v>-5.4893350062735209</v>
      </c>
      <c r="J56" s="2">
        <v>-10.316205533596834</v>
      </c>
      <c r="K56" s="2">
        <v>-3.7165354330708666</v>
      </c>
      <c r="L56" s="2">
        <v>-6.2068965517241388</v>
      </c>
      <c r="M56" s="2">
        <v>-3.0462519936204191</v>
      </c>
      <c r="N56" s="2">
        <v>-4.3372234802299232</v>
      </c>
      <c r="O56" s="2">
        <v>-0.56527115350645252</v>
      </c>
      <c r="P56" s="2">
        <v>-0.97606321171275212</v>
      </c>
      <c r="Q56" s="2">
        <v>-2.6538384445780605</v>
      </c>
      <c r="R56" s="2">
        <v>-3.2206119162640934</v>
      </c>
      <c r="T56" s="2">
        <f t="shared" si="0"/>
        <v>-5.6127154557879253</v>
      </c>
      <c r="U56" s="2">
        <f t="shared" si="1"/>
        <v>-3.9302340216941012</v>
      </c>
      <c r="V56" s="2">
        <f t="shared" si="2"/>
        <v>-3.2470180512120139</v>
      </c>
      <c r="W56" s="2">
        <f t="shared" si="3"/>
        <v>-3.2470291127626965</v>
      </c>
    </row>
    <row r="57" spans="1:23" x14ac:dyDescent="0.15">
      <c r="A57" s="1">
        <v>32598</v>
      </c>
      <c r="B57" s="2">
        <v>-0.62481716005927668</v>
      </c>
      <c r="C57" s="2">
        <v>1.9556591295584846</v>
      </c>
      <c r="D57" s="2">
        <v>0.67059999999999997</v>
      </c>
      <c r="E57" s="4">
        <v>0.57569999999999999</v>
      </c>
      <c r="F57" s="2">
        <v>-4.9621011810329634</v>
      </c>
      <c r="G57" s="2">
        <v>-2.7919543680576475</v>
      </c>
      <c r="H57" s="2">
        <v>-1.694785861516146</v>
      </c>
      <c r="I57" s="2">
        <v>-5.3324482796769495</v>
      </c>
      <c r="J57" s="2">
        <v>-3.6579991185544336</v>
      </c>
      <c r="K57" s="2">
        <v>-1.7337258750408924</v>
      </c>
      <c r="L57" s="2">
        <v>-10.183823529411761</v>
      </c>
      <c r="M57" s="2">
        <v>6.086527389373253</v>
      </c>
      <c r="N57" s="2">
        <v>-6.8645302257829606</v>
      </c>
      <c r="O57" s="2">
        <v>4.8321193817729702</v>
      </c>
      <c r="P57" s="2">
        <v>-0.3989673785496417</v>
      </c>
      <c r="Q57" s="2">
        <v>-7.7049787917473296</v>
      </c>
      <c r="R57" s="2">
        <v>2.6899611758180786</v>
      </c>
      <c r="T57" s="2">
        <f t="shared" si="0"/>
        <v>-6.487888948734704</v>
      </c>
      <c r="U57" s="2">
        <f t="shared" si="1"/>
        <v>-2.7145528385654791</v>
      </c>
      <c r="V57" s="2">
        <f t="shared" si="2"/>
        <v>-3.2764399241823501</v>
      </c>
      <c r="W57" s="2">
        <f t="shared" si="3"/>
        <v>-2.439746666338956</v>
      </c>
    </row>
    <row r="58" spans="1:23" x14ac:dyDescent="0.15">
      <c r="A58" s="1">
        <v>32626</v>
      </c>
      <c r="B58" s="2">
        <v>2.3244882241947096</v>
      </c>
      <c r="C58" s="2">
        <v>4.783526383526393</v>
      </c>
      <c r="D58" s="2">
        <v>0.67479999999999996</v>
      </c>
      <c r="E58" s="4">
        <v>0.65410000000000001</v>
      </c>
      <c r="F58" s="2">
        <v>-0.61207456181024966</v>
      </c>
      <c r="G58" s="2">
        <v>0</v>
      </c>
      <c r="H58" s="2">
        <v>1.3512464083249132</v>
      </c>
      <c r="I58" s="2">
        <v>-0.79467102956644053</v>
      </c>
      <c r="J58" s="2">
        <v>-5.0320219579140009</v>
      </c>
      <c r="K58" s="2">
        <v>9.4873501997336795</v>
      </c>
      <c r="L58" s="2">
        <v>4.4617273843634786</v>
      </c>
      <c r="M58" s="2">
        <v>8.2028221429679036</v>
      </c>
      <c r="N58" s="2">
        <v>10.459433040078192</v>
      </c>
      <c r="O58" s="2">
        <v>9.5746483646839575</v>
      </c>
      <c r="P58" s="2">
        <v>2.8982092365692713</v>
      </c>
      <c r="Q58" s="2">
        <v>14.92504015705871</v>
      </c>
      <c r="R58" s="2">
        <v>4.4828517418309399</v>
      </c>
      <c r="T58" s="2">
        <f t="shared" si="0"/>
        <v>2.2308636921817393</v>
      </c>
      <c r="U58" s="2">
        <f t="shared" si="1"/>
        <v>4.6787919163491454</v>
      </c>
      <c r="V58" s="2">
        <f t="shared" si="2"/>
        <v>3.3560752968092968</v>
      </c>
      <c r="W58" s="2">
        <f t="shared" si="3"/>
        <v>4.5695816251015664</v>
      </c>
    </row>
    <row r="59" spans="1:23" x14ac:dyDescent="0.15">
      <c r="A59" s="1">
        <v>32659</v>
      </c>
      <c r="B59" s="2">
        <v>-2.4353914101456375</v>
      </c>
      <c r="C59" s="2">
        <v>3.5858283138942681</v>
      </c>
      <c r="D59" s="2">
        <v>0.7873</v>
      </c>
      <c r="E59" s="4">
        <v>0.56859999999999999</v>
      </c>
      <c r="F59" s="2">
        <v>1.0497340673695899</v>
      </c>
      <c r="G59" s="2">
        <v>-0.86473131562693206</v>
      </c>
      <c r="H59" s="2">
        <v>0.42908589380126205</v>
      </c>
      <c r="I59" s="2">
        <v>2.09683119330899</v>
      </c>
      <c r="J59" s="2">
        <v>0</v>
      </c>
      <c r="K59" s="2">
        <v>22.68166615992704</v>
      </c>
      <c r="L59" s="2">
        <v>-2.782131661442</v>
      </c>
      <c r="M59" s="2">
        <v>21.567784465462879</v>
      </c>
      <c r="N59" s="2">
        <v>-4.8495575221238933</v>
      </c>
      <c r="O59" s="2">
        <v>10.856789359727802</v>
      </c>
      <c r="P59" s="2">
        <v>-8.6329287840622886</v>
      </c>
      <c r="Q59" s="2">
        <v>-12.295686609465385</v>
      </c>
      <c r="R59" s="2">
        <v>2.4037218919617409</v>
      </c>
      <c r="T59" s="2">
        <f t="shared" si="0"/>
        <v>-1.823431488534466</v>
      </c>
      <c r="U59" s="2">
        <f t="shared" si="1"/>
        <v>2.4033087942196234</v>
      </c>
      <c r="V59" s="2">
        <f t="shared" si="2"/>
        <v>2.0649151125071148</v>
      </c>
      <c r="W59" s="2">
        <f t="shared" si="3"/>
        <v>2.4354290106799077</v>
      </c>
    </row>
    <row r="60" spans="1:23" x14ac:dyDescent="0.15">
      <c r="A60" s="1">
        <v>32689</v>
      </c>
      <c r="B60" s="2">
        <v>-1.1116871257556338</v>
      </c>
      <c r="C60" s="2">
        <v>-0.80945801094665093</v>
      </c>
      <c r="D60" s="2">
        <v>0.70930000000000004</v>
      </c>
      <c r="E60" s="4">
        <v>0.24229999999999999</v>
      </c>
      <c r="F60" s="2">
        <v>-3.241146867353073</v>
      </c>
      <c r="G60" s="2">
        <v>3.4267912772585563</v>
      </c>
      <c r="H60" s="2">
        <v>5.0354772259098235</v>
      </c>
      <c r="I60" s="2">
        <v>-0.51921079958463512</v>
      </c>
      <c r="J60" s="2">
        <v>5.9730250481695668</v>
      </c>
      <c r="K60" s="2">
        <v>-13.605947955390329</v>
      </c>
      <c r="L60" s="2">
        <v>2.0556227327690468</v>
      </c>
      <c r="M60" s="2">
        <v>-3.3125073676765204</v>
      </c>
      <c r="N60" s="2">
        <v>-3.9992559523809534</v>
      </c>
      <c r="O60" s="2">
        <v>-2.0507812499999889</v>
      </c>
      <c r="P60" s="2">
        <v>9.3734335839599012</v>
      </c>
      <c r="Q60" s="2">
        <v>-6.7994687915006624</v>
      </c>
      <c r="R60" s="2">
        <v>2.4734982332155431</v>
      </c>
      <c r="T60" s="2">
        <f t="shared" si="0"/>
        <v>2.7412070050138015</v>
      </c>
      <c r="U60" s="2">
        <f t="shared" si="1"/>
        <v>1.1438775866758715</v>
      </c>
      <c r="V60" s="2">
        <f t="shared" si="2"/>
        <v>4.7621473168635298E-2</v>
      </c>
      <c r="W60" s="2">
        <f t="shared" si="3"/>
        <v>-0.39926699096951729</v>
      </c>
    </row>
    <row r="61" spans="1:23" x14ac:dyDescent="0.15">
      <c r="A61" s="1">
        <v>32720</v>
      </c>
      <c r="B61" s="2">
        <v>11.317259171333527</v>
      </c>
      <c r="C61" s="2">
        <v>7.6630294452360692</v>
      </c>
      <c r="D61" s="2">
        <v>0.69550000000000001</v>
      </c>
      <c r="E61" s="4">
        <v>0.2417</v>
      </c>
      <c r="F61" s="2">
        <v>5.4063081547931491</v>
      </c>
      <c r="G61" s="2">
        <v>7.4698795180722977</v>
      </c>
      <c r="H61" s="2">
        <v>12.144984382944735</v>
      </c>
      <c r="I61" s="2">
        <v>4.3841336116910101</v>
      </c>
      <c r="J61" s="2">
        <v>-1.5</v>
      </c>
      <c r="K61" s="2">
        <v>-3.6431440045898045</v>
      </c>
      <c r="L61" s="2">
        <v>2.8041074249605114</v>
      </c>
      <c r="M61" s="2">
        <v>-3.2796878810046448</v>
      </c>
      <c r="N61" s="2">
        <v>3.8558418911063708</v>
      </c>
      <c r="O61" s="2">
        <v>9.8846318188292148</v>
      </c>
      <c r="P61" s="2">
        <v>16.246562786434481</v>
      </c>
      <c r="Q61" s="2">
        <v>14.557803742756725</v>
      </c>
      <c r="R61" s="2">
        <v>5.6650246305418817</v>
      </c>
      <c r="T61" s="2">
        <f t="shared" si="0"/>
        <v>5.136993471516405</v>
      </c>
      <c r="U61" s="2">
        <f t="shared" si="1"/>
        <v>6.7195395872873407</v>
      </c>
      <c r="V61" s="2">
        <f t="shared" si="2"/>
        <v>6.3912317291637937</v>
      </c>
      <c r="W61" s="2">
        <f t="shared" si="3"/>
        <v>5.6920343135796863</v>
      </c>
    </row>
    <row r="62" spans="1:23" x14ac:dyDescent="0.15">
      <c r="A62" s="1">
        <v>32751</v>
      </c>
      <c r="B62" s="2">
        <v>-2.404834901991959</v>
      </c>
      <c r="C62" s="2">
        <v>1.878367975365669</v>
      </c>
      <c r="D62" s="2">
        <v>0.73919999999999997</v>
      </c>
      <c r="E62" s="4">
        <v>0.1608</v>
      </c>
      <c r="F62" s="2">
        <v>-2.657311000452689</v>
      </c>
      <c r="G62" s="2">
        <v>11.014573991031384</v>
      </c>
      <c r="H62" s="2">
        <v>-3.1543493749595197</v>
      </c>
      <c r="I62" s="2">
        <v>8.0111111111111235</v>
      </c>
      <c r="J62" s="2">
        <v>9.2293493308721821</v>
      </c>
      <c r="K62" s="2">
        <v>12.235784459660625</v>
      </c>
      <c r="L62" s="2">
        <v>2.9197080291970767</v>
      </c>
      <c r="M62" s="2">
        <v>3.1135762006807122</v>
      </c>
      <c r="N62" s="2">
        <v>-2.332089552238803</v>
      </c>
      <c r="O62" s="2">
        <v>-7.4530136098509452</v>
      </c>
      <c r="P62" s="2">
        <v>-5.3222945002956878</v>
      </c>
      <c r="Q62" s="2">
        <v>-8.7731663833492171</v>
      </c>
      <c r="R62" s="2">
        <v>2.1678321678321621</v>
      </c>
      <c r="T62" s="2">
        <f t="shared" si="0"/>
        <v>6.9671410101142301</v>
      </c>
      <c r="U62" s="2">
        <f t="shared" si="1"/>
        <v>2.1604228034591717</v>
      </c>
      <c r="V62" s="2">
        <f t="shared" si="2"/>
        <v>0.95598935248120664</v>
      </c>
      <c r="W62" s="2">
        <f t="shared" si="3"/>
        <v>1.461516220710646</v>
      </c>
    </row>
    <row r="63" spans="1:23" x14ac:dyDescent="0.15">
      <c r="A63" s="1">
        <v>32780</v>
      </c>
      <c r="B63" s="2">
        <v>2.8399482213025795</v>
      </c>
      <c r="C63" s="2">
        <v>-0.41239929784587792</v>
      </c>
      <c r="D63" s="2">
        <v>0.65449999999999997</v>
      </c>
      <c r="E63" s="4">
        <v>0.32100000000000001</v>
      </c>
      <c r="F63" s="2">
        <v>1.7904478444868088</v>
      </c>
      <c r="G63" s="2">
        <v>-4.8472607927291245</v>
      </c>
      <c r="H63" s="2">
        <v>7.0358480470840146</v>
      </c>
      <c r="I63" s="2">
        <v>-5.5652710626478807</v>
      </c>
      <c r="J63" s="2">
        <v>-6.5061258977608727</v>
      </c>
      <c r="K63" s="2">
        <v>0</v>
      </c>
      <c r="L63" s="2">
        <v>-6.7189249720044693</v>
      </c>
      <c r="M63" s="2">
        <v>-3.9853300733496355</v>
      </c>
      <c r="N63" s="2">
        <v>-4.0878701050620752</v>
      </c>
      <c r="O63" s="2">
        <v>2.6610644257702987</v>
      </c>
      <c r="P63" s="2">
        <v>7.7035186341869455</v>
      </c>
      <c r="Q63" s="2">
        <v>3.4904331227559648</v>
      </c>
      <c r="R63" s="2">
        <v>-5.0422085329682957</v>
      </c>
      <c r="T63" s="2">
        <f t="shared" si="0"/>
        <v>-5.7830928823667964</v>
      </c>
      <c r="U63" s="2">
        <f t="shared" si="1"/>
        <v>-2.9683737796544314</v>
      </c>
      <c r="V63" s="2">
        <f t="shared" si="2"/>
        <v>-1.7786683736191216</v>
      </c>
      <c r="W63" s="2">
        <f t="shared" si="3"/>
        <v>-1.0824368740183323</v>
      </c>
    </row>
    <row r="64" spans="1:23" x14ac:dyDescent="0.15">
      <c r="A64" s="1">
        <v>32812</v>
      </c>
      <c r="B64" s="2">
        <v>-3.3189926448368046</v>
      </c>
      <c r="C64" s="2">
        <v>-3.102155166124354</v>
      </c>
      <c r="D64" s="2">
        <v>0.67649999999999999</v>
      </c>
      <c r="E64" s="4">
        <v>0.48</v>
      </c>
      <c r="F64" s="2">
        <v>3.819444444444442</v>
      </c>
      <c r="G64" s="2">
        <v>-4.8023348368267378</v>
      </c>
      <c r="H64" s="2">
        <v>-14.521369657585604</v>
      </c>
      <c r="I64" s="2">
        <v>-5.4139433551198319</v>
      </c>
      <c r="J64" s="2">
        <v>-13.194758246723914</v>
      </c>
      <c r="K64" s="2">
        <v>4.482758620689653</v>
      </c>
      <c r="L64" s="2">
        <v>-8.2432973189275671</v>
      </c>
      <c r="M64" s="2">
        <v>20.741023682200144</v>
      </c>
      <c r="N64" s="2">
        <v>-4.9591714797849074</v>
      </c>
      <c r="O64" s="2">
        <v>-12.673942701227825</v>
      </c>
      <c r="P64" s="2">
        <v>-10.380823506669234</v>
      </c>
      <c r="Q64" s="2">
        <v>6.6883316499055878</v>
      </c>
      <c r="R64" s="2">
        <v>6.5833733781835768</v>
      </c>
      <c r="T64" s="2">
        <f t="shared" si="0"/>
        <v>-6.5228160778771525</v>
      </c>
      <c r="U64" s="2">
        <f t="shared" si="1"/>
        <v>-8.5731916189940431</v>
      </c>
      <c r="V64" s="2">
        <f t="shared" si="2"/>
        <v>-5.4750326031344212</v>
      </c>
      <c r="W64" s="2">
        <f t="shared" si="3"/>
        <v>-2.4519007174955552</v>
      </c>
    </row>
    <row r="65" spans="1:23" x14ac:dyDescent="0.15">
      <c r="A65" s="1">
        <v>32842</v>
      </c>
      <c r="B65" s="2">
        <v>4.0090048773450571</v>
      </c>
      <c r="C65" s="2">
        <v>1.4242474437935693</v>
      </c>
      <c r="D65" s="2">
        <v>0.68659999999999999</v>
      </c>
      <c r="E65" s="4">
        <v>0.2389</v>
      </c>
      <c r="F65" s="2">
        <v>-3.5777151909875071</v>
      </c>
      <c r="G65" s="2">
        <v>0.52954292084725907</v>
      </c>
      <c r="H65" s="2">
        <v>4.0350877192982582</v>
      </c>
      <c r="I65" s="2">
        <v>-5.8044454681561604</v>
      </c>
      <c r="J65" s="2">
        <v>-7.0275897969807382</v>
      </c>
      <c r="K65" s="2">
        <v>-4.5950748921045896</v>
      </c>
      <c r="L65" s="2">
        <v>-1.3955516790231215</v>
      </c>
      <c r="M65" s="2">
        <v>-14.457450173995568</v>
      </c>
      <c r="N65" s="2">
        <v>-4.9874266554903679</v>
      </c>
      <c r="O65" s="2">
        <v>-3.0620215591313893</v>
      </c>
      <c r="P65" s="2">
        <v>4.6160483175150979</v>
      </c>
      <c r="Q65" s="2">
        <v>-4.0750802667325221</v>
      </c>
      <c r="R65" s="2">
        <v>7.3940486925157645</v>
      </c>
      <c r="T65" s="2">
        <f t="shared" si="0"/>
        <v>-0.43300437908793121</v>
      </c>
      <c r="U65" s="2">
        <f t="shared" si="1"/>
        <v>-1.3093434391024172</v>
      </c>
      <c r="V65" s="2">
        <f t="shared" si="2"/>
        <v>-1.8764363770736896</v>
      </c>
      <c r="W65" s="2">
        <f t="shared" si="3"/>
        <v>-2.4928944640327364</v>
      </c>
    </row>
    <row r="66" spans="1:23" x14ac:dyDescent="0.15">
      <c r="A66" s="1">
        <v>32871</v>
      </c>
      <c r="B66" s="2">
        <v>3.2307447305829351</v>
      </c>
      <c r="C66" s="2">
        <v>1.5512346925443454</v>
      </c>
      <c r="D66" s="2">
        <v>0.6069</v>
      </c>
      <c r="E66" s="4">
        <v>0.15889999999999999</v>
      </c>
      <c r="F66" s="2">
        <v>-3.3772990735247088</v>
      </c>
      <c r="G66" s="2">
        <v>-3.687274743554203</v>
      </c>
      <c r="H66" s="2">
        <v>15.177065767284992</v>
      </c>
      <c r="I66" s="2">
        <v>-2.2374373395280589</v>
      </c>
      <c r="J66" s="2">
        <v>-2.9115341545352669</v>
      </c>
      <c r="K66" s="2">
        <v>-20.356572645023952</v>
      </c>
      <c r="L66" s="2">
        <v>-3.5824856258292792</v>
      </c>
      <c r="M66" s="2">
        <v>-11.908284023668635</v>
      </c>
      <c r="N66" s="2">
        <v>4.3890604322893711</v>
      </c>
      <c r="O66" s="2">
        <v>5.4794520547945202</v>
      </c>
      <c r="P66" s="2">
        <v>8.1855670103092812</v>
      </c>
      <c r="Q66" s="2">
        <v>0.96549948506694516</v>
      </c>
      <c r="R66" s="2">
        <v>-0.79764903442484103</v>
      </c>
      <c r="T66" s="2">
        <f t="shared" si="0"/>
        <v>-3.6348801846917409</v>
      </c>
      <c r="U66" s="2">
        <f t="shared" si="1"/>
        <v>-0.59676943819632056</v>
      </c>
      <c r="V66" s="2">
        <f t="shared" si="2"/>
        <v>-1.2919018470284176</v>
      </c>
      <c r="W66" s="2">
        <f t="shared" si="3"/>
        <v>-1.1278378377187566</v>
      </c>
    </row>
    <row r="67" spans="1:23" x14ac:dyDescent="0.15">
      <c r="A67" s="1">
        <v>32904</v>
      </c>
      <c r="B67" s="2">
        <v>-4.653811064112146</v>
      </c>
      <c r="C67" s="2">
        <v>-7.5026024304946315</v>
      </c>
      <c r="D67" s="2">
        <v>0.56699999999999995</v>
      </c>
      <c r="E67" s="4">
        <v>1.0309000000000001</v>
      </c>
      <c r="F67" s="2">
        <v>-1.7193330499267856</v>
      </c>
      <c r="G67" s="2">
        <v>-1.4968336211859445</v>
      </c>
      <c r="H67" s="2">
        <v>-5.7772083943387065</v>
      </c>
      <c r="I67" s="2">
        <v>0.61280640320160451</v>
      </c>
      <c r="J67" s="2">
        <v>-15.801614763552486</v>
      </c>
      <c r="K67" s="2">
        <v>-3.541597059806223</v>
      </c>
      <c r="L67" s="2">
        <v>4.7706422018348738</v>
      </c>
      <c r="M67" s="2">
        <v>-4.7159249930030844</v>
      </c>
      <c r="N67" s="2">
        <v>-5.5567293471371233</v>
      </c>
      <c r="O67" s="2">
        <v>-1.9556913674560694</v>
      </c>
      <c r="P67" s="2">
        <v>-7.947398513436255</v>
      </c>
      <c r="Q67" s="2">
        <v>-3.4978112116962112</v>
      </c>
      <c r="R67" s="2">
        <v>-10.029623360135432</v>
      </c>
      <c r="T67" s="2">
        <f t="shared" si="0"/>
        <v>1.6369042903244646</v>
      </c>
      <c r="U67" s="2">
        <f t="shared" si="1"/>
        <v>0.43937240439761993</v>
      </c>
      <c r="V67" s="2">
        <f t="shared" si="2"/>
        <v>-0.10030395918348145</v>
      </c>
      <c r="W67" s="2">
        <f t="shared" si="3"/>
        <v>-4.3581782366644495</v>
      </c>
    </row>
    <row r="68" spans="1:23" x14ac:dyDescent="0.15">
      <c r="A68" s="1">
        <v>32932</v>
      </c>
      <c r="B68" s="2">
        <v>-4.2717005816861437</v>
      </c>
      <c r="C68" s="2">
        <v>1.1981158916321455</v>
      </c>
      <c r="D68" s="2">
        <v>0.56789999999999996</v>
      </c>
      <c r="E68" s="4">
        <v>0.47099999999999997</v>
      </c>
      <c r="F68" s="2">
        <v>-10.063920795885995</v>
      </c>
      <c r="G68" s="2">
        <v>9.7019286966686167</v>
      </c>
      <c r="H68" s="2">
        <v>15.50663645192618</v>
      </c>
      <c r="I68" s="2">
        <v>6.662523306401491</v>
      </c>
      <c r="J68" s="2">
        <v>3.150684931506853</v>
      </c>
      <c r="K68" s="2">
        <v>0.3463803255975062</v>
      </c>
      <c r="L68" s="2">
        <v>6.6112084063047361</v>
      </c>
      <c r="M68" s="2">
        <v>11.220443530621239</v>
      </c>
      <c r="N68" s="2">
        <v>-3.3557046979865723</v>
      </c>
      <c r="O68" s="2">
        <v>-6.4048620850864939</v>
      </c>
      <c r="P68" s="2">
        <v>-11.490683229813669</v>
      </c>
      <c r="Q68" s="2">
        <v>-10.415749141196162</v>
      </c>
      <c r="R68" s="2">
        <v>-4.2568203198494743</v>
      </c>
      <c r="T68" s="2">
        <f t="shared" si="0"/>
        <v>8.1565685514866768</v>
      </c>
      <c r="U68" s="2">
        <f t="shared" si="1"/>
        <v>3.3027583392956199</v>
      </c>
      <c r="V68" s="2">
        <f t="shared" si="2"/>
        <v>-3.8911444499784009E-2</v>
      </c>
      <c r="W68" s="2">
        <f t="shared" si="3"/>
        <v>0.55477425993909624</v>
      </c>
    </row>
    <row r="69" spans="1:23" x14ac:dyDescent="0.15">
      <c r="A69" s="1">
        <v>32962</v>
      </c>
      <c r="B69" s="2">
        <v>-6.0218158952168199</v>
      </c>
      <c r="C69" s="2">
        <v>2.2572785205547952</v>
      </c>
      <c r="D69" s="2">
        <v>0.64410000000000001</v>
      </c>
      <c r="E69" s="4">
        <v>0.54689999999999994</v>
      </c>
      <c r="F69" s="2">
        <v>-9.9877090792497079</v>
      </c>
      <c r="G69" s="2">
        <v>2.2376132125732751</v>
      </c>
      <c r="H69" s="2">
        <v>0.95852017937219092</v>
      </c>
      <c r="I69" s="2">
        <v>2.7153012469409044</v>
      </c>
      <c r="J69" s="2">
        <v>2.3904382470119501</v>
      </c>
      <c r="K69" s="2">
        <v>18.363824646185712</v>
      </c>
      <c r="L69" s="2">
        <v>2.1355236139630307</v>
      </c>
      <c r="M69" s="2">
        <v>13.350059421629478</v>
      </c>
      <c r="N69" s="2">
        <v>6.3425925925925775</v>
      </c>
      <c r="O69" s="2">
        <v>7.4758574758574614</v>
      </c>
      <c r="P69" s="2">
        <v>10.573099415204679</v>
      </c>
      <c r="Q69" s="2">
        <v>-22.575094636448544</v>
      </c>
      <c r="R69" s="2">
        <v>10.562515352493239</v>
      </c>
      <c r="T69" s="2">
        <f t="shared" si="0"/>
        <v>2.1865684132681529</v>
      </c>
      <c r="U69" s="2">
        <f t="shared" si="1"/>
        <v>3.9496647674645886</v>
      </c>
      <c r="V69" s="2">
        <f t="shared" si="2"/>
        <v>0.46532130578601483</v>
      </c>
      <c r="W69" s="2">
        <f t="shared" si="3"/>
        <v>3.4263493606250952</v>
      </c>
    </row>
    <row r="70" spans="1:23" x14ac:dyDescent="0.15">
      <c r="A70" s="1">
        <v>32993</v>
      </c>
      <c r="B70" s="2">
        <v>-1.4233044836991948</v>
      </c>
      <c r="C70" s="2">
        <v>-3.0893916528688337</v>
      </c>
      <c r="D70" s="2">
        <v>0.68730000000000002</v>
      </c>
      <c r="E70" s="4">
        <v>0.15540000000000001</v>
      </c>
      <c r="F70" s="2">
        <v>3.6274044170030884</v>
      </c>
      <c r="G70" s="2">
        <v>-3.5435122459614443</v>
      </c>
      <c r="H70" s="2">
        <v>-7.012381322525119</v>
      </c>
      <c r="I70" s="2">
        <v>-5.0714771953709885</v>
      </c>
      <c r="J70" s="2">
        <v>-12.775616083009078</v>
      </c>
      <c r="K70" s="2">
        <v>-2.1580635753864041</v>
      </c>
      <c r="L70" s="2">
        <v>2.7342179332529248</v>
      </c>
      <c r="M70" s="2">
        <v>4.1938490214352253</v>
      </c>
      <c r="N70" s="2">
        <v>-4.6582498911623809</v>
      </c>
      <c r="O70" s="2">
        <v>-1.9829589465530484</v>
      </c>
      <c r="P70" s="2">
        <v>6.6426909244764243</v>
      </c>
      <c r="Q70" s="2">
        <v>17.905898787224594</v>
      </c>
      <c r="R70" s="2">
        <v>-6.2208398133748011</v>
      </c>
      <c r="T70" s="2">
        <f t="shared" si="0"/>
        <v>-0.40464715635425974</v>
      </c>
      <c r="U70" s="2">
        <f t="shared" si="1"/>
        <v>-0.93075108642052262</v>
      </c>
      <c r="V70" s="2">
        <f t="shared" si="2"/>
        <v>0.20878778943538012</v>
      </c>
      <c r="W70" s="2">
        <f t="shared" si="3"/>
        <v>-0.63992599922700044</v>
      </c>
    </row>
    <row r="71" spans="1:23" x14ac:dyDescent="0.15">
      <c r="A71" s="1">
        <v>33024</v>
      </c>
      <c r="B71" s="2">
        <v>10.549263212204485</v>
      </c>
      <c r="C71" s="2">
        <v>8.7049581853085876</v>
      </c>
      <c r="D71" s="2">
        <v>0.67710000000000004</v>
      </c>
      <c r="E71" s="4">
        <v>0.23270000000000002</v>
      </c>
      <c r="F71" s="2">
        <v>14.723574906903458</v>
      </c>
      <c r="G71" s="2">
        <v>11.615343057806582</v>
      </c>
      <c r="H71" s="2">
        <v>0.4239312156675501</v>
      </c>
      <c r="I71" s="2">
        <v>4.5297000119517206</v>
      </c>
      <c r="J71" s="2">
        <v>6.0223048327137541</v>
      </c>
      <c r="K71" s="2">
        <v>5.0372578241430599</v>
      </c>
      <c r="L71" s="2">
        <v>11.311154598825812</v>
      </c>
      <c r="M71" s="2">
        <v>19.465563506261184</v>
      </c>
      <c r="N71" s="2">
        <v>9.4520547945205369</v>
      </c>
      <c r="O71" s="2">
        <v>16.911648490595855</v>
      </c>
      <c r="P71" s="2">
        <v>6.6058321761555128</v>
      </c>
      <c r="Q71" s="2">
        <v>12.251602132586559</v>
      </c>
      <c r="R71" s="2">
        <v>8.7420042643923104</v>
      </c>
      <c r="T71" s="2">
        <f t="shared" si="0"/>
        <v>11.463248828316196</v>
      </c>
      <c r="U71" s="2">
        <f t="shared" si="1"/>
        <v>13.279382049076082</v>
      </c>
      <c r="V71" s="2">
        <f t="shared" si="2"/>
        <v>13.640430263532927</v>
      </c>
      <c r="W71" s="2">
        <f t="shared" si="3"/>
        <v>9.7763055240402998</v>
      </c>
    </row>
    <row r="72" spans="1:23" x14ac:dyDescent="0.15">
      <c r="A72" s="1">
        <v>33053</v>
      </c>
      <c r="B72" s="2">
        <v>-0.6958037056294164</v>
      </c>
      <c r="C72" s="2">
        <v>-0.69914861040226706</v>
      </c>
      <c r="D72" s="2">
        <v>0.62509999999999999</v>
      </c>
      <c r="E72" s="4">
        <v>0.54180000000000006</v>
      </c>
      <c r="F72" s="2">
        <v>0.12484394506866447</v>
      </c>
      <c r="G72" s="2">
        <v>-2.0571151984511094</v>
      </c>
      <c r="H72" s="2">
        <v>3.8944051370473964</v>
      </c>
      <c r="I72" s="2">
        <v>-5.1452092385090298</v>
      </c>
      <c r="J72" s="2">
        <v>4.347826086956541</v>
      </c>
      <c r="K72" s="2">
        <v>8.4846765039727767</v>
      </c>
      <c r="L72" s="2">
        <v>-2.1097046413502074</v>
      </c>
      <c r="M72" s="2">
        <v>4.7356106691623712</v>
      </c>
      <c r="N72" s="2">
        <v>-0.81351689612014777</v>
      </c>
      <c r="O72" s="2">
        <v>0.2838988779234608</v>
      </c>
      <c r="P72" s="2">
        <v>3.7960550800148818</v>
      </c>
      <c r="Q72" s="2">
        <v>-3.6029552868931169</v>
      </c>
      <c r="R72" s="2">
        <v>2.6361655773420534</v>
      </c>
      <c r="T72" s="2">
        <f t="shared" ref="T72:T135" si="4">AVERAGE(G72,L72)</f>
        <v>-2.0834099199006584</v>
      </c>
      <c r="U72" s="2">
        <f t="shared" ref="U72:U135" si="5">AVERAGE(G72,L72,O72)</f>
        <v>-1.2943069872926187</v>
      </c>
      <c r="V72" s="2">
        <f t="shared" ref="V72:V135" si="6">AVERAGE(G72,F72,L72,O72)</f>
        <v>-0.93951925420229787</v>
      </c>
      <c r="W72" s="2">
        <f t="shared" ref="W72:W135" si="7">AVERAGE(F72:R72)</f>
        <v>1.1211523550895797</v>
      </c>
    </row>
    <row r="73" spans="1:23" x14ac:dyDescent="0.15">
      <c r="A73" s="1">
        <v>33085</v>
      </c>
      <c r="B73" s="2">
        <v>0.92825232308790806</v>
      </c>
      <c r="C73" s="2">
        <v>-1.1683900980326234</v>
      </c>
      <c r="D73" s="2">
        <v>0.67710000000000004</v>
      </c>
      <c r="E73" s="4">
        <v>0.38490000000000002</v>
      </c>
      <c r="F73" s="2">
        <v>-0.77805486284289183</v>
      </c>
      <c r="G73" s="2">
        <v>-2.100321225599211</v>
      </c>
      <c r="H73" s="2">
        <v>4.0059516996680866</v>
      </c>
      <c r="I73" s="2">
        <v>-3.435390549662487</v>
      </c>
      <c r="J73" s="2">
        <v>-3.9650537634408622</v>
      </c>
      <c r="K73" s="2">
        <v>-6.1470049699189122</v>
      </c>
      <c r="L73" s="2">
        <v>-5.1005747126436791</v>
      </c>
      <c r="M73" s="2">
        <v>-8.6319363774461593</v>
      </c>
      <c r="N73" s="2">
        <v>-8.7486855941114712</v>
      </c>
      <c r="O73" s="2">
        <v>-3.181450525748164</v>
      </c>
      <c r="P73" s="2">
        <v>6.0774471136608277</v>
      </c>
      <c r="Q73" s="2">
        <v>0.86099636689394021</v>
      </c>
      <c r="R73" s="2">
        <v>-8.0237741456166471</v>
      </c>
      <c r="T73" s="2">
        <f t="shared" si="4"/>
        <v>-3.6004479691214453</v>
      </c>
      <c r="U73" s="2">
        <f t="shared" si="5"/>
        <v>-3.460782154663685</v>
      </c>
      <c r="V73" s="2">
        <f t="shared" si="6"/>
        <v>-2.7901003317084863</v>
      </c>
      <c r="W73" s="2">
        <f t="shared" si="7"/>
        <v>-3.0129116574467409</v>
      </c>
    </row>
    <row r="74" spans="1:23" x14ac:dyDescent="0.15">
      <c r="A74" s="1">
        <v>33116</v>
      </c>
      <c r="B74" s="2">
        <v>-9.3434868788559342</v>
      </c>
      <c r="C74" s="2">
        <v>-9.7731919772128357</v>
      </c>
      <c r="D74" s="2">
        <v>0.65720000000000001</v>
      </c>
      <c r="E74" s="4">
        <v>0.92020000000000002</v>
      </c>
      <c r="F74" s="2">
        <v>-6.6100331758319086</v>
      </c>
      <c r="G74" s="2">
        <v>-13.124684502776374</v>
      </c>
      <c r="H74" s="2">
        <v>-15.406624848684935</v>
      </c>
      <c r="I74" s="2">
        <v>-15.965547372362998</v>
      </c>
      <c r="J74" s="2">
        <v>-11.616515045486365</v>
      </c>
      <c r="K74" s="2">
        <v>-11.649944258639911</v>
      </c>
      <c r="L74" s="2">
        <v>-7.570022710068125</v>
      </c>
      <c r="M74" s="2">
        <v>-18.46454767726161</v>
      </c>
      <c r="N74" s="2">
        <v>-19.128831528001843</v>
      </c>
      <c r="O74" s="2">
        <v>-4.1910331384015675</v>
      </c>
      <c r="P74" s="2">
        <v>-10.410681088389385</v>
      </c>
      <c r="Q74" s="2">
        <v>-14.077765715977497</v>
      </c>
      <c r="R74" s="2">
        <v>-9.8546042003231022</v>
      </c>
      <c r="T74" s="2">
        <f t="shared" si="4"/>
        <v>-10.347353606422249</v>
      </c>
      <c r="U74" s="2">
        <f t="shared" si="5"/>
        <v>-8.2952467837486896</v>
      </c>
      <c r="V74" s="2">
        <f t="shared" si="6"/>
        <v>-7.8739433817694939</v>
      </c>
      <c r="W74" s="2">
        <f t="shared" si="7"/>
        <v>-12.159295020169663</v>
      </c>
    </row>
    <row r="75" spans="1:23" x14ac:dyDescent="0.15">
      <c r="A75" s="1">
        <v>33144</v>
      </c>
      <c r="B75" s="2">
        <v>-10.526187300179879</v>
      </c>
      <c r="C75" s="2">
        <v>-5.7070343201467093</v>
      </c>
      <c r="D75" s="2">
        <v>0.59839999999999993</v>
      </c>
      <c r="E75" s="4">
        <v>0.83589999999999998</v>
      </c>
      <c r="F75" s="2">
        <v>-7.9875127832499064</v>
      </c>
      <c r="G75" s="2">
        <v>-8.8030214991284161</v>
      </c>
      <c r="H75" s="2">
        <v>-21.497333159880316</v>
      </c>
      <c r="I75" s="2">
        <v>-11.467617349970293</v>
      </c>
      <c r="J75" s="2">
        <v>-28.186856690419638</v>
      </c>
      <c r="K75" s="2">
        <v>-21.608832807570977</v>
      </c>
      <c r="L75" s="2">
        <v>4.4226044226044259</v>
      </c>
      <c r="M75" s="2">
        <v>-9.7037303586422041</v>
      </c>
      <c r="N75" s="2">
        <v>-3.6192647477913953</v>
      </c>
      <c r="O75" s="2">
        <v>-5.6532480744077906</v>
      </c>
      <c r="P75" s="2">
        <v>1.1884550084889645</v>
      </c>
      <c r="Q75" s="2">
        <v>-8.6716820766094322</v>
      </c>
      <c r="R75" s="2">
        <v>-7.424475166410649</v>
      </c>
      <c r="T75" s="2">
        <f t="shared" si="4"/>
        <v>-2.1902085382619951</v>
      </c>
      <c r="U75" s="2">
        <f t="shared" si="5"/>
        <v>-3.3445550503105941</v>
      </c>
      <c r="V75" s="2">
        <f t="shared" si="6"/>
        <v>-4.5052944835454225</v>
      </c>
      <c r="W75" s="2">
        <f t="shared" si="7"/>
        <v>-9.9240396371528945</v>
      </c>
    </row>
    <row r="76" spans="1:23" x14ac:dyDescent="0.15">
      <c r="A76" s="1">
        <v>33177</v>
      </c>
      <c r="B76" s="2">
        <v>9.3560403076442746</v>
      </c>
      <c r="C76" s="2">
        <v>-1.5746718854733666</v>
      </c>
      <c r="D76" s="2">
        <v>0.68180000000000007</v>
      </c>
      <c r="E76" s="4">
        <v>0.60289999999999999</v>
      </c>
      <c r="F76" s="2">
        <v>9.2834162035682954</v>
      </c>
      <c r="G76" s="2">
        <v>1.3698630136986356</v>
      </c>
      <c r="H76" s="2">
        <v>13.66310381970337</v>
      </c>
      <c r="I76" s="2">
        <v>-7.852348993288583</v>
      </c>
      <c r="J76" s="2">
        <v>17.309812568908491</v>
      </c>
      <c r="K76" s="2">
        <v>6.0362173038229328</v>
      </c>
      <c r="L76" s="2">
        <v>-0.94117647058823417</v>
      </c>
      <c r="M76" s="2">
        <v>11.344314558979818</v>
      </c>
      <c r="N76" s="2">
        <v>-22.383205204021284</v>
      </c>
      <c r="O76" s="2">
        <v>-1.6635859519408602</v>
      </c>
      <c r="P76" s="2">
        <v>10.570469798657722</v>
      </c>
      <c r="Q76" s="2">
        <v>25.435452430359049</v>
      </c>
      <c r="R76" s="2">
        <v>5.143805309734506</v>
      </c>
      <c r="T76" s="2">
        <f t="shared" si="4"/>
        <v>0.21434327155520072</v>
      </c>
      <c r="U76" s="2">
        <f t="shared" si="5"/>
        <v>-0.41163313627681958</v>
      </c>
      <c r="V76" s="2">
        <f t="shared" si="6"/>
        <v>2.0121291986844594</v>
      </c>
      <c r="W76" s="2">
        <f t="shared" si="7"/>
        <v>5.1781644913533729</v>
      </c>
    </row>
    <row r="77" spans="1:23" x14ac:dyDescent="0.15">
      <c r="A77" s="1">
        <v>33207</v>
      </c>
      <c r="B77" s="2">
        <v>-1.6231893315022727</v>
      </c>
      <c r="C77" s="2">
        <v>6.3878136478957348</v>
      </c>
      <c r="D77" s="2">
        <v>0.56509999999999994</v>
      </c>
      <c r="E77" s="4">
        <v>0.22469999999999998</v>
      </c>
      <c r="F77" s="2">
        <v>-3.9449737715448019</v>
      </c>
      <c r="G77" s="2">
        <v>1.3827781269641903</v>
      </c>
      <c r="H77" s="2">
        <v>0.60504446712348336</v>
      </c>
      <c r="I77" s="2">
        <v>-1.3474144209759786</v>
      </c>
      <c r="J77" s="2">
        <v>7.8947368421052655</v>
      </c>
      <c r="K77" s="2">
        <v>19.924098671726753</v>
      </c>
      <c r="L77" s="2">
        <v>9.0261282660332398</v>
      </c>
      <c r="M77" s="2">
        <v>13.946552135528512</v>
      </c>
      <c r="N77" s="2">
        <v>15.390476190476177</v>
      </c>
      <c r="O77" s="2">
        <v>9.1791979949874758</v>
      </c>
      <c r="P77" s="2">
        <v>3.8947900859888751</v>
      </c>
      <c r="Q77" s="2">
        <v>-11.364547824343296</v>
      </c>
      <c r="R77" s="2">
        <v>3.2614413466596659</v>
      </c>
      <c r="T77" s="2">
        <f t="shared" si="4"/>
        <v>5.2044531964987151</v>
      </c>
      <c r="U77" s="2">
        <f t="shared" si="5"/>
        <v>6.5293681293283017</v>
      </c>
      <c r="V77" s="2">
        <f t="shared" si="6"/>
        <v>3.9107826541100259</v>
      </c>
      <c r="W77" s="2">
        <f t="shared" si="7"/>
        <v>5.2191006239022739</v>
      </c>
    </row>
    <row r="78" spans="1:23" x14ac:dyDescent="0.15">
      <c r="A78" s="1">
        <v>33238</v>
      </c>
      <c r="B78" s="2">
        <v>2.1133919169251891</v>
      </c>
      <c r="C78" s="2">
        <v>2.8633309231779425</v>
      </c>
      <c r="D78" s="2">
        <v>0.59889999999999999</v>
      </c>
      <c r="E78" s="4">
        <v>0</v>
      </c>
      <c r="F78" s="2">
        <v>-6.4307606575647824</v>
      </c>
      <c r="G78" s="2">
        <v>-5.8276503409795399</v>
      </c>
      <c r="H78" s="2">
        <v>-4.8329831171654121</v>
      </c>
      <c r="I78" s="2">
        <v>-2.7500922849760023</v>
      </c>
      <c r="J78" s="2">
        <v>9.0592334494773663</v>
      </c>
      <c r="K78" s="2">
        <v>16.99367088607595</v>
      </c>
      <c r="L78" s="2">
        <v>-0.54466230936819349</v>
      </c>
      <c r="M78" s="2">
        <v>6.1145429797926809</v>
      </c>
      <c r="N78" s="2">
        <v>6.5698250247606671</v>
      </c>
      <c r="O78" s="2">
        <v>7.5035868005738804</v>
      </c>
      <c r="P78" s="2">
        <v>6.6049983771502729</v>
      </c>
      <c r="Q78" s="2">
        <v>4.2814320456987742</v>
      </c>
      <c r="R78" s="2">
        <v>2.4707080998471742</v>
      </c>
      <c r="T78" s="2">
        <f t="shared" si="4"/>
        <v>-3.1861563251738669</v>
      </c>
      <c r="U78" s="2">
        <f t="shared" si="5"/>
        <v>0.37709138340871551</v>
      </c>
      <c r="V78" s="2">
        <f t="shared" si="6"/>
        <v>-1.324871626834659</v>
      </c>
      <c r="W78" s="2">
        <f t="shared" si="7"/>
        <v>3.0162960733325259</v>
      </c>
    </row>
    <row r="79" spans="1:23" x14ac:dyDescent="0.15">
      <c r="A79" s="1">
        <v>33269</v>
      </c>
      <c r="B79" s="2">
        <v>3.6764340626260328</v>
      </c>
      <c r="C79" s="2">
        <v>4.6431392780563296</v>
      </c>
      <c r="D79" s="2">
        <v>0.51770000000000005</v>
      </c>
      <c r="E79" s="4">
        <v>0.59789999999999999</v>
      </c>
      <c r="F79" s="2">
        <v>4.5321898636174307</v>
      </c>
      <c r="G79" s="2">
        <v>5.4641211323238847</v>
      </c>
      <c r="H79" s="2">
        <v>1.3628749809654117</v>
      </c>
      <c r="I79" s="2">
        <v>8.1229834883279608</v>
      </c>
      <c r="J79" s="2">
        <v>0</v>
      </c>
      <c r="K79" s="2">
        <v>29.077630511225316</v>
      </c>
      <c r="L79" s="2">
        <v>12.194231471339911</v>
      </c>
      <c r="M79" s="2">
        <v>23.719782930439081</v>
      </c>
      <c r="N79" s="2">
        <v>21.964064436183396</v>
      </c>
      <c r="O79" s="2">
        <v>2.9093820899506406</v>
      </c>
      <c r="P79" s="2">
        <v>-1.4766326685949016</v>
      </c>
      <c r="Q79" s="2">
        <v>2.9124633908232944</v>
      </c>
      <c r="R79" s="2">
        <v>9.6196868008948435</v>
      </c>
      <c r="T79" s="2">
        <f t="shared" si="4"/>
        <v>8.8291763018318985</v>
      </c>
      <c r="U79" s="2">
        <f t="shared" si="5"/>
        <v>6.8559115645381459</v>
      </c>
      <c r="V79" s="2">
        <f t="shared" si="6"/>
        <v>6.2749811393079664</v>
      </c>
      <c r="W79" s="2">
        <f t="shared" si="7"/>
        <v>9.2617521867304795</v>
      </c>
    </row>
    <row r="80" spans="1:23" x14ac:dyDescent="0.15">
      <c r="A80" s="1">
        <v>33297</v>
      </c>
      <c r="B80" s="2">
        <v>9.2748701309279582</v>
      </c>
      <c r="C80" s="2">
        <v>7.3797895450413709</v>
      </c>
      <c r="D80" s="2">
        <v>0.47670000000000001</v>
      </c>
      <c r="E80" s="4">
        <v>0.14859999999999998</v>
      </c>
      <c r="F80" s="2">
        <v>4.8085688240656177</v>
      </c>
      <c r="G80" s="2">
        <v>10.1123595505618</v>
      </c>
      <c r="H80" s="2">
        <v>14.992864117779625</v>
      </c>
      <c r="I80" s="2">
        <v>16.517465332631186</v>
      </c>
      <c r="J80" s="2">
        <v>11.90095846645367</v>
      </c>
      <c r="K80" s="2">
        <v>3.3738474434199528</v>
      </c>
      <c r="L80" s="2">
        <v>2.538236251220316</v>
      </c>
      <c r="M80" s="2">
        <v>-0.71776058696866318</v>
      </c>
      <c r="N80" s="2">
        <v>19.939039878079768</v>
      </c>
      <c r="O80" s="2">
        <v>7.0807936713785491</v>
      </c>
      <c r="P80" s="2">
        <v>5.9177997527811943</v>
      </c>
      <c r="Q80" s="2">
        <v>9.3544137022397944</v>
      </c>
      <c r="R80" s="2">
        <v>10.249433106575957</v>
      </c>
      <c r="T80" s="2">
        <f t="shared" si="4"/>
        <v>6.3252979008910586</v>
      </c>
      <c r="U80" s="2">
        <f t="shared" si="5"/>
        <v>6.5771298243868896</v>
      </c>
      <c r="V80" s="2">
        <f t="shared" si="6"/>
        <v>6.1349895743065712</v>
      </c>
      <c r="W80" s="2">
        <f t="shared" si="7"/>
        <v>8.9283091930937513</v>
      </c>
    </row>
    <row r="81" spans="1:23" x14ac:dyDescent="0.15">
      <c r="A81" s="1">
        <v>33326</v>
      </c>
      <c r="B81" s="2">
        <v>-2.9315843797326768</v>
      </c>
      <c r="C81" s="2">
        <v>2.8357031149117029</v>
      </c>
      <c r="D81" s="2">
        <v>0.43909999999999999</v>
      </c>
      <c r="E81" s="4">
        <v>0.1484</v>
      </c>
      <c r="F81" s="2">
        <v>-6.7297238530115262</v>
      </c>
      <c r="G81" s="2">
        <v>-4.4217687074829986</v>
      </c>
      <c r="H81" s="2">
        <v>-9.7981579463057855E-2</v>
      </c>
      <c r="I81" s="2">
        <v>-0.76830370593551356</v>
      </c>
      <c r="J81" s="2">
        <v>3.7116345467523404</v>
      </c>
      <c r="K81" s="2">
        <v>18.771538617474135</v>
      </c>
      <c r="L81" s="2">
        <v>-11.551888289431933</v>
      </c>
      <c r="M81" s="2">
        <v>-9.5670334966664115</v>
      </c>
      <c r="N81" s="2">
        <v>7.5180008470986825</v>
      </c>
      <c r="O81" s="2">
        <v>12.20782366476929</v>
      </c>
      <c r="P81" s="2">
        <v>-6.2290299051787068</v>
      </c>
      <c r="Q81" s="2">
        <v>-9.1373493975903557</v>
      </c>
      <c r="R81" s="2">
        <v>10.324969148498564</v>
      </c>
      <c r="T81" s="2">
        <f t="shared" si="4"/>
        <v>-7.9868284984574656</v>
      </c>
      <c r="U81" s="2">
        <f t="shared" si="5"/>
        <v>-1.2552777773818804</v>
      </c>
      <c r="V81" s="2">
        <f t="shared" si="6"/>
        <v>-2.6238892962892919</v>
      </c>
      <c r="W81" s="2">
        <f t="shared" si="7"/>
        <v>0.31006829921788531</v>
      </c>
    </row>
    <row r="82" spans="1:23" x14ac:dyDescent="0.15">
      <c r="A82" s="1">
        <v>33358</v>
      </c>
      <c r="B82" s="2">
        <v>0.79862030212058954</v>
      </c>
      <c r="C82" s="2">
        <v>0.11859350888894227</v>
      </c>
      <c r="D82" s="2">
        <v>0.53350000000000009</v>
      </c>
      <c r="E82" s="4">
        <v>0.14809999999999998</v>
      </c>
      <c r="F82" s="2">
        <v>3.9515094999417189</v>
      </c>
      <c r="G82" s="2">
        <v>-5.3084223013048604</v>
      </c>
      <c r="H82" s="2">
        <v>6.6300510003923119</v>
      </c>
      <c r="I82" s="2">
        <v>1.6244117200546526</v>
      </c>
      <c r="J82" s="2">
        <v>-9.4975911906400654</v>
      </c>
      <c r="K82" s="2">
        <v>-19.115890083632014</v>
      </c>
      <c r="L82" s="2">
        <v>-9.5443128812342959</v>
      </c>
      <c r="M82" s="2">
        <v>-20.953988275004441</v>
      </c>
      <c r="N82" s="2">
        <v>2.2454205239314629</v>
      </c>
      <c r="O82" s="2">
        <v>-2.8386400431732239</v>
      </c>
      <c r="P82" s="2">
        <v>2.5980087118855133</v>
      </c>
      <c r="Q82" s="2">
        <v>4.7310915455606173</v>
      </c>
      <c r="R82" s="2">
        <v>-2.4981357196122267</v>
      </c>
      <c r="T82" s="2">
        <f t="shared" si="4"/>
        <v>-7.4263675912695781</v>
      </c>
      <c r="U82" s="2">
        <f t="shared" si="5"/>
        <v>-5.8971250752374607</v>
      </c>
      <c r="V82" s="2">
        <f t="shared" si="6"/>
        <v>-3.4349664314426658</v>
      </c>
      <c r="W82" s="2">
        <f t="shared" si="7"/>
        <v>-3.690499037910373</v>
      </c>
    </row>
    <row r="83" spans="1:23" x14ac:dyDescent="0.15">
      <c r="A83" s="1">
        <v>33389</v>
      </c>
      <c r="B83" s="2">
        <v>2.2826818576579644</v>
      </c>
      <c r="C83" s="2">
        <v>3.6614528752034525</v>
      </c>
      <c r="D83" s="2">
        <v>0.47210000000000002</v>
      </c>
      <c r="E83" s="4">
        <v>0.2959</v>
      </c>
      <c r="F83" s="2">
        <v>-2.7304328324736393</v>
      </c>
      <c r="G83" s="2">
        <v>21.922956467272158</v>
      </c>
      <c r="H83" s="2">
        <v>2.6612705420652416</v>
      </c>
      <c r="I83" s="2">
        <v>13.459814759486122</v>
      </c>
      <c r="J83" s="2">
        <v>14.296577946768064</v>
      </c>
      <c r="K83" s="2">
        <v>-14.327917282127023</v>
      </c>
      <c r="L83" s="2">
        <v>4.2046806822689353</v>
      </c>
      <c r="M83" s="2">
        <v>-22.732891336105176</v>
      </c>
      <c r="N83" s="2">
        <v>6.1259872856867625</v>
      </c>
      <c r="O83" s="2">
        <v>1.444123528104857</v>
      </c>
      <c r="P83" s="2">
        <v>2.6990144048521625</v>
      </c>
      <c r="Q83" s="2">
        <v>-3.1044262129038769</v>
      </c>
      <c r="R83" s="2">
        <v>2.1032504780114758</v>
      </c>
      <c r="T83" s="2">
        <f t="shared" si="4"/>
        <v>13.063818574770547</v>
      </c>
      <c r="U83" s="2">
        <f t="shared" si="5"/>
        <v>9.1905868925486498</v>
      </c>
      <c r="V83" s="2">
        <f t="shared" si="6"/>
        <v>6.2103319612930781</v>
      </c>
      <c r="W83" s="2">
        <f t="shared" si="7"/>
        <v>2.0016929562235428</v>
      </c>
    </row>
    <row r="84" spans="1:23" x14ac:dyDescent="0.15">
      <c r="A84" s="1">
        <v>33417</v>
      </c>
      <c r="B84" s="2">
        <v>-6.1575439574209518</v>
      </c>
      <c r="C84" s="2">
        <v>-4.6734726251515752</v>
      </c>
      <c r="D84" s="2">
        <v>0.41710000000000003</v>
      </c>
      <c r="E84" s="4">
        <v>0.22200000000000003</v>
      </c>
      <c r="F84" s="2">
        <v>0.54181797221741768</v>
      </c>
      <c r="G84" s="2">
        <v>-5.4970459799640441</v>
      </c>
      <c r="H84" s="2">
        <v>-10.416915541751292</v>
      </c>
      <c r="I84" s="2">
        <v>-2.3831468071099482</v>
      </c>
      <c r="J84" s="2">
        <v>-3.9920159680638667</v>
      </c>
      <c r="K84" s="2">
        <v>-11.699507389162566</v>
      </c>
      <c r="L84" s="2">
        <v>-8.4507042253521121</v>
      </c>
      <c r="M84" s="2">
        <v>-18.615474112856312</v>
      </c>
      <c r="N84" s="2">
        <v>-6.2261753494281979</v>
      </c>
      <c r="O84" s="2">
        <v>-6.9864213753832782</v>
      </c>
      <c r="P84" s="2">
        <v>-12.210246567252314</v>
      </c>
      <c r="Q84" s="2">
        <v>-7.3746929389013722</v>
      </c>
      <c r="R84" s="2">
        <v>4.6629213483146081</v>
      </c>
      <c r="T84" s="2">
        <f t="shared" si="4"/>
        <v>-6.9738751026580781</v>
      </c>
      <c r="U84" s="2">
        <f t="shared" si="5"/>
        <v>-6.9780571935664781</v>
      </c>
      <c r="V84" s="2">
        <f t="shared" si="6"/>
        <v>-5.0980884021205046</v>
      </c>
      <c r="W84" s="2">
        <f t="shared" si="7"/>
        <v>-6.8190466872840982</v>
      </c>
    </row>
    <row r="85" spans="1:23" x14ac:dyDescent="0.15">
      <c r="A85" s="1">
        <v>33450</v>
      </c>
      <c r="B85" s="2">
        <v>4.740103852011357</v>
      </c>
      <c r="C85" s="2">
        <v>4.5246469438466663</v>
      </c>
      <c r="D85" s="2">
        <v>0.48840000000000006</v>
      </c>
      <c r="E85" s="4">
        <v>0.14710000000000001</v>
      </c>
      <c r="F85" s="2">
        <v>0.60196067190276814</v>
      </c>
      <c r="G85" s="2">
        <v>-2.4463169339494439</v>
      </c>
      <c r="H85" s="2">
        <v>9.8013068409121153</v>
      </c>
      <c r="I85" s="2">
        <v>-5.8133261397356417</v>
      </c>
      <c r="J85" s="2">
        <v>-2.6334026334026372</v>
      </c>
      <c r="K85" s="2">
        <v>11.464435146443531</v>
      </c>
      <c r="L85" s="2">
        <v>4.2411642411642303</v>
      </c>
      <c r="M85" s="2">
        <v>12.044317369549674</v>
      </c>
      <c r="N85" s="2">
        <v>5.9039876113046841</v>
      </c>
      <c r="O85" s="2">
        <v>6.2161525782905569</v>
      </c>
      <c r="P85" s="2">
        <v>7.0131180625630618</v>
      </c>
      <c r="Q85" s="2">
        <v>7.04209457171876</v>
      </c>
      <c r="R85" s="2">
        <v>-5.9581320450885595</v>
      </c>
      <c r="T85" s="2">
        <f t="shared" si="4"/>
        <v>0.89742365360739318</v>
      </c>
      <c r="U85" s="2">
        <f t="shared" si="5"/>
        <v>2.6703332951684478</v>
      </c>
      <c r="V85" s="2">
        <f t="shared" si="6"/>
        <v>2.153240139352028</v>
      </c>
      <c r="W85" s="2">
        <f t="shared" si="7"/>
        <v>3.652104564744084</v>
      </c>
    </row>
    <row r="86" spans="1:23" x14ac:dyDescent="0.15">
      <c r="A86" s="1">
        <v>33480</v>
      </c>
      <c r="B86" s="2">
        <v>-0.30096878786068926</v>
      </c>
      <c r="C86" s="2">
        <v>2.4056299566366013</v>
      </c>
      <c r="D86" s="2">
        <v>0.46100000000000002</v>
      </c>
      <c r="E86" s="4">
        <v>0.29370000000000002</v>
      </c>
      <c r="F86" s="2">
        <v>-6.2115340779576034</v>
      </c>
      <c r="G86" s="2">
        <v>-3.3992755642240136</v>
      </c>
      <c r="H86" s="2">
        <v>4.9550643672577221</v>
      </c>
      <c r="I86" s="2">
        <v>-7.0886438493484194</v>
      </c>
      <c r="J86" s="2">
        <v>-11.743772241992879</v>
      </c>
      <c r="K86" s="2">
        <v>14.864864864864868</v>
      </c>
      <c r="L86" s="2">
        <v>-3.1910650179497457</v>
      </c>
      <c r="M86" s="2">
        <v>0.71770334928229484</v>
      </c>
      <c r="N86" s="2">
        <v>-1.6267592761835092</v>
      </c>
      <c r="O86" s="2">
        <v>6.6947461760141769</v>
      </c>
      <c r="P86" s="2">
        <v>-0.42432814710041677</v>
      </c>
      <c r="Q86" s="2">
        <v>-11.412756984712702</v>
      </c>
      <c r="R86" s="2">
        <v>5.4033485540334825</v>
      </c>
      <c r="T86" s="2">
        <f t="shared" si="4"/>
        <v>-3.2951702910868796</v>
      </c>
      <c r="U86" s="2">
        <f t="shared" si="5"/>
        <v>3.4801864613472532E-2</v>
      </c>
      <c r="V86" s="2">
        <f t="shared" si="6"/>
        <v>-1.5267821210292969</v>
      </c>
      <c r="W86" s="2">
        <f t="shared" si="7"/>
        <v>-0.95864675753974993</v>
      </c>
    </row>
    <row r="87" spans="1:23" x14ac:dyDescent="0.15">
      <c r="A87" s="1">
        <v>33511</v>
      </c>
      <c r="B87" s="2">
        <v>2.6398172282902754</v>
      </c>
      <c r="C87" s="2">
        <v>-1.3457038660989129</v>
      </c>
      <c r="D87" s="2">
        <v>0.45580000000000004</v>
      </c>
      <c r="E87" s="4">
        <v>0.22039999999999998</v>
      </c>
      <c r="F87" s="2">
        <v>6.2218981650261407</v>
      </c>
      <c r="G87" s="2">
        <v>-1.6440726853187204</v>
      </c>
      <c r="H87" s="2">
        <v>-2.6209210830826279</v>
      </c>
      <c r="I87" s="2">
        <v>-3.6066584463625095</v>
      </c>
      <c r="J87" s="2">
        <v>-17.258064516129036</v>
      </c>
      <c r="K87" s="2">
        <v>-6.6013071895424824</v>
      </c>
      <c r="L87" s="2">
        <v>6.9633292130202085</v>
      </c>
      <c r="M87" s="2">
        <v>-2.1377672209026088</v>
      </c>
      <c r="N87" s="2">
        <v>-6.1315496098104934</v>
      </c>
      <c r="O87" s="2">
        <v>-1.6102223145647243</v>
      </c>
      <c r="P87" s="2">
        <v>8.5227272727272698</v>
      </c>
      <c r="Q87" s="2">
        <v>15.078845581672118</v>
      </c>
      <c r="R87" s="2">
        <v>6.1191335740072184</v>
      </c>
      <c r="T87" s="2">
        <f t="shared" si="4"/>
        <v>2.659628263850744</v>
      </c>
      <c r="U87" s="2">
        <f t="shared" si="5"/>
        <v>1.2363447377122545</v>
      </c>
      <c r="V87" s="2">
        <f t="shared" si="6"/>
        <v>2.482733094540726</v>
      </c>
      <c r="W87" s="2">
        <f t="shared" si="7"/>
        <v>9.9643903133827233E-2</v>
      </c>
    </row>
    <row r="88" spans="1:23" x14ac:dyDescent="0.15">
      <c r="A88" s="1">
        <v>33542</v>
      </c>
      <c r="B88" s="2">
        <v>1.6383573912081451</v>
      </c>
      <c r="C88" s="2">
        <v>1.68564384864196</v>
      </c>
      <c r="D88" s="2">
        <v>0.42</v>
      </c>
      <c r="E88" s="4">
        <v>0.15</v>
      </c>
      <c r="F88" s="2">
        <v>1.1325935247683327</v>
      </c>
      <c r="G88" s="2">
        <v>-6.0410557184750751</v>
      </c>
      <c r="H88" s="2">
        <v>-5.2759788485532644</v>
      </c>
      <c r="I88" s="2">
        <v>-8.250719539494721</v>
      </c>
      <c r="J88" s="2">
        <v>25.048732943469808</v>
      </c>
      <c r="K88" s="2">
        <v>4.0354560298577091</v>
      </c>
      <c r="L88" s="2">
        <v>-5.1617873651772062</v>
      </c>
      <c r="M88" s="2">
        <v>-17.45954692556634</v>
      </c>
      <c r="N88" s="2">
        <v>1.761678543151235</v>
      </c>
      <c r="O88" s="2">
        <v>1.3937282229965042</v>
      </c>
      <c r="P88" s="2">
        <v>-0.55264688772542758</v>
      </c>
      <c r="Q88" s="2">
        <v>1.4168261026940243</v>
      </c>
      <c r="R88" s="2">
        <v>1.1226399047457036</v>
      </c>
      <c r="T88" s="2">
        <f t="shared" si="4"/>
        <v>-5.6014215418261406</v>
      </c>
      <c r="U88" s="2">
        <f t="shared" si="5"/>
        <v>-3.2697049535519258</v>
      </c>
      <c r="V88" s="2">
        <f t="shared" si="6"/>
        <v>-2.1691303339718608</v>
      </c>
      <c r="W88" s="2">
        <f t="shared" si="7"/>
        <v>-0.52539077025451664</v>
      </c>
    </row>
    <row r="89" spans="1:23" x14ac:dyDescent="0.15">
      <c r="A89" s="1">
        <v>33571</v>
      </c>
      <c r="B89" s="2">
        <v>-4.3410136431857316</v>
      </c>
      <c r="C89" s="2">
        <v>-4.1262594954663445</v>
      </c>
      <c r="D89" s="2">
        <v>0.39</v>
      </c>
      <c r="E89" s="4">
        <v>0.28999999999999998</v>
      </c>
      <c r="F89" s="2">
        <v>-7.2171945701357432</v>
      </c>
      <c r="G89" s="2">
        <v>-11.423220973782765</v>
      </c>
      <c r="H89" s="2">
        <v>4.8547952079282419</v>
      </c>
      <c r="I89" s="2">
        <v>-11.519693272917387</v>
      </c>
      <c r="J89" s="2">
        <v>-7.0148090413094444</v>
      </c>
      <c r="K89" s="2">
        <v>-1.2331838565022402</v>
      </c>
      <c r="L89" s="2">
        <v>-4.6709991876523134</v>
      </c>
      <c r="M89" s="2">
        <v>-15.859635365614588</v>
      </c>
      <c r="N89" s="2">
        <v>-4.4738377747519991</v>
      </c>
      <c r="O89" s="2">
        <v>-2.2701239196084466</v>
      </c>
      <c r="P89" s="2">
        <v>3.1441942088329844</v>
      </c>
      <c r="Q89" s="2">
        <v>-10.829551827869267</v>
      </c>
      <c r="R89" s="2">
        <v>-2.4558452481076576</v>
      </c>
      <c r="T89" s="2">
        <f t="shared" si="4"/>
        <v>-8.0471100807175393</v>
      </c>
      <c r="U89" s="2">
        <f t="shared" si="5"/>
        <v>-6.1214480270145089</v>
      </c>
      <c r="V89" s="2">
        <f t="shared" si="6"/>
        <v>-6.3953846627948172</v>
      </c>
      <c r="W89" s="2">
        <f t="shared" si="7"/>
        <v>-5.4591619708838941</v>
      </c>
    </row>
    <row r="90" spans="1:23" x14ac:dyDescent="0.15">
      <c r="A90" s="1">
        <v>33603</v>
      </c>
      <c r="B90" s="2">
        <v>7.2975525484356041</v>
      </c>
      <c r="C90" s="2">
        <v>10.715371822936515</v>
      </c>
      <c r="D90" s="2">
        <v>0.38</v>
      </c>
      <c r="E90" s="4">
        <v>7.0000000000000007E-2</v>
      </c>
      <c r="F90" s="2">
        <v>7.3884418434527976</v>
      </c>
      <c r="G90" s="2">
        <v>-6.095842142353769</v>
      </c>
      <c r="H90" s="2">
        <v>7.106538254471495</v>
      </c>
      <c r="I90" s="2">
        <v>17.175497340949384</v>
      </c>
      <c r="J90" s="2">
        <v>2.5146689019279078</v>
      </c>
      <c r="K90" s="2">
        <v>11.078320090805915</v>
      </c>
      <c r="L90" s="2">
        <v>-3.7920749893480932</v>
      </c>
      <c r="M90" s="2">
        <v>10.484622553588064</v>
      </c>
      <c r="N90" s="2">
        <v>18.75381795968234</v>
      </c>
      <c r="O90" s="2">
        <v>16.590303676078854</v>
      </c>
      <c r="P90" s="2">
        <v>7.9398837374166975</v>
      </c>
      <c r="Q90" s="2">
        <v>6.6441763394133435</v>
      </c>
      <c r="R90" s="2">
        <v>-1.0691498534229904</v>
      </c>
      <c r="T90" s="2">
        <f t="shared" si="4"/>
        <v>-4.9439585658509309</v>
      </c>
      <c r="U90" s="2">
        <f t="shared" si="5"/>
        <v>2.234128848125664</v>
      </c>
      <c r="V90" s="2">
        <f t="shared" si="6"/>
        <v>3.5227070969574474</v>
      </c>
      <c r="W90" s="2">
        <f t="shared" si="7"/>
        <v>7.2860925932816887</v>
      </c>
    </row>
    <row r="91" spans="1:23" x14ac:dyDescent="0.15">
      <c r="A91" s="1">
        <v>33634</v>
      </c>
      <c r="B91" s="2">
        <v>-1.8347168172632045</v>
      </c>
      <c r="C91" s="2">
        <v>-0.32986068149760683</v>
      </c>
      <c r="D91" s="2">
        <v>0.34</v>
      </c>
      <c r="E91" s="4">
        <v>0.15</v>
      </c>
      <c r="F91" s="2">
        <v>-3.0540417801998121</v>
      </c>
      <c r="G91" s="2">
        <v>12.120075046904311</v>
      </c>
      <c r="H91" s="2">
        <v>7.0203853672158534</v>
      </c>
      <c r="I91" s="2">
        <v>9.7663472852580249</v>
      </c>
      <c r="J91" s="2">
        <v>22.322158626328694</v>
      </c>
      <c r="K91" s="2">
        <v>14.857960351522582</v>
      </c>
      <c r="L91" s="2">
        <v>1.107174490699725</v>
      </c>
      <c r="M91" s="2">
        <v>13.264445381695488</v>
      </c>
      <c r="N91" s="2">
        <v>3.9437585733882008</v>
      </c>
      <c r="O91" s="2">
        <v>-7.3204167428258078</v>
      </c>
      <c r="P91" s="2">
        <v>2.3906475765138602</v>
      </c>
      <c r="Q91" s="2">
        <v>-3.7692348935713826</v>
      </c>
      <c r="R91" s="2">
        <v>7.8438208122712183</v>
      </c>
      <c r="T91" s="2">
        <f t="shared" si="4"/>
        <v>6.6136247688020182</v>
      </c>
      <c r="U91" s="2">
        <f t="shared" si="5"/>
        <v>1.9689442649260762</v>
      </c>
      <c r="V91" s="2">
        <f t="shared" si="6"/>
        <v>0.71319775364460414</v>
      </c>
      <c r="W91" s="2">
        <f t="shared" si="7"/>
        <v>6.191775391938533</v>
      </c>
    </row>
    <row r="92" spans="1:23" x14ac:dyDescent="0.15">
      <c r="A92" s="1">
        <v>33662</v>
      </c>
      <c r="B92" s="2">
        <v>-1.7086491590740938</v>
      </c>
      <c r="C92" s="2">
        <v>1.0795055328382652</v>
      </c>
      <c r="D92" s="2">
        <v>0.28000000000000003</v>
      </c>
      <c r="E92" s="4">
        <v>0.36</v>
      </c>
      <c r="F92" s="2">
        <v>-3.1678182456962078</v>
      </c>
      <c r="G92" s="2">
        <v>17.168674698795193</v>
      </c>
      <c r="H92" s="2">
        <v>3.005949274605979</v>
      </c>
      <c r="I92" s="2">
        <v>20.490045941807033</v>
      </c>
      <c r="J92" s="2">
        <v>18.24866310160429</v>
      </c>
      <c r="K92" s="2">
        <v>4.4483985765124467</v>
      </c>
      <c r="L92" s="2">
        <v>-2.1462987297415692</v>
      </c>
      <c r="M92" s="2">
        <v>0.83783280580898012</v>
      </c>
      <c r="N92" s="2">
        <v>23.21016166281753</v>
      </c>
      <c r="O92" s="2">
        <v>0.27610689281134526</v>
      </c>
      <c r="P92" s="2">
        <v>-2.2450288646568284</v>
      </c>
      <c r="Q92" s="2">
        <v>-4.4183195899264565</v>
      </c>
      <c r="R92" s="2">
        <v>3.1679327622434084</v>
      </c>
      <c r="T92" s="2">
        <f t="shared" si="4"/>
        <v>7.5111879845268117</v>
      </c>
      <c r="U92" s="2">
        <f t="shared" si="5"/>
        <v>5.0994942872883229</v>
      </c>
      <c r="V92" s="2">
        <f t="shared" si="6"/>
        <v>3.0326661540421904</v>
      </c>
      <c r="W92" s="2">
        <f t="shared" si="7"/>
        <v>6.0674077143834726</v>
      </c>
    </row>
    <row r="93" spans="1:23" x14ac:dyDescent="0.15">
      <c r="A93" s="1">
        <v>33694</v>
      </c>
      <c r="B93" s="2">
        <v>-4.6936788398873164</v>
      </c>
      <c r="C93" s="2">
        <v>-2.6947497697267453</v>
      </c>
      <c r="D93" s="2">
        <v>0.34</v>
      </c>
      <c r="E93" s="4">
        <v>0.51</v>
      </c>
      <c r="F93" s="2">
        <v>-7.7402189030658537</v>
      </c>
      <c r="G93" s="2">
        <v>-2.3136246786632508</v>
      </c>
      <c r="H93" s="2">
        <v>1.6820346539669684</v>
      </c>
      <c r="I93" s="2">
        <v>4.4229791560752574</v>
      </c>
      <c r="J93" s="2">
        <v>6.1051441492368408</v>
      </c>
      <c r="K93" s="2">
        <v>-13.713798977853497</v>
      </c>
      <c r="L93" s="2">
        <v>-3.8943598925693879</v>
      </c>
      <c r="M93" s="2">
        <v>-12.869276218611525</v>
      </c>
      <c r="N93" s="2">
        <v>10.536885794617756</v>
      </c>
      <c r="O93" s="2">
        <v>-1.9765955354508868</v>
      </c>
      <c r="P93" s="2">
        <v>11.076115485564308</v>
      </c>
      <c r="Q93" s="2">
        <v>-6.435441562226762</v>
      </c>
      <c r="R93" s="2">
        <v>0.76766410778632554</v>
      </c>
      <c r="T93" s="2">
        <f t="shared" si="4"/>
        <v>-3.1039922856163193</v>
      </c>
      <c r="U93" s="2">
        <f t="shared" si="5"/>
        <v>-2.7281933688945088</v>
      </c>
      <c r="V93" s="2">
        <f t="shared" si="6"/>
        <v>-3.9811997524373446</v>
      </c>
      <c r="W93" s="2">
        <f t="shared" si="7"/>
        <v>-1.104037878553362</v>
      </c>
    </row>
    <row r="94" spans="1:23" x14ac:dyDescent="0.15">
      <c r="A94" s="1">
        <v>33724</v>
      </c>
      <c r="B94" s="2">
        <v>1.4116751757669688</v>
      </c>
      <c r="C94" s="2">
        <v>1.1904461396325727</v>
      </c>
      <c r="D94" s="2">
        <v>0.32</v>
      </c>
      <c r="E94" s="4">
        <v>0.14000000000000001</v>
      </c>
      <c r="F94" s="2">
        <v>7.9766664481877303</v>
      </c>
      <c r="G94" s="2">
        <v>13.304093567251464</v>
      </c>
      <c r="H94" s="2">
        <v>2.9895366218224417E-2</v>
      </c>
      <c r="I94" s="2">
        <v>19.340311587147021</v>
      </c>
      <c r="J94" s="2">
        <v>7.6718167288226002</v>
      </c>
      <c r="K94" s="2">
        <v>3.2181638696939796</v>
      </c>
      <c r="L94" s="2">
        <v>8.6632510479739189</v>
      </c>
      <c r="M94" s="2">
        <v>-10.002119093028183</v>
      </c>
      <c r="N94" s="2">
        <v>-0.61773255813953876</v>
      </c>
      <c r="O94" s="2">
        <v>-5.1565008025682202</v>
      </c>
      <c r="P94" s="2">
        <v>8.3884688090737356</v>
      </c>
      <c r="Q94" s="2">
        <v>-0.7787676780262931</v>
      </c>
      <c r="R94" s="2">
        <v>-4.3376865671641891</v>
      </c>
      <c r="T94" s="2">
        <f t="shared" si="4"/>
        <v>10.983672307612691</v>
      </c>
      <c r="U94" s="2">
        <f t="shared" si="5"/>
        <v>5.6036146042190538</v>
      </c>
      <c r="V94" s="2">
        <f t="shared" si="6"/>
        <v>6.1968775652112225</v>
      </c>
      <c r="W94" s="2">
        <f t="shared" si="7"/>
        <v>3.6692200558032506</v>
      </c>
    </row>
    <row r="95" spans="1:23" x14ac:dyDescent="0.15">
      <c r="A95" s="1">
        <v>33753</v>
      </c>
      <c r="B95" s="2">
        <v>3.9959918296366359</v>
      </c>
      <c r="C95" s="2">
        <v>0.31955496794473515</v>
      </c>
      <c r="D95" s="2">
        <v>0.28000000000000003</v>
      </c>
      <c r="E95" s="4">
        <v>0.14000000000000001</v>
      </c>
      <c r="F95" s="2">
        <v>5.1414349884666644</v>
      </c>
      <c r="G95" s="2">
        <v>-3.9225806451612888</v>
      </c>
      <c r="H95" s="2">
        <v>11.192468619246876</v>
      </c>
      <c r="I95" s="2">
        <v>-2.2029576746557922</v>
      </c>
      <c r="J95" s="2">
        <v>-5.8386937159821795</v>
      </c>
      <c r="K95" s="2">
        <v>-0.61208875286915543</v>
      </c>
      <c r="L95" s="2">
        <v>1.2858979854264874</v>
      </c>
      <c r="M95" s="2">
        <v>13.232870261360951</v>
      </c>
      <c r="N95" s="2">
        <v>-4.9969530773918303</v>
      </c>
      <c r="O95" s="2">
        <v>2.1895493970806035</v>
      </c>
      <c r="P95" s="2">
        <v>6.9871375626771259</v>
      </c>
      <c r="Q95" s="2">
        <v>4.5209092050734645</v>
      </c>
      <c r="R95" s="2">
        <v>3.0229156509020028</v>
      </c>
      <c r="T95" s="2">
        <f t="shared" si="4"/>
        <v>-1.3183413298674007</v>
      </c>
      <c r="U95" s="2">
        <f t="shared" si="5"/>
        <v>-0.14904442088473266</v>
      </c>
      <c r="V95" s="2">
        <f t="shared" si="6"/>
        <v>1.1735754314531166</v>
      </c>
      <c r="W95" s="2">
        <f t="shared" si="7"/>
        <v>2.3076853695518413</v>
      </c>
    </row>
    <row r="96" spans="1:23" x14ac:dyDescent="0.15">
      <c r="A96" s="1">
        <v>33785</v>
      </c>
      <c r="B96" s="2">
        <v>-3.3318321977228282</v>
      </c>
      <c r="C96" s="2">
        <v>-2.267556216446065</v>
      </c>
      <c r="D96" s="2">
        <v>0.32</v>
      </c>
      <c r="E96" s="4">
        <v>0.36</v>
      </c>
      <c r="F96" s="2">
        <v>-1.5241614225506517</v>
      </c>
      <c r="G96" s="2">
        <v>11.415525114155244</v>
      </c>
      <c r="H96" s="2">
        <v>1.8949065985754521</v>
      </c>
      <c r="I96" s="2">
        <v>3.3788716237355354</v>
      </c>
      <c r="J96" s="2">
        <v>17.393589069889636</v>
      </c>
      <c r="K96" s="2">
        <v>-19.495765973826018</v>
      </c>
      <c r="L96" s="2">
        <v>7.8713499788404473</v>
      </c>
      <c r="M96" s="2">
        <v>-7.0076939072572291</v>
      </c>
      <c r="N96" s="2">
        <v>-9.0955740859525296</v>
      </c>
      <c r="O96" s="2">
        <v>3.250181140668662</v>
      </c>
      <c r="P96" s="2">
        <v>5.1146204788588889</v>
      </c>
      <c r="Q96" s="2">
        <v>-5.034242460651206</v>
      </c>
      <c r="R96" s="2">
        <v>-8.3451648525003854</v>
      </c>
      <c r="T96" s="2">
        <f t="shared" si="4"/>
        <v>9.6434375464978466</v>
      </c>
      <c r="U96" s="2">
        <f t="shared" si="5"/>
        <v>7.5123520778881181</v>
      </c>
      <c r="V96" s="2">
        <f t="shared" si="6"/>
        <v>5.253223702778425</v>
      </c>
      <c r="W96" s="2">
        <f t="shared" si="7"/>
        <v>-1.411989984724225E-2</v>
      </c>
    </row>
    <row r="97" spans="1:23" x14ac:dyDescent="0.15">
      <c r="A97" s="1">
        <v>33816</v>
      </c>
      <c r="B97" s="2">
        <v>0.27372758538066755</v>
      </c>
      <c r="C97" s="2">
        <v>3.9062977060391857</v>
      </c>
      <c r="D97" s="2">
        <v>0.31</v>
      </c>
      <c r="E97" s="4">
        <v>0.21</v>
      </c>
      <c r="F97" s="2">
        <v>-3.1775810517676084</v>
      </c>
      <c r="G97" s="2">
        <v>-5.4001928640308616</v>
      </c>
      <c r="H97" s="2">
        <v>-3.5742548140332286</v>
      </c>
      <c r="I97" s="2">
        <v>0.6355291031978183</v>
      </c>
      <c r="J97" s="2">
        <v>3.5810205908684001</v>
      </c>
      <c r="K97" s="2">
        <v>-2.6057853215395776</v>
      </c>
      <c r="L97" s="2">
        <v>-3.2169478226755643</v>
      </c>
      <c r="M97" s="2">
        <v>18.582289803220032</v>
      </c>
      <c r="N97" s="2">
        <v>6.7033587355348478</v>
      </c>
      <c r="O97" s="2">
        <v>-0.45112781954886882</v>
      </c>
      <c r="P97" s="2">
        <v>3.7026267325773077</v>
      </c>
      <c r="Q97" s="2">
        <v>-8.8562753036425246E-2</v>
      </c>
      <c r="R97" s="2">
        <v>-1.9965576592082646</v>
      </c>
      <c r="T97" s="2">
        <f t="shared" si="4"/>
        <v>-4.308570343353213</v>
      </c>
      <c r="U97" s="2">
        <f t="shared" si="5"/>
        <v>-3.0227561687517652</v>
      </c>
      <c r="V97" s="2">
        <f t="shared" si="6"/>
        <v>-3.061462389505726</v>
      </c>
      <c r="W97" s="2">
        <f t="shared" si="7"/>
        <v>0.97644729688907728</v>
      </c>
    </row>
    <row r="98" spans="1:23" x14ac:dyDescent="0.15">
      <c r="A98" s="1">
        <v>33847</v>
      </c>
      <c r="B98" s="2">
        <v>2.4506050339248908</v>
      </c>
      <c r="C98" s="2">
        <v>-2.4207549248870586</v>
      </c>
      <c r="D98" s="2">
        <v>0.26</v>
      </c>
      <c r="E98" s="4">
        <v>0.28000000000000003</v>
      </c>
      <c r="F98" s="2">
        <v>5.1468362095065112</v>
      </c>
      <c r="G98" s="2">
        <v>-15.927624872579004</v>
      </c>
      <c r="H98" s="2">
        <v>-3.1094697487803913</v>
      </c>
      <c r="I98" s="2">
        <v>-10.936246992782683</v>
      </c>
      <c r="J98" s="2">
        <v>-9.7234226447709631</v>
      </c>
      <c r="K98" s="2">
        <v>-1.3500245459008298</v>
      </c>
      <c r="L98" s="2">
        <v>-7.2963113092825331</v>
      </c>
      <c r="M98" s="2">
        <v>9.3343390533660262</v>
      </c>
      <c r="N98" s="2">
        <v>-22.100251289511974</v>
      </c>
      <c r="O98" s="2">
        <v>-1.9133937562940573</v>
      </c>
      <c r="P98" s="2">
        <v>6.7950275726703202</v>
      </c>
      <c r="Q98" s="2">
        <v>9.2250221603140226</v>
      </c>
      <c r="R98" s="2">
        <v>2.1777309448542281</v>
      </c>
      <c r="T98" s="2">
        <f t="shared" si="4"/>
        <v>-11.61196809093077</v>
      </c>
      <c r="U98" s="2">
        <f t="shared" si="5"/>
        <v>-8.3791099793851984</v>
      </c>
      <c r="V98" s="2">
        <f t="shared" si="6"/>
        <v>-4.9976234321622703</v>
      </c>
      <c r="W98" s="2">
        <f t="shared" si="7"/>
        <v>-3.0521376322454872</v>
      </c>
    </row>
    <row r="99" spans="1:23" x14ac:dyDescent="0.15">
      <c r="A99" s="1">
        <v>33877</v>
      </c>
      <c r="B99" s="2">
        <v>-0.89828484820632104</v>
      </c>
      <c r="C99" s="2">
        <v>0.98770636814646817</v>
      </c>
      <c r="D99" s="2">
        <v>0.26</v>
      </c>
      <c r="E99" s="4">
        <v>0.28000000000000003</v>
      </c>
      <c r="F99" s="2">
        <v>-0.99049812841923712</v>
      </c>
      <c r="G99" s="2">
        <v>-7.2143073658684331</v>
      </c>
      <c r="H99" s="2">
        <v>-8.9784010164227546</v>
      </c>
      <c r="I99" s="2">
        <v>-3.0613393359594898</v>
      </c>
      <c r="J99" s="2">
        <v>17.951172809956905</v>
      </c>
      <c r="K99" s="2">
        <v>-1.8910176660860811</v>
      </c>
      <c r="L99" s="2">
        <v>-6.7774376912986494</v>
      </c>
      <c r="M99" s="2">
        <v>3.4839599862021453</v>
      </c>
      <c r="N99" s="2">
        <v>-2.2920203735144362</v>
      </c>
      <c r="O99" s="2">
        <v>3.018480492813147</v>
      </c>
      <c r="P99" s="2">
        <v>-1.015228426395931</v>
      </c>
      <c r="Q99" s="2">
        <v>-3.3099530462002202</v>
      </c>
      <c r="R99" s="2">
        <v>-8.7143348229632096</v>
      </c>
      <c r="T99" s="2">
        <f t="shared" si="4"/>
        <v>-6.9958725285835417</v>
      </c>
      <c r="U99" s="2">
        <f t="shared" si="5"/>
        <v>-3.6577548547846455</v>
      </c>
      <c r="V99" s="2">
        <f t="shared" si="6"/>
        <v>-2.9909406731932933</v>
      </c>
      <c r="W99" s="2">
        <f t="shared" si="7"/>
        <v>-1.522378814165865</v>
      </c>
    </row>
    <row r="100" spans="1:23" x14ac:dyDescent="0.15">
      <c r="A100" s="1">
        <v>33907</v>
      </c>
      <c r="B100" s="2">
        <v>-2.6907587302670621</v>
      </c>
      <c r="C100" s="2">
        <v>1.0791804887746004</v>
      </c>
      <c r="D100" s="2">
        <v>0.23</v>
      </c>
      <c r="E100" s="4">
        <v>0.35</v>
      </c>
      <c r="F100" s="2">
        <v>-2.0764264526260678</v>
      </c>
      <c r="G100" s="2">
        <v>-4.2796471741261115</v>
      </c>
      <c r="H100" s="2">
        <v>-4.5442795843457562</v>
      </c>
      <c r="I100" s="2">
        <v>-6.6759549518170207</v>
      </c>
      <c r="J100" s="2">
        <v>17.288961038961027</v>
      </c>
      <c r="K100" s="2">
        <v>16.332741567334509</v>
      </c>
      <c r="L100" s="2">
        <v>-17.213883677298302</v>
      </c>
      <c r="M100" s="2">
        <v>21.35</v>
      </c>
      <c r="N100" s="2">
        <v>2.0156385751520567</v>
      </c>
      <c r="O100" s="2">
        <v>2.25234203707394</v>
      </c>
      <c r="P100" s="2">
        <v>-8.9743589743589762</v>
      </c>
      <c r="Q100" s="2">
        <v>-4.6223021582733725</v>
      </c>
      <c r="R100" s="2">
        <v>-1.1297307475051754</v>
      </c>
      <c r="T100" s="2">
        <f t="shared" si="4"/>
        <v>-10.746765425712207</v>
      </c>
      <c r="U100" s="2">
        <f t="shared" si="5"/>
        <v>-6.4137296047834909</v>
      </c>
      <c r="V100" s="2">
        <f t="shared" si="6"/>
        <v>-5.3294038167441355</v>
      </c>
      <c r="W100" s="2">
        <f t="shared" si="7"/>
        <v>0.74793073062851956</v>
      </c>
    </row>
    <row r="101" spans="1:23" x14ac:dyDescent="0.15">
      <c r="A101" s="1">
        <v>33938</v>
      </c>
      <c r="B101" s="2">
        <v>1.8078664263011301</v>
      </c>
      <c r="C101" s="2">
        <v>3.8259197891724606</v>
      </c>
      <c r="D101" s="2">
        <v>0.23</v>
      </c>
      <c r="E101" s="4">
        <v>0.14000000000000001</v>
      </c>
      <c r="F101" s="2">
        <v>0.64148253741982408</v>
      </c>
      <c r="G101" s="2">
        <v>5.5631399317406238</v>
      </c>
      <c r="H101" s="2">
        <v>-0.84488734835356238</v>
      </c>
      <c r="I101" s="2">
        <v>15.065936800199054</v>
      </c>
      <c r="J101" s="2">
        <v>9.6539792387543066</v>
      </c>
      <c r="K101" s="2">
        <v>9.7667320688903381</v>
      </c>
      <c r="L101" s="2">
        <v>3.966005665722383</v>
      </c>
      <c r="M101" s="2">
        <v>1.2360939431396822</v>
      </c>
      <c r="N101" s="2">
        <v>16.930676205075802</v>
      </c>
      <c r="O101" s="2">
        <v>6.1013645224171409</v>
      </c>
      <c r="P101" s="2">
        <v>-6.7994171928120739E-2</v>
      </c>
      <c r="Q101" s="2">
        <v>4.8211704066880356</v>
      </c>
      <c r="R101" s="2">
        <v>-3.7516663492668134</v>
      </c>
      <c r="T101" s="2">
        <f t="shared" si="4"/>
        <v>4.7645727987315034</v>
      </c>
      <c r="U101" s="2">
        <f t="shared" si="5"/>
        <v>5.2101700399600492</v>
      </c>
      <c r="V101" s="2">
        <f t="shared" si="6"/>
        <v>4.0679981643249929</v>
      </c>
      <c r="W101" s="2">
        <f t="shared" si="7"/>
        <v>5.3140025731152845</v>
      </c>
    </row>
    <row r="102" spans="1:23" x14ac:dyDescent="0.15">
      <c r="A102" s="1">
        <v>33969</v>
      </c>
      <c r="B102" s="2">
        <v>0.82645795909572772</v>
      </c>
      <c r="C102" s="2">
        <v>1.5705318687979641</v>
      </c>
      <c r="D102" s="2">
        <v>0.28000000000000003</v>
      </c>
      <c r="E102" s="4">
        <v>-7.0000000000000007E-2</v>
      </c>
      <c r="F102" s="2">
        <v>3.3876298394711846</v>
      </c>
      <c r="G102" s="2">
        <v>0</v>
      </c>
      <c r="H102" s="2">
        <v>-3.3810356128468388</v>
      </c>
      <c r="I102" s="2">
        <v>2.0867120769813008</v>
      </c>
      <c r="J102" s="2">
        <v>8.0782581255916863</v>
      </c>
      <c r="K102" s="2">
        <v>3.9126117179741904</v>
      </c>
      <c r="L102" s="2">
        <v>-26.212534059945504</v>
      </c>
      <c r="M102" s="2">
        <v>18.898385565052234</v>
      </c>
      <c r="N102" s="2">
        <v>5.3896576839038701</v>
      </c>
      <c r="O102" s="2">
        <v>-2.2965276501929033</v>
      </c>
      <c r="P102" s="2">
        <v>-2.6438569206842844</v>
      </c>
      <c r="Q102" s="2">
        <v>-2.8903813864235905</v>
      </c>
      <c r="R102" s="2">
        <v>-0.15829046299959959</v>
      </c>
      <c r="T102" s="2">
        <f t="shared" si="4"/>
        <v>-13.106267029972752</v>
      </c>
      <c r="U102" s="2">
        <f t="shared" si="5"/>
        <v>-9.5030205700461359</v>
      </c>
      <c r="V102" s="2">
        <f t="shared" si="6"/>
        <v>-6.2803579676668058</v>
      </c>
      <c r="W102" s="2">
        <f t="shared" si="7"/>
        <v>0.32081760891398037</v>
      </c>
    </row>
    <row r="103" spans="1:23" x14ac:dyDescent="0.15">
      <c r="A103" s="1">
        <v>33998</v>
      </c>
      <c r="B103" s="2">
        <v>0.35290717026084106</v>
      </c>
      <c r="C103" s="2">
        <v>1.0996004419848271</v>
      </c>
      <c r="D103" s="2">
        <v>0.23</v>
      </c>
      <c r="E103" s="4">
        <v>0.49</v>
      </c>
      <c r="F103" s="2">
        <v>-4.1728507820527394</v>
      </c>
      <c r="G103" s="2">
        <v>17.038473973488522</v>
      </c>
      <c r="H103" s="2">
        <v>2.9509864887783177</v>
      </c>
      <c r="I103" s="2">
        <v>8.4727811904257599</v>
      </c>
      <c r="J103" s="2">
        <v>22.248175182481745</v>
      </c>
      <c r="K103" s="2">
        <v>-0.42048929663609513</v>
      </c>
      <c r="L103" s="2">
        <v>2.2895125553914264</v>
      </c>
      <c r="M103" s="2">
        <v>4.8722044728434666</v>
      </c>
      <c r="N103" s="2">
        <v>3.040774015203862</v>
      </c>
      <c r="O103" s="2">
        <v>0.43249341857842794</v>
      </c>
      <c r="P103" s="2">
        <v>-3.4744408945686978</v>
      </c>
      <c r="Q103" s="2">
        <v>3.2295912066197419</v>
      </c>
      <c r="R103" s="2">
        <v>-8.1450653983353156</v>
      </c>
      <c r="T103" s="2">
        <f t="shared" si="4"/>
        <v>9.6639932644399735</v>
      </c>
      <c r="U103" s="2">
        <f t="shared" si="5"/>
        <v>6.5868266491527914</v>
      </c>
      <c r="V103" s="2">
        <f t="shared" si="6"/>
        <v>3.8969072913514093</v>
      </c>
      <c r="W103" s="2">
        <f t="shared" si="7"/>
        <v>3.7201650870937253</v>
      </c>
    </row>
    <row r="104" spans="1:23" x14ac:dyDescent="0.15">
      <c r="A104" s="1">
        <v>34026</v>
      </c>
      <c r="B104" s="2">
        <v>2.3872970762571555</v>
      </c>
      <c r="C104" s="2">
        <v>0.13719445411595199</v>
      </c>
      <c r="D104" s="2">
        <v>0.22</v>
      </c>
      <c r="E104" s="4">
        <v>0.35</v>
      </c>
      <c r="F104" s="2">
        <v>1.7453982248168298</v>
      </c>
      <c r="G104" s="2">
        <v>-0.80110497237568801</v>
      </c>
      <c r="H104" s="2">
        <v>-2.7895228158805074</v>
      </c>
      <c r="I104" s="2">
        <v>-0.54676820933411419</v>
      </c>
      <c r="J104" s="2">
        <v>1.2897062335801346</v>
      </c>
      <c r="K104" s="2">
        <v>-10.72936660268714</v>
      </c>
      <c r="L104" s="2">
        <v>6.6425992779783227</v>
      </c>
      <c r="M104" s="2">
        <v>-11.489500598411496</v>
      </c>
      <c r="N104" s="2">
        <v>2.4279007377598916</v>
      </c>
      <c r="O104" s="2">
        <v>-5.66373338326156</v>
      </c>
      <c r="P104" s="2">
        <v>10.229623500206886</v>
      </c>
      <c r="Q104" s="2">
        <v>6.0716635760004856</v>
      </c>
      <c r="R104" s="2">
        <v>6.6666666666666652</v>
      </c>
      <c r="T104" s="2">
        <f t="shared" si="4"/>
        <v>2.9207471528013174</v>
      </c>
      <c r="U104" s="2">
        <f t="shared" si="5"/>
        <v>5.9253640780358253E-2</v>
      </c>
      <c r="V104" s="2">
        <f t="shared" si="6"/>
        <v>0.48078978678947615</v>
      </c>
      <c r="W104" s="2">
        <f t="shared" si="7"/>
        <v>0.23488935654297788</v>
      </c>
    </row>
    <row r="105" spans="1:23" x14ac:dyDescent="0.15">
      <c r="A105" s="1">
        <v>34059</v>
      </c>
      <c r="B105" s="2">
        <v>5.8160847029939511</v>
      </c>
      <c r="C105" s="2">
        <v>2.335787936981637</v>
      </c>
      <c r="D105" s="2">
        <v>0.25</v>
      </c>
      <c r="E105" s="4">
        <v>0.35</v>
      </c>
      <c r="F105" s="2">
        <v>15.386416861826691</v>
      </c>
      <c r="G105" s="2">
        <v>1.0025062656641603</v>
      </c>
      <c r="H105" s="2">
        <v>-2.186070157600406</v>
      </c>
      <c r="I105" s="2">
        <v>13.351659139996052</v>
      </c>
      <c r="J105" s="2">
        <v>0.35369016741335635</v>
      </c>
      <c r="K105" s="2">
        <v>-2.8380993334766846</v>
      </c>
      <c r="L105" s="2">
        <v>-6.4319566689234886</v>
      </c>
      <c r="M105" s="2">
        <v>9.3915181315304288</v>
      </c>
      <c r="N105" s="2">
        <v>3.4965950759559883</v>
      </c>
      <c r="O105" s="2">
        <v>-3.6320333432569241</v>
      </c>
      <c r="P105" s="2">
        <v>6.5496856526226832</v>
      </c>
      <c r="Q105" s="2">
        <v>2.6392961876832821</v>
      </c>
      <c r="R105" s="2">
        <v>-7.4029126213592145</v>
      </c>
      <c r="T105" s="2">
        <f t="shared" si="4"/>
        <v>-2.7147252016296641</v>
      </c>
      <c r="U105" s="2">
        <f t="shared" si="5"/>
        <v>-3.0204945821720841</v>
      </c>
      <c r="V105" s="2">
        <f t="shared" si="6"/>
        <v>1.5812332788276098</v>
      </c>
      <c r="W105" s="2">
        <f t="shared" si="7"/>
        <v>2.2830996429289168</v>
      </c>
    </row>
    <row r="106" spans="1:23" x14ac:dyDescent="0.15">
      <c r="A106" s="1">
        <v>34089</v>
      </c>
      <c r="B106" s="2">
        <v>4.6525923150978921</v>
      </c>
      <c r="C106" s="2">
        <v>-2.8843687419841224</v>
      </c>
      <c r="D106" s="2">
        <v>0.24</v>
      </c>
      <c r="E106" s="4">
        <v>0.28000000000000003</v>
      </c>
      <c r="F106" s="2">
        <v>19.996955551045261</v>
      </c>
      <c r="G106" s="2">
        <v>8.6572925282602853</v>
      </c>
      <c r="H106" s="2">
        <v>-0.95287595287595339</v>
      </c>
      <c r="I106" s="2">
        <v>6.1146717477914558</v>
      </c>
      <c r="J106" s="2">
        <v>4.1118421052631637</v>
      </c>
      <c r="K106" s="2">
        <v>-0.48683337021464546</v>
      </c>
      <c r="L106" s="2">
        <v>-4.4138929088277763</v>
      </c>
      <c r="M106" s="2">
        <v>-3.5397235644454406</v>
      </c>
      <c r="N106" s="2">
        <v>-1.6449449576110386</v>
      </c>
      <c r="O106" s="2">
        <v>-9.8856966326845814</v>
      </c>
      <c r="P106" s="2">
        <v>-2.2104799647732154</v>
      </c>
      <c r="Q106" s="2">
        <v>31.15934065934065</v>
      </c>
      <c r="R106" s="2">
        <v>-1.7256443861948578</v>
      </c>
      <c r="T106" s="2">
        <f t="shared" si="4"/>
        <v>2.1216998097162545</v>
      </c>
      <c r="U106" s="2">
        <f t="shared" si="5"/>
        <v>-1.8807656710840241</v>
      </c>
      <c r="V106" s="2">
        <f t="shared" si="6"/>
        <v>3.5886646344482971</v>
      </c>
      <c r="W106" s="2">
        <f t="shared" si="7"/>
        <v>3.4753854503133317</v>
      </c>
    </row>
    <row r="107" spans="1:23" x14ac:dyDescent="0.15">
      <c r="A107" s="1">
        <v>34120</v>
      </c>
      <c r="B107" s="2">
        <v>2.3212955036735483</v>
      </c>
      <c r="C107" s="2">
        <v>2.836813704933383</v>
      </c>
      <c r="D107" s="2">
        <v>0.22</v>
      </c>
      <c r="E107" s="4">
        <v>0.14000000000000001</v>
      </c>
      <c r="F107" s="2">
        <v>-3.4800625819273567</v>
      </c>
      <c r="G107" s="2">
        <v>-1.3448363359553461</v>
      </c>
      <c r="H107" s="2">
        <v>0.50725905195032617</v>
      </c>
      <c r="I107" s="2">
        <v>-5.0195886385896227</v>
      </c>
      <c r="J107" s="2">
        <v>7.5829383886255819</v>
      </c>
      <c r="K107" s="2">
        <v>10.71825661552146</v>
      </c>
      <c r="L107" s="2">
        <v>9.6896290688872178</v>
      </c>
      <c r="M107" s="2">
        <v>21.202236719478119</v>
      </c>
      <c r="N107" s="2">
        <v>11.346970281744518</v>
      </c>
      <c r="O107" s="2">
        <v>9.5989029825162895</v>
      </c>
      <c r="P107" s="2">
        <v>-2.6837175792507328</v>
      </c>
      <c r="Q107" s="2">
        <v>-3.5691843659670708</v>
      </c>
      <c r="R107" s="2">
        <v>-5.601244721049115</v>
      </c>
      <c r="T107" s="2">
        <f t="shared" si="4"/>
        <v>4.1723963664659358</v>
      </c>
      <c r="U107" s="2">
        <f t="shared" si="5"/>
        <v>5.9812319051493867</v>
      </c>
      <c r="V107" s="2">
        <f t="shared" si="6"/>
        <v>3.6159082833802012</v>
      </c>
      <c r="W107" s="2">
        <f t="shared" si="7"/>
        <v>3.7651968373834062</v>
      </c>
    </row>
    <row r="108" spans="1:23" x14ac:dyDescent="0.15">
      <c r="A108" s="1">
        <v>34150</v>
      </c>
      <c r="B108" s="2">
        <v>-0.82291956634592545</v>
      </c>
      <c r="C108" s="2">
        <v>0.24827928039561353</v>
      </c>
      <c r="D108" s="2">
        <v>0.25</v>
      </c>
      <c r="E108" s="4">
        <v>0.14000000000000001</v>
      </c>
      <c r="F108" s="2">
        <v>-5.6689739770437235</v>
      </c>
      <c r="G108" s="2">
        <v>10.879629629629628</v>
      </c>
      <c r="H108" s="2">
        <v>5.0469892098851332</v>
      </c>
      <c r="I108" s="2">
        <v>0.48122368307983443</v>
      </c>
      <c r="J108" s="2">
        <v>6.8177050555905172</v>
      </c>
      <c r="K108" s="2">
        <v>-30.22695320345451</v>
      </c>
      <c r="L108" s="2">
        <v>-6.4182194616977277</v>
      </c>
      <c r="M108" s="2">
        <v>-15.33064206074588</v>
      </c>
      <c r="N108" s="2">
        <v>-2.5418833044483002</v>
      </c>
      <c r="O108" s="2">
        <v>-6.9544364508393297</v>
      </c>
      <c r="P108" s="2">
        <v>-6.228021469553946</v>
      </c>
      <c r="Q108" s="2">
        <v>-6.7683218211043172</v>
      </c>
      <c r="R108" s="2">
        <v>-5.0859430186013572</v>
      </c>
      <c r="T108" s="2">
        <f t="shared" si="4"/>
        <v>2.2307050839659501</v>
      </c>
      <c r="U108" s="2">
        <f t="shared" si="5"/>
        <v>-0.83100876096914311</v>
      </c>
      <c r="V108" s="2">
        <f t="shared" si="6"/>
        <v>-2.0405000649877882</v>
      </c>
      <c r="W108" s="2">
        <f t="shared" si="7"/>
        <v>-4.7690651684079981</v>
      </c>
    </row>
    <row r="109" spans="1:23" x14ac:dyDescent="0.15">
      <c r="A109" s="1">
        <v>34180</v>
      </c>
      <c r="B109" s="2">
        <v>2.0761140679333989</v>
      </c>
      <c r="C109" s="2">
        <v>-0.14136197430313358</v>
      </c>
      <c r="D109" s="2">
        <v>0.24</v>
      </c>
      <c r="E109" s="4">
        <v>0</v>
      </c>
      <c r="F109" s="2">
        <v>8.7729890395690227</v>
      </c>
      <c r="G109" s="2">
        <v>9.0002319647413564</v>
      </c>
      <c r="H109" s="2">
        <v>4.0148000883587498</v>
      </c>
      <c r="I109" s="2">
        <v>1.7446335414350589</v>
      </c>
      <c r="J109" s="2">
        <v>-7.148468185388845</v>
      </c>
      <c r="K109" s="2">
        <v>-29.763960852043748</v>
      </c>
      <c r="L109" s="2">
        <v>-9.8820058997050033</v>
      </c>
      <c r="M109" s="2">
        <v>-3.8256328754682656</v>
      </c>
      <c r="N109" s="2">
        <v>-11.108476585655014</v>
      </c>
      <c r="O109" s="2">
        <v>-3.0927835051546393</v>
      </c>
      <c r="P109" s="2">
        <v>-8.2897463732359622</v>
      </c>
      <c r="Q109" s="2">
        <v>3.4993709519593574</v>
      </c>
      <c r="R109" s="2">
        <v>9.8982882659389695</v>
      </c>
      <c r="T109" s="2">
        <f t="shared" si="4"/>
        <v>-0.44088696748182343</v>
      </c>
      <c r="U109" s="2">
        <f t="shared" si="5"/>
        <v>-1.3248524800394288</v>
      </c>
      <c r="V109" s="2">
        <f t="shared" si="6"/>
        <v>1.1996078998626842</v>
      </c>
      <c r="W109" s="2">
        <f t="shared" si="7"/>
        <v>-2.7831354172806897</v>
      </c>
    </row>
    <row r="110" spans="1:23" x14ac:dyDescent="0.15">
      <c r="A110" s="1">
        <v>34212</v>
      </c>
      <c r="B110" s="2">
        <v>4.6004013079667061</v>
      </c>
      <c r="C110" s="2">
        <v>3.5617831871950445</v>
      </c>
      <c r="D110" s="2">
        <v>0.25</v>
      </c>
      <c r="E110" s="4">
        <v>0.28000000000000003</v>
      </c>
      <c r="F110" s="2">
        <v>2.4678707143162226</v>
      </c>
      <c r="G110" s="2">
        <v>-2.9367950627793071</v>
      </c>
      <c r="H110" s="2">
        <v>9.2275019909742628</v>
      </c>
      <c r="I110" s="2">
        <v>-3.3201647474153106</v>
      </c>
      <c r="J110" s="2">
        <v>-2.5592216582064342</v>
      </c>
      <c r="K110" s="2">
        <v>-4.0573770491803334</v>
      </c>
      <c r="L110" s="2">
        <v>3.436988543371533</v>
      </c>
      <c r="M110" s="2">
        <v>15.120396600566565</v>
      </c>
      <c r="N110" s="2">
        <v>2.9474526540410828</v>
      </c>
      <c r="O110" s="2">
        <v>2.3704902867714983</v>
      </c>
      <c r="P110" s="2">
        <v>13.386419885935652</v>
      </c>
      <c r="Q110" s="2">
        <v>-1.4676751305600533</v>
      </c>
      <c r="R110" s="2">
        <v>1.7155756207674955</v>
      </c>
      <c r="T110" s="2">
        <f t="shared" si="4"/>
        <v>0.25009674029611295</v>
      </c>
      <c r="U110" s="2">
        <f t="shared" si="5"/>
        <v>0.95689458912124137</v>
      </c>
      <c r="V110" s="2">
        <f t="shared" si="6"/>
        <v>1.3346386204199867</v>
      </c>
      <c r="W110" s="2">
        <f t="shared" si="7"/>
        <v>2.7947278960463748</v>
      </c>
    </row>
    <row r="111" spans="1:23" x14ac:dyDescent="0.15">
      <c r="A111" s="1">
        <v>34242</v>
      </c>
      <c r="B111" s="2">
        <v>-1.8317545326723916</v>
      </c>
      <c r="C111" s="2">
        <v>6.5195564963094199E-3</v>
      </c>
      <c r="D111" s="2">
        <v>0.23</v>
      </c>
      <c r="E111" s="4">
        <v>0.21</v>
      </c>
      <c r="F111" s="2">
        <v>1.2417184049335228</v>
      </c>
      <c r="G111" s="2">
        <v>-10.918658188993646</v>
      </c>
      <c r="H111" s="2">
        <v>0.6075924755747808</v>
      </c>
      <c r="I111" s="2">
        <v>8.3376804034080987</v>
      </c>
      <c r="J111" s="2">
        <v>12.676362057738233</v>
      </c>
      <c r="K111" s="2">
        <v>-11.789833404527982</v>
      </c>
      <c r="L111" s="2">
        <v>-8.2278481012658222</v>
      </c>
      <c r="M111" s="2">
        <v>7.1362657643802008</v>
      </c>
      <c r="N111" s="2">
        <v>-7.4232413525067926</v>
      </c>
      <c r="O111" s="2">
        <v>-3.9308708912233037</v>
      </c>
      <c r="P111" s="2">
        <v>-0.24674954920756997</v>
      </c>
      <c r="Q111" s="2">
        <v>-1.0737457735538691</v>
      </c>
      <c r="R111" s="2">
        <v>-4.4385264092321357</v>
      </c>
      <c r="T111" s="2">
        <f t="shared" si="4"/>
        <v>-9.5732531451297334</v>
      </c>
      <c r="U111" s="2">
        <f t="shared" si="5"/>
        <v>-7.6924590604942571</v>
      </c>
      <c r="V111" s="2">
        <f t="shared" si="6"/>
        <v>-5.4589146941373121</v>
      </c>
      <c r="W111" s="2">
        <f t="shared" si="7"/>
        <v>-1.3884503511135606</v>
      </c>
    </row>
    <row r="112" spans="1:23" x14ac:dyDescent="0.15">
      <c r="A112" s="1">
        <v>34271</v>
      </c>
      <c r="B112" s="2">
        <v>2.7719778450208121</v>
      </c>
      <c r="C112" s="2">
        <v>1.5413399857448384</v>
      </c>
      <c r="D112" s="2">
        <v>0.22</v>
      </c>
      <c r="E112" s="4">
        <v>0.41</v>
      </c>
      <c r="F112" s="2">
        <v>6.2476848993703094</v>
      </c>
      <c r="G112" s="2">
        <v>14.05365493477726</v>
      </c>
      <c r="H112" s="2">
        <v>9.0298579572905435</v>
      </c>
      <c r="I112" s="2">
        <v>12.735735494743604</v>
      </c>
      <c r="J112" s="2">
        <v>16.393758428048557</v>
      </c>
      <c r="K112" s="2">
        <v>31.525423728813571</v>
      </c>
      <c r="L112" s="2">
        <v>9.568965517241379</v>
      </c>
      <c r="M112" s="2">
        <v>16.135515360321563</v>
      </c>
      <c r="N112" s="2">
        <v>7.6826196473551711</v>
      </c>
      <c r="O112" s="2">
        <v>3.8212815990593674</v>
      </c>
      <c r="P112" s="2">
        <v>8.6766244886309565</v>
      </c>
      <c r="Q112" s="2">
        <v>-3.2700568103089855</v>
      </c>
      <c r="R112" s="2">
        <v>9.0106827682303603</v>
      </c>
      <c r="T112" s="2">
        <f t="shared" si="4"/>
        <v>11.811310226009319</v>
      </c>
      <c r="U112" s="2">
        <f t="shared" si="5"/>
        <v>9.1479673503593357</v>
      </c>
      <c r="V112" s="2">
        <f t="shared" si="6"/>
        <v>8.4228967376120796</v>
      </c>
      <c r="W112" s="2">
        <f t="shared" si="7"/>
        <v>10.893211385659514</v>
      </c>
    </row>
    <row r="113" spans="1:23" x14ac:dyDescent="0.15">
      <c r="A113" s="1">
        <v>34303</v>
      </c>
      <c r="B113" s="2">
        <v>-5.6410393641788676</v>
      </c>
      <c r="C113" s="2">
        <v>-1.9035818154970352</v>
      </c>
      <c r="D113" s="2">
        <v>0.25</v>
      </c>
      <c r="E113" s="4">
        <v>7.0000000000000007E-2</v>
      </c>
      <c r="F113" s="2">
        <v>-13.031183420491965</v>
      </c>
      <c r="G113" s="2">
        <v>11.242986620630123</v>
      </c>
      <c r="H113" s="2">
        <v>-4.9762928169450831</v>
      </c>
      <c r="I113" s="2">
        <v>-1.8152050113895202</v>
      </c>
      <c r="J113" s="2">
        <v>-5.5941741145316248</v>
      </c>
      <c r="K113" s="2">
        <v>2.7982326951399017</v>
      </c>
      <c r="L113" s="2">
        <v>17.702596380802515</v>
      </c>
      <c r="M113" s="2">
        <v>7.2187886279357238</v>
      </c>
      <c r="N113" s="2">
        <v>0.16894087069525554</v>
      </c>
      <c r="O113" s="2">
        <v>4.1902604756511863</v>
      </c>
      <c r="P113" s="2">
        <v>-2.8451370042895885</v>
      </c>
      <c r="Q113" s="2">
        <v>-11.31165544573366</v>
      </c>
      <c r="R113" s="2">
        <v>-1.1930123561993966</v>
      </c>
      <c r="T113" s="2">
        <f t="shared" si="4"/>
        <v>14.472791500716319</v>
      </c>
      <c r="U113" s="2">
        <f t="shared" si="5"/>
        <v>11.045281159027942</v>
      </c>
      <c r="V113" s="2">
        <f t="shared" si="6"/>
        <v>5.0261650141479652</v>
      </c>
      <c r="W113" s="2">
        <f t="shared" si="7"/>
        <v>0.19654965394414342</v>
      </c>
    </row>
    <row r="114" spans="1:23" x14ac:dyDescent="0.15">
      <c r="A114" s="1">
        <v>34334</v>
      </c>
      <c r="B114" s="2">
        <v>4.9103751125068928</v>
      </c>
      <c r="C114" s="2">
        <v>1.6145921960286413</v>
      </c>
      <c r="D114" s="2">
        <v>0.23</v>
      </c>
      <c r="E114" s="4">
        <v>0</v>
      </c>
      <c r="F114" s="2">
        <v>7.2023517883390564</v>
      </c>
      <c r="G114" s="2">
        <v>4.0155189136760416</v>
      </c>
      <c r="H114" s="2">
        <v>16.965118448050731</v>
      </c>
      <c r="I114" s="2">
        <v>6.1697962734720502</v>
      </c>
      <c r="J114" s="2">
        <v>1.33239831697054</v>
      </c>
      <c r="K114" s="2">
        <v>-7.1275071633237763</v>
      </c>
      <c r="L114" s="2">
        <v>4.8796791443850296</v>
      </c>
      <c r="M114" s="2">
        <v>2.0751671662439408</v>
      </c>
      <c r="N114" s="2">
        <v>7.4727555786196165</v>
      </c>
      <c r="O114" s="2">
        <v>-0.26086956521739202</v>
      </c>
      <c r="P114" s="2">
        <v>6.7489637772571776</v>
      </c>
      <c r="Q114" s="2">
        <v>-0.30149671583935556</v>
      </c>
      <c r="R114" s="2">
        <v>7.4169900819318624</v>
      </c>
      <c r="T114" s="2">
        <f t="shared" si="4"/>
        <v>4.4475990290305356</v>
      </c>
      <c r="U114" s="2">
        <f t="shared" si="5"/>
        <v>2.8781094976145596</v>
      </c>
      <c r="V114" s="2">
        <f t="shared" si="6"/>
        <v>3.9591700702956838</v>
      </c>
      <c r="W114" s="2">
        <f t="shared" si="7"/>
        <v>4.3529896957358103</v>
      </c>
    </row>
    <row r="115" spans="1:23" x14ac:dyDescent="0.15">
      <c r="A115" s="1">
        <v>34365</v>
      </c>
      <c r="B115" s="2">
        <v>6.6121605192525079</v>
      </c>
      <c r="C115" s="2">
        <v>3.0108441055169521</v>
      </c>
      <c r="D115" s="2">
        <v>0.25</v>
      </c>
      <c r="E115" s="4">
        <v>0.27</v>
      </c>
      <c r="F115" s="2">
        <v>12.975735416320422</v>
      </c>
      <c r="G115" s="2">
        <v>11.618798955613574</v>
      </c>
      <c r="H115" s="2">
        <v>1.9615660633123477</v>
      </c>
      <c r="I115" s="2">
        <v>4.506965310024591</v>
      </c>
      <c r="J115" s="2">
        <v>15.501730103806221</v>
      </c>
      <c r="K115" s="2">
        <v>11.955264172772839</v>
      </c>
      <c r="L115" s="2">
        <v>0</v>
      </c>
      <c r="M115" s="2">
        <v>16.414426624501168</v>
      </c>
      <c r="N115" s="2">
        <v>7.9068083051665905</v>
      </c>
      <c r="O115" s="2">
        <v>-0.25065387968614683</v>
      </c>
      <c r="P115" s="2">
        <v>8.4831602937452502</v>
      </c>
      <c r="Q115" s="2">
        <v>15.115023220650169</v>
      </c>
      <c r="R115" s="2">
        <v>-4.977920513849865</v>
      </c>
      <c r="T115" s="2">
        <f t="shared" si="4"/>
        <v>5.809399477806787</v>
      </c>
      <c r="U115" s="2">
        <f t="shared" si="5"/>
        <v>3.7893816919758088</v>
      </c>
      <c r="V115" s="2">
        <f t="shared" si="6"/>
        <v>6.0859701230619621</v>
      </c>
      <c r="W115" s="2">
        <f t="shared" si="7"/>
        <v>7.7854541594136277</v>
      </c>
    </row>
    <row r="116" spans="1:23" x14ac:dyDescent="0.15">
      <c r="A116" s="1">
        <v>34393</v>
      </c>
      <c r="B116" s="2">
        <v>-1.2780075013628878</v>
      </c>
      <c r="C116" s="2">
        <v>-2.4945446815073491</v>
      </c>
      <c r="D116" s="2">
        <v>0.21</v>
      </c>
      <c r="E116" s="4">
        <v>0.34</v>
      </c>
      <c r="F116" s="2">
        <v>7.6790114376080298</v>
      </c>
      <c r="G116" s="2">
        <v>-4.5781119465329922</v>
      </c>
      <c r="H116" s="2">
        <v>14.847110346445591</v>
      </c>
      <c r="I116" s="2">
        <v>-7.2726084683742975</v>
      </c>
      <c r="J116" s="2">
        <v>-7.3247453565008946</v>
      </c>
      <c r="K116" s="2">
        <v>11.815363417154678</v>
      </c>
      <c r="L116" s="2">
        <v>-5.9910771191841956</v>
      </c>
      <c r="M116" s="2">
        <v>14.966690382252136</v>
      </c>
      <c r="N116" s="2">
        <v>6.3094305850766252</v>
      </c>
      <c r="O116" s="2">
        <v>2.2834043483011213</v>
      </c>
      <c r="P116" s="2">
        <v>0.57578586990350011</v>
      </c>
      <c r="Q116" s="2">
        <v>0.89599849885069194</v>
      </c>
      <c r="R116" s="2">
        <v>-5.7667934093789563</v>
      </c>
      <c r="T116" s="2">
        <f t="shared" si="4"/>
        <v>-5.2845945328585939</v>
      </c>
      <c r="U116" s="2">
        <f t="shared" si="5"/>
        <v>-2.761928239138689</v>
      </c>
      <c r="V116" s="2">
        <f t="shared" si="6"/>
        <v>-0.15169331995200919</v>
      </c>
      <c r="W116" s="2">
        <f t="shared" si="7"/>
        <v>2.1876506604323875</v>
      </c>
    </row>
    <row r="117" spans="1:23" x14ac:dyDescent="0.15">
      <c r="A117" s="1">
        <v>34424</v>
      </c>
      <c r="B117" s="2">
        <v>-4.2944005710006339</v>
      </c>
      <c r="C117" s="2">
        <v>-4.7174449275176444</v>
      </c>
      <c r="D117" s="2">
        <v>0.27</v>
      </c>
      <c r="E117" s="4">
        <v>0.34</v>
      </c>
      <c r="F117" s="2">
        <v>-2.1892824208477046</v>
      </c>
      <c r="G117" s="2">
        <v>-7.5118192960952452</v>
      </c>
      <c r="H117" s="2">
        <v>1.9270709202955372</v>
      </c>
      <c r="I117" s="2">
        <v>-5.4330209287576592</v>
      </c>
      <c r="J117" s="2">
        <v>-8.6956521739130483</v>
      </c>
      <c r="K117" s="2">
        <v>-8.9032655576093749</v>
      </c>
      <c r="L117" s="2">
        <v>3.322033898305099</v>
      </c>
      <c r="M117" s="2">
        <v>-1.0070323488045041</v>
      </c>
      <c r="N117" s="2">
        <v>-9.1339576975691834</v>
      </c>
      <c r="O117" s="2">
        <v>6.5263832514419917</v>
      </c>
      <c r="P117" s="2">
        <v>-1.8103048120068022</v>
      </c>
      <c r="Q117" s="2">
        <v>-5.7002045750418562</v>
      </c>
      <c r="R117" s="2">
        <v>-6.4335350818202297</v>
      </c>
      <c r="T117" s="2">
        <f t="shared" si="4"/>
        <v>-2.0948926988950731</v>
      </c>
      <c r="U117" s="2">
        <f t="shared" si="5"/>
        <v>0.77886595121728186</v>
      </c>
      <c r="V117" s="2">
        <f t="shared" si="6"/>
        <v>3.6828858201034986E-2</v>
      </c>
      <c r="W117" s="2">
        <f t="shared" si="7"/>
        <v>-3.4648143709556143</v>
      </c>
    </row>
    <row r="118" spans="1:23" x14ac:dyDescent="0.15">
      <c r="A118" s="1">
        <v>34453</v>
      </c>
      <c r="B118" s="2">
        <v>3.1088891588251677</v>
      </c>
      <c r="C118" s="2">
        <v>0.83092550384953334</v>
      </c>
      <c r="D118" s="2">
        <v>0.27</v>
      </c>
      <c r="E118" s="4">
        <v>0.14000000000000001</v>
      </c>
      <c r="F118" s="2">
        <v>2.363991898875617</v>
      </c>
      <c r="G118" s="2">
        <v>5.3388867853085831</v>
      </c>
      <c r="H118" s="2">
        <v>9.5700972041286683</v>
      </c>
      <c r="I118" s="2">
        <v>0.13412816691504847</v>
      </c>
      <c r="J118" s="2">
        <v>-7.9483094352982846</v>
      </c>
      <c r="K118" s="2">
        <v>-9.7734190057490622</v>
      </c>
      <c r="L118" s="2">
        <v>5.2493438320210029</v>
      </c>
      <c r="M118" s="2">
        <v>13.40645601273016</v>
      </c>
      <c r="N118" s="2">
        <v>-2.2814128546612689</v>
      </c>
      <c r="O118" s="2">
        <v>2.1257394966409437</v>
      </c>
      <c r="P118" s="2">
        <v>7.9892845887172825</v>
      </c>
      <c r="Q118" s="2">
        <v>7.0505867271472233</v>
      </c>
      <c r="R118" s="2">
        <v>-4.9353138476281639</v>
      </c>
      <c r="T118" s="2">
        <f t="shared" si="4"/>
        <v>5.294115308664793</v>
      </c>
      <c r="U118" s="2">
        <f t="shared" si="5"/>
        <v>4.2379900379901763</v>
      </c>
      <c r="V118" s="2">
        <f t="shared" si="6"/>
        <v>3.7694905032115367</v>
      </c>
      <c r="W118" s="2">
        <f t="shared" si="7"/>
        <v>2.1761584283959801</v>
      </c>
    </row>
    <row r="119" spans="1:23" x14ac:dyDescent="0.15">
      <c r="A119" s="1">
        <v>34485</v>
      </c>
      <c r="B119" s="2">
        <v>0.27452186414591573</v>
      </c>
      <c r="C119" s="2">
        <v>0.68524846931510286</v>
      </c>
      <c r="D119" s="2">
        <v>0.32</v>
      </c>
      <c r="E119" s="4">
        <v>7.0000000000000007E-2</v>
      </c>
      <c r="F119" s="2">
        <v>4.8882824492580745</v>
      </c>
      <c r="G119" s="2">
        <v>-4.9424874191229318</v>
      </c>
      <c r="H119" s="2">
        <v>-3.691848058045244</v>
      </c>
      <c r="I119" s="2">
        <v>-1.0715880339336126</v>
      </c>
      <c r="J119" s="2">
        <v>3.6730769230769234</v>
      </c>
      <c r="K119" s="2">
        <v>-2.0989505247376417</v>
      </c>
      <c r="L119" s="2">
        <v>10.037406483790523</v>
      </c>
      <c r="M119" s="2">
        <v>6.5296918065647747</v>
      </c>
      <c r="N119" s="2">
        <v>-2.1806115193173659</v>
      </c>
      <c r="O119" s="2">
        <v>1.1487481590574333</v>
      </c>
      <c r="P119" s="2">
        <v>-3.8523274478330594</v>
      </c>
      <c r="Q119" s="2">
        <v>-0.15659543109799445</v>
      </c>
      <c r="R119" s="2">
        <v>-1.7137096774193616</v>
      </c>
      <c r="T119" s="2">
        <f t="shared" si="4"/>
        <v>2.5474595323337956</v>
      </c>
      <c r="U119" s="2">
        <f t="shared" si="5"/>
        <v>2.0812224079083417</v>
      </c>
      <c r="V119" s="2">
        <f t="shared" si="6"/>
        <v>2.7829874182457748</v>
      </c>
      <c r="W119" s="2">
        <f t="shared" si="7"/>
        <v>0.50531443924927066</v>
      </c>
    </row>
    <row r="120" spans="1:23" x14ac:dyDescent="0.15">
      <c r="A120" s="1">
        <v>34515</v>
      </c>
      <c r="B120" s="2">
        <v>-0.26010911194732644</v>
      </c>
      <c r="C120" s="2">
        <v>-3.9842935176510164</v>
      </c>
      <c r="D120" s="2">
        <v>0.31</v>
      </c>
      <c r="E120" s="4">
        <v>0.34</v>
      </c>
      <c r="F120" s="2">
        <v>9.5713542344217473</v>
      </c>
      <c r="G120" s="2">
        <v>-6.5229722064662488</v>
      </c>
      <c r="H120" s="2">
        <v>-1.7726567693330364</v>
      </c>
      <c r="I120" s="2">
        <v>2.1663908530163978</v>
      </c>
      <c r="J120" s="2">
        <v>-3.5243925060285619</v>
      </c>
      <c r="K120" s="2">
        <v>-9.4180704441041314</v>
      </c>
      <c r="L120" s="2">
        <v>-6.7422096317280467</v>
      </c>
      <c r="M120" s="2">
        <v>-17.856806849186192</v>
      </c>
      <c r="N120" s="2">
        <v>-3.7678701235764556</v>
      </c>
      <c r="O120" s="2">
        <v>-6.6686080372743151</v>
      </c>
      <c r="P120" s="2">
        <v>-1.3127940506905467</v>
      </c>
      <c r="Q120" s="2">
        <v>-0.35981179075561531</v>
      </c>
      <c r="R120" s="2">
        <v>-9.948717948717956</v>
      </c>
      <c r="T120" s="2">
        <f t="shared" si="4"/>
        <v>-6.6325909190971473</v>
      </c>
      <c r="U120" s="2">
        <f t="shared" si="5"/>
        <v>-6.6445966251562032</v>
      </c>
      <c r="V120" s="2">
        <f t="shared" si="6"/>
        <v>-2.5906089102617158</v>
      </c>
      <c r="W120" s="2">
        <f t="shared" si="7"/>
        <v>-4.3197819438786897</v>
      </c>
    </row>
    <row r="121" spans="1:23" x14ac:dyDescent="0.15">
      <c r="A121" s="1">
        <v>34544</v>
      </c>
      <c r="B121" s="2">
        <v>1.9188559320582943</v>
      </c>
      <c r="C121" s="2">
        <v>4.0179876231528633</v>
      </c>
      <c r="D121" s="2">
        <v>0.28000000000000003</v>
      </c>
      <c r="E121" s="4">
        <v>0.27</v>
      </c>
      <c r="F121" s="2">
        <v>-4.4344186874833103</v>
      </c>
      <c r="G121" s="2">
        <v>2.2451456310679685</v>
      </c>
      <c r="H121" s="2">
        <v>11.343495214462962</v>
      </c>
      <c r="I121" s="2">
        <v>8.8499484611986432</v>
      </c>
      <c r="J121" s="2">
        <v>1.307440876754451</v>
      </c>
      <c r="K121" s="2">
        <v>27.134404057480999</v>
      </c>
      <c r="L121" s="2">
        <v>5.3462940461725506</v>
      </c>
      <c r="M121" s="2">
        <v>-1.929904936433402</v>
      </c>
      <c r="N121" s="2">
        <v>3.1474254060178675</v>
      </c>
      <c r="O121" s="2">
        <v>2.9537181487259367</v>
      </c>
      <c r="P121" s="2">
        <v>6.4590542099192572</v>
      </c>
      <c r="Q121" s="2">
        <v>1.7222222222222028</v>
      </c>
      <c r="R121" s="2">
        <v>0.54100227790434552</v>
      </c>
      <c r="T121" s="2">
        <f t="shared" si="4"/>
        <v>3.7957198386202595</v>
      </c>
      <c r="U121" s="2">
        <f t="shared" si="5"/>
        <v>3.5150526086554854</v>
      </c>
      <c r="V121" s="2">
        <f t="shared" si="6"/>
        <v>1.5276847846207864</v>
      </c>
      <c r="W121" s="2">
        <f t="shared" si="7"/>
        <v>4.9758328406161905</v>
      </c>
    </row>
    <row r="122" spans="1:23" x14ac:dyDescent="0.15">
      <c r="A122" s="1">
        <v>34577</v>
      </c>
      <c r="B122" s="2">
        <v>3.0288695427801882</v>
      </c>
      <c r="C122" s="2">
        <v>4.1187663170936695</v>
      </c>
      <c r="D122" s="2">
        <v>0.37</v>
      </c>
      <c r="E122" s="4">
        <v>0.4</v>
      </c>
      <c r="F122" s="2">
        <v>0.9379755877876983</v>
      </c>
      <c r="G122" s="2">
        <v>-1.8001978239367</v>
      </c>
      <c r="H122" s="2">
        <v>-3.8001794448785819</v>
      </c>
      <c r="I122" s="2">
        <v>-8.2386363636363757</v>
      </c>
      <c r="J122" s="2">
        <v>-0.26570506737521038</v>
      </c>
      <c r="K122" s="2">
        <v>7.7792553191489366</v>
      </c>
      <c r="L122" s="2">
        <v>11.13033448673586</v>
      </c>
      <c r="M122" s="2">
        <v>17.325547445255474</v>
      </c>
      <c r="N122" s="2">
        <v>15.781764921274277</v>
      </c>
      <c r="O122" s="2">
        <v>5.1116274371148629</v>
      </c>
      <c r="P122" s="2">
        <v>6.0382809678584337</v>
      </c>
      <c r="Q122" s="2">
        <v>-0.96941561987983205</v>
      </c>
      <c r="R122" s="2">
        <v>6.5137354856980911</v>
      </c>
      <c r="T122" s="2">
        <f t="shared" si="4"/>
        <v>4.6650683313995795</v>
      </c>
      <c r="U122" s="2">
        <f t="shared" si="5"/>
        <v>4.8139213666380067</v>
      </c>
      <c r="V122" s="2">
        <f t="shared" si="6"/>
        <v>3.8449349219254305</v>
      </c>
      <c r="W122" s="2">
        <f t="shared" si="7"/>
        <v>4.2726451793205333</v>
      </c>
    </row>
    <row r="123" spans="1:23" x14ac:dyDescent="0.15">
      <c r="A123" s="1">
        <v>34607</v>
      </c>
      <c r="B123" s="2">
        <v>-2.6100771674988588</v>
      </c>
      <c r="C123" s="2">
        <v>-2.1279398889918366</v>
      </c>
      <c r="D123" s="2">
        <v>0.37</v>
      </c>
      <c r="E123" s="4">
        <v>0.27</v>
      </c>
      <c r="F123" s="2">
        <v>-4.6001415428167043</v>
      </c>
      <c r="G123" s="2">
        <v>-6.7082997582594617</v>
      </c>
      <c r="H123" s="2">
        <v>-7.4252361754618246</v>
      </c>
      <c r="I123" s="2">
        <v>-5.1231018723278847</v>
      </c>
      <c r="J123" s="2">
        <v>-5.9942911512844921</v>
      </c>
      <c r="K123" s="2">
        <v>-6.9093152375077072</v>
      </c>
      <c r="L123" s="2">
        <v>1.6606123508043691</v>
      </c>
      <c r="M123" s="2">
        <v>-12.41787776229345</v>
      </c>
      <c r="N123" s="2">
        <v>-2.456251317731406</v>
      </c>
      <c r="O123" s="2">
        <v>-6.660259490629505</v>
      </c>
      <c r="P123" s="2">
        <v>0.19753422791364272</v>
      </c>
      <c r="Q123" s="2">
        <v>-4.9266969989429814</v>
      </c>
      <c r="R123" s="2">
        <v>-0.69130550385536615</v>
      </c>
      <c r="T123" s="2">
        <f t="shared" si="4"/>
        <v>-2.5238437037275463</v>
      </c>
      <c r="U123" s="2">
        <f t="shared" si="5"/>
        <v>-3.9026489660281989</v>
      </c>
      <c r="V123" s="2">
        <f t="shared" si="6"/>
        <v>-4.0770221102253252</v>
      </c>
      <c r="W123" s="2">
        <f t="shared" si="7"/>
        <v>-4.7734330947994446</v>
      </c>
    </row>
    <row r="124" spans="1:23" x14ac:dyDescent="0.15">
      <c r="A124" s="1">
        <v>34638</v>
      </c>
      <c r="B124" s="2">
        <v>2.8627814966904808</v>
      </c>
      <c r="C124" s="2">
        <v>1.4842091093442811</v>
      </c>
      <c r="D124" s="2">
        <v>0.38</v>
      </c>
      <c r="E124" s="4">
        <v>7.0000000000000007E-2</v>
      </c>
      <c r="F124" s="2">
        <v>6.4636821055347626</v>
      </c>
      <c r="G124" s="2">
        <v>-15.741740444828334</v>
      </c>
      <c r="H124" s="2">
        <v>5.7751056223594333</v>
      </c>
      <c r="I124" s="2">
        <v>7.2488540128972323</v>
      </c>
      <c r="J124" s="2">
        <v>8.3400809716599245</v>
      </c>
      <c r="K124" s="2">
        <v>28.230616302186885</v>
      </c>
      <c r="L124" s="2">
        <v>6.9933639612046905</v>
      </c>
      <c r="M124" s="2">
        <v>22.992555549241356</v>
      </c>
      <c r="N124" s="2">
        <v>12.017723981411432</v>
      </c>
      <c r="O124" s="2">
        <v>-0.23682042833608197</v>
      </c>
      <c r="P124" s="2">
        <v>6.7912984364377982</v>
      </c>
      <c r="Q124" s="2">
        <v>4.858123459177266</v>
      </c>
      <c r="R124" s="2">
        <v>0.93708165997321569</v>
      </c>
      <c r="T124" s="2">
        <f t="shared" si="4"/>
        <v>-4.3741882418118223</v>
      </c>
      <c r="U124" s="2">
        <f t="shared" si="5"/>
        <v>-2.9950656373199087</v>
      </c>
      <c r="V124" s="2">
        <f t="shared" si="6"/>
        <v>-0.63037870160624099</v>
      </c>
      <c r="W124" s="2">
        <f t="shared" si="7"/>
        <v>7.2823019376091986</v>
      </c>
    </row>
    <row r="125" spans="1:23" x14ac:dyDescent="0.15">
      <c r="A125" s="1">
        <v>34668</v>
      </c>
      <c r="B125" s="2">
        <v>-4.3194183397709747</v>
      </c>
      <c r="C125" s="2">
        <v>-3.928175637224085</v>
      </c>
      <c r="D125" s="2">
        <v>0.37</v>
      </c>
      <c r="E125" s="4">
        <v>0.13</v>
      </c>
      <c r="F125" s="2">
        <v>-2.5206010664081568</v>
      </c>
      <c r="G125" s="2">
        <v>-2.9728344438749277</v>
      </c>
      <c r="H125" s="2">
        <v>-6.4644974959289563</v>
      </c>
      <c r="I125" s="2">
        <v>-8.0483917705013184</v>
      </c>
      <c r="J125" s="2">
        <v>-0.24289985052318164</v>
      </c>
      <c r="K125" s="2">
        <v>-13.488372093023248</v>
      </c>
      <c r="L125" s="2">
        <v>-4.7232824427480891</v>
      </c>
      <c r="M125" s="2">
        <v>-2.4950330360855699</v>
      </c>
      <c r="N125" s="2">
        <v>-0.13506994693681662</v>
      </c>
      <c r="O125" s="2">
        <v>-2.4357518835793179</v>
      </c>
      <c r="P125" s="2">
        <v>-0.92940352664079295</v>
      </c>
      <c r="Q125" s="2">
        <v>-10.151207818550612</v>
      </c>
      <c r="R125" s="2">
        <v>-17.586206896551726</v>
      </c>
      <c r="T125" s="2">
        <f t="shared" si="4"/>
        <v>-3.8480584433115084</v>
      </c>
      <c r="U125" s="2">
        <f t="shared" si="5"/>
        <v>-3.3772895900674449</v>
      </c>
      <c r="V125" s="2">
        <f t="shared" si="6"/>
        <v>-3.1631174591526232</v>
      </c>
      <c r="W125" s="2">
        <f t="shared" si="7"/>
        <v>-5.5533501747194398</v>
      </c>
    </row>
    <row r="126" spans="1:23" x14ac:dyDescent="0.15">
      <c r="A126" s="1">
        <v>34698</v>
      </c>
      <c r="B126" s="2">
        <v>0.98709234045737393</v>
      </c>
      <c r="C126" s="2">
        <v>1.1145578400960199</v>
      </c>
      <c r="D126" s="2">
        <v>0.44</v>
      </c>
      <c r="E126" s="4">
        <v>0</v>
      </c>
      <c r="F126" s="2">
        <v>-1.4109895574341169</v>
      </c>
      <c r="G126" s="2">
        <v>10.486001056524042</v>
      </c>
      <c r="H126" s="2">
        <v>3.3275301382912126</v>
      </c>
      <c r="I126" s="2">
        <v>2.7653037107066902</v>
      </c>
      <c r="J126" s="2">
        <v>1.891740026222144</v>
      </c>
      <c r="K126" s="2">
        <v>4.6893667861409805</v>
      </c>
      <c r="L126" s="2">
        <v>3.9058587881822815</v>
      </c>
      <c r="M126" s="2">
        <v>0.96194853812252568</v>
      </c>
      <c r="N126" s="2">
        <v>2.50217370302388</v>
      </c>
      <c r="O126" s="2">
        <v>3.5650058182587596</v>
      </c>
      <c r="P126" s="2">
        <v>4.4335924950202443</v>
      </c>
      <c r="Q126" s="2">
        <v>4.2432016418676222</v>
      </c>
      <c r="R126" s="2">
        <v>8.5934985516575413</v>
      </c>
      <c r="T126" s="2">
        <f t="shared" si="4"/>
        <v>7.1959299223531623</v>
      </c>
      <c r="U126" s="2">
        <f t="shared" si="5"/>
        <v>5.9856218876550287</v>
      </c>
      <c r="V126" s="2">
        <f t="shared" si="6"/>
        <v>4.1364690263827413</v>
      </c>
      <c r="W126" s="2">
        <f t="shared" si="7"/>
        <v>3.8426332074295235</v>
      </c>
    </row>
    <row r="127" spans="1:23" x14ac:dyDescent="0.15">
      <c r="A127" s="1">
        <v>34730</v>
      </c>
      <c r="B127" s="2">
        <v>-1.4827746286325549</v>
      </c>
      <c r="C127" s="2">
        <v>1.9992864410587119</v>
      </c>
      <c r="D127" s="2">
        <v>0.42</v>
      </c>
      <c r="E127" s="4">
        <v>0.4</v>
      </c>
      <c r="F127" s="2">
        <v>-8.0007565727255425</v>
      </c>
      <c r="G127" s="2">
        <v>-7.7217308152043973</v>
      </c>
      <c r="H127" s="2">
        <v>-2.6290691759918605</v>
      </c>
      <c r="I127" s="2">
        <v>-8.5019932536031906</v>
      </c>
      <c r="J127" s="2">
        <v>-8.419117647058826</v>
      </c>
      <c r="K127" s="2">
        <v>3.5092724679030018</v>
      </c>
      <c r="L127" s="2">
        <v>-1.8795180722891547</v>
      </c>
      <c r="M127" s="2">
        <v>-9.4949779404862493</v>
      </c>
      <c r="N127" s="2">
        <v>0.62205466540998788</v>
      </c>
      <c r="O127" s="2">
        <v>7.6098059244126715</v>
      </c>
      <c r="P127" s="2">
        <v>-1.0582661662462356</v>
      </c>
      <c r="Q127" s="2">
        <v>-0.38391494807303861</v>
      </c>
      <c r="R127" s="2">
        <v>-1.3633669235328938</v>
      </c>
      <c r="T127" s="2">
        <f t="shared" si="4"/>
        <v>-4.8006244437467762</v>
      </c>
      <c r="U127" s="2">
        <f t="shared" si="5"/>
        <v>-0.66381432102696036</v>
      </c>
      <c r="V127" s="2">
        <f t="shared" si="6"/>
        <v>-2.4980498839516052</v>
      </c>
      <c r="W127" s="2">
        <f t="shared" si="7"/>
        <v>-2.9008906505758252</v>
      </c>
    </row>
    <row r="128" spans="1:23" x14ac:dyDescent="0.15">
      <c r="A128" s="1">
        <v>34758</v>
      </c>
      <c r="B128" s="2">
        <v>1.4773247980740978</v>
      </c>
      <c r="C128" s="2">
        <v>3.7245757222438058</v>
      </c>
      <c r="D128" s="2">
        <v>0.4</v>
      </c>
      <c r="E128" s="4">
        <v>0.4</v>
      </c>
      <c r="F128" s="2">
        <v>-6.7605537280701844</v>
      </c>
      <c r="G128" s="2">
        <v>10.20725388601036</v>
      </c>
      <c r="H128" s="2">
        <v>7.0096966926768589</v>
      </c>
      <c r="I128" s="2">
        <v>3.4604105571847565</v>
      </c>
      <c r="J128" s="2">
        <v>-3.35206744279406</v>
      </c>
      <c r="K128" s="2">
        <v>-1.8743109151047488</v>
      </c>
      <c r="L128" s="2">
        <v>4.7151277013752324</v>
      </c>
      <c r="M128" s="2">
        <v>-3.4953067468754817</v>
      </c>
      <c r="N128" s="2">
        <v>14.424878231547389</v>
      </c>
      <c r="O128" s="2">
        <v>3.7304224015187515</v>
      </c>
      <c r="P128" s="2">
        <v>4.5395186866488357</v>
      </c>
      <c r="Q128" s="2">
        <v>-5.9884381639409128</v>
      </c>
      <c r="R128" s="2">
        <v>0.57091346153845812</v>
      </c>
      <c r="T128" s="2">
        <f t="shared" si="4"/>
        <v>7.4611907936927961</v>
      </c>
      <c r="U128" s="2">
        <f t="shared" si="5"/>
        <v>6.2176013296347818</v>
      </c>
      <c r="V128" s="2">
        <f t="shared" si="6"/>
        <v>2.9730625652085401</v>
      </c>
      <c r="W128" s="2">
        <f t="shared" si="7"/>
        <v>2.0913495862857889</v>
      </c>
    </row>
    <row r="129" spans="1:23" x14ac:dyDescent="0.15">
      <c r="A129" s="1">
        <v>34789</v>
      </c>
      <c r="B129" s="2">
        <v>4.8403021760096365</v>
      </c>
      <c r="C129" s="2">
        <v>2.4253210932783764</v>
      </c>
      <c r="D129" s="2">
        <v>0.46</v>
      </c>
      <c r="E129" s="4">
        <v>0.33</v>
      </c>
      <c r="F129" s="2">
        <v>10.881628753077788</v>
      </c>
      <c r="G129" s="2">
        <v>3.220498354489898</v>
      </c>
      <c r="H129" s="2">
        <v>-2.8771051989260332</v>
      </c>
      <c r="I129" s="2">
        <v>2.8749595076125622</v>
      </c>
      <c r="J129" s="2">
        <v>-2.8037383177570097</v>
      </c>
      <c r="K129" s="2">
        <v>-10.758426966292134</v>
      </c>
      <c r="L129" s="2">
        <v>9.0994371482176373</v>
      </c>
      <c r="M129" s="2">
        <v>-0.36541458434091734</v>
      </c>
      <c r="N129" s="2">
        <v>4.9361493123772249</v>
      </c>
      <c r="O129" s="2">
        <v>4.2185212298682329</v>
      </c>
      <c r="P129" s="2">
        <v>9.5354232347867551</v>
      </c>
      <c r="Q129" s="2">
        <v>3.6369369842854882</v>
      </c>
      <c r="R129" s="2">
        <v>2.3902001792650118</v>
      </c>
      <c r="T129" s="2">
        <f t="shared" si="4"/>
        <v>6.1599677513537676</v>
      </c>
      <c r="U129" s="2">
        <f t="shared" si="5"/>
        <v>5.5128189108585888</v>
      </c>
      <c r="V129" s="2">
        <f t="shared" si="6"/>
        <v>6.8550213714133887</v>
      </c>
      <c r="W129" s="2">
        <f t="shared" si="7"/>
        <v>2.6145438182049618</v>
      </c>
    </row>
    <row r="130" spans="1:23" x14ac:dyDescent="0.15">
      <c r="A130" s="1">
        <v>34817</v>
      </c>
      <c r="B130" s="2">
        <v>3.5048438213153954</v>
      </c>
      <c r="C130" s="2">
        <v>2.3471621267333376</v>
      </c>
      <c r="D130" s="2">
        <v>0.44</v>
      </c>
      <c r="E130" s="4">
        <v>0.33</v>
      </c>
      <c r="F130" s="2">
        <v>1.9455123955985698</v>
      </c>
      <c r="G130" s="2">
        <v>2.5506718287406027</v>
      </c>
      <c r="H130" s="2">
        <v>2.1707033581503499</v>
      </c>
      <c r="I130" s="2">
        <v>2.0861213886483432</v>
      </c>
      <c r="J130" s="2">
        <v>3.5897435897435992</v>
      </c>
      <c r="K130" s="2">
        <v>8.4985835694050937</v>
      </c>
      <c r="L130" s="2">
        <v>15.219260533104052</v>
      </c>
      <c r="M130" s="2">
        <v>10.544199341998816</v>
      </c>
      <c r="N130" s="2">
        <v>9.868164443404325</v>
      </c>
      <c r="O130" s="2">
        <v>-1.062428659232606</v>
      </c>
      <c r="P130" s="2">
        <v>4.5508851960464947</v>
      </c>
      <c r="Q130" s="2">
        <v>10.416349713474315</v>
      </c>
      <c r="R130" s="2">
        <v>6.9448497227896144</v>
      </c>
      <c r="T130" s="2">
        <f t="shared" si="4"/>
        <v>8.8849661809223264</v>
      </c>
      <c r="U130" s="2">
        <f t="shared" si="5"/>
        <v>5.5691679008706823</v>
      </c>
      <c r="V130" s="2">
        <f t="shared" si="6"/>
        <v>4.6632540245526544</v>
      </c>
      <c r="W130" s="2">
        <f t="shared" si="7"/>
        <v>5.9478935709131981</v>
      </c>
    </row>
    <row r="131" spans="1:23" x14ac:dyDescent="0.15">
      <c r="A131" s="1">
        <v>34850</v>
      </c>
      <c r="B131" s="2">
        <v>0.87453597919646686</v>
      </c>
      <c r="C131" s="2">
        <v>3.1156297781925968</v>
      </c>
      <c r="D131" s="2">
        <v>0.54</v>
      </c>
      <c r="E131" s="4">
        <v>0.2</v>
      </c>
      <c r="F131" s="2">
        <v>-3.946812315094772</v>
      </c>
      <c r="G131" s="2">
        <v>7.1285809460359673</v>
      </c>
      <c r="H131" s="2">
        <v>6.8902963965072006</v>
      </c>
      <c r="I131" s="2">
        <v>7.8346699568167866</v>
      </c>
      <c r="J131" s="2">
        <v>0.866336633663356</v>
      </c>
      <c r="K131" s="2">
        <v>8.9643167972149875</v>
      </c>
      <c r="L131" s="2">
        <v>-1.4552238805970119</v>
      </c>
      <c r="M131" s="2">
        <v>3.2933255269320894</v>
      </c>
      <c r="N131" s="2">
        <v>-0.19170690144845182</v>
      </c>
      <c r="O131" s="2">
        <v>2.422790202342906</v>
      </c>
      <c r="P131" s="2">
        <v>-0.57656347392479601</v>
      </c>
      <c r="Q131" s="2">
        <v>-4.9327148302944046</v>
      </c>
      <c r="R131" s="2">
        <v>-0.30013642564802323</v>
      </c>
      <c r="T131" s="2">
        <f t="shared" si="4"/>
        <v>2.8366785327194775</v>
      </c>
      <c r="U131" s="2">
        <f t="shared" si="5"/>
        <v>2.698715755927287</v>
      </c>
      <c r="V131" s="2">
        <f t="shared" si="6"/>
        <v>1.0373337381717724</v>
      </c>
      <c r="W131" s="2">
        <f t="shared" si="7"/>
        <v>1.9997814332696795</v>
      </c>
    </row>
    <row r="132" spans="1:23" x14ac:dyDescent="0.15">
      <c r="A132" s="1">
        <v>34880</v>
      </c>
      <c r="B132" s="2">
        <v>-1.1390278981793234E-2</v>
      </c>
      <c r="C132" s="2">
        <v>3.0035818826066984</v>
      </c>
      <c r="D132" s="2">
        <v>0.47</v>
      </c>
      <c r="E132" s="4">
        <v>0.2</v>
      </c>
      <c r="F132" s="2">
        <v>2.3184972076493393</v>
      </c>
      <c r="G132" s="2">
        <v>-2.3424543946931942</v>
      </c>
      <c r="H132" s="2">
        <v>2.019272256579896</v>
      </c>
      <c r="I132" s="2">
        <v>1.7090961098398028</v>
      </c>
      <c r="J132" s="2">
        <v>11.00204498977504</v>
      </c>
      <c r="K132" s="2">
        <v>11.714589989350376</v>
      </c>
      <c r="L132" s="2">
        <v>3.2563422945853793</v>
      </c>
      <c r="M132" s="2">
        <v>15.285059751546925</v>
      </c>
      <c r="N132" s="2">
        <v>13.174930639539028</v>
      </c>
      <c r="O132" s="2">
        <v>-3.8124945845247393</v>
      </c>
      <c r="P132" s="2">
        <v>6.3998746147014174</v>
      </c>
      <c r="Q132" s="2">
        <v>-6.0582636842359534</v>
      </c>
      <c r="R132" s="2">
        <v>8.7027914614121507</v>
      </c>
      <c r="T132" s="2">
        <f t="shared" si="4"/>
        <v>0.45694394994609255</v>
      </c>
      <c r="U132" s="2">
        <f t="shared" si="5"/>
        <v>-0.96620222821085144</v>
      </c>
      <c r="V132" s="2">
        <f t="shared" si="6"/>
        <v>-0.14502736924580373</v>
      </c>
      <c r="W132" s="2">
        <f t="shared" si="7"/>
        <v>4.8745605116558055</v>
      </c>
    </row>
    <row r="133" spans="1:23" x14ac:dyDescent="0.15">
      <c r="A133" s="1">
        <v>34911</v>
      </c>
      <c r="B133" s="2">
        <v>5.0230694818433674</v>
      </c>
      <c r="C133" s="2">
        <v>3.9839065803913609</v>
      </c>
      <c r="D133" s="2">
        <v>0.45</v>
      </c>
      <c r="E133" s="4">
        <v>0</v>
      </c>
      <c r="F133" s="2">
        <v>4.8031756533245096</v>
      </c>
      <c r="G133" s="2">
        <v>3.9906601570791622</v>
      </c>
      <c r="H133" s="2">
        <v>7.6888375109256613</v>
      </c>
      <c r="I133" s="2">
        <v>-1.4764817549040243</v>
      </c>
      <c r="J133" s="2">
        <v>1.8238761974944895</v>
      </c>
      <c r="K133" s="2">
        <v>-3.0743565300286102</v>
      </c>
      <c r="L133" s="2">
        <v>13.384671800513392</v>
      </c>
      <c r="M133" s="2">
        <v>11.87773999262507</v>
      </c>
      <c r="N133" s="2">
        <v>4.5320258972908256</v>
      </c>
      <c r="O133" s="2">
        <v>-2.1980001801639393</v>
      </c>
      <c r="P133" s="2">
        <v>4.8610429146616951</v>
      </c>
      <c r="Q133" s="2">
        <v>7.5649267163795164</v>
      </c>
      <c r="R133" s="2">
        <v>7.8801611278952688</v>
      </c>
      <c r="T133" s="2">
        <f t="shared" si="4"/>
        <v>8.6876659787962769</v>
      </c>
      <c r="U133" s="2">
        <f t="shared" si="5"/>
        <v>5.0591105924762045</v>
      </c>
      <c r="V133" s="2">
        <f t="shared" si="6"/>
        <v>4.9951268576882804</v>
      </c>
      <c r="W133" s="2">
        <f t="shared" si="7"/>
        <v>4.7429445771610013</v>
      </c>
    </row>
    <row r="134" spans="1:23" x14ac:dyDescent="0.15">
      <c r="A134" s="1">
        <v>34942</v>
      </c>
      <c r="B134" s="2">
        <v>-2.2098615018216639</v>
      </c>
      <c r="C134" s="2">
        <v>0.72673530078066761</v>
      </c>
      <c r="D134" s="2">
        <v>0.47</v>
      </c>
      <c r="E134" s="4">
        <v>0.26</v>
      </c>
      <c r="F134" s="2">
        <v>-5.3153210024619586</v>
      </c>
      <c r="G134" s="2">
        <v>-2.735252092263718</v>
      </c>
      <c r="H134" s="2">
        <v>-6.0951981986699488</v>
      </c>
      <c r="I134" s="2">
        <v>6.0301148933133542</v>
      </c>
      <c r="J134" s="2">
        <v>10.258729871539707</v>
      </c>
      <c r="K134" s="2">
        <v>-4.2045733956233011</v>
      </c>
      <c r="L134" s="2">
        <v>-4.8188874514877078</v>
      </c>
      <c r="M134" s="2">
        <v>-5.6800703142166569</v>
      </c>
      <c r="N134" s="2">
        <v>2.7300060132291026</v>
      </c>
      <c r="O134" s="2">
        <v>3.5000460532375488</v>
      </c>
      <c r="P134" s="2">
        <v>-4.6169694699381818</v>
      </c>
      <c r="Q134" s="2">
        <v>-8.1755593803786617</v>
      </c>
      <c r="R134" s="2">
        <v>-3.9206534422403738</v>
      </c>
      <c r="T134" s="2">
        <f t="shared" si="4"/>
        <v>-3.7770697718757127</v>
      </c>
      <c r="U134" s="2">
        <f t="shared" si="5"/>
        <v>-1.3513644968379588</v>
      </c>
      <c r="V134" s="2">
        <f t="shared" si="6"/>
        <v>-2.3423536232439588</v>
      </c>
      <c r="W134" s="2">
        <f t="shared" si="7"/>
        <v>-1.7725836858431383</v>
      </c>
    </row>
    <row r="135" spans="1:23" x14ac:dyDescent="0.15">
      <c r="A135" s="1">
        <v>34971</v>
      </c>
      <c r="B135" s="2">
        <v>2.9321460455149717</v>
      </c>
      <c r="C135" s="2">
        <v>3.647622039598164</v>
      </c>
      <c r="D135" s="2">
        <v>0.43</v>
      </c>
      <c r="E135" s="4">
        <v>0.2</v>
      </c>
      <c r="F135" s="2">
        <v>-3.080205347023135</v>
      </c>
      <c r="G135" s="2">
        <v>-0.52465897166841247</v>
      </c>
      <c r="H135" s="2">
        <v>-1.028829532147435</v>
      </c>
      <c r="I135" s="2">
        <v>1.2181989500605894</v>
      </c>
      <c r="J135" s="2">
        <v>-0.50869707909420026</v>
      </c>
      <c r="K135" s="2">
        <v>-13.372689938398363</v>
      </c>
      <c r="L135" s="2">
        <v>-8.5966700645599747</v>
      </c>
      <c r="M135" s="2">
        <v>1.3084837895554147</v>
      </c>
      <c r="N135" s="2">
        <v>4.4720206040739896</v>
      </c>
      <c r="O135" s="2">
        <v>9.1928450654089175</v>
      </c>
      <c r="P135" s="2">
        <v>7.70250368188512</v>
      </c>
      <c r="Q135" s="2">
        <v>1.0361345412891909</v>
      </c>
      <c r="R135" s="2">
        <v>-0.82584406120961296</v>
      </c>
      <c r="T135" s="2">
        <f t="shared" si="4"/>
        <v>-4.5606645181141934</v>
      </c>
      <c r="U135" s="2">
        <f t="shared" si="5"/>
        <v>2.3838676393510266E-2</v>
      </c>
      <c r="V135" s="2">
        <f t="shared" si="6"/>
        <v>-0.75217232946065105</v>
      </c>
      <c r="W135" s="2">
        <f t="shared" si="7"/>
        <v>-0.23133910475599301</v>
      </c>
    </row>
    <row r="136" spans="1:23" x14ac:dyDescent="0.15">
      <c r="A136" s="1">
        <v>35003</v>
      </c>
      <c r="B136" s="2">
        <v>-1.5558633640805342</v>
      </c>
      <c r="C136" s="2">
        <v>-1.1324985404615129</v>
      </c>
      <c r="D136" s="2">
        <v>0.47</v>
      </c>
      <c r="E136" s="4">
        <v>0.33</v>
      </c>
      <c r="F136" s="2">
        <v>-2.5142739217169918</v>
      </c>
      <c r="G136" s="2">
        <v>-6.6666666666666767</v>
      </c>
      <c r="H136" s="2">
        <v>-2.5720483421134088</v>
      </c>
      <c r="I136" s="2">
        <v>-6.5363388523173249</v>
      </c>
      <c r="J136" s="2">
        <v>-2.8368794326241065</v>
      </c>
      <c r="K136" s="2">
        <v>-2.5185185185185199</v>
      </c>
      <c r="L136" s="2">
        <v>2.8996282527881112</v>
      </c>
      <c r="M136" s="2">
        <v>14.989268741376671</v>
      </c>
      <c r="N136" s="2">
        <v>11.093679964141634</v>
      </c>
      <c r="O136" s="2">
        <v>5.8109209453952593</v>
      </c>
      <c r="P136" s="2">
        <v>9.4033456401841242</v>
      </c>
      <c r="Q136" s="2">
        <v>-4.6122133470754996</v>
      </c>
      <c r="R136" s="2">
        <v>-3.7472446730345332</v>
      </c>
      <c r="T136" s="2">
        <f t="shared" ref="T136:T162" si="8">AVERAGE(G136,L136)</f>
        <v>-1.8835192069392828</v>
      </c>
      <c r="U136" s="2">
        <f t="shared" ref="U136:U162" si="9">AVERAGE(G136,L136,O136)</f>
        <v>0.68129417717223129</v>
      </c>
      <c r="V136" s="2">
        <f t="shared" ref="V136:V162" si="10">AVERAGE(G136,F136,L136,O136)</f>
        <v>-0.11759784755007452</v>
      </c>
      <c r="W136" s="2">
        <f t="shared" ref="W136:W162" si="11">AVERAGE(F136:R136)</f>
        <v>0.93789690690913396</v>
      </c>
    </row>
    <row r="137" spans="1:23" x14ac:dyDescent="0.15">
      <c r="A137" s="1">
        <v>35033</v>
      </c>
      <c r="B137" s="2">
        <v>3.4911853545827487</v>
      </c>
      <c r="C137" s="2">
        <v>3.9910327180375127</v>
      </c>
      <c r="D137" s="2">
        <v>0.42</v>
      </c>
      <c r="E137" s="4">
        <v>-7.0000000000000007E-2</v>
      </c>
      <c r="F137" s="2">
        <v>6.1673076244575187</v>
      </c>
      <c r="G137" s="2">
        <v>11.595840867992768</v>
      </c>
      <c r="H137" s="2">
        <v>0.54071246819338281</v>
      </c>
      <c r="I137" s="2">
        <v>-1.7359134889015304</v>
      </c>
      <c r="J137" s="2">
        <v>0.72992700729925808</v>
      </c>
      <c r="K137" s="2">
        <v>5.3191489361702038</v>
      </c>
      <c r="L137" s="2">
        <v>-0.36127167630057855</v>
      </c>
      <c r="M137" s="2">
        <v>-11.23554311235544</v>
      </c>
      <c r="N137" s="2">
        <v>-10.389348396207387</v>
      </c>
      <c r="O137" s="2">
        <v>1.0706308249249119</v>
      </c>
      <c r="P137" s="2">
        <v>-0.99158403466376166</v>
      </c>
      <c r="Q137" s="2">
        <v>6.4937871420853721</v>
      </c>
      <c r="R137" s="2">
        <v>0.76335877862594437</v>
      </c>
      <c r="T137" s="2">
        <f t="shared" si="8"/>
        <v>5.6172845958460949</v>
      </c>
      <c r="U137" s="2">
        <f t="shared" si="9"/>
        <v>4.1017333388723669</v>
      </c>
      <c r="V137" s="2">
        <f t="shared" si="10"/>
        <v>4.6181269102686553</v>
      </c>
      <c r="W137" s="2">
        <f t="shared" si="11"/>
        <v>0.61285022625543562</v>
      </c>
    </row>
    <row r="138" spans="1:23" x14ac:dyDescent="0.15">
      <c r="A138" s="1">
        <v>35062</v>
      </c>
      <c r="B138" s="2">
        <v>2.9423316938131938</v>
      </c>
      <c r="C138" s="2">
        <v>1.4609739714806835</v>
      </c>
      <c r="D138" s="2">
        <v>0.49</v>
      </c>
      <c r="E138" s="4">
        <v>-7.0000000000000007E-2</v>
      </c>
      <c r="F138" s="2">
        <v>7.3875909740453993</v>
      </c>
      <c r="G138" s="2">
        <v>9.013570994531106</v>
      </c>
      <c r="H138" s="2">
        <v>-4.7280779960311765</v>
      </c>
      <c r="I138" s="2">
        <v>2.2082247321169923</v>
      </c>
      <c r="J138" s="2">
        <v>7.4654533198517115</v>
      </c>
      <c r="K138" s="2">
        <v>-16.39249639249639</v>
      </c>
      <c r="L138" s="2">
        <v>-5.438723712835392</v>
      </c>
      <c r="M138" s="2">
        <v>-2.7861219585461061</v>
      </c>
      <c r="N138" s="2">
        <v>1.165015758667276</v>
      </c>
      <c r="O138" s="2">
        <v>0.94497789971039747</v>
      </c>
      <c r="P138" s="2">
        <v>1.232957414576652</v>
      </c>
      <c r="Q138" s="2">
        <v>10.729504870129869</v>
      </c>
      <c r="R138" s="2">
        <v>2.6515151515151603</v>
      </c>
      <c r="T138" s="2">
        <f t="shared" si="8"/>
        <v>1.787423640847857</v>
      </c>
      <c r="U138" s="2">
        <f t="shared" si="9"/>
        <v>1.5066083938020371</v>
      </c>
      <c r="V138" s="2">
        <f t="shared" si="10"/>
        <v>2.9768540388628777</v>
      </c>
      <c r="W138" s="2">
        <f t="shared" si="11"/>
        <v>1.0348762350181153</v>
      </c>
    </row>
    <row r="139" spans="1:23" x14ac:dyDescent="0.15">
      <c r="A139" s="1">
        <v>35095</v>
      </c>
      <c r="B139" s="2">
        <v>1.8268276468395905</v>
      </c>
      <c r="C139" s="2">
        <v>2.5524952907361564</v>
      </c>
      <c r="D139" s="2">
        <v>0.43</v>
      </c>
      <c r="E139" s="4">
        <v>0.59</v>
      </c>
      <c r="F139" s="2">
        <v>2.4509500526087802</v>
      </c>
      <c r="G139" s="2">
        <v>-0.46451133407655609</v>
      </c>
      <c r="H139" s="2">
        <v>10.722371479457848</v>
      </c>
      <c r="I139" s="2">
        <v>3.4001558404760157</v>
      </c>
      <c r="J139" s="2">
        <v>4.7514505253253736</v>
      </c>
      <c r="K139" s="2">
        <v>-13.324128408698655</v>
      </c>
      <c r="L139" s="2">
        <v>18.75</v>
      </c>
      <c r="M139" s="2">
        <v>-1.8230977211278421</v>
      </c>
      <c r="N139" s="2">
        <v>1.1961057023643917</v>
      </c>
      <c r="O139" s="2">
        <v>3.918163974029909</v>
      </c>
      <c r="P139" s="2">
        <v>0.21615330257307441</v>
      </c>
      <c r="Q139" s="2">
        <v>2.5839556512576189</v>
      </c>
      <c r="R139" s="2">
        <v>5.7318573185731969</v>
      </c>
      <c r="T139" s="2">
        <f t="shared" si="8"/>
        <v>9.1427443329617226</v>
      </c>
      <c r="U139" s="2">
        <f t="shared" si="9"/>
        <v>7.4012175466511181</v>
      </c>
      <c r="V139" s="2">
        <f t="shared" si="10"/>
        <v>6.1636506731405332</v>
      </c>
      <c r="W139" s="2">
        <f t="shared" si="11"/>
        <v>2.9314943371356272</v>
      </c>
    </row>
    <row r="140" spans="1:23" x14ac:dyDescent="0.15">
      <c r="A140" s="1">
        <v>35124</v>
      </c>
      <c r="B140" s="2">
        <v>0.6273978071893227</v>
      </c>
      <c r="C140" s="2">
        <v>1.5362647340070978</v>
      </c>
      <c r="D140" s="2">
        <v>0.39</v>
      </c>
      <c r="E140" s="4">
        <v>0.32</v>
      </c>
      <c r="F140" s="2">
        <v>-0.79139732978915633</v>
      </c>
      <c r="G140" s="2">
        <v>-1.8853836102296073</v>
      </c>
      <c r="H140" s="2">
        <v>-1.1587011641538747</v>
      </c>
      <c r="I140" s="2">
        <v>5.9327259025827139</v>
      </c>
      <c r="J140" s="2">
        <v>-2.3802395209580829</v>
      </c>
      <c r="K140" s="2">
        <v>-0.43807248108322927</v>
      </c>
      <c r="L140" s="2">
        <v>13.23861801743622</v>
      </c>
      <c r="M140" s="2">
        <v>7.427807065858838</v>
      </c>
      <c r="N140" s="2">
        <v>18.878504672897201</v>
      </c>
      <c r="O140" s="2">
        <v>-2.433708681438429</v>
      </c>
      <c r="P140" s="2">
        <v>8.233439794267694</v>
      </c>
      <c r="Q140" s="2">
        <v>-3.6130588182752055</v>
      </c>
      <c r="R140" s="2">
        <v>-3.140995812005587</v>
      </c>
      <c r="T140" s="2">
        <f t="shared" si="8"/>
        <v>5.6766172036033069</v>
      </c>
      <c r="U140" s="2">
        <f t="shared" si="9"/>
        <v>2.9731752419227284</v>
      </c>
      <c r="V140" s="2">
        <f t="shared" si="10"/>
        <v>2.0320320989947569</v>
      </c>
      <c r="W140" s="2">
        <f t="shared" si="11"/>
        <v>2.9130413873161149</v>
      </c>
    </row>
    <row r="141" spans="1:23" x14ac:dyDescent="0.15">
      <c r="A141" s="1">
        <v>35153</v>
      </c>
      <c r="B141" s="2">
        <v>1.682377128039847</v>
      </c>
      <c r="C141" s="2">
        <v>0.92972373062745195</v>
      </c>
      <c r="D141" s="2">
        <v>0.39</v>
      </c>
      <c r="E141" s="4">
        <v>0.52</v>
      </c>
      <c r="F141" s="2">
        <v>3.8484959201071867</v>
      </c>
      <c r="G141" s="2">
        <v>3.9003044140030418</v>
      </c>
      <c r="H141" s="2">
        <v>-7.0171567275335134</v>
      </c>
      <c r="I141" s="2">
        <v>9.9980598848865121</v>
      </c>
      <c r="J141" s="2">
        <v>11.501303481061175</v>
      </c>
      <c r="K141" s="2">
        <v>-10.68</v>
      </c>
      <c r="L141" s="2">
        <v>-9.2671799258625569</v>
      </c>
      <c r="M141" s="2">
        <v>-23.701750531018817</v>
      </c>
      <c r="N141" s="2">
        <v>-6.3956714761376325</v>
      </c>
      <c r="O141" s="2">
        <v>0</v>
      </c>
      <c r="P141" s="2">
        <v>11.983597761937602</v>
      </c>
      <c r="Q141" s="2">
        <v>3.8782318598832521</v>
      </c>
      <c r="R141" s="2">
        <v>6.1494114821042389</v>
      </c>
      <c r="T141" s="2">
        <f t="shared" si="8"/>
        <v>-2.6834377559297575</v>
      </c>
      <c r="U141" s="2">
        <f t="shared" si="9"/>
        <v>-1.7889585039531717</v>
      </c>
      <c r="V141" s="2">
        <f t="shared" si="10"/>
        <v>-0.3795948979380821</v>
      </c>
      <c r="W141" s="2">
        <f t="shared" si="11"/>
        <v>-0.4463349120438086</v>
      </c>
    </row>
    <row r="142" spans="1:23" x14ac:dyDescent="0.15">
      <c r="A142" s="1">
        <v>35185</v>
      </c>
      <c r="B142" s="2">
        <v>2.369524751757468</v>
      </c>
      <c r="C142" s="2">
        <v>2.3390287925176168</v>
      </c>
      <c r="D142" s="2">
        <v>0.46</v>
      </c>
      <c r="E142" s="4">
        <v>0.39</v>
      </c>
      <c r="F142" s="2">
        <v>2.3044447050545314</v>
      </c>
      <c r="G142" s="2">
        <v>1.8861014466214909</v>
      </c>
      <c r="H142" s="2">
        <v>3.1355680806882225</v>
      </c>
      <c r="I142" s="2">
        <v>5.3795049679581375</v>
      </c>
      <c r="J142" s="2">
        <v>1.1965341768670035</v>
      </c>
      <c r="K142" s="2">
        <v>-0.76130765785938914</v>
      </c>
      <c r="L142" s="2">
        <v>-3.1426775612822144</v>
      </c>
      <c r="M142" s="2">
        <v>21.032926946337717</v>
      </c>
      <c r="N142" s="2">
        <v>12.48456103947435</v>
      </c>
      <c r="O142" s="2">
        <v>-0.37230081906179935</v>
      </c>
      <c r="P142" s="2">
        <v>-2.5803360596831082</v>
      </c>
      <c r="Q142" s="2">
        <v>5.7808109193095092</v>
      </c>
      <c r="R142" s="2">
        <v>1.742475673229249</v>
      </c>
      <c r="T142" s="2">
        <f t="shared" si="8"/>
        <v>-0.62828805733036175</v>
      </c>
      <c r="U142" s="2">
        <f t="shared" si="9"/>
        <v>-0.54295897790750758</v>
      </c>
      <c r="V142" s="2">
        <f t="shared" si="10"/>
        <v>0.16889194283300213</v>
      </c>
      <c r="W142" s="2">
        <f t="shared" si="11"/>
        <v>3.6989466044349006</v>
      </c>
    </row>
    <row r="143" spans="1:23" x14ac:dyDescent="0.15">
      <c r="A143" s="1">
        <v>35216</v>
      </c>
      <c r="B143" s="2">
        <v>0.10440315760971153</v>
      </c>
      <c r="C143" s="2">
        <v>2.4952454338512897</v>
      </c>
      <c r="D143" s="2">
        <v>0.42</v>
      </c>
      <c r="E143" s="4">
        <v>0.19</v>
      </c>
      <c r="F143" s="2">
        <v>0.60468848512638118</v>
      </c>
      <c r="G143" s="2">
        <v>2.354421279654928</v>
      </c>
      <c r="H143" s="2">
        <v>3.7276727931659481</v>
      </c>
      <c r="I143" s="2">
        <v>1.7462619950903813</v>
      </c>
      <c r="J143" s="2">
        <v>5.76243544441426</v>
      </c>
      <c r="K143" s="2">
        <v>7.1750902527075944</v>
      </c>
      <c r="L143" s="2">
        <v>-0.61648280337442962</v>
      </c>
      <c r="M143" s="2">
        <v>4.0093591370558235</v>
      </c>
      <c r="N143" s="2">
        <v>0.58854532677441451</v>
      </c>
      <c r="O143" s="2">
        <v>6.8460388639760783</v>
      </c>
      <c r="P143" s="2">
        <v>8.2586854954860058</v>
      </c>
      <c r="Q143" s="2">
        <v>-3.027619650010549</v>
      </c>
      <c r="R143" s="2">
        <v>-5.6272241992882606</v>
      </c>
      <c r="T143" s="2">
        <f t="shared" si="8"/>
        <v>0.86896923814024918</v>
      </c>
      <c r="U143" s="2">
        <f t="shared" si="9"/>
        <v>2.8613257800855258</v>
      </c>
      <c r="V143" s="2">
        <f t="shared" si="10"/>
        <v>2.2971664563457397</v>
      </c>
      <c r="W143" s="2">
        <f t="shared" si="11"/>
        <v>2.4462978785214289</v>
      </c>
    </row>
    <row r="144" spans="1:23" x14ac:dyDescent="0.15">
      <c r="A144" s="1">
        <v>35244</v>
      </c>
      <c r="B144" s="2">
        <v>0.52360405629290341</v>
      </c>
      <c r="C144" s="2">
        <v>-0.96715014189761028</v>
      </c>
      <c r="D144" s="2">
        <v>0.4</v>
      </c>
      <c r="E144" s="4">
        <v>0.06</v>
      </c>
      <c r="F144" s="2">
        <v>9.6140150975644545</v>
      </c>
      <c r="G144" s="2">
        <v>-4.9868305531167607</v>
      </c>
      <c r="H144" s="2">
        <v>5.4238416105149234</v>
      </c>
      <c r="I144" s="2">
        <v>-11.301200855403859</v>
      </c>
      <c r="J144" s="2">
        <v>-5.2428681572860514</v>
      </c>
      <c r="K144" s="2">
        <v>-19.621052631578952</v>
      </c>
      <c r="L144" s="2">
        <v>-7.2477962781586687</v>
      </c>
      <c r="M144" s="2">
        <v>1.0294734433980324</v>
      </c>
      <c r="N144" s="2">
        <v>-6.2265304340232248</v>
      </c>
      <c r="O144" s="2">
        <v>5.2672076105204413</v>
      </c>
      <c r="P144" s="2">
        <v>-1.2492699071970925</v>
      </c>
      <c r="Q144" s="2">
        <v>-1.1349306431273631</v>
      </c>
      <c r="R144" s="2">
        <v>-4.5486683950035411</v>
      </c>
      <c r="T144" s="2">
        <f t="shared" si="8"/>
        <v>-6.1173134156377147</v>
      </c>
      <c r="U144" s="2">
        <f t="shared" si="9"/>
        <v>-2.3224730735849959</v>
      </c>
      <c r="V144" s="2">
        <f t="shared" si="10"/>
        <v>0.6616489692023666</v>
      </c>
      <c r="W144" s="2">
        <f t="shared" si="11"/>
        <v>-3.0942007763767427</v>
      </c>
    </row>
    <row r="145" spans="1:23" x14ac:dyDescent="0.15">
      <c r="A145" s="1">
        <v>35277</v>
      </c>
      <c r="B145" s="2">
        <v>-3.515892018208433</v>
      </c>
      <c r="C145" s="2">
        <v>-5.5308138646890885</v>
      </c>
      <c r="D145" s="2">
        <v>0.45</v>
      </c>
      <c r="E145" s="4">
        <v>0.19</v>
      </c>
      <c r="F145" s="2">
        <v>-3.1886694386694336</v>
      </c>
      <c r="G145" s="2">
        <v>-6.9303271114396603</v>
      </c>
      <c r="H145" s="2">
        <v>-3.3851495304979107</v>
      </c>
      <c r="I145" s="2">
        <v>1.1869436201780381</v>
      </c>
      <c r="J145" s="2">
        <v>-9.1944670463791631</v>
      </c>
      <c r="K145" s="2">
        <v>4.7668936616029223</v>
      </c>
      <c r="L145" s="2">
        <v>8.5885251671946392</v>
      </c>
      <c r="M145" s="2">
        <v>11.197494055930868</v>
      </c>
      <c r="N145" s="2">
        <v>-11.66883963494133</v>
      </c>
      <c r="O145" s="2">
        <v>-0.33224798989965887</v>
      </c>
      <c r="P145" s="2">
        <v>0.82804849998356911</v>
      </c>
      <c r="Q145" s="2">
        <v>-2.5554187192118216</v>
      </c>
      <c r="R145" s="2">
        <v>-9.4074074074074083</v>
      </c>
      <c r="T145" s="2">
        <f t="shared" si="8"/>
        <v>0.82909902787748946</v>
      </c>
      <c r="U145" s="2">
        <f t="shared" si="9"/>
        <v>0.44198335528510668</v>
      </c>
      <c r="V145" s="2">
        <f t="shared" si="10"/>
        <v>-0.46567984320352829</v>
      </c>
      <c r="W145" s="2">
        <f t="shared" si="11"/>
        <v>-1.5457401441197192</v>
      </c>
    </row>
    <row r="146" spans="1:23" x14ac:dyDescent="0.15">
      <c r="A146" s="1">
        <v>35307</v>
      </c>
      <c r="B146" s="2">
        <v>1.1685292985069928</v>
      </c>
      <c r="C146" s="2">
        <v>2.9934224743598081</v>
      </c>
      <c r="D146" s="2">
        <v>0.41</v>
      </c>
      <c r="E146" s="4">
        <v>0.19</v>
      </c>
      <c r="F146" s="2">
        <v>-0.7247738437172857</v>
      </c>
      <c r="G146" s="2">
        <v>2.5814138204924619</v>
      </c>
      <c r="H146" s="2">
        <v>3.6480453010998559</v>
      </c>
      <c r="I146" s="2">
        <v>3.4762952101661915</v>
      </c>
      <c r="J146" s="2">
        <v>3.0764635603345303</v>
      </c>
      <c r="K146" s="2">
        <v>10.199999999999999</v>
      </c>
      <c r="L146" s="2">
        <v>6.709886547811994</v>
      </c>
      <c r="M146" s="2">
        <v>3.6587021449904888</v>
      </c>
      <c r="N146" s="2">
        <v>-0.56931997891407349</v>
      </c>
      <c r="O146" s="2">
        <v>1.9934662310820528</v>
      </c>
      <c r="P146" s="2">
        <v>-1.0754440280267286</v>
      </c>
      <c r="Q146" s="2">
        <v>-14.642292936131806</v>
      </c>
      <c r="R146" s="2">
        <v>4.6879258653584222</v>
      </c>
      <c r="T146" s="2">
        <f t="shared" si="8"/>
        <v>4.6456501841522275</v>
      </c>
      <c r="U146" s="2">
        <f t="shared" si="9"/>
        <v>3.7615888664621693</v>
      </c>
      <c r="V146" s="2">
        <f t="shared" si="10"/>
        <v>2.6399981889173056</v>
      </c>
      <c r="W146" s="2">
        <f t="shared" si="11"/>
        <v>1.7707975303497001</v>
      </c>
    </row>
    <row r="147" spans="1:23" x14ac:dyDescent="0.15">
      <c r="A147" s="1">
        <v>35338</v>
      </c>
      <c r="B147" s="2">
        <v>3.933832143913607</v>
      </c>
      <c r="C147" s="2">
        <v>5.1541568814568839</v>
      </c>
      <c r="D147" s="2">
        <v>0.44</v>
      </c>
      <c r="E147" s="4">
        <v>0.32</v>
      </c>
      <c r="F147" s="2">
        <v>6.5408430900683934</v>
      </c>
      <c r="G147" s="2">
        <v>-3.2713898567557131</v>
      </c>
      <c r="H147" s="2">
        <v>-1.36057995377179</v>
      </c>
      <c r="I147" s="2">
        <v>-6.719017535573002</v>
      </c>
      <c r="J147" s="2">
        <v>-0.89829035062300999</v>
      </c>
      <c r="K147" s="2">
        <v>-8.4845735027223252</v>
      </c>
      <c r="L147" s="2">
        <v>8.8699878493317073</v>
      </c>
      <c r="M147" s="2">
        <v>13.247331543448372</v>
      </c>
      <c r="N147" s="2">
        <v>11.706075707772246</v>
      </c>
      <c r="O147" s="2">
        <v>-0.33337691201463793</v>
      </c>
      <c r="P147" s="2">
        <v>-17.637950914182177</v>
      </c>
      <c r="Q147" s="2">
        <v>9.0529321558881151</v>
      </c>
      <c r="R147" s="2">
        <v>-4.7123145014319245</v>
      </c>
      <c r="T147" s="2">
        <f t="shared" si="8"/>
        <v>2.7992989962879973</v>
      </c>
      <c r="U147" s="2">
        <f t="shared" si="9"/>
        <v>1.7550736935204523</v>
      </c>
      <c r="V147" s="2">
        <f t="shared" si="10"/>
        <v>2.9515160426574374</v>
      </c>
      <c r="W147" s="2">
        <f t="shared" si="11"/>
        <v>0.46151360149494242</v>
      </c>
    </row>
    <row r="148" spans="1:23" x14ac:dyDescent="0.15">
      <c r="A148" s="1">
        <v>35369</v>
      </c>
      <c r="B148" s="2">
        <v>0.71617293018322314</v>
      </c>
      <c r="C148" s="2">
        <v>1.2663971680474173</v>
      </c>
      <c r="D148" s="2">
        <v>0.42</v>
      </c>
      <c r="E148" s="4">
        <v>0.32</v>
      </c>
      <c r="F148" s="2">
        <v>-7.2686665651489735</v>
      </c>
      <c r="G148" s="2">
        <v>11.707024214528738</v>
      </c>
      <c r="H148" s="2">
        <v>2.2394418703733265</v>
      </c>
      <c r="I148" s="2">
        <v>1.2469143616684386</v>
      </c>
      <c r="J148" s="2">
        <v>17.456140350877192</v>
      </c>
      <c r="K148" s="2">
        <v>3.6688150718889423</v>
      </c>
      <c r="L148" s="2">
        <v>3.5993303571428603</v>
      </c>
      <c r="M148" s="2">
        <v>8.3815196021741478</v>
      </c>
      <c r="N148" s="2">
        <v>-9.4874228761271944</v>
      </c>
      <c r="O148" s="2">
        <v>1.9872761854791143</v>
      </c>
      <c r="P148" s="2">
        <v>3.4678612855485902</v>
      </c>
      <c r="Q148" s="2">
        <v>-6.8321776657130462</v>
      </c>
      <c r="R148" s="2">
        <v>5.4371584699453468</v>
      </c>
      <c r="T148" s="2">
        <f t="shared" si="8"/>
        <v>7.6531772858357989</v>
      </c>
      <c r="U148" s="2">
        <f t="shared" si="9"/>
        <v>5.7645435857169041</v>
      </c>
      <c r="V148" s="2">
        <f t="shared" si="10"/>
        <v>2.5062410480004349</v>
      </c>
      <c r="W148" s="2">
        <f t="shared" si="11"/>
        <v>2.7387088202028833</v>
      </c>
    </row>
    <row r="149" spans="1:23" x14ac:dyDescent="0.15">
      <c r="A149" s="1">
        <v>35398</v>
      </c>
      <c r="B149" s="2">
        <v>5.6216420431266956</v>
      </c>
      <c r="C149" s="2">
        <v>6.4342251796366545</v>
      </c>
      <c r="D149" s="2">
        <v>0.41</v>
      </c>
      <c r="E149" s="4">
        <v>0.19</v>
      </c>
      <c r="F149" s="2">
        <v>15.052821719853293</v>
      </c>
      <c r="G149" s="2">
        <v>8.2407739161590712</v>
      </c>
      <c r="H149" s="2">
        <v>10.777444979815076</v>
      </c>
      <c r="I149" s="2">
        <v>4.8012003000750259</v>
      </c>
      <c r="J149" s="2">
        <v>5.5763007219318039</v>
      </c>
      <c r="K149" s="2">
        <v>4.8780487804878092</v>
      </c>
      <c r="L149" s="2">
        <v>23.889038513331528</v>
      </c>
      <c r="M149" s="2">
        <v>14.028863339290965</v>
      </c>
      <c r="N149" s="2">
        <v>22.096376697603691</v>
      </c>
      <c r="O149" s="2">
        <v>10.733118971061106</v>
      </c>
      <c r="P149" s="2">
        <v>-5.0371114890985114</v>
      </c>
      <c r="Q149" s="2">
        <v>-1.3687935880087543</v>
      </c>
      <c r="R149" s="2">
        <v>7.2816791915004009</v>
      </c>
      <c r="T149" s="2">
        <f t="shared" si="8"/>
        <v>16.064906214745299</v>
      </c>
      <c r="U149" s="2">
        <f t="shared" si="9"/>
        <v>14.287643800183901</v>
      </c>
      <c r="V149" s="2">
        <f t="shared" si="10"/>
        <v>14.47893828010125</v>
      </c>
      <c r="W149" s="2">
        <f t="shared" si="11"/>
        <v>9.3038278503078846</v>
      </c>
    </row>
    <row r="150" spans="1:23" x14ac:dyDescent="0.15">
      <c r="A150" s="1">
        <v>35430</v>
      </c>
      <c r="B150" s="2">
        <v>-1.5845274706727919</v>
      </c>
      <c r="C150" s="2">
        <v>-1.2872729067930466</v>
      </c>
      <c r="D150" s="2">
        <v>0.46</v>
      </c>
      <c r="E150" s="4">
        <v>0</v>
      </c>
      <c r="F150" s="2">
        <v>5.3071030971977518</v>
      </c>
      <c r="G150" s="2">
        <v>-3.2439589539887459</v>
      </c>
      <c r="H150" s="2">
        <v>7.3448851480027111</v>
      </c>
      <c r="I150" s="2">
        <v>-1.527081842042477</v>
      </c>
      <c r="J150" s="2">
        <v>-5.9773638292855535</v>
      </c>
      <c r="K150" s="2">
        <v>-13.49749202006385</v>
      </c>
      <c r="L150" s="2">
        <v>-4.9347826086956541</v>
      </c>
      <c r="M150" s="2">
        <v>-6.152622467599322</v>
      </c>
      <c r="N150" s="2">
        <v>-6.5106291604036919</v>
      </c>
      <c r="O150" s="2">
        <v>-5.6042743481038437</v>
      </c>
      <c r="P150" s="2">
        <v>-1.4899246895990204</v>
      </c>
      <c r="Q150" s="2">
        <v>-4.3005646140045428</v>
      </c>
      <c r="R150" s="2">
        <v>-3.5748792270531404</v>
      </c>
      <c r="T150" s="2">
        <f t="shared" si="8"/>
        <v>-4.0893707813422004</v>
      </c>
      <c r="U150" s="2">
        <f t="shared" si="9"/>
        <v>-4.5943386369294146</v>
      </c>
      <c r="V150" s="2">
        <f t="shared" si="10"/>
        <v>-2.118978203397623</v>
      </c>
      <c r="W150" s="2">
        <f t="shared" si="11"/>
        <v>-3.3970450396645679</v>
      </c>
    </row>
    <row r="151" spans="1:23" x14ac:dyDescent="0.15">
      <c r="A151" s="1">
        <v>35461</v>
      </c>
      <c r="B151" s="2">
        <v>1.2223278356432221</v>
      </c>
      <c r="C151" s="2">
        <v>5.244301077061353</v>
      </c>
      <c r="D151" s="2">
        <v>0.45</v>
      </c>
      <c r="E151" s="4">
        <v>0.32</v>
      </c>
      <c r="F151" s="2">
        <v>-9.9618243014298891</v>
      </c>
      <c r="G151" s="2">
        <v>5.8159425248032859</v>
      </c>
      <c r="H151" s="2">
        <v>-8.0031539522964597</v>
      </c>
      <c r="I151" s="2">
        <v>0.79355464017447641</v>
      </c>
      <c r="J151" s="2">
        <v>5.6802507836990479</v>
      </c>
      <c r="K151" s="2">
        <v>-20.347917764891932</v>
      </c>
      <c r="L151" s="2">
        <v>3.5444774754173292</v>
      </c>
      <c r="M151" s="2">
        <v>16.639246186060429</v>
      </c>
      <c r="N151" s="2">
        <v>4.7269052322109539</v>
      </c>
      <c r="O151" s="2">
        <v>6.2507690414667083</v>
      </c>
      <c r="P151" s="2">
        <v>-10.773172445142375</v>
      </c>
      <c r="Q151" s="2">
        <v>-11.21526246140273</v>
      </c>
      <c r="R151" s="2">
        <v>10.896793587174347</v>
      </c>
      <c r="T151" s="2">
        <f t="shared" si="8"/>
        <v>4.6802100001103071</v>
      </c>
      <c r="U151" s="2">
        <f t="shared" si="9"/>
        <v>5.2037296805624402</v>
      </c>
      <c r="V151" s="2">
        <f t="shared" si="10"/>
        <v>1.4123411850643586</v>
      </c>
      <c r="W151" s="2">
        <f t="shared" si="11"/>
        <v>-0.45795318878129265</v>
      </c>
    </row>
    <row r="152" spans="1:23" x14ac:dyDescent="0.15">
      <c r="A152" s="1">
        <v>35489</v>
      </c>
      <c r="B152" s="2">
        <v>1.1672333330766227</v>
      </c>
      <c r="C152" s="2">
        <v>-0.21608307516444158</v>
      </c>
      <c r="D152" s="2">
        <v>0.39</v>
      </c>
      <c r="E152" s="4">
        <v>0.31</v>
      </c>
      <c r="F152" s="2">
        <v>-0.4440653302892783</v>
      </c>
      <c r="G152" s="2">
        <v>-1.0507597801487245</v>
      </c>
      <c r="H152" s="2">
        <v>5.0567816584529579</v>
      </c>
      <c r="I152" s="2">
        <v>2.3318709057034592</v>
      </c>
      <c r="J152" s="2">
        <v>-2.5035595633602137</v>
      </c>
      <c r="K152" s="2">
        <v>-2.2501654533421567</v>
      </c>
      <c r="L152" s="2">
        <v>-8.1492932862190841</v>
      </c>
      <c r="M152" s="2">
        <v>-8.9333418819858572</v>
      </c>
      <c r="N152" s="2">
        <v>6.649706114571452</v>
      </c>
      <c r="O152" s="2">
        <v>5.2866242038216438</v>
      </c>
      <c r="P152" s="2">
        <v>12.379585031493146</v>
      </c>
      <c r="Q152" s="2">
        <v>-2.9313128803875377</v>
      </c>
      <c r="R152" s="2">
        <v>0.85836909871244149</v>
      </c>
      <c r="T152" s="2">
        <f t="shared" si="8"/>
        <v>-4.6000265331839039</v>
      </c>
      <c r="U152" s="2">
        <f t="shared" si="9"/>
        <v>-1.3044762875153879</v>
      </c>
      <c r="V152" s="2">
        <f t="shared" si="10"/>
        <v>-1.0893735482088607</v>
      </c>
      <c r="W152" s="2">
        <f t="shared" si="11"/>
        <v>0.48464914130940367</v>
      </c>
    </row>
    <row r="153" spans="1:23" x14ac:dyDescent="0.15">
      <c r="A153" s="1">
        <v>35520</v>
      </c>
      <c r="B153" s="2">
        <v>-1.9607983066741053</v>
      </c>
      <c r="C153" s="2">
        <v>-4.5756155895558148</v>
      </c>
      <c r="D153" s="2">
        <v>0.43</v>
      </c>
      <c r="E153" s="4">
        <v>0.25</v>
      </c>
      <c r="F153" s="2">
        <v>-1.9001058414394367</v>
      </c>
      <c r="G153" s="2">
        <v>-4.3130207482437459</v>
      </c>
      <c r="H153" s="2">
        <v>20.246107825141092</v>
      </c>
      <c r="I153" s="2">
        <v>-4.5633405767310791</v>
      </c>
      <c r="J153" s="2">
        <v>-10.636485335280522</v>
      </c>
      <c r="K153" s="2">
        <v>12.322274881516604</v>
      </c>
      <c r="L153" s="2">
        <v>-4.5203173839865274</v>
      </c>
      <c r="M153" s="2">
        <v>-3.0062659876557762</v>
      </c>
      <c r="N153" s="2">
        <v>-4.6968824545529415</v>
      </c>
      <c r="O153" s="2">
        <v>-7.3035252708573921</v>
      </c>
      <c r="P153" s="2">
        <v>-1.5413146507315068</v>
      </c>
      <c r="Q153" s="2">
        <v>-3.7492002559181059</v>
      </c>
      <c r="R153" s="2">
        <v>-4.7928331466965179</v>
      </c>
      <c r="T153" s="2">
        <f t="shared" si="8"/>
        <v>-4.4166690661151371</v>
      </c>
      <c r="U153" s="2">
        <f t="shared" si="9"/>
        <v>-5.3789544676958885</v>
      </c>
      <c r="V153" s="2">
        <f t="shared" si="10"/>
        <v>-4.5092423111317759</v>
      </c>
      <c r="W153" s="2">
        <f t="shared" si="11"/>
        <v>-1.419608380418143</v>
      </c>
    </row>
    <row r="154" spans="1:23" x14ac:dyDescent="0.15">
      <c r="A154" s="1">
        <v>35550</v>
      </c>
      <c r="B154" s="2">
        <v>3.286188815854918</v>
      </c>
      <c r="C154" s="2">
        <v>4.2387014402102796</v>
      </c>
      <c r="D154" s="2">
        <v>0.43</v>
      </c>
      <c r="E154" s="4">
        <v>0.12</v>
      </c>
      <c r="F154" s="2">
        <v>14.403514180024658</v>
      </c>
      <c r="G154" s="2">
        <v>4.5074270104148884</v>
      </c>
      <c r="H154" s="2">
        <v>1.1986204557019153</v>
      </c>
      <c r="I154" s="2">
        <v>12.098461538461525</v>
      </c>
      <c r="J154" s="2">
        <v>0</v>
      </c>
      <c r="K154" s="2">
        <v>-6.8716094032549746</v>
      </c>
      <c r="L154" s="2">
        <v>16.947872072525794</v>
      </c>
      <c r="M154" s="2">
        <v>11.420275828695869</v>
      </c>
      <c r="N154" s="2">
        <v>-1.6399102364923146</v>
      </c>
      <c r="O154" s="2">
        <v>3.9394838326906045</v>
      </c>
      <c r="P154" s="2">
        <v>-3.3820267046167918</v>
      </c>
      <c r="Q154" s="2">
        <v>6.8532305237968494</v>
      </c>
      <c r="R154" s="2">
        <v>0.77628793225121839</v>
      </c>
      <c r="T154" s="2">
        <f t="shared" si="8"/>
        <v>10.727649541470342</v>
      </c>
      <c r="U154" s="2">
        <f t="shared" si="9"/>
        <v>8.4649276385437631</v>
      </c>
      <c r="V154" s="2">
        <f t="shared" si="10"/>
        <v>9.9495742739139867</v>
      </c>
      <c r="W154" s="2">
        <f t="shared" si="11"/>
        <v>4.6347405407845574</v>
      </c>
    </row>
    <row r="155" spans="1:23" x14ac:dyDescent="0.15">
      <c r="A155" s="1">
        <v>35580</v>
      </c>
      <c r="B155" s="2">
        <v>6.1901810888257636</v>
      </c>
      <c r="C155" s="2">
        <v>6.9050402365116836</v>
      </c>
      <c r="D155" s="2">
        <v>0.49</v>
      </c>
      <c r="E155" s="4">
        <v>-0.06</v>
      </c>
      <c r="F155" s="2">
        <v>-0.39519479061412843</v>
      </c>
      <c r="G155" s="2">
        <v>1.6337199803961866E-2</v>
      </c>
      <c r="H155" s="2">
        <v>1.2216697394640263</v>
      </c>
      <c r="I155" s="2">
        <v>7.9161176987263993</v>
      </c>
      <c r="J155" s="2">
        <v>6.2508511507558318</v>
      </c>
      <c r="K155" s="2">
        <v>-2.2006472491909457</v>
      </c>
      <c r="L155" s="2">
        <v>8.0318690783807156</v>
      </c>
      <c r="M155" s="2">
        <v>26.644951140065153</v>
      </c>
      <c r="N155" s="2">
        <v>-1.9041769041768908</v>
      </c>
      <c r="O155" s="2">
        <v>0.56510074775957264</v>
      </c>
      <c r="P155" s="2">
        <v>1.0960447082268177</v>
      </c>
      <c r="Q155" s="2">
        <v>15.029548989113529</v>
      </c>
      <c r="R155" s="2">
        <v>3.8281979458450133</v>
      </c>
      <c r="T155" s="2">
        <f t="shared" si="8"/>
        <v>4.0241031390923387</v>
      </c>
      <c r="U155" s="2">
        <f t="shared" si="9"/>
        <v>2.8711023419814166</v>
      </c>
      <c r="V155" s="2">
        <f t="shared" si="10"/>
        <v>2.0545280588325303</v>
      </c>
      <c r="W155" s="2">
        <f t="shared" si="11"/>
        <v>5.0846668810891584</v>
      </c>
    </row>
    <row r="156" spans="1:23" x14ac:dyDescent="0.15">
      <c r="A156" s="1">
        <v>35611</v>
      </c>
      <c r="B156" s="2">
        <v>5.0037276204508041</v>
      </c>
      <c r="C156" s="2">
        <v>4.4581700566026061</v>
      </c>
      <c r="D156" s="2">
        <v>0.37</v>
      </c>
      <c r="E156" s="4">
        <v>0.12</v>
      </c>
      <c r="F156" s="2">
        <v>3.0861831871773715</v>
      </c>
      <c r="G156" s="2">
        <v>-2.8258738974191511</v>
      </c>
      <c r="H156" s="2">
        <v>0.95670892131070051</v>
      </c>
      <c r="I156" s="2">
        <v>1.3327907213348311</v>
      </c>
      <c r="J156" s="2">
        <v>4.3963086388105532</v>
      </c>
      <c r="K156" s="2">
        <v>-14.295168762408995</v>
      </c>
      <c r="L156" s="2">
        <v>4.3452262308152356</v>
      </c>
      <c r="M156" s="2">
        <v>-7.9766803840877865</v>
      </c>
      <c r="N156" s="2">
        <v>9.0213793720368418</v>
      </c>
      <c r="O156" s="2">
        <v>-2.1852650698149567</v>
      </c>
      <c r="P156" s="2">
        <v>0.90846760370244528</v>
      </c>
      <c r="Q156" s="2">
        <v>4.077659401871192</v>
      </c>
      <c r="R156" s="2">
        <v>-3.372302158273377</v>
      </c>
      <c r="T156" s="2">
        <f t="shared" si="8"/>
        <v>0.75967616669804228</v>
      </c>
      <c r="U156" s="2">
        <f t="shared" si="9"/>
        <v>-0.22197091213962405</v>
      </c>
      <c r="V156" s="2">
        <f t="shared" si="10"/>
        <v>0.60506761268962483</v>
      </c>
      <c r="W156" s="2">
        <f t="shared" si="11"/>
        <v>-0.19465893807269954</v>
      </c>
    </row>
    <row r="157" spans="1:23" x14ac:dyDescent="0.15">
      <c r="A157" s="1">
        <v>35642</v>
      </c>
      <c r="B157" s="2">
        <v>4.6208001105658258</v>
      </c>
      <c r="C157" s="2">
        <v>7.5571016342994346</v>
      </c>
      <c r="D157" s="2">
        <v>0.43</v>
      </c>
      <c r="E157" s="4">
        <v>0.12</v>
      </c>
      <c r="F157" s="2">
        <v>3.6345346396081224</v>
      </c>
      <c r="G157" s="2">
        <v>10.976634728525813</v>
      </c>
      <c r="H157" s="2">
        <v>-1.514405992017942</v>
      </c>
      <c r="I157" s="2">
        <v>8.6596385542168761</v>
      </c>
      <c r="J157" s="2">
        <v>13.124616329036209</v>
      </c>
      <c r="K157" s="2">
        <v>22.857142857142843</v>
      </c>
      <c r="L157" s="2">
        <v>17.172874880611253</v>
      </c>
      <c r="M157" s="2">
        <v>43.53059551315495</v>
      </c>
      <c r="N157" s="2">
        <v>25.001025641025642</v>
      </c>
      <c r="O157" s="2">
        <v>2.3849590901177997</v>
      </c>
      <c r="P157" s="2">
        <v>-10.04331578053338</v>
      </c>
      <c r="Q157" s="2">
        <v>-11.467913743829572</v>
      </c>
      <c r="R157" s="2">
        <v>14.588180549092588</v>
      </c>
      <c r="T157" s="2">
        <f t="shared" si="8"/>
        <v>14.074754804568533</v>
      </c>
      <c r="U157" s="2">
        <f t="shared" si="9"/>
        <v>10.178156233084955</v>
      </c>
      <c r="V157" s="2">
        <f t="shared" si="10"/>
        <v>8.5422508347157482</v>
      </c>
      <c r="W157" s="2">
        <f t="shared" si="11"/>
        <v>10.684966712780861</v>
      </c>
    </row>
    <row r="158" spans="1:23" x14ac:dyDescent="0.15">
      <c r="A158" s="1">
        <v>35671</v>
      </c>
      <c r="B158" s="2">
        <v>-6.6749902332343902</v>
      </c>
      <c r="C158" s="2">
        <v>-3.8914103303685055</v>
      </c>
      <c r="D158" s="2">
        <v>0.41</v>
      </c>
      <c r="E158" s="4">
        <v>0.19</v>
      </c>
      <c r="F158" s="2">
        <v>-14.015615108672709</v>
      </c>
      <c r="G158" s="2">
        <v>2.2568918509542568</v>
      </c>
      <c r="H158" s="2">
        <v>-12.814107545982756</v>
      </c>
      <c r="I158" s="2">
        <v>5.1975051975051922</v>
      </c>
      <c r="J158" s="2">
        <v>-5.5459084002604797</v>
      </c>
      <c r="K158" s="2">
        <v>24.261470773098679</v>
      </c>
      <c r="L158" s="2">
        <v>-3.9615259210955212</v>
      </c>
      <c r="M158" s="2">
        <v>14.660521874594302</v>
      </c>
      <c r="N158" s="2">
        <v>-12.143490104696575</v>
      </c>
      <c r="O158" s="2">
        <v>-0.13602357742008575</v>
      </c>
      <c r="P158" s="2">
        <v>2.8324599915026116</v>
      </c>
      <c r="Q158" s="2">
        <v>-10.51766639276911</v>
      </c>
      <c r="R158" s="2">
        <v>-3.6548223350253761</v>
      </c>
      <c r="T158" s="2">
        <f t="shared" si="8"/>
        <v>-0.85231703507063217</v>
      </c>
      <c r="U158" s="2">
        <f t="shared" si="9"/>
        <v>-0.61355254918711666</v>
      </c>
      <c r="V158" s="2">
        <f t="shared" si="10"/>
        <v>-3.9640681890585148</v>
      </c>
      <c r="W158" s="2">
        <f t="shared" si="11"/>
        <v>-1.0446392075590438</v>
      </c>
    </row>
    <row r="159" spans="1:23" x14ac:dyDescent="0.15">
      <c r="A159" s="1">
        <v>35703</v>
      </c>
      <c r="B159" s="2">
        <v>5.4487013502642734</v>
      </c>
      <c r="C159" s="2">
        <v>5.7630317120546337</v>
      </c>
      <c r="D159" s="2">
        <v>0.44</v>
      </c>
      <c r="E159" s="4">
        <v>0.25</v>
      </c>
      <c r="F159" s="2">
        <v>15.691567684303509</v>
      </c>
      <c r="G159" s="2">
        <v>6.6656791586431563</v>
      </c>
      <c r="H159" s="2">
        <v>19.799647685548759</v>
      </c>
      <c r="I159" s="2">
        <v>4.9407114624505866</v>
      </c>
      <c r="J159" s="2">
        <v>5.9519705848558146</v>
      </c>
      <c r="K159" s="2">
        <v>-0.30349013657056112</v>
      </c>
      <c r="L159" s="2">
        <v>4.5662875572907824</v>
      </c>
      <c r="M159" s="2">
        <v>14.123161577392086</v>
      </c>
      <c r="N159" s="2">
        <v>13.340057529231576</v>
      </c>
      <c r="O159" s="2">
        <v>5.8626560726447119</v>
      </c>
      <c r="P159" s="2">
        <v>11.440113850250189</v>
      </c>
      <c r="Q159" s="2">
        <v>1.0035419126328327</v>
      </c>
      <c r="R159" s="2">
        <v>0.12644889357218414</v>
      </c>
      <c r="T159" s="2">
        <f t="shared" si="8"/>
        <v>5.6159833579669698</v>
      </c>
      <c r="U159" s="2">
        <f t="shared" si="9"/>
        <v>5.6982075961928835</v>
      </c>
      <c r="V159" s="2">
        <f t="shared" si="10"/>
        <v>8.1965476182205403</v>
      </c>
      <c r="W159" s="2">
        <f t="shared" si="11"/>
        <v>7.9391041409419705</v>
      </c>
    </row>
    <row r="160" spans="1:23" x14ac:dyDescent="0.15">
      <c r="A160" s="1">
        <v>35734</v>
      </c>
      <c r="B160" s="2">
        <v>-5.2478644791424394</v>
      </c>
      <c r="C160" s="2">
        <v>-3.4308583354846878</v>
      </c>
      <c r="D160" s="2">
        <v>0.42</v>
      </c>
      <c r="E160" s="4">
        <v>0.25</v>
      </c>
      <c r="F160" s="2">
        <v>-7.7468075177124396</v>
      </c>
      <c r="G160" s="2">
        <v>-4.1105402027496236</v>
      </c>
      <c r="H160" s="2">
        <v>-14.947029018885317</v>
      </c>
      <c r="I160" s="2">
        <v>-2.2933668131408291</v>
      </c>
      <c r="J160" s="2">
        <v>-4.2403210063984398</v>
      </c>
      <c r="K160" s="2">
        <v>-21.461187214611865</v>
      </c>
      <c r="L160" s="2">
        <v>-7.0779220779220831</v>
      </c>
      <c r="M160" s="2">
        <v>-14.38138039822614</v>
      </c>
      <c r="N160" s="2">
        <v>-11.410678971654576</v>
      </c>
      <c r="O160" s="2">
        <v>-11.494129630622417</v>
      </c>
      <c r="P160" s="2">
        <v>-7.2708547888774451</v>
      </c>
      <c r="Q160" s="2">
        <v>2.6625105526332904</v>
      </c>
      <c r="R160" s="2">
        <v>-5.9355925068406705</v>
      </c>
      <c r="T160" s="2">
        <f t="shared" si="8"/>
        <v>-5.5942311403358538</v>
      </c>
      <c r="U160" s="2">
        <f t="shared" si="9"/>
        <v>-7.5608639704313747</v>
      </c>
      <c r="V160" s="2">
        <f t="shared" si="10"/>
        <v>-7.6073498572516405</v>
      </c>
      <c r="W160" s="2">
        <f t="shared" si="11"/>
        <v>-8.439023045769888</v>
      </c>
    </row>
    <row r="161" spans="1:23" x14ac:dyDescent="0.15">
      <c r="A161" s="1">
        <v>35762</v>
      </c>
      <c r="B161" s="2">
        <v>1.7854582144813058</v>
      </c>
      <c r="C161" s="2">
        <v>3.1265897746820537</v>
      </c>
      <c r="D161" s="2">
        <v>0.39</v>
      </c>
      <c r="E161" s="4">
        <v>-0.06</v>
      </c>
      <c r="F161" s="2">
        <v>2.044148080018382</v>
      </c>
      <c r="G161" s="2">
        <v>-4.3301955104996352</v>
      </c>
      <c r="H161" s="2">
        <v>3.0577600033327101</v>
      </c>
      <c r="I161" s="2">
        <v>-1.5719364372296152</v>
      </c>
      <c r="J161" s="2">
        <v>-2.6613816534541312</v>
      </c>
      <c r="K161" s="2">
        <v>4.1989664082687339</v>
      </c>
      <c r="L161" s="2">
        <v>11.390635918937807</v>
      </c>
      <c r="M161" s="2">
        <v>-2.4414549078226266</v>
      </c>
      <c r="N161" s="2">
        <v>-0.81107225239973602</v>
      </c>
      <c r="O161" s="2">
        <v>8.8315464292204169</v>
      </c>
      <c r="P161" s="2">
        <v>4.0248778320746359</v>
      </c>
      <c r="Q161" s="2">
        <v>-10.633183629578092</v>
      </c>
      <c r="R161" s="2">
        <v>7.0709330946520543</v>
      </c>
      <c r="T161" s="2">
        <f t="shared" si="8"/>
        <v>3.530220204219086</v>
      </c>
      <c r="U161" s="2">
        <f t="shared" si="9"/>
        <v>5.2973289458861963</v>
      </c>
      <c r="V161" s="2">
        <f t="shared" si="10"/>
        <v>4.4840337294192425</v>
      </c>
      <c r="W161" s="2">
        <f t="shared" si="11"/>
        <v>1.3976648750400698</v>
      </c>
    </row>
    <row r="162" spans="1:23" x14ac:dyDescent="0.15">
      <c r="A162" s="1">
        <v>35795</v>
      </c>
      <c r="B162" s="2">
        <v>1.234393969805736</v>
      </c>
      <c r="C162" s="2">
        <v>1.7037045949490404</v>
      </c>
      <c r="D162" s="2">
        <v>0.48</v>
      </c>
      <c r="E162" s="4">
        <v>-0.12</v>
      </c>
      <c r="F162" s="2">
        <v>4.7319678226198647E-2</v>
      </c>
      <c r="G162" s="2">
        <v>5.6615198304571512</v>
      </c>
      <c r="H162" s="2">
        <v>0.18392384340200074</v>
      </c>
      <c r="I162" s="2">
        <v>12.932985204525661</v>
      </c>
      <c r="J162" s="2">
        <v>3.7230948225712712</v>
      </c>
      <c r="K162" s="2">
        <v>-26.038437693738381</v>
      </c>
      <c r="L162" s="2">
        <v>-4.4542032622333689</v>
      </c>
      <c r="M162" s="2">
        <v>-9.4602940827137374</v>
      </c>
      <c r="N162" s="2">
        <v>2.2693173293323321</v>
      </c>
      <c r="O162" s="2">
        <v>1.8812266933823096</v>
      </c>
      <c r="P162" s="2">
        <v>2.8698325930987423</v>
      </c>
      <c r="Q162" s="2">
        <v>-3.3691959229897983</v>
      </c>
      <c r="R162" s="2">
        <v>-2.2361546499477525</v>
      </c>
      <c r="T162" s="2">
        <f t="shared" si="8"/>
        <v>0.60365828411189115</v>
      </c>
      <c r="U162" s="2">
        <f t="shared" si="9"/>
        <v>1.0295144205353639</v>
      </c>
      <c r="V162" s="2">
        <f t="shared" si="10"/>
        <v>0.78396573495807265</v>
      </c>
      <c r="W162" s="2">
        <f t="shared" si="11"/>
        <v>-1.2299281243559519</v>
      </c>
    </row>
    <row r="163" spans="1:23" x14ac:dyDescent="0.15">
      <c r="E163" s="4"/>
      <c r="T163" s="2"/>
      <c r="U163" s="2"/>
      <c r="V163" s="2"/>
      <c r="W163" s="2"/>
    </row>
  </sheetData>
  <mergeCells count="2">
    <mergeCell ref="F5:R5"/>
    <mergeCell ref="B5:C5"/>
  </mergeCells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9316-2EC7-C54C-AD29-42F6365A86E2}">
  <dimension ref="A1:R7"/>
  <sheetViews>
    <sheetView tabSelected="1" zoomScale="217" zoomScaleNormal="253" workbookViewId="0">
      <selection activeCell="D9" sqref="D9"/>
    </sheetView>
  </sheetViews>
  <sheetFormatPr baseColWidth="10" defaultRowHeight="13" x14ac:dyDescent="0.15"/>
  <cols>
    <col min="6" max="6" width="11.33203125" customWidth="1"/>
    <col min="7" max="7" width="13" customWidth="1"/>
  </cols>
  <sheetData>
    <row r="1" spans="1:18" x14ac:dyDescent="0.15">
      <c r="A1" s="10" t="s">
        <v>20</v>
      </c>
      <c r="B1" s="10" t="s">
        <v>27</v>
      </c>
      <c r="C1" s="10" t="s">
        <v>25</v>
      </c>
      <c r="D1" s="10" t="s">
        <v>28</v>
      </c>
      <c r="E1" s="10" t="s">
        <v>26</v>
      </c>
      <c r="F1" s="10" t="s">
        <v>29</v>
      </c>
      <c r="G1" s="10" t="s">
        <v>30</v>
      </c>
    </row>
    <row r="2" spans="1:18" x14ac:dyDescent="0.15">
      <c r="A2" s="9" t="s">
        <v>21</v>
      </c>
      <c r="B2" s="14">
        <f>AVERAGE(Sheet1!T7:T162)</f>
        <v>0.9535129693411718</v>
      </c>
      <c r="C2" s="14">
        <f>VAR(Sheet1!T7:T162)</f>
        <v>40.723905648785774</v>
      </c>
      <c r="D2" s="14">
        <f>SLOPE(Sheet1!T7:T162, Sheet1!B7:B162)</f>
        <v>0.75749429735988527</v>
      </c>
      <c r="E2" s="14">
        <f>RSQ(Sheet1!T7:T162, Sheet1!B7:B162)</f>
        <v>0.24045547146795723</v>
      </c>
      <c r="F2" s="13">
        <f>D2^2 * VAR(Sheet1!$B$7:$B$162)</f>
        <v>9.7922859327953837</v>
      </c>
      <c r="G2" s="13">
        <f>C2-F2</f>
        <v>30.93161971599039</v>
      </c>
      <c r="H2" s="10"/>
      <c r="L2" s="10"/>
      <c r="P2" s="10"/>
    </row>
    <row r="3" spans="1:18" x14ac:dyDescent="0.15">
      <c r="A3" s="9" t="s">
        <v>22</v>
      </c>
      <c r="B3" s="14">
        <f>AVERAGE(Sheet1!U7:U162)</f>
        <v>1.1875699867635114</v>
      </c>
      <c r="C3" s="14">
        <f>VAR(Sheet1!U7:U162)</f>
        <v>27.448231045368907</v>
      </c>
      <c r="D3" s="14">
        <f>SLOPE(Sheet1!U7:U162, Sheet1!B7:B162)</f>
        <v>0.71941782047796432</v>
      </c>
      <c r="E3" s="14">
        <f>RSQ(Sheet1!U7:U162, Sheet1!B7:B162)</f>
        <v>0.3217906143961336</v>
      </c>
      <c r="F3" s="13">
        <f>D3^2 * VAR(Sheet1!$B$7:$B$162)</f>
        <v>8.8325831321762767</v>
      </c>
      <c r="G3" s="13">
        <f t="shared" ref="G3:G5" si="0">C3-F3</f>
        <v>18.615647913192632</v>
      </c>
      <c r="H3" s="10"/>
      <c r="I3" s="10"/>
      <c r="J3" s="10"/>
      <c r="L3" s="10"/>
      <c r="M3" s="10"/>
      <c r="N3" s="10"/>
      <c r="P3" s="10"/>
      <c r="Q3" s="10"/>
      <c r="R3" s="10"/>
    </row>
    <row r="4" spans="1:18" x14ac:dyDescent="0.15">
      <c r="A4" s="12" t="s">
        <v>23</v>
      </c>
      <c r="B4" s="14">
        <f>AVERAGE(Sheet1!V7:V162)</f>
        <v>1.3177531931674469</v>
      </c>
      <c r="C4" s="14">
        <f>VAR(Sheet1!V7:V162)</f>
        <v>20.95073795239086</v>
      </c>
      <c r="D4" s="14">
        <f>SLOPE(Sheet1!V7:V162, Sheet1!B7:B162)</f>
        <v>0.77675605453380248</v>
      </c>
      <c r="E4" s="14">
        <f>RSQ(Sheet1!V7:V162, Sheet1!B7:B162)</f>
        <v>0.49146808442129974</v>
      </c>
      <c r="F4" s="13">
        <f>D4^2 * VAR(Sheet1!$B$7:$B$162)</f>
        <v>10.296619048674154</v>
      </c>
      <c r="G4" s="13">
        <f t="shared" si="0"/>
        <v>10.654118903716705</v>
      </c>
      <c r="H4" s="9"/>
      <c r="L4" s="9"/>
      <c r="P4" s="9"/>
      <c r="R4" s="2"/>
    </row>
    <row r="5" spans="1:18" x14ac:dyDescent="0.15">
      <c r="A5" s="12" t="s">
        <v>24</v>
      </c>
      <c r="B5" s="14">
        <f>AVERAGE(Sheet1!W7:W162)</f>
        <v>1.6844689689681389</v>
      </c>
      <c r="C5" s="14">
        <f>VAR(Sheet1!W7:W162)</f>
        <v>25.023202447465078</v>
      </c>
      <c r="D5" s="14">
        <f>SLOPE(Sheet1!W7:W162, Sheet1!B7:B162)</f>
        <v>0.92852728523025418</v>
      </c>
      <c r="E5" s="14">
        <f>RSQ(Sheet1!W7:W162, Sheet1!B7:B162)</f>
        <v>0.58799252064429675</v>
      </c>
      <c r="F5" s="13">
        <f>D5^2 * VAR(Sheet1!$B$7:$B$162)</f>
        <v>14.713455881677504</v>
      </c>
      <c r="G5" s="13">
        <f t="shared" si="0"/>
        <v>10.309746565787574</v>
      </c>
      <c r="H5" s="9"/>
      <c r="L5" s="9"/>
      <c r="P5" s="9"/>
    </row>
    <row r="6" spans="1:18" x14ac:dyDescent="0.15">
      <c r="A6" s="2"/>
      <c r="B6" s="2"/>
      <c r="C6" s="2"/>
      <c r="H6" s="9"/>
      <c r="L6" s="9"/>
      <c r="P6" s="9"/>
    </row>
    <row r="7" spans="1:18" x14ac:dyDescent="0.15">
      <c r="A7" s="2"/>
      <c r="B7" s="2"/>
      <c r="C7" s="2"/>
      <c r="L7" s="9"/>
      <c r="P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2008-02-09T19:09:12Z</dcterms:created>
  <dcterms:modified xsi:type="dcterms:W3CDTF">2026-10-21T02:45:27Z</dcterms:modified>
</cp:coreProperties>
</file>