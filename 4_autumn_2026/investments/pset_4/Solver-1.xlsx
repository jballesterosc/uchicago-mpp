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vorsatz/Desktop/Chicago Booth/TA/35000 - Investments - Niels/Problem Sets (Niels)/PS4/"/>
    </mc:Choice>
  </mc:AlternateContent>
  <xr:revisionPtr revIDLastSave="0" documentId="13_ncr:1_{D0D4092F-F213-DF46-8432-17B46455C8FC}" xr6:coauthVersionLast="46" xr6:coauthVersionMax="46" xr10:uidLastSave="{00000000-0000-0000-0000-000000000000}"/>
  <bookViews>
    <workbookView xWindow="0" yWindow="500" windowWidth="28800" windowHeight="16720" xr2:uid="{00000000-000D-0000-FFFF-FFFF00000000}"/>
  </bookViews>
  <sheets>
    <sheet name="MVE and MinVar" sheetId="6" r:id="rId1"/>
  </sheets>
  <definedNames>
    <definedName name="solver_adj" localSheetId="0" hidden="1">'MVE and MinVar'!$B$31:$B$33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'MVE and MinVar'!$B$35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'MVE and MinVar'!$F$33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</workbook>
</file>

<file path=xl/calcChain.xml><?xml version="1.0" encoding="utf-8"?>
<calcChain xmlns="http://schemas.openxmlformats.org/spreadsheetml/2006/main">
  <c r="B35" i="6" l="1"/>
  <c r="F31" i="6" a="1"/>
  <c r="F31" i="6" s="1"/>
  <c r="E15" i="6" a="1"/>
  <c r="E15" i="6" s="1"/>
  <c r="F15" i="6" l="1"/>
  <c r="G15" i="6"/>
  <c r="I35" i="6"/>
  <c r="M31" i="6" a="1"/>
  <c r="M31" i="6" s="1"/>
  <c r="U18" i="6" s="1"/>
  <c r="B21" i="6"/>
  <c r="B20" i="6"/>
  <c r="B19" i="6"/>
  <c r="G12" i="6"/>
  <c r="G11" i="6"/>
  <c r="F11" i="6"/>
  <c r="U36" i="6" l="1"/>
  <c r="U16" i="6"/>
  <c r="U29" i="6"/>
  <c r="U22" i="6"/>
  <c r="U43" i="6"/>
  <c r="U27" i="6"/>
  <c r="U39" i="6"/>
  <c r="U26" i="6"/>
  <c r="U35" i="6"/>
  <c r="U38" i="6"/>
  <c r="U31" i="6"/>
  <c r="U25" i="6"/>
  <c r="U21" i="6"/>
  <c r="U15" i="6"/>
  <c r="U30" i="6"/>
  <c r="U42" i="6"/>
  <c r="U32" i="6"/>
  <c r="U20" i="6"/>
  <c r="U41" i="6"/>
  <c r="U34" i="6"/>
  <c r="U28" i="6"/>
  <c r="U19" i="6"/>
  <c r="U23" i="6"/>
  <c r="U17" i="6"/>
  <c r="U37" i="6"/>
  <c r="U40" i="6"/>
  <c r="U33" i="6"/>
  <c r="U24" i="6"/>
  <c r="G20" i="6" l="1"/>
  <c r="G21" i="6"/>
  <c r="G19" i="6"/>
  <c r="E21" i="6"/>
  <c r="E20" i="6"/>
  <c r="E19" i="6"/>
  <c r="F21" i="6"/>
  <c r="F19" i="6"/>
  <c r="F20" i="6"/>
  <c r="F32" i="6" l="1" a="1"/>
  <c r="F32" i="6" s="1"/>
  <c r="D37" i="6" a="1"/>
  <c r="D37" i="6" s="1"/>
  <c r="M32" i="6" a="1"/>
  <c r="M32" i="6" s="1"/>
  <c r="M33" i="6" s="1"/>
  <c r="F33" i="6" l="1"/>
  <c r="V21" i="6"/>
  <c r="V27" i="6" a="1"/>
  <c r="V27" i="6" s="1"/>
  <c r="V36" i="6" a="1"/>
  <c r="V36" i="6" s="1"/>
  <c r="V43" i="6"/>
  <c r="V18" i="6"/>
  <c r="V24" i="6" a="1"/>
  <c r="V24" i="6" s="1"/>
  <c r="V33" i="6" a="1"/>
  <c r="V33" i="6" s="1"/>
  <c r="V40" i="6"/>
  <c r="V15" i="6"/>
  <c r="V38" i="6" a="1"/>
  <c r="V38" i="6" s="1"/>
  <c r="V22" i="6" a="1"/>
  <c r="V22" i="6" s="1"/>
  <c r="V32" i="6" a="1"/>
  <c r="V32" i="6" s="1"/>
  <c r="V37" i="6"/>
  <c r="V16" i="6" a="1"/>
  <c r="V16" i="6" s="1"/>
  <c r="V20" i="6" a="1"/>
  <c r="V20" i="6" s="1"/>
  <c r="V30" i="6" a="1"/>
  <c r="V30" i="6" s="1"/>
  <c r="V39" i="6" a="1"/>
  <c r="V39" i="6" s="1"/>
  <c r="V19" i="6" a="1"/>
  <c r="V19" i="6" s="1"/>
  <c r="V28" i="6" a="1"/>
  <c r="V28" i="6" s="1"/>
  <c r="V34" i="6"/>
  <c r="V41" i="6" a="1"/>
  <c r="V41" i="6" s="1"/>
  <c r="V17" i="6" a="1"/>
  <c r="V17" i="6" s="1"/>
  <c r="V35" i="6" a="1"/>
  <c r="V35" i="6" s="1"/>
  <c r="V25" i="6" a="1"/>
  <c r="V25" i="6" s="1"/>
  <c r="V31" i="6"/>
  <c r="V29" i="6"/>
  <c r="V26" i="6"/>
  <c r="V42" i="6" a="1"/>
  <c r="V42" i="6" s="1"/>
  <c r="V23" i="6"/>
</calcChain>
</file>

<file path=xl/sharedStrings.xml><?xml version="1.0" encoding="utf-8"?>
<sst xmlns="http://schemas.openxmlformats.org/spreadsheetml/2006/main" count="51" uniqueCount="39">
  <si>
    <t>Asset characteristics</t>
  </si>
  <si>
    <t>Correlation matrix</t>
  </si>
  <si>
    <t xml:space="preserve">Expected </t>
  </si>
  <si>
    <t xml:space="preserve">Standard </t>
  </si>
  <si>
    <t>return</t>
  </si>
  <si>
    <t>Deviation</t>
  </si>
  <si>
    <t>Variance-covariance matrix</t>
  </si>
  <si>
    <t>The MVE Portfolio</t>
  </si>
  <si>
    <t>Weights</t>
  </si>
  <si>
    <t>Excess returns</t>
  </si>
  <si>
    <t>Standard Deviation</t>
  </si>
  <si>
    <t>Sharpe Ratio</t>
  </si>
  <si>
    <t>Expected Return</t>
  </si>
  <si>
    <t>T-Bill</t>
  </si>
  <si>
    <t>To use solver, first activate it as an add in (go to tools and activate the solver add in)</t>
  </si>
  <si>
    <t>Under the data tab, press solver, and the following screen appears</t>
  </si>
  <si>
    <t>TO SOLVE FOR MVE PORTFOLIO:</t>
  </si>
  <si>
    <t>3. Remember to add the constraint that the portfolio weights sum to one</t>
  </si>
  <si>
    <r>
      <t xml:space="preserve">1. Set the objective cell to be the standard deviation of the Min Var portfolio and set the solver to </t>
    </r>
    <r>
      <rPr>
        <b/>
        <sz val="10"/>
        <rFont val="Arial"/>
        <family val="2"/>
      </rPr>
      <t>minimize</t>
    </r>
  </si>
  <si>
    <r>
      <t xml:space="preserve">1. Set the objective cell to be the Sharpe ratio of the MVE port and set the solver to </t>
    </r>
    <r>
      <rPr>
        <b/>
        <sz val="10"/>
        <rFont val="Arial"/>
        <family val="2"/>
      </rPr>
      <t>maximize</t>
    </r>
  </si>
  <si>
    <t>2. In the "by changing cells" input, you chose the portfolio weights of the MV portfolio</t>
  </si>
  <si>
    <t>2. In the "by changing cells" input, you chose the portfolio weights of the MVE portfolio</t>
  </si>
  <si>
    <t>Sum of weights</t>
  </si>
  <si>
    <t>TO SOLVE FOR MV PORTFOLIO:</t>
  </si>
  <si>
    <t>The MV (minimum var) Portfolio</t>
  </si>
  <si>
    <t xml:space="preserve">Covariance between MVE and MV: </t>
  </si>
  <si>
    <t>FRONTIER</t>
  </si>
  <si>
    <t>weight in MVE</t>
  </si>
  <si>
    <t>Eret</t>
  </si>
  <si>
    <t>Standard dev</t>
  </si>
  <si>
    <t>HOW TO USE SOLVER</t>
  </si>
  <si>
    <t>Mean variance analysis using SOLVER in Excel</t>
  </si>
  <si>
    <t>St. dev.</t>
  </si>
  <si>
    <t>This file helps you calculate the MVE and MV portfolios using solver. The file also plots the Mean variance frontier arising from the two portfolios</t>
  </si>
  <si>
    <t>The light blue cells are inputs. Try changning them and run solver and see how the two portfolios and the mean variance frontier change</t>
  </si>
  <si>
    <t>Asset 1</t>
  </si>
  <si>
    <t>Asset 2</t>
  </si>
  <si>
    <t>Asset 3</t>
  </si>
  <si>
    <t xml:space="preserve">You can also include various constrains on the on the weights, for instance, that none of them are negative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</si>
</sst>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D6FDFF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/>
      <diagonal/>
    </border>
    <border>
      <left/>
      <right style="thick">
        <color indexed="12"/>
      </right>
      <top/>
      <bottom/>
      <diagonal/>
    </border>
    <border>
      <left style="medium">
        <color indexed="8"/>
      </left>
      <right style="thick">
        <color indexed="12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ck">
        <color indexed="12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 style="thick">
        <color indexed="8"/>
      </left>
      <right style="thick">
        <color indexed="12"/>
      </right>
      <top/>
      <bottom style="thick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12"/>
      </left>
      <right style="medium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64" fontId="1" fillId="3" borderId="6" xfId="0" applyNumberFormat="1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9" xfId="0" applyFill="1" applyBorder="1"/>
    <xf numFmtId="0" fontId="0" fillId="5" borderId="10" xfId="0" applyFill="1" applyBorder="1"/>
    <xf numFmtId="164" fontId="0" fillId="0" borderId="0" xfId="0" applyNumberFormat="1"/>
    <xf numFmtId="0" fontId="2" fillId="0" borderId="0" xfId="0" applyFont="1"/>
    <xf numFmtId="0" fontId="0" fillId="2" borderId="10" xfId="0" applyFill="1" applyBorder="1"/>
    <xf numFmtId="0" fontId="0" fillId="0" borderId="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1" fillId="3" borderId="16" xfId="0" applyNumberFormat="1" applyFont="1" applyFill="1" applyBorder="1"/>
    <xf numFmtId="164" fontId="1" fillId="3" borderId="17" xfId="0" applyNumberFormat="1" applyFont="1" applyFill="1" applyBorder="1"/>
    <xf numFmtId="164" fontId="1" fillId="3" borderId="18" xfId="0" applyNumberFormat="1" applyFont="1" applyFill="1" applyBorder="1"/>
    <xf numFmtId="0" fontId="0" fillId="0" borderId="19" xfId="0" applyBorder="1"/>
    <xf numFmtId="0" fontId="1" fillId="0" borderId="19" xfId="0" applyFont="1" applyBorder="1"/>
    <xf numFmtId="164" fontId="1" fillId="6" borderId="20" xfId="0" applyNumberFormat="1" applyFont="1" applyFill="1" applyBorder="1"/>
    <xf numFmtId="165" fontId="0" fillId="4" borderId="2" xfId="0" applyNumberFormat="1" applyFill="1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2" fillId="0" borderId="28" xfId="0" applyFont="1" applyBorder="1"/>
    <xf numFmtId="0" fontId="2" fillId="0" borderId="21" xfId="0" applyFont="1" applyBorder="1"/>
    <xf numFmtId="0" fontId="2" fillId="0" borderId="29" xfId="0" applyFont="1" applyBorder="1"/>
    <xf numFmtId="2" fontId="0" fillId="0" borderId="0" xfId="0" applyNumberFormat="1" applyBorder="1"/>
    <xf numFmtId="2" fontId="0" fillId="0" borderId="27" xfId="0" applyNumberFormat="1" applyBorder="1"/>
    <xf numFmtId="0" fontId="0" fillId="7" borderId="30" xfId="0" applyFill="1" applyBorder="1"/>
    <xf numFmtId="0" fontId="0" fillId="7" borderId="22" xfId="0" applyFill="1" applyBorder="1"/>
    <xf numFmtId="0" fontId="2" fillId="0" borderId="0" xfId="0" applyFont="1" applyAlignment="1">
      <alignment horizontal="right"/>
    </xf>
    <xf numFmtId="0" fontId="2" fillId="0" borderId="14" xfId="0" applyFont="1" applyBorder="1"/>
    <xf numFmtId="0" fontId="2" fillId="0" borderId="31" xfId="0" applyFont="1" applyBorder="1"/>
    <xf numFmtId="0" fontId="3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DFF"/>
      <color rgb="FF73FE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variance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'MVE and MinVar'!$V$15:$V$43</c:f>
              <c:numCache>
                <c:formatCode>0.00</c:formatCode>
                <c:ptCount val="29"/>
                <c:pt idx="0">
                  <c:v>0.16849193694841569</c:v>
                </c:pt>
                <c:pt idx="1">
                  <c:v>0.16289839199230124</c:v>
                </c:pt>
                <c:pt idx="2">
                  <c:v>0.15761683598494292</c:v>
                </c:pt>
                <c:pt idx="3">
                  <c:v>0.15267964970260384</c:v>
                </c:pt>
                <c:pt idx="4">
                  <c:v>0.14812127280000553</c:v>
                </c:pt>
                <c:pt idx="5">
                  <c:v>0.1439776894301889</c:v>
                </c:pt>
                <c:pt idx="6">
                  <c:v>0.14028565937613374</c:v>
                </c:pt>
                <c:pt idx="7">
                  <c:v>0.13440063726788401</c:v>
                </c:pt>
                <c:pt idx="8">
                  <c:v>0.13227435577801669</c:v>
                </c:pt>
                <c:pt idx="9">
                  <c:v>0.13072989967923851</c:v>
                </c:pt>
                <c:pt idx="10">
                  <c:v>0.12978804150990428</c:v>
                </c:pt>
                <c:pt idx="11">
                  <c:v>0.12946193395352912</c:v>
                </c:pt>
                <c:pt idx="12">
                  <c:v>0.12975621966664125</c:v>
                </c:pt>
                <c:pt idx="13">
                  <c:v>0.13066670699357896</c:v>
                </c:pt>
                <c:pt idx="14">
                  <c:v>0.13218066298098377</c:v>
                </c:pt>
                <c:pt idx="15">
                  <c:v>0.13427767718730257</c:v>
                </c:pt>
                <c:pt idx="16">
                  <c:v>0.14010892607468944</c:v>
                </c:pt>
                <c:pt idx="17">
                  <c:v>0.14377677425809465</c:v>
                </c:pt>
                <c:pt idx="18">
                  <c:v>0.14789806638865116</c:v>
                </c:pt>
                <c:pt idx="19">
                  <c:v>0.15243602868783698</c:v>
                </c:pt>
                <c:pt idx="20">
                  <c:v>0.15735461613157292</c:v>
                </c:pt>
                <c:pt idx="21">
                  <c:v>0.16261929519244858</c:v>
                </c:pt>
                <c:pt idx="22">
                  <c:v>0.16819757041955513</c:v>
                </c:pt>
                <c:pt idx="23">
                  <c:v>0.17405929390978273</c:v>
                </c:pt>
                <c:pt idx="24">
                  <c:v>0.18017680337069331</c:v>
                </c:pt>
                <c:pt idx="25">
                  <c:v>0.18652493325174851</c:v>
                </c:pt>
                <c:pt idx="26">
                  <c:v>0.19308093782513969</c:v>
                </c:pt>
                <c:pt idx="27">
                  <c:v>0.19982435775820756</c:v>
                </c:pt>
                <c:pt idx="28">
                  <c:v>0.20673685431171479</c:v>
                </c:pt>
              </c:numCache>
            </c:numRef>
          </c:xVal>
          <c:yVal>
            <c:numRef>
              <c:f>'MVE and MinVar'!$U$15:$U$43</c:f>
              <c:numCache>
                <c:formatCode>0.00</c:formatCode>
                <c:ptCount val="29"/>
                <c:pt idx="0">
                  <c:v>3.3387262231222181E-2</c:v>
                </c:pt>
                <c:pt idx="1">
                  <c:v>5.1342005651167588E-2</c:v>
                </c:pt>
                <c:pt idx="2">
                  <c:v>6.9296749071112995E-2</c:v>
                </c:pt>
                <c:pt idx="3">
                  <c:v>8.7251492491058458E-2</c:v>
                </c:pt>
                <c:pt idx="4">
                  <c:v>0.10520623591100392</c:v>
                </c:pt>
                <c:pt idx="5">
                  <c:v>0.1231609793309493</c:v>
                </c:pt>
                <c:pt idx="6">
                  <c:v>0.14111572275089468</c:v>
                </c:pt>
                <c:pt idx="7">
                  <c:v>0.17702520959078555</c:v>
                </c:pt>
                <c:pt idx="8">
                  <c:v>0.19497995301073101</c:v>
                </c:pt>
                <c:pt idx="9">
                  <c:v>0.21293469643067642</c:v>
                </c:pt>
                <c:pt idx="10">
                  <c:v>0.23088943985062185</c:v>
                </c:pt>
                <c:pt idx="11">
                  <c:v>0.24884418327056729</c:v>
                </c:pt>
                <c:pt idx="12">
                  <c:v>0.26679892669051264</c:v>
                </c:pt>
                <c:pt idx="13">
                  <c:v>0.28475367011045816</c:v>
                </c:pt>
                <c:pt idx="14">
                  <c:v>0.30270841353040356</c:v>
                </c:pt>
                <c:pt idx="15">
                  <c:v>0.32066315695034897</c:v>
                </c:pt>
                <c:pt idx="16">
                  <c:v>0.35657264379023984</c:v>
                </c:pt>
                <c:pt idx="17">
                  <c:v>0.37452738721018519</c:v>
                </c:pt>
                <c:pt idx="18">
                  <c:v>0.39248213063013065</c:v>
                </c:pt>
                <c:pt idx="19">
                  <c:v>0.41043687405007612</c:v>
                </c:pt>
                <c:pt idx="20">
                  <c:v>0.42839161747002147</c:v>
                </c:pt>
                <c:pt idx="21">
                  <c:v>0.44634636088996699</c:v>
                </c:pt>
                <c:pt idx="22">
                  <c:v>0.46430110430991234</c:v>
                </c:pt>
                <c:pt idx="23">
                  <c:v>0.48225584772985775</c:v>
                </c:pt>
                <c:pt idx="24">
                  <c:v>0.50021059114980326</c:v>
                </c:pt>
                <c:pt idx="25">
                  <c:v>0.51816533456974856</c:v>
                </c:pt>
                <c:pt idx="26">
                  <c:v>0.53612007798969397</c:v>
                </c:pt>
                <c:pt idx="27">
                  <c:v>0.55407482140963948</c:v>
                </c:pt>
                <c:pt idx="28">
                  <c:v>0.57202956482958489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9-3E4D-A128-921CDC01271A}"/>
            </c:ext>
          </c:extLst>
        </c:ser>
        <c:ser>
          <c:idx val="1"/>
          <c:order val="1"/>
          <c:tx>
            <c:v>Assets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'MVE and MinVar'!$C$11:$C$13</c:f>
              <c:numCache>
                <c:formatCode>General</c:formatCode>
                <c:ptCount val="3"/>
                <c:pt idx="0">
                  <c:v>0.2</c:v>
                </c:pt>
                <c:pt idx="1">
                  <c:v>0.15</c:v>
                </c:pt>
                <c:pt idx="2">
                  <c:v>0.2</c:v>
                </c:pt>
              </c:numCache>
            </c:numRef>
          </c:xVal>
          <c:yVal>
            <c:numRef>
              <c:f>'MVE and MinVar'!$B$11:$B$13</c:f>
              <c:numCache>
                <c:formatCode>General</c:formatCode>
                <c:ptCount val="3"/>
                <c:pt idx="0">
                  <c:v>0.05</c:v>
                </c:pt>
                <c:pt idx="1">
                  <c:v>0.04</c:v>
                </c:pt>
                <c:pt idx="2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D9-3E4D-A128-921CDC012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180959"/>
        <c:axId val="1522341743"/>
      </c:scatterChart>
      <c:valAx>
        <c:axId val="152318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deviation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41743"/>
        <c:crosses val="autoZero"/>
        <c:crossBetween val="midCat"/>
      </c:valAx>
      <c:valAx>
        <c:axId val="1522341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8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330200</xdr:colOff>
      <xdr:row>44</xdr:row>
      <xdr:rowOff>127000</xdr:rowOff>
    </xdr:from>
    <xdr:to>
      <xdr:col>5</xdr:col>
      <xdr:colOff>139700</xdr:colOff>
      <xdr:row>64</xdr:row>
      <xdr:rowOff>104072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2990F-8D3D-B74F-AA95-A038C3723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7264400"/>
          <a:ext cx="2463800" cy="327907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71</xdr:row>
      <xdr:rowOff>50800</xdr:rowOff>
    </xdr:from>
    <xdr:to>
      <xdr:col>5</xdr:col>
      <xdr:colOff>111958</xdr:colOff>
      <xdr:row>92</xdr:row>
      <xdr:rowOff>101599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417CA8-0434-E54A-ABE6-D5941D5B1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100" y="11645900"/>
          <a:ext cx="2613858" cy="3517900"/>
        </a:xfrm>
        <a:prstGeom prst="rect">
          <a:avLst/>
        </a:prstGeom>
      </xdr:spPr>
    </xdr:pic>
    <xdr:clientData/>
  </xdr:twoCellAnchor>
  <xdr:twoCellAnchor>
    <xdr:from>
      <xdr:col>10</xdr:col>
      <xdr:colOff>495300</xdr:colOff>
      <xdr:row>8</xdr:row>
      <xdr:rowOff>126999</xdr:rowOff>
    </xdr:from>
    <xdr:to>
      <xdr:col>17</xdr:col>
      <xdr:colOff>355600</xdr:colOff>
      <xdr:row>25</xdr:row>
      <xdr:rowOff>146537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7B5C69-4BAC-2C44-926A-22635C87F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156306</xdr:colOff>
      <xdr:row>99</xdr:row>
      <xdr:rowOff>146537</xdr:rowOff>
    </xdr:from>
    <xdr:to>
      <xdr:col>5</xdr:col>
      <xdr:colOff>107460</xdr:colOff>
      <xdr:row>120</xdr:row>
      <xdr:rowOff>123692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AE6998-9F0C-A043-AA7D-678E91BA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9306" y="17242691"/>
          <a:ext cx="2608385" cy="3464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99"/>
  <sheetViews>
    <sheetView tabSelected="1" zoomScale="130" zoomScaleNormal="130" workbookViewId="0">
      <selection activeCell="B14" sqref="B14"/>
    </sheetView>
  </sheetViews>
  <sheetFormatPr baseColWidth="10" defaultColWidth="8.83203125" defaultRowHeight="13" x14ac:dyDescent="0.15"/>
  <cols>
    <col min="1" max="1" width="15" customWidth="1"/>
    <col min="2" max="2" width="8.83203125" customWidth="1"/>
    <col min="3" max="3" width="6.83203125" customWidth="1"/>
    <col min="4" max="4" width="8.83203125" customWidth="1"/>
    <col min="5" max="5" width="10.33203125" customWidth="1"/>
    <col min="6" max="7" width="8.83203125" customWidth="1"/>
    <col min="8" max="8" width="14.5" customWidth="1"/>
    <col min="9" max="9" width="6.6640625" customWidth="1"/>
    <col min="20" max="20" width="13.6640625" customWidth="1"/>
    <col min="22" max="22" width="14.33203125" customWidth="1"/>
  </cols>
  <sheetData>
    <row r="2" spans="1:22" x14ac:dyDescent="0.15">
      <c r="A2" s="1" t="s">
        <v>31</v>
      </c>
    </row>
    <row r="4" spans="1:22" x14ac:dyDescent="0.15">
      <c r="A4" s="14" t="s">
        <v>33</v>
      </c>
    </row>
    <row r="5" spans="1:22" x14ac:dyDescent="0.15">
      <c r="A5" s="14" t="s">
        <v>34</v>
      </c>
    </row>
    <row r="6" spans="1:22" s="29" customFormat="1" x14ac:dyDescent="0.15">
      <c r="A6" s="37" t="s">
        <v>38</v>
      </c>
    </row>
    <row r="8" spans="1:22" x14ac:dyDescent="0.15">
      <c r="A8" s="1" t="s">
        <v>0</v>
      </c>
    </row>
    <row r="9" spans="1:22" x14ac:dyDescent="0.15">
      <c r="A9" s="1"/>
      <c r="B9" t="s">
        <v>2</v>
      </c>
      <c r="C9" t="s">
        <v>3</v>
      </c>
      <c r="D9" s="1"/>
      <c r="E9" s="50" t="s">
        <v>1</v>
      </c>
      <c r="F9" s="50"/>
      <c r="G9" s="50"/>
    </row>
    <row r="10" spans="1:22" ht="14" thickBot="1" x14ac:dyDescent="0.2">
      <c r="B10" t="s">
        <v>4</v>
      </c>
      <c r="C10" t="s">
        <v>5</v>
      </c>
      <c r="E10">
        <v>1</v>
      </c>
      <c r="F10">
        <v>2</v>
      </c>
      <c r="G10">
        <v>3</v>
      </c>
    </row>
    <row r="11" spans="1:22" x14ac:dyDescent="0.15">
      <c r="A11" s="14" t="s">
        <v>35</v>
      </c>
      <c r="B11" s="3">
        <v>0.05</v>
      </c>
      <c r="C11" s="4">
        <v>0.2</v>
      </c>
      <c r="D11">
        <v>1</v>
      </c>
      <c r="E11" s="10">
        <v>1</v>
      </c>
      <c r="F11" s="11">
        <f>E12</f>
        <v>0.6</v>
      </c>
      <c r="G11" s="11">
        <f>E13</f>
        <v>0.1</v>
      </c>
    </row>
    <row r="12" spans="1:22" x14ac:dyDescent="0.15">
      <c r="A12" s="14" t="s">
        <v>36</v>
      </c>
      <c r="B12" s="5">
        <v>0.04</v>
      </c>
      <c r="C12" s="6">
        <v>0.15</v>
      </c>
      <c r="D12">
        <v>2</v>
      </c>
      <c r="E12" s="5">
        <v>0.6</v>
      </c>
      <c r="F12" s="12">
        <v>1</v>
      </c>
      <c r="G12" s="12">
        <f>F13</f>
        <v>0.2</v>
      </c>
      <c r="T12" s="30"/>
      <c r="U12" s="31"/>
      <c r="V12" s="32"/>
    </row>
    <row r="13" spans="1:22" x14ac:dyDescent="0.15">
      <c r="A13" s="14" t="s">
        <v>37</v>
      </c>
      <c r="B13" s="5">
        <v>0.8</v>
      </c>
      <c r="C13" s="6">
        <v>0.2</v>
      </c>
      <c r="D13">
        <v>3</v>
      </c>
      <c r="E13" s="5">
        <v>0.1</v>
      </c>
      <c r="F13" s="15">
        <v>0.2</v>
      </c>
      <c r="G13" s="12">
        <v>1</v>
      </c>
      <c r="T13" s="47" t="s">
        <v>26</v>
      </c>
      <c r="U13" s="48"/>
      <c r="V13" s="49"/>
    </row>
    <row r="14" spans="1:22" ht="14" thickBot="1" x14ac:dyDescent="0.2">
      <c r="T14" s="36" t="s">
        <v>27</v>
      </c>
      <c r="U14" s="37" t="s">
        <v>28</v>
      </c>
      <c r="V14" s="38" t="s">
        <v>29</v>
      </c>
    </row>
    <row r="15" spans="1:22" ht="14" thickBot="1" x14ac:dyDescent="0.2">
      <c r="A15" s="1" t="s">
        <v>13</v>
      </c>
      <c r="B15" s="2">
        <v>0.01</v>
      </c>
      <c r="D15" s="43" t="s">
        <v>32</v>
      </c>
      <c r="E15" s="41">
        <f t="array" ref="E15:G15">TRANSPOSE(C11:C13)</f>
        <v>0.2</v>
      </c>
      <c r="F15" s="42">
        <v>0.15</v>
      </c>
      <c r="G15" s="42">
        <v>0.2</v>
      </c>
      <c r="T15" s="33">
        <v>-1</v>
      </c>
      <c r="U15" s="39">
        <f t="shared" ref="U15:U43" si="0">T15*$F$31+(1-T15)*$M$31</f>
        <v>3.3387262231222181E-2</v>
      </c>
      <c r="V15" s="40">
        <f>SQRT((T15)^2*$F$32^2+(1-T15)^2*$M$32^2+2*T15*(1-T15)*$D$37)</f>
        <v>0.16849193694841569</v>
      </c>
    </row>
    <row r="16" spans="1:22" x14ac:dyDescent="0.15">
      <c r="T16" s="33">
        <v>-0.9</v>
      </c>
      <c r="U16" s="39">
        <f t="shared" si="0"/>
        <v>5.1342005651167588E-2</v>
      </c>
      <c r="V16" s="40">
        <f t="array" ref="V16">SQRT((T16)^2*$F$32^2+(1-T16)^2*$M$32^2+2*T16*(1-T16)*$D$37)</f>
        <v>0.16289839199230124</v>
      </c>
    </row>
    <row r="17" spans="1:22" x14ac:dyDescent="0.15">
      <c r="B17" s="1" t="s">
        <v>9</v>
      </c>
      <c r="E17" s="50" t="s">
        <v>6</v>
      </c>
      <c r="F17" s="50"/>
      <c r="G17" s="50"/>
      <c r="T17" s="33">
        <v>-0.8</v>
      </c>
      <c r="U17" s="39">
        <f t="shared" si="0"/>
        <v>6.9296749071112995E-2</v>
      </c>
      <c r="V17" s="40">
        <f t="array" ref="V17">SQRT((T17)^2*$F$32^2+(1-T17)^2*$M$32^2+2*T17*(1-T17)*$D$37)</f>
        <v>0.15761683598494292</v>
      </c>
    </row>
    <row r="18" spans="1:22" ht="14" thickBot="1" x14ac:dyDescent="0.2">
      <c r="B18" s="1"/>
      <c r="E18">
        <v>1</v>
      </c>
      <c r="F18">
        <v>2</v>
      </c>
      <c r="G18">
        <v>3</v>
      </c>
      <c r="L18" s="16"/>
      <c r="T18" s="33">
        <v>-0.7</v>
      </c>
      <c r="U18" s="39">
        <f t="shared" si="0"/>
        <v>8.7251492491058458E-2</v>
      </c>
      <c r="V18" s="40">
        <f>SQRT((T18)^2*$F$32^2+(1-T18)^2*$M$32^2+2*T18*(1-T18)*$D$37)</f>
        <v>0.15267964970260384</v>
      </c>
    </row>
    <row r="19" spans="1:22" ht="14" thickBot="1" x14ac:dyDescent="0.2">
      <c r="A19">
        <v>1</v>
      </c>
      <c r="B19" s="8">
        <f>B11-B$15</f>
        <v>0.04</v>
      </c>
      <c r="D19">
        <v>1</v>
      </c>
      <c r="E19" s="28">
        <f t="shared" ref="E19:G21" si="1">E11*E$15*$C11</f>
        <v>4.0000000000000008E-2</v>
      </c>
      <c r="F19" s="28">
        <f t="shared" si="1"/>
        <v>1.7999999999999999E-2</v>
      </c>
      <c r="G19" s="28">
        <f t="shared" si="1"/>
        <v>4.000000000000001E-3</v>
      </c>
      <c r="T19" s="33">
        <v>-0.6</v>
      </c>
      <c r="U19" s="39">
        <f t="shared" si="0"/>
        <v>0.10520623591100392</v>
      </c>
      <c r="V19" s="40">
        <f t="array" ref="V19">SQRT((T19)^2*$F$32^2+(1-T19)^2*$M$32^2+2*T19*(1-T19)*$D$37)</f>
        <v>0.14812127280000553</v>
      </c>
    </row>
    <row r="20" spans="1:22" ht="14" thickBot="1" x14ac:dyDescent="0.2">
      <c r="A20">
        <v>2</v>
      </c>
      <c r="B20" s="9">
        <f>B12-B$15</f>
        <v>0.03</v>
      </c>
      <c r="D20">
        <v>2</v>
      </c>
      <c r="E20" s="28">
        <f t="shared" si="1"/>
        <v>1.7999999999999999E-2</v>
      </c>
      <c r="F20" s="28">
        <f t="shared" si="1"/>
        <v>2.2499999999999999E-2</v>
      </c>
      <c r="G20" s="28">
        <f t="shared" si="1"/>
        <v>6.000000000000001E-3</v>
      </c>
      <c r="T20" s="33">
        <v>-0.5</v>
      </c>
      <c r="U20" s="39">
        <f t="shared" si="0"/>
        <v>0.1231609793309493</v>
      </c>
      <c r="V20" s="40">
        <f t="array" ref="V20">SQRT((T20)^2*$F$32^2+(1-T20)^2*$M$32^2+2*T20*(1-T20)*$D$37)</f>
        <v>0.1439776894301889</v>
      </c>
    </row>
    <row r="21" spans="1:22" x14ac:dyDescent="0.15">
      <c r="A21">
        <v>3</v>
      </c>
      <c r="B21" s="9">
        <f>B13-B$15</f>
        <v>0.79</v>
      </c>
      <c r="D21">
        <v>3</v>
      </c>
      <c r="E21" s="28">
        <f t="shared" si="1"/>
        <v>4.000000000000001E-3</v>
      </c>
      <c r="F21" s="28">
        <f t="shared" si="1"/>
        <v>6.0000000000000001E-3</v>
      </c>
      <c r="G21" s="28">
        <f t="shared" si="1"/>
        <v>4.0000000000000008E-2</v>
      </c>
      <c r="T21" s="33">
        <v>-0.4</v>
      </c>
      <c r="U21" s="39">
        <f t="shared" si="0"/>
        <v>0.14111572275089468</v>
      </c>
      <c r="V21" s="40">
        <f>SQRT((T21)^2*$F$32^2+(1-T21)^2*$M$32^2+2*T21*(1-T21)*$D$37)</f>
        <v>0.14028565937613374</v>
      </c>
    </row>
    <row r="22" spans="1:22" x14ac:dyDescent="0.15">
      <c r="T22" s="33">
        <v>-0.2</v>
      </c>
      <c r="U22" s="39">
        <f t="shared" si="0"/>
        <v>0.17702520959078555</v>
      </c>
      <c r="V22" s="40">
        <f t="array" ref="V22">SQRT((T22)^2*$F$32^2+(1-T22)^2*$M$32^2+2*T22*(1-T22)*$D$37)</f>
        <v>0.13440063726788401</v>
      </c>
    </row>
    <row r="23" spans="1:22" x14ac:dyDescent="0.15">
      <c r="T23" s="33">
        <v>-0.1</v>
      </c>
      <c r="U23" s="39">
        <f t="shared" si="0"/>
        <v>0.19497995301073101</v>
      </c>
      <c r="V23" s="40">
        <f>SQRT((T23)^2*$F$32^2+(1-T23)^2*$M$32^2+2*T23*(1-T23)*$D$37)</f>
        <v>0.13227435577801669</v>
      </c>
    </row>
    <row r="24" spans="1:22" x14ac:dyDescent="0.15">
      <c r="T24" s="33">
        <v>0</v>
      </c>
      <c r="U24" s="39">
        <f t="shared" si="0"/>
        <v>0.21293469643067642</v>
      </c>
      <c r="V24" s="40">
        <f t="array" ref="V24">SQRT((T24)^2*$F$32^2+(1-T24)^2*$M$32^2+2*T24*(1-T24)*$D$37)</f>
        <v>0.13072989967923851</v>
      </c>
    </row>
    <row r="25" spans="1:22" x14ac:dyDescent="0.15">
      <c r="T25" s="33">
        <v>0.1</v>
      </c>
      <c r="U25" s="39">
        <f t="shared" si="0"/>
        <v>0.23088943985062185</v>
      </c>
      <c r="V25" s="40">
        <f t="array" ref="V25">SQRT((T25)^2*$F$32^2+(1-T25)^2*$M$32^2+2*T25*(1-T25)*$D$37)</f>
        <v>0.12978804150990428</v>
      </c>
    </row>
    <row r="26" spans="1:22" x14ac:dyDescent="0.15">
      <c r="T26" s="33">
        <v>0.2</v>
      </c>
      <c r="U26" s="39">
        <f t="shared" si="0"/>
        <v>0.24884418327056729</v>
      </c>
      <c r="V26" s="40">
        <f>SQRT((T26)^2*$F$32^2+(1-T26)^2*$M$32^2+2*T26*(1-T26)*$D$37)</f>
        <v>0.12946193395352912</v>
      </c>
    </row>
    <row r="27" spans="1:22" x14ac:dyDescent="0.15">
      <c r="T27" s="33">
        <v>0.3</v>
      </c>
      <c r="U27" s="39">
        <f t="shared" si="0"/>
        <v>0.26679892669051264</v>
      </c>
      <c r="V27" s="40">
        <f t="array" ref="V27">SQRT((T27)^2*$F$32^2+(1-T27)^2*$M$32^2+2*T27*(1-T27)*$D$37)</f>
        <v>0.12975621966664125</v>
      </c>
    </row>
    <row r="28" spans="1:22" ht="14" thickBot="1" x14ac:dyDescent="0.2">
      <c r="T28" s="33">
        <v>0.4</v>
      </c>
      <c r="U28" s="39">
        <f t="shared" si="0"/>
        <v>0.28475367011045816</v>
      </c>
      <c r="V28" s="40">
        <f t="array" ref="V28">SQRT((T28)^2*$F$32^2+(1-T28)^2*$M$32^2+2*T28*(1-T28)*$D$37)</f>
        <v>0.13066670699357896</v>
      </c>
    </row>
    <row r="29" spans="1:22" ht="14" thickTop="1" x14ac:dyDescent="0.15">
      <c r="A29" s="17" t="s">
        <v>7</v>
      </c>
      <c r="B29" s="18"/>
      <c r="C29" s="18"/>
      <c r="D29" s="18"/>
      <c r="E29" s="18"/>
      <c r="F29" s="19"/>
      <c r="H29" s="17" t="s">
        <v>24</v>
      </c>
      <c r="I29" s="18"/>
      <c r="J29" s="18"/>
      <c r="K29" s="18"/>
      <c r="L29" s="18"/>
      <c r="M29" s="19"/>
      <c r="T29" s="33">
        <v>0.5</v>
      </c>
      <c r="U29" s="39">
        <f t="shared" si="0"/>
        <v>0.30270841353040356</v>
      </c>
      <c r="V29" s="40">
        <f>SQRT((T29)^2*$F$32^2+(1-T29)^2*$M$32^2+2*T29*(1-T29)*$D$37)</f>
        <v>0.13218066298098377</v>
      </c>
    </row>
    <row r="30" spans="1:22" ht="14" thickBot="1" x14ac:dyDescent="0.2">
      <c r="A30" s="20"/>
      <c r="B30" s="16" t="s">
        <v>8</v>
      </c>
      <c r="C30" s="16"/>
      <c r="D30" s="16"/>
      <c r="E30" s="16"/>
      <c r="F30" s="21"/>
      <c r="H30" s="20"/>
      <c r="I30" s="16" t="s">
        <v>8</v>
      </c>
      <c r="J30" s="16"/>
      <c r="K30" s="16"/>
      <c r="L30" s="16"/>
      <c r="M30" s="21"/>
      <c r="T30" s="33">
        <v>0.6</v>
      </c>
      <c r="U30" s="39">
        <f t="shared" si="0"/>
        <v>0.32066315695034897</v>
      </c>
      <c r="V30" s="40">
        <f t="array" ref="V30">SQRT((T30)^2*$F$32^2+(1-T30)^2*$M$32^2+2*T30*(1-T30)*$D$37)</f>
        <v>0.13427767718730257</v>
      </c>
    </row>
    <row r="31" spans="1:22" x14ac:dyDescent="0.15">
      <c r="A31" s="44" t="s">
        <v>35</v>
      </c>
      <c r="B31" s="7">
        <v>0.53122315952997456</v>
      </c>
      <c r="C31" s="16"/>
      <c r="D31" s="16" t="s">
        <v>12</v>
      </c>
      <c r="E31" s="16"/>
      <c r="F31" s="22">
        <f t="array" ref="F31">MMULT(TRANSPOSE(B31:B33),B11:B13)</f>
        <v>0.39248213063013065</v>
      </c>
      <c r="H31" s="44" t="s">
        <v>35</v>
      </c>
      <c r="I31" s="7">
        <v>0.10289492506513512</v>
      </c>
      <c r="J31" s="16"/>
      <c r="K31" s="16" t="s">
        <v>12</v>
      </c>
      <c r="L31" s="16"/>
      <c r="M31" s="22">
        <f t="array" ref="M31">MMULT(TRANSPOSE(I31:I33),B11:B13)</f>
        <v>0.21293469643067642</v>
      </c>
      <c r="T31" s="33">
        <v>0.8</v>
      </c>
      <c r="U31" s="39">
        <f t="shared" si="0"/>
        <v>0.35657264379023984</v>
      </c>
      <c r="V31" s="40">
        <f>SQRT((T31)^2*$F$32^2+(1-T31)^2*$M$32^2+2*T31*(1-T31)*$D$37)</f>
        <v>0.14010892607468944</v>
      </c>
    </row>
    <row r="32" spans="1:22" ht="14" thickBot="1" x14ac:dyDescent="0.2">
      <c r="A32" s="44" t="s">
        <v>36</v>
      </c>
      <c r="B32" s="7">
        <v>1.1974341739984662E-2</v>
      </c>
      <c r="C32" s="16"/>
      <c r="D32" s="16" t="s">
        <v>10</v>
      </c>
      <c r="E32" s="16"/>
      <c r="F32" s="23">
        <f t="array" ref="F32">SQRT(MMULT(TRANSPOSE(B31:B33),MMULT(E19:G21,B31:B33)))</f>
        <v>0.14789806638865116</v>
      </c>
      <c r="H32" s="44" t="s">
        <v>36</v>
      </c>
      <c r="I32" s="7">
        <v>0.67091435496114749</v>
      </c>
      <c r="J32" s="16"/>
      <c r="K32" s="16" t="s">
        <v>10</v>
      </c>
      <c r="L32" s="16"/>
      <c r="M32" s="23">
        <f t="array" ref="M32">SQRT(MMULT(TRANSPOSE(I31:I33),MMULT(E19:G21,I31:I33)))</f>
        <v>0.13072989967923851</v>
      </c>
      <c r="T32" s="33">
        <v>0.9</v>
      </c>
      <c r="U32" s="39">
        <f t="shared" si="0"/>
        <v>0.37452738721018519</v>
      </c>
      <c r="V32" s="40">
        <f t="array" ref="V32">SQRT((T32)^2*$F$32^2+(1-T32)^2*$M$32^2+2*T32*(1-T32)*$D$37)</f>
        <v>0.14377677425809465</v>
      </c>
    </row>
    <row r="33" spans="1:22" ht="14" thickBot="1" x14ac:dyDescent="0.2">
      <c r="A33" s="45" t="s">
        <v>37</v>
      </c>
      <c r="B33" s="24">
        <v>0.45680249873004058</v>
      </c>
      <c r="C33" s="25"/>
      <c r="D33" s="26" t="s">
        <v>11</v>
      </c>
      <c r="E33" s="25"/>
      <c r="F33" s="27">
        <f>(F31-B15)/F32</f>
        <v>2.5861198862805423</v>
      </c>
      <c r="H33" s="45" t="s">
        <v>37</v>
      </c>
      <c r="I33" s="24">
        <v>0.2261917199737172</v>
      </c>
      <c r="J33" s="25"/>
      <c r="K33" s="26" t="s">
        <v>11</v>
      </c>
      <c r="L33" s="25"/>
      <c r="M33" s="27">
        <f>(M31-B15)/M32</f>
        <v>1.5523204479510886</v>
      </c>
      <c r="T33" s="33">
        <v>1</v>
      </c>
      <c r="U33" s="39">
        <f t="shared" si="0"/>
        <v>0.39248213063013065</v>
      </c>
      <c r="V33" s="40">
        <f t="array" ref="V33">SQRT((T33)^2*$F$32^2+(1-T33)^2*$M$32^2+2*T33*(1-T33)*$D$37)</f>
        <v>0.14789806638865116</v>
      </c>
    </row>
    <row r="34" spans="1:22" ht="14" thickTop="1" x14ac:dyDescent="0.15">
      <c r="T34" s="33">
        <v>1.1000000000000001</v>
      </c>
      <c r="U34" s="39">
        <f t="shared" si="0"/>
        <v>0.41043687405007612</v>
      </c>
      <c r="V34" s="40">
        <f>SQRT((T34)^2*$F$32^2+(1-T34)^2*$M$32^2+2*T34*(1-T34)*$D$37)</f>
        <v>0.15243602868783698</v>
      </c>
    </row>
    <row r="35" spans="1:22" x14ac:dyDescent="0.15">
      <c r="A35" s="14" t="s">
        <v>22</v>
      </c>
      <c r="B35" s="13">
        <f>SUM(B31:B33)</f>
        <v>0.99999999999999978</v>
      </c>
      <c r="H35" s="14" t="s">
        <v>22</v>
      </c>
      <c r="I35" s="13">
        <f>SUM(I31:I33)</f>
        <v>1.0000009999999997</v>
      </c>
      <c r="T35" s="33">
        <v>1.2</v>
      </c>
      <c r="U35" s="39">
        <f t="shared" si="0"/>
        <v>0.42839161747002147</v>
      </c>
      <c r="V35" s="40">
        <f t="array" ref="V35">SQRT((T35)^2*$F$32^2+(1-T35)^2*$M$32^2+2*T35*(1-T35)*$D$37)</f>
        <v>0.15735461613157292</v>
      </c>
    </row>
    <row r="36" spans="1:22" x14ac:dyDescent="0.15">
      <c r="H36" s="13"/>
      <c r="T36" s="33">
        <v>1.3</v>
      </c>
      <c r="U36" s="39">
        <f t="shared" si="0"/>
        <v>0.44634636088996699</v>
      </c>
      <c r="V36" s="40">
        <f t="array" ref="V36">SQRT((T36)^2*$F$32^2+(1-T36)^2*$M$32^2+2*T36*(1-T36)*$D$37)</f>
        <v>0.16261929519244858</v>
      </c>
    </row>
    <row r="37" spans="1:22" x14ac:dyDescent="0.15">
      <c r="A37" s="14" t="s">
        <v>25</v>
      </c>
      <c r="D37">
        <f t="array" ref="D37">MMULT(TRANSPOSE(B31:B33),MMULT(E19:G21,I31:I33))</f>
        <v>1.5461382976362011E-2</v>
      </c>
      <c r="H37" s="13"/>
      <c r="T37" s="33">
        <v>1.4</v>
      </c>
      <c r="U37" s="39">
        <f t="shared" si="0"/>
        <v>0.46430110430991234</v>
      </c>
      <c r="V37" s="40">
        <f>SQRT((T37)^2*$F$32^2+(1-T37)^2*$M$32^2+2*T37*(1-T37)*$D$37)</f>
        <v>0.16819757041955513</v>
      </c>
    </row>
    <row r="38" spans="1:22" x14ac:dyDescent="0.15">
      <c r="H38" s="13"/>
      <c r="T38" s="33">
        <v>1.5</v>
      </c>
      <c r="U38" s="39">
        <f t="shared" si="0"/>
        <v>0.48225584772985775</v>
      </c>
      <c r="V38" s="40">
        <f t="array" ref="V38">SQRT((T38)^2*$F$32^2+(1-T38)^2*$M$32^2+2*T38*(1-T38)*$D$37)</f>
        <v>0.17405929390978273</v>
      </c>
    </row>
    <row r="39" spans="1:22" x14ac:dyDescent="0.15">
      <c r="H39" s="13"/>
      <c r="T39" s="33">
        <v>1.6</v>
      </c>
      <c r="U39" s="39">
        <f t="shared" si="0"/>
        <v>0.50021059114980326</v>
      </c>
      <c r="V39" s="40">
        <f t="array" ref="V39">SQRT((T39)^2*$F$32^2+(1-T39)^2*$M$32^2+2*T39*(1-T39)*$D$37)</f>
        <v>0.18017680337069331</v>
      </c>
    </row>
    <row r="40" spans="1:22" x14ac:dyDescent="0.15">
      <c r="A40" s="46" t="s">
        <v>30</v>
      </c>
      <c r="B40" s="46"/>
      <c r="C40" s="46"/>
      <c r="D40" s="46"/>
      <c r="E40" s="46"/>
      <c r="H40" s="13"/>
      <c r="T40" s="33">
        <v>1.7</v>
      </c>
      <c r="U40" s="39">
        <f t="shared" si="0"/>
        <v>0.51816533456974856</v>
      </c>
      <c r="V40" s="40">
        <f>SQRT((T40)^2*$F$32^2+(1-T40)^2*$M$32^2+2*T40*(1-T40)*$D$37)</f>
        <v>0.18652493325174851</v>
      </c>
    </row>
    <row r="41" spans="1:22" x14ac:dyDescent="0.15">
      <c r="T41" s="33">
        <v>1.8</v>
      </c>
      <c r="U41" s="39">
        <f t="shared" si="0"/>
        <v>0.53612007798969397</v>
      </c>
      <c r="V41" s="40">
        <f t="array" ref="V41">SQRT((T41)^2*$F$32^2+(1-T41)^2*$M$32^2+2*T41*(1-T41)*$D$37)</f>
        <v>0.19308093782513969</v>
      </c>
    </row>
    <row r="42" spans="1:22" x14ac:dyDescent="0.15">
      <c r="A42" s="14" t="s">
        <v>14</v>
      </c>
      <c r="T42" s="33">
        <v>1.9</v>
      </c>
      <c r="U42" s="39">
        <f t="shared" si="0"/>
        <v>0.55407482140963948</v>
      </c>
      <c r="V42" s="40">
        <f t="array" ref="V42">SQRT((T42)^2*$F$32^2+(1-T42)^2*$M$32^2+2*T42*(1-T42)*$D$37)</f>
        <v>0.19982435775820756</v>
      </c>
    </row>
    <row r="43" spans="1:22" x14ac:dyDescent="0.15">
      <c r="T43" s="33">
        <v>2</v>
      </c>
      <c r="U43" s="39">
        <f t="shared" si="0"/>
        <v>0.57202956482958489</v>
      </c>
      <c r="V43" s="40">
        <f>SQRT((T43)^2*$F$32^2+(1-T43)^2*$M$32^2+2*T43*(1-T43)*$D$37)</f>
        <v>0.20673685431171479</v>
      </c>
    </row>
    <row r="44" spans="1:22" x14ac:dyDescent="0.15">
      <c r="A44" s="14" t="s">
        <v>15</v>
      </c>
      <c r="T44" s="34"/>
      <c r="U44" s="29"/>
      <c r="V44" s="35"/>
    </row>
    <row r="67" spans="1:1" x14ac:dyDescent="0.15">
      <c r="A67" s="1" t="s">
        <v>16</v>
      </c>
    </row>
    <row r="68" spans="1:1" x14ac:dyDescent="0.15">
      <c r="A68" s="14" t="s">
        <v>19</v>
      </c>
    </row>
    <row r="69" spans="1:1" x14ac:dyDescent="0.15">
      <c r="A69" s="14" t="s">
        <v>21</v>
      </c>
    </row>
    <row r="70" spans="1:1" x14ac:dyDescent="0.15">
      <c r="A70" s="14" t="s">
        <v>17</v>
      </c>
    </row>
    <row r="96" spans="1:1" x14ac:dyDescent="0.15">
      <c r="A96" s="1" t="s">
        <v>23</v>
      </c>
    </row>
    <row r="97" spans="1:1" x14ac:dyDescent="0.15">
      <c r="A97" s="14" t="s">
        <v>18</v>
      </c>
    </row>
    <row r="98" spans="1:1" x14ac:dyDescent="0.15">
      <c r="A98" s="14" t="s">
        <v>20</v>
      </c>
    </row>
    <row r="99" spans="1:1" x14ac:dyDescent="0.15">
      <c r="A99" s="14" t="s">
        <v>17</v>
      </c>
    </row>
  </sheetData>
  <mergeCells count="4">
    <mergeCell ref="A40:E40"/>
    <mergeCell ref="T13:V13"/>
    <mergeCell ref="E9:G9"/>
    <mergeCell ref="E17:G17"/>
  </mergeCells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MVE and MinVar</vt:lpstr>
    </vt:vector>
  </TitlesOfParts>
  <Company>University of Chicago, 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Novy-Marx</dc:creator>
  <cp:lastModifiedBy>Matthew Vorsatz</cp:lastModifiedBy>
  <dcterms:created xsi:type="dcterms:W3CDTF">2004-01-23T18:30:54Z</dcterms:created>
  <dcterms:modified xsi:type="dcterms:W3CDTF">2021-04-20T20:36:52Z</dcterms:modified>
</cp:coreProperties>
</file>