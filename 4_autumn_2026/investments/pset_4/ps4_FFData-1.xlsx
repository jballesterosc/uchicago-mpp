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jballesteros/Documents/git/uchicago-mpp/4_autumn_2026/investments/pset_4/"/>
    </mc:Choice>
  </mc:AlternateContent>
  <xr:revisionPtr revIDLastSave="0" documentId="13_ncr:1_{1E9353C2-696B-5E4E-91F5-43056187C7F5}" xr6:coauthVersionLast="47" xr6:coauthVersionMax="47" xr10:uidLastSave="{00000000-0000-0000-0000-000000000000}"/>
  <bookViews>
    <workbookView xWindow="20" yWindow="800" windowWidth="34200" windowHeight="21440" activeTab="2" xr2:uid="{00000000-000D-0000-FFFF-FFFF00000000}"/>
  </bookViews>
  <sheets>
    <sheet name="CAPM" sheetId="7" r:id="rId1"/>
    <sheet name="Hoja4" sheetId="10" r:id="rId2"/>
    <sheet name="Hoja5" sheetId="11" r:id="rId3"/>
    <sheet name="ff_factors" sheetId="3" r:id="rId4"/>
    <sheet name="ff_portfolios25" sheetId="4" r:id="rId5"/>
    <sheet name="ff_factors_desc" sheetId="5" r:id="rId6"/>
    <sheet name="ff_portfolios25_desc" sheetId="6" r:id="rId7"/>
  </sheets>
  <definedNames>
    <definedName name="_xlchart.v1.0" hidden="1">Hoja5!$A$2</definedName>
    <definedName name="_xlchart.v1.1" hidden="1">Hoja5!$A$3</definedName>
    <definedName name="_xlchart.v1.10" hidden="1">Hoja5!$B$3:$Z$3</definedName>
    <definedName name="_xlchart.v1.11" hidden="1">Hoja5!$C$9:$C$10</definedName>
    <definedName name="_xlchart.v1.12" hidden="1">Hoja5!$A$2</definedName>
    <definedName name="_xlchart.v1.13" hidden="1">Hoja5!$A$3</definedName>
    <definedName name="_xlchart.v1.14" hidden="1">Hoja5!$B$1:$Z$1</definedName>
    <definedName name="_xlchart.v1.15" hidden="1">Hoja5!$B$2:$Z$2</definedName>
    <definedName name="_xlchart.v1.16" hidden="1">Hoja5!$B$3:$Z$3</definedName>
    <definedName name="_xlchart.v1.17" hidden="1">Hoja5!$C$9:$C$10</definedName>
    <definedName name="_xlchart.v1.2" hidden="1">Hoja5!$B$1:$Z$1</definedName>
    <definedName name="_xlchart.v1.3" hidden="1">Hoja5!$B$2:$Z$2</definedName>
    <definedName name="_xlchart.v1.4" hidden="1">Hoja5!$B$3:$Z$3</definedName>
    <definedName name="_xlchart.v1.5" hidden="1">Hoja5!$C$9:$C$10</definedName>
    <definedName name="_xlchart.v1.6" hidden="1">Hoja5!$A$2</definedName>
    <definedName name="_xlchart.v1.7" hidden="1">Hoja5!$A$3</definedName>
    <definedName name="_xlchart.v1.8" hidden="1">Hoja5!$B$1:$Z$1</definedName>
    <definedName name="_xlchart.v1.9" hidden="1">Hoja5!$B$2:$Z$2</definedName>
    <definedName name="ff_factors" localSheetId="3">ff_factors!$A$1:$G$1041</definedName>
    <definedName name="ff_factors_desc" localSheetId="5">ff_factors_desc!$A$1:$B$8</definedName>
    <definedName name="ff_portfolios25" localSheetId="4">ff_portfolios25!$A$1:$AB$1041</definedName>
    <definedName name="ff_portfolios25_desc" localSheetId="6">ff_portfolios25_desc!$A$1:$B$29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1" l="1"/>
  <c r="C10" i="11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B12" i="10"/>
  <c r="B11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B5" i="10"/>
  <c r="B2" i="10"/>
  <c r="P4" i="10"/>
  <c r="Q4" i="10"/>
  <c r="R4" i="10"/>
  <c r="S4" i="10"/>
  <c r="T4" i="10"/>
  <c r="U4" i="10"/>
  <c r="V4" i="10"/>
  <c r="W4" i="10"/>
  <c r="X4" i="10"/>
  <c r="Y4" i="10"/>
  <c r="Z4" i="10"/>
  <c r="C4" i="10"/>
  <c r="D4" i="10"/>
  <c r="E4" i="10"/>
  <c r="F4" i="10"/>
  <c r="G4" i="10"/>
  <c r="H4" i="10"/>
  <c r="I4" i="10"/>
  <c r="J4" i="10"/>
  <c r="K4" i="10"/>
  <c r="L4" i="10"/>
  <c r="M4" i="10"/>
  <c r="N4" i="10"/>
  <c r="O4" i="10"/>
  <c r="B4" i="10"/>
  <c r="B3" i="10"/>
  <c r="P3" i="10"/>
  <c r="Q3" i="10"/>
  <c r="R3" i="10"/>
  <c r="S3" i="10"/>
  <c r="T3" i="10"/>
  <c r="U3" i="10"/>
  <c r="V3" i="10"/>
  <c r="W3" i="10"/>
  <c r="X3" i="10"/>
  <c r="Y3" i="10"/>
  <c r="Z3" i="10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2" i="10"/>
  <c r="Q2" i="10"/>
  <c r="R2" i="10"/>
  <c r="S2" i="10"/>
  <c r="T2" i="10"/>
  <c r="U2" i="10"/>
  <c r="V2" i="10"/>
  <c r="W2" i="10"/>
  <c r="X2" i="10"/>
  <c r="Y2" i="10"/>
  <c r="Z2" i="10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AB92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AA146" i="7"/>
  <c r="AB146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Z151" i="7"/>
  <c r="AA151" i="7"/>
  <c r="AB151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Z156" i="7"/>
  <c r="AA156" i="7"/>
  <c r="AB156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AB161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AB166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AB171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AB176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AB186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AB191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AB196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AB211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AB212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AB213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AB217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AB218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AB219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AB220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AB221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AB222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AB223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AB224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AB225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AB228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AB229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AA230" i="7"/>
  <c r="AB230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AB231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AB232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AB233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AA234" i="7"/>
  <c r="AB234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AB235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AB236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AB237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AA238" i="7"/>
  <c r="AB238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AB239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AA240" i="7"/>
  <c r="AB240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AB241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AA242" i="7"/>
  <c r="AB242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AB244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AB245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AB246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AB247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AA249" i="7"/>
  <c r="AB249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AB250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AB251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AA252" i="7"/>
  <c r="AB252" i="7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T253" i="7"/>
  <c r="U253" i="7"/>
  <c r="V253" i="7"/>
  <c r="W253" i="7"/>
  <c r="X253" i="7"/>
  <c r="Y253" i="7"/>
  <c r="Z253" i="7"/>
  <c r="AA253" i="7"/>
  <c r="AB253" i="7"/>
  <c r="E254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AA254" i="7"/>
  <c r="AB254" i="7"/>
  <c r="E255" i="7"/>
  <c r="F255" i="7"/>
  <c r="G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T255" i="7"/>
  <c r="U255" i="7"/>
  <c r="V255" i="7"/>
  <c r="W255" i="7"/>
  <c r="X255" i="7"/>
  <c r="Y255" i="7"/>
  <c r="Z255" i="7"/>
  <c r="AA255" i="7"/>
  <c r="AB255" i="7"/>
  <c r="E256" i="7"/>
  <c r="F256" i="7"/>
  <c r="G256" i="7"/>
  <c r="H256" i="7"/>
  <c r="I256" i="7"/>
  <c r="J256" i="7"/>
  <c r="K256" i="7"/>
  <c r="L256" i="7"/>
  <c r="M256" i="7"/>
  <c r="N256" i="7"/>
  <c r="O256" i="7"/>
  <c r="P256" i="7"/>
  <c r="Q256" i="7"/>
  <c r="R256" i="7"/>
  <c r="S256" i="7"/>
  <c r="T256" i="7"/>
  <c r="U256" i="7"/>
  <c r="V256" i="7"/>
  <c r="W256" i="7"/>
  <c r="X256" i="7"/>
  <c r="Y256" i="7"/>
  <c r="Z256" i="7"/>
  <c r="AA256" i="7"/>
  <c r="AB256" i="7"/>
  <c r="E257" i="7"/>
  <c r="F257" i="7"/>
  <c r="G257" i="7"/>
  <c r="H257" i="7"/>
  <c r="I257" i="7"/>
  <c r="J257" i="7"/>
  <c r="K257" i="7"/>
  <c r="L257" i="7"/>
  <c r="M257" i="7"/>
  <c r="N257" i="7"/>
  <c r="O257" i="7"/>
  <c r="P257" i="7"/>
  <c r="Q257" i="7"/>
  <c r="R257" i="7"/>
  <c r="S257" i="7"/>
  <c r="T257" i="7"/>
  <c r="U257" i="7"/>
  <c r="V257" i="7"/>
  <c r="W257" i="7"/>
  <c r="X257" i="7"/>
  <c r="Y257" i="7"/>
  <c r="Z257" i="7"/>
  <c r="AA257" i="7"/>
  <c r="AB257" i="7"/>
  <c r="E258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R258" i="7"/>
  <c r="S258" i="7"/>
  <c r="T258" i="7"/>
  <c r="U258" i="7"/>
  <c r="V258" i="7"/>
  <c r="W258" i="7"/>
  <c r="X258" i="7"/>
  <c r="Y258" i="7"/>
  <c r="Z258" i="7"/>
  <c r="AA258" i="7"/>
  <c r="AB258" i="7"/>
  <c r="E259" i="7"/>
  <c r="F259" i="7"/>
  <c r="G259" i="7"/>
  <c r="H259" i="7"/>
  <c r="I259" i="7"/>
  <c r="J259" i="7"/>
  <c r="K259" i="7"/>
  <c r="L259" i="7"/>
  <c r="M259" i="7"/>
  <c r="N259" i="7"/>
  <c r="O259" i="7"/>
  <c r="P259" i="7"/>
  <c r="Q259" i="7"/>
  <c r="R259" i="7"/>
  <c r="S259" i="7"/>
  <c r="T259" i="7"/>
  <c r="U259" i="7"/>
  <c r="V259" i="7"/>
  <c r="W259" i="7"/>
  <c r="X259" i="7"/>
  <c r="Y259" i="7"/>
  <c r="Z259" i="7"/>
  <c r="AA259" i="7"/>
  <c r="AB259" i="7"/>
  <c r="E260" i="7"/>
  <c r="F260" i="7"/>
  <c r="G260" i="7"/>
  <c r="H260" i="7"/>
  <c r="I260" i="7"/>
  <c r="J260" i="7"/>
  <c r="K260" i="7"/>
  <c r="L260" i="7"/>
  <c r="M260" i="7"/>
  <c r="N260" i="7"/>
  <c r="O260" i="7"/>
  <c r="P260" i="7"/>
  <c r="Q260" i="7"/>
  <c r="R260" i="7"/>
  <c r="S260" i="7"/>
  <c r="T260" i="7"/>
  <c r="U260" i="7"/>
  <c r="V260" i="7"/>
  <c r="W260" i="7"/>
  <c r="X260" i="7"/>
  <c r="Y260" i="7"/>
  <c r="Z260" i="7"/>
  <c r="AA260" i="7"/>
  <c r="AB260" i="7"/>
  <c r="E261" i="7"/>
  <c r="F261" i="7"/>
  <c r="G261" i="7"/>
  <c r="H261" i="7"/>
  <c r="I261" i="7"/>
  <c r="J261" i="7"/>
  <c r="K261" i="7"/>
  <c r="L261" i="7"/>
  <c r="M261" i="7"/>
  <c r="N261" i="7"/>
  <c r="O261" i="7"/>
  <c r="P261" i="7"/>
  <c r="Q261" i="7"/>
  <c r="R261" i="7"/>
  <c r="S261" i="7"/>
  <c r="T261" i="7"/>
  <c r="U261" i="7"/>
  <c r="V261" i="7"/>
  <c r="W261" i="7"/>
  <c r="X261" i="7"/>
  <c r="Y261" i="7"/>
  <c r="Z261" i="7"/>
  <c r="AA261" i="7"/>
  <c r="AB261" i="7"/>
  <c r="E262" i="7"/>
  <c r="F262" i="7"/>
  <c r="G262" i="7"/>
  <c r="H262" i="7"/>
  <c r="I262" i="7"/>
  <c r="J262" i="7"/>
  <c r="K262" i="7"/>
  <c r="L262" i="7"/>
  <c r="M262" i="7"/>
  <c r="N262" i="7"/>
  <c r="O262" i="7"/>
  <c r="P262" i="7"/>
  <c r="Q262" i="7"/>
  <c r="R262" i="7"/>
  <c r="S262" i="7"/>
  <c r="T262" i="7"/>
  <c r="U262" i="7"/>
  <c r="V262" i="7"/>
  <c r="W262" i="7"/>
  <c r="X262" i="7"/>
  <c r="Y262" i="7"/>
  <c r="Z262" i="7"/>
  <c r="AA262" i="7"/>
  <c r="AB262" i="7"/>
  <c r="E263" i="7"/>
  <c r="F263" i="7"/>
  <c r="G263" i="7"/>
  <c r="H263" i="7"/>
  <c r="I263" i="7"/>
  <c r="J263" i="7"/>
  <c r="K263" i="7"/>
  <c r="L263" i="7"/>
  <c r="M263" i="7"/>
  <c r="N263" i="7"/>
  <c r="O263" i="7"/>
  <c r="P263" i="7"/>
  <c r="Q263" i="7"/>
  <c r="R263" i="7"/>
  <c r="S263" i="7"/>
  <c r="T263" i="7"/>
  <c r="U263" i="7"/>
  <c r="V263" i="7"/>
  <c r="W263" i="7"/>
  <c r="X263" i="7"/>
  <c r="Y263" i="7"/>
  <c r="Z263" i="7"/>
  <c r="AA263" i="7"/>
  <c r="AB263" i="7"/>
  <c r="E264" i="7"/>
  <c r="F264" i="7"/>
  <c r="G264" i="7"/>
  <c r="H264" i="7"/>
  <c r="I264" i="7"/>
  <c r="J264" i="7"/>
  <c r="K264" i="7"/>
  <c r="L264" i="7"/>
  <c r="M264" i="7"/>
  <c r="N264" i="7"/>
  <c r="O264" i="7"/>
  <c r="P264" i="7"/>
  <c r="Q264" i="7"/>
  <c r="R264" i="7"/>
  <c r="S264" i="7"/>
  <c r="T264" i="7"/>
  <c r="U264" i="7"/>
  <c r="V264" i="7"/>
  <c r="W264" i="7"/>
  <c r="X264" i="7"/>
  <c r="Y264" i="7"/>
  <c r="Z264" i="7"/>
  <c r="AA264" i="7"/>
  <c r="AB264" i="7"/>
  <c r="E265" i="7"/>
  <c r="F265" i="7"/>
  <c r="G265" i="7"/>
  <c r="H265" i="7"/>
  <c r="I265" i="7"/>
  <c r="J265" i="7"/>
  <c r="K265" i="7"/>
  <c r="L265" i="7"/>
  <c r="M265" i="7"/>
  <c r="N265" i="7"/>
  <c r="O265" i="7"/>
  <c r="P265" i="7"/>
  <c r="Q265" i="7"/>
  <c r="R265" i="7"/>
  <c r="S265" i="7"/>
  <c r="T265" i="7"/>
  <c r="U265" i="7"/>
  <c r="V265" i="7"/>
  <c r="W265" i="7"/>
  <c r="X265" i="7"/>
  <c r="Y265" i="7"/>
  <c r="Z265" i="7"/>
  <c r="AA265" i="7"/>
  <c r="AB265" i="7"/>
  <c r="E266" i="7"/>
  <c r="F266" i="7"/>
  <c r="G266" i="7"/>
  <c r="H266" i="7"/>
  <c r="I266" i="7"/>
  <c r="J266" i="7"/>
  <c r="K266" i="7"/>
  <c r="L266" i="7"/>
  <c r="M266" i="7"/>
  <c r="N266" i="7"/>
  <c r="O266" i="7"/>
  <c r="P266" i="7"/>
  <c r="Q266" i="7"/>
  <c r="R266" i="7"/>
  <c r="S266" i="7"/>
  <c r="T266" i="7"/>
  <c r="U266" i="7"/>
  <c r="V266" i="7"/>
  <c r="W266" i="7"/>
  <c r="X266" i="7"/>
  <c r="Y266" i="7"/>
  <c r="Z266" i="7"/>
  <c r="AA266" i="7"/>
  <c r="AB266" i="7"/>
  <c r="E267" i="7"/>
  <c r="F267" i="7"/>
  <c r="G267" i="7"/>
  <c r="H267" i="7"/>
  <c r="I267" i="7"/>
  <c r="J267" i="7"/>
  <c r="K267" i="7"/>
  <c r="L267" i="7"/>
  <c r="M267" i="7"/>
  <c r="N267" i="7"/>
  <c r="O267" i="7"/>
  <c r="P267" i="7"/>
  <c r="Q267" i="7"/>
  <c r="R267" i="7"/>
  <c r="S267" i="7"/>
  <c r="T267" i="7"/>
  <c r="U267" i="7"/>
  <c r="V267" i="7"/>
  <c r="W267" i="7"/>
  <c r="X267" i="7"/>
  <c r="Y267" i="7"/>
  <c r="Z267" i="7"/>
  <c r="AA267" i="7"/>
  <c r="AB267" i="7"/>
  <c r="E268" i="7"/>
  <c r="F268" i="7"/>
  <c r="G268" i="7"/>
  <c r="H268" i="7"/>
  <c r="I268" i="7"/>
  <c r="J268" i="7"/>
  <c r="K268" i="7"/>
  <c r="L268" i="7"/>
  <c r="M268" i="7"/>
  <c r="N268" i="7"/>
  <c r="O268" i="7"/>
  <c r="P268" i="7"/>
  <c r="Q268" i="7"/>
  <c r="R268" i="7"/>
  <c r="S268" i="7"/>
  <c r="T268" i="7"/>
  <c r="U268" i="7"/>
  <c r="V268" i="7"/>
  <c r="W268" i="7"/>
  <c r="X268" i="7"/>
  <c r="Y268" i="7"/>
  <c r="Z268" i="7"/>
  <c r="AA268" i="7"/>
  <c r="AB268" i="7"/>
  <c r="E269" i="7"/>
  <c r="F269" i="7"/>
  <c r="G269" i="7"/>
  <c r="H269" i="7"/>
  <c r="I269" i="7"/>
  <c r="J269" i="7"/>
  <c r="K269" i="7"/>
  <c r="L269" i="7"/>
  <c r="M269" i="7"/>
  <c r="N269" i="7"/>
  <c r="O269" i="7"/>
  <c r="P269" i="7"/>
  <c r="Q269" i="7"/>
  <c r="R269" i="7"/>
  <c r="S269" i="7"/>
  <c r="T269" i="7"/>
  <c r="U269" i="7"/>
  <c r="V269" i="7"/>
  <c r="W269" i="7"/>
  <c r="X269" i="7"/>
  <c r="Y269" i="7"/>
  <c r="Z269" i="7"/>
  <c r="AA269" i="7"/>
  <c r="AB269" i="7"/>
  <c r="E270" i="7"/>
  <c r="F270" i="7"/>
  <c r="G270" i="7"/>
  <c r="H270" i="7"/>
  <c r="I270" i="7"/>
  <c r="J270" i="7"/>
  <c r="K270" i="7"/>
  <c r="L270" i="7"/>
  <c r="M270" i="7"/>
  <c r="N270" i="7"/>
  <c r="O270" i="7"/>
  <c r="P270" i="7"/>
  <c r="Q270" i="7"/>
  <c r="R270" i="7"/>
  <c r="S270" i="7"/>
  <c r="T270" i="7"/>
  <c r="U270" i="7"/>
  <c r="V270" i="7"/>
  <c r="W270" i="7"/>
  <c r="X270" i="7"/>
  <c r="Y270" i="7"/>
  <c r="Z270" i="7"/>
  <c r="AA270" i="7"/>
  <c r="AB270" i="7"/>
  <c r="E271" i="7"/>
  <c r="F271" i="7"/>
  <c r="G271" i="7"/>
  <c r="H271" i="7"/>
  <c r="I271" i="7"/>
  <c r="J271" i="7"/>
  <c r="K271" i="7"/>
  <c r="L271" i="7"/>
  <c r="M271" i="7"/>
  <c r="N271" i="7"/>
  <c r="O271" i="7"/>
  <c r="P271" i="7"/>
  <c r="Q271" i="7"/>
  <c r="R271" i="7"/>
  <c r="S271" i="7"/>
  <c r="T271" i="7"/>
  <c r="U271" i="7"/>
  <c r="V271" i="7"/>
  <c r="W271" i="7"/>
  <c r="X271" i="7"/>
  <c r="Y271" i="7"/>
  <c r="Z271" i="7"/>
  <c r="AA271" i="7"/>
  <c r="AB271" i="7"/>
  <c r="E272" i="7"/>
  <c r="F272" i="7"/>
  <c r="G272" i="7"/>
  <c r="H272" i="7"/>
  <c r="I272" i="7"/>
  <c r="J272" i="7"/>
  <c r="K272" i="7"/>
  <c r="L272" i="7"/>
  <c r="M272" i="7"/>
  <c r="N272" i="7"/>
  <c r="O272" i="7"/>
  <c r="P272" i="7"/>
  <c r="Q272" i="7"/>
  <c r="R272" i="7"/>
  <c r="S272" i="7"/>
  <c r="T272" i="7"/>
  <c r="U272" i="7"/>
  <c r="V272" i="7"/>
  <c r="W272" i="7"/>
  <c r="X272" i="7"/>
  <c r="Y272" i="7"/>
  <c r="Z272" i="7"/>
  <c r="AA272" i="7"/>
  <c r="AB272" i="7"/>
  <c r="E273" i="7"/>
  <c r="F273" i="7"/>
  <c r="G273" i="7"/>
  <c r="H273" i="7"/>
  <c r="I273" i="7"/>
  <c r="J273" i="7"/>
  <c r="K273" i="7"/>
  <c r="L273" i="7"/>
  <c r="M273" i="7"/>
  <c r="N273" i="7"/>
  <c r="O273" i="7"/>
  <c r="P273" i="7"/>
  <c r="Q273" i="7"/>
  <c r="R273" i="7"/>
  <c r="S273" i="7"/>
  <c r="T273" i="7"/>
  <c r="U273" i="7"/>
  <c r="V273" i="7"/>
  <c r="W273" i="7"/>
  <c r="X273" i="7"/>
  <c r="Y273" i="7"/>
  <c r="Z273" i="7"/>
  <c r="AA273" i="7"/>
  <c r="AB273" i="7"/>
  <c r="E274" i="7"/>
  <c r="F274" i="7"/>
  <c r="G274" i="7"/>
  <c r="H274" i="7"/>
  <c r="I274" i="7"/>
  <c r="J274" i="7"/>
  <c r="K274" i="7"/>
  <c r="L274" i="7"/>
  <c r="M274" i="7"/>
  <c r="N274" i="7"/>
  <c r="O274" i="7"/>
  <c r="P274" i="7"/>
  <c r="Q274" i="7"/>
  <c r="R274" i="7"/>
  <c r="S274" i="7"/>
  <c r="T274" i="7"/>
  <c r="U274" i="7"/>
  <c r="V274" i="7"/>
  <c r="W274" i="7"/>
  <c r="X274" i="7"/>
  <c r="Y274" i="7"/>
  <c r="Z274" i="7"/>
  <c r="AA274" i="7"/>
  <c r="AB274" i="7"/>
  <c r="E275" i="7"/>
  <c r="F275" i="7"/>
  <c r="G275" i="7"/>
  <c r="H275" i="7"/>
  <c r="I275" i="7"/>
  <c r="J275" i="7"/>
  <c r="K275" i="7"/>
  <c r="L275" i="7"/>
  <c r="M275" i="7"/>
  <c r="N275" i="7"/>
  <c r="O275" i="7"/>
  <c r="P275" i="7"/>
  <c r="Q275" i="7"/>
  <c r="R275" i="7"/>
  <c r="S275" i="7"/>
  <c r="T275" i="7"/>
  <c r="U275" i="7"/>
  <c r="V275" i="7"/>
  <c r="W275" i="7"/>
  <c r="X275" i="7"/>
  <c r="Y275" i="7"/>
  <c r="Z275" i="7"/>
  <c r="AA275" i="7"/>
  <c r="AB275" i="7"/>
  <c r="E276" i="7"/>
  <c r="F276" i="7"/>
  <c r="G276" i="7"/>
  <c r="H276" i="7"/>
  <c r="I276" i="7"/>
  <c r="J276" i="7"/>
  <c r="K276" i="7"/>
  <c r="L276" i="7"/>
  <c r="M276" i="7"/>
  <c r="N276" i="7"/>
  <c r="O276" i="7"/>
  <c r="P276" i="7"/>
  <c r="Q276" i="7"/>
  <c r="R276" i="7"/>
  <c r="S276" i="7"/>
  <c r="T276" i="7"/>
  <c r="U276" i="7"/>
  <c r="V276" i="7"/>
  <c r="W276" i="7"/>
  <c r="X276" i="7"/>
  <c r="Y276" i="7"/>
  <c r="Z276" i="7"/>
  <c r="AA276" i="7"/>
  <c r="AB276" i="7"/>
  <c r="E277" i="7"/>
  <c r="F277" i="7"/>
  <c r="G277" i="7"/>
  <c r="H277" i="7"/>
  <c r="I277" i="7"/>
  <c r="J277" i="7"/>
  <c r="K277" i="7"/>
  <c r="L277" i="7"/>
  <c r="M277" i="7"/>
  <c r="N277" i="7"/>
  <c r="O277" i="7"/>
  <c r="P277" i="7"/>
  <c r="Q277" i="7"/>
  <c r="R277" i="7"/>
  <c r="S277" i="7"/>
  <c r="T277" i="7"/>
  <c r="U277" i="7"/>
  <c r="V277" i="7"/>
  <c r="W277" i="7"/>
  <c r="X277" i="7"/>
  <c r="Y277" i="7"/>
  <c r="Z277" i="7"/>
  <c r="AA277" i="7"/>
  <c r="AB277" i="7"/>
  <c r="E278" i="7"/>
  <c r="F278" i="7"/>
  <c r="G278" i="7"/>
  <c r="H278" i="7"/>
  <c r="I278" i="7"/>
  <c r="J278" i="7"/>
  <c r="K278" i="7"/>
  <c r="L278" i="7"/>
  <c r="M278" i="7"/>
  <c r="N278" i="7"/>
  <c r="O278" i="7"/>
  <c r="P278" i="7"/>
  <c r="Q278" i="7"/>
  <c r="R278" i="7"/>
  <c r="S278" i="7"/>
  <c r="T278" i="7"/>
  <c r="U278" i="7"/>
  <c r="V278" i="7"/>
  <c r="W278" i="7"/>
  <c r="X278" i="7"/>
  <c r="Y278" i="7"/>
  <c r="Z278" i="7"/>
  <c r="AA278" i="7"/>
  <c r="AB278" i="7"/>
  <c r="E279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S279" i="7"/>
  <c r="T279" i="7"/>
  <c r="U279" i="7"/>
  <c r="V279" i="7"/>
  <c r="W279" i="7"/>
  <c r="X279" i="7"/>
  <c r="Y279" i="7"/>
  <c r="Z279" i="7"/>
  <c r="AA279" i="7"/>
  <c r="AB279" i="7"/>
  <c r="E280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AA280" i="7"/>
  <c r="AB280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AA281" i="7"/>
  <c r="AB281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AB282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AA283" i="7"/>
  <c r="AB283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AA284" i="7"/>
  <c r="AB284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AB285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AA286" i="7"/>
  <c r="AB286" i="7"/>
  <c r="E287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AA287" i="7"/>
  <c r="AB287" i="7"/>
  <c r="E288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AA288" i="7"/>
  <c r="AB288" i="7"/>
  <c r="E289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R289" i="7"/>
  <c r="S289" i="7"/>
  <c r="T289" i="7"/>
  <c r="U289" i="7"/>
  <c r="V289" i="7"/>
  <c r="W289" i="7"/>
  <c r="X289" i="7"/>
  <c r="Y289" i="7"/>
  <c r="Z289" i="7"/>
  <c r="AA289" i="7"/>
  <c r="AB289" i="7"/>
  <c r="E290" i="7"/>
  <c r="F290" i="7"/>
  <c r="G290" i="7"/>
  <c r="H290" i="7"/>
  <c r="I290" i="7"/>
  <c r="J290" i="7"/>
  <c r="K290" i="7"/>
  <c r="L290" i="7"/>
  <c r="M290" i="7"/>
  <c r="N290" i="7"/>
  <c r="O290" i="7"/>
  <c r="P290" i="7"/>
  <c r="Q290" i="7"/>
  <c r="R290" i="7"/>
  <c r="S290" i="7"/>
  <c r="T290" i="7"/>
  <c r="U290" i="7"/>
  <c r="V290" i="7"/>
  <c r="W290" i="7"/>
  <c r="X290" i="7"/>
  <c r="Y290" i="7"/>
  <c r="Z290" i="7"/>
  <c r="AA290" i="7"/>
  <c r="AB290" i="7"/>
  <c r="E291" i="7"/>
  <c r="F291" i="7"/>
  <c r="G291" i="7"/>
  <c r="H291" i="7"/>
  <c r="I291" i="7"/>
  <c r="J291" i="7"/>
  <c r="K291" i="7"/>
  <c r="L291" i="7"/>
  <c r="M291" i="7"/>
  <c r="N291" i="7"/>
  <c r="O291" i="7"/>
  <c r="P291" i="7"/>
  <c r="Q291" i="7"/>
  <c r="R291" i="7"/>
  <c r="S291" i="7"/>
  <c r="T291" i="7"/>
  <c r="U291" i="7"/>
  <c r="V291" i="7"/>
  <c r="W291" i="7"/>
  <c r="X291" i="7"/>
  <c r="Y291" i="7"/>
  <c r="Z291" i="7"/>
  <c r="AA291" i="7"/>
  <c r="AB291" i="7"/>
  <c r="E292" i="7"/>
  <c r="F292" i="7"/>
  <c r="G292" i="7"/>
  <c r="H292" i="7"/>
  <c r="I292" i="7"/>
  <c r="J292" i="7"/>
  <c r="K292" i="7"/>
  <c r="L292" i="7"/>
  <c r="M292" i="7"/>
  <c r="N292" i="7"/>
  <c r="O292" i="7"/>
  <c r="P292" i="7"/>
  <c r="Q292" i="7"/>
  <c r="R292" i="7"/>
  <c r="S292" i="7"/>
  <c r="T292" i="7"/>
  <c r="U292" i="7"/>
  <c r="V292" i="7"/>
  <c r="W292" i="7"/>
  <c r="X292" i="7"/>
  <c r="Y292" i="7"/>
  <c r="Z292" i="7"/>
  <c r="AA292" i="7"/>
  <c r="AB292" i="7"/>
  <c r="E293" i="7"/>
  <c r="F293" i="7"/>
  <c r="G293" i="7"/>
  <c r="H293" i="7"/>
  <c r="I293" i="7"/>
  <c r="J293" i="7"/>
  <c r="K293" i="7"/>
  <c r="L293" i="7"/>
  <c r="M293" i="7"/>
  <c r="N293" i="7"/>
  <c r="O293" i="7"/>
  <c r="P293" i="7"/>
  <c r="Q293" i="7"/>
  <c r="R293" i="7"/>
  <c r="S293" i="7"/>
  <c r="T293" i="7"/>
  <c r="U293" i="7"/>
  <c r="V293" i="7"/>
  <c r="W293" i="7"/>
  <c r="X293" i="7"/>
  <c r="Y293" i="7"/>
  <c r="Z293" i="7"/>
  <c r="AA293" i="7"/>
  <c r="AB293" i="7"/>
  <c r="E294" i="7"/>
  <c r="F294" i="7"/>
  <c r="G294" i="7"/>
  <c r="H294" i="7"/>
  <c r="I294" i="7"/>
  <c r="J294" i="7"/>
  <c r="K294" i="7"/>
  <c r="L294" i="7"/>
  <c r="M294" i="7"/>
  <c r="N294" i="7"/>
  <c r="O294" i="7"/>
  <c r="P294" i="7"/>
  <c r="Q294" i="7"/>
  <c r="R294" i="7"/>
  <c r="S294" i="7"/>
  <c r="T294" i="7"/>
  <c r="U294" i="7"/>
  <c r="V294" i="7"/>
  <c r="W294" i="7"/>
  <c r="X294" i="7"/>
  <c r="Y294" i="7"/>
  <c r="Z294" i="7"/>
  <c r="AA294" i="7"/>
  <c r="AB294" i="7"/>
  <c r="E295" i="7"/>
  <c r="F295" i="7"/>
  <c r="G295" i="7"/>
  <c r="H295" i="7"/>
  <c r="I295" i="7"/>
  <c r="J295" i="7"/>
  <c r="K295" i="7"/>
  <c r="L295" i="7"/>
  <c r="M295" i="7"/>
  <c r="N295" i="7"/>
  <c r="O295" i="7"/>
  <c r="P295" i="7"/>
  <c r="Q295" i="7"/>
  <c r="R295" i="7"/>
  <c r="S295" i="7"/>
  <c r="T295" i="7"/>
  <c r="U295" i="7"/>
  <c r="V295" i="7"/>
  <c r="W295" i="7"/>
  <c r="X295" i="7"/>
  <c r="Y295" i="7"/>
  <c r="Z295" i="7"/>
  <c r="AA295" i="7"/>
  <c r="AB295" i="7"/>
  <c r="E296" i="7"/>
  <c r="F296" i="7"/>
  <c r="G296" i="7"/>
  <c r="H296" i="7"/>
  <c r="I296" i="7"/>
  <c r="J296" i="7"/>
  <c r="K296" i="7"/>
  <c r="L296" i="7"/>
  <c r="M296" i="7"/>
  <c r="N296" i="7"/>
  <c r="O296" i="7"/>
  <c r="P296" i="7"/>
  <c r="Q296" i="7"/>
  <c r="R296" i="7"/>
  <c r="S296" i="7"/>
  <c r="T296" i="7"/>
  <c r="U296" i="7"/>
  <c r="V296" i="7"/>
  <c r="W296" i="7"/>
  <c r="X296" i="7"/>
  <c r="Y296" i="7"/>
  <c r="Z296" i="7"/>
  <c r="AA296" i="7"/>
  <c r="AB296" i="7"/>
  <c r="E297" i="7"/>
  <c r="F297" i="7"/>
  <c r="G297" i="7"/>
  <c r="H297" i="7"/>
  <c r="I297" i="7"/>
  <c r="J297" i="7"/>
  <c r="K297" i="7"/>
  <c r="L297" i="7"/>
  <c r="M297" i="7"/>
  <c r="N297" i="7"/>
  <c r="O297" i="7"/>
  <c r="P297" i="7"/>
  <c r="Q297" i="7"/>
  <c r="R297" i="7"/>
  <c r="S297" i="7"/>
  <c r="T297" i="7"/>
  <c r="U297" i="7"/>
  <c r="V297" i="7"/>
  <c r="W297" i="7"/>
  <c r="X297" i="7"/>
  <c r="Y297" i="7"/>
  <c r="Z297" i="7"/>
  <c r="AA297" i="7"/>
  <c r="AB297" i="7"/>
  <c r="E298" i="7"/>
  <c r="F298" i="7"/>
  <c r="G298" i="7"/>
  <c r="H298" i="7"/>
  <c r="I298" i="7"/>
  <c r="J298" i="7"/>
  <c r="K298" i="7"/>
  <c r="L298" i="7"/>
  <c r="M298" i="7"/>
  <c r="N298" i="7"/>
  <c r="O298" i="7"/>
  <c r="P298" i="7"/>
  <c r="Q298" i="7"/>
  <c r="R298" i="7"/>
  <c r="S298" i="7"/>
  <c r="T298" i="7"/>
  <c r="U298" i="7"/>
  <c r="V298" i="7"/>
  <c r="W298" i="7"/>
  <c r="X298" i="7"/>
  <c r="Y298" i="7"/>
  <c r="Z298" i="7"/>
  <c r="AA298" i="7"/>
  <c r="AB298" i="7"/>
  <c r="E299" i="7"/>
  <c r="F299" i="7"/>
  <c r="G299" i="7"/>
  <c r="H299" i="7"/>
  <c r="I299" i="7"/>
  <c r="J299" i="7"/>
  <c r="K299" i="7"/>
  <c r="L299" i="7"/>
  <c r="M299" i="7"/>
  <c r="N299" i="7"/>
  <c r="O299" i="7"/>
  <c r="P299" i="7"/>
  <c r="Q299" i="7"/>
  <c r="R299" i="7"/>
  <c r="S299" i="7"/>
  <c r="T299" i="7"/>
  <c r="U299" i="7"/>
  <c r="V299" i="7"/>
  <c r="W299" i="7"/>
  <c r="X299" i="7"/>
  <c r="Y299" i="7"/>
  <c r="Z299" i="7"/>
  <c r="AA299" i="7"/>
  <c r="AB299" i="7"/>
  <c r="E300" i="7"/>
  <c r="F300" i="7"/>
  <c r="G300" i="7"/>
  <c r="H300" i="7"/>
  <c r="I300" i="7"/>
  <c r="J300" i="7"/>
  <c r="K300" i="7"/>
  <c r="L300" i="7"/>
  <c r="M300" i="7"/>
  <c r="N300" i="7"/>
  <c r="O300" i="7"/>
  <c r="P300" i="7"/>
  <c r="Q300" i="7"/>
  <c r="R300" i="7"/>
  <c r="S300" i="7"/>
  <c r="T300" i="7"/>
  <c r="U300" i="7"/>
  <c r="V300" i="7"/>
  <c r="W300" i="7"/>
  <c r="X300" i="7"/>
  <c r="Y300" i="7"/>
  <c r="Z300" i="7"/>
  <c r="AA300" i="7"/>
  <c r="AB300" i="7"/>
  <c r="E301" i="7"/>
  <c r="F301" i="7"/>
  <c r="G301" i="7"/>
  <c r="H301" i="7"/>
  <c r="I301" i="7"/>
  <c r="J301" i="7"/>
  <c r="K301" i="7"/>
  <c r="L301" i="7"/>
  <c r="M301" i="7"/>
  <c r="N301" i="7"/>
  <c r="O301" i="7"/>
  <c r="P301" i="7"/>
  <c r="Q301" i="7"/>
  <c r="R301" i="7"/>
  <c r="S301" i="7"/>
  <c r="T301" i="7"/>
  <c r="U301" i="7"/>
  <c r="V301" i="7"/>
  <c r="W301" i="7"/>
  <c r="X301" i="7"/>
  <c r="Y301" i="7"/>
  <c r="Z301" i="7"/>
  <c r="AA301" i="7"/>
  <c r="AB301" i="7"/>
  <c r="E302" i="7"/>
  <c r="F302" i="7"/>
  <c r="G302" i="7"/>
  <c r="H302" i="7"/>
  <c r="I302" i="7"/>
  <c r="J302" i="7"/>
  <c r="K302" i="7"/>
  <c r="L302" i="7"/>
  <c r="M302" i="7"/>
  <c r="N302" i="7"/>
  <c r="O302" i="7"/>
  <c r="P302" i="7"/>
  <c r="Q302" i="7"/>
  <c r="R302" i="7"/>
  <c r="S302" i="7"/>
  <c r="T302" i="7"/>
  <c r="U302" i="7"/>
  <c r="V302" i="7"/>
  <c r="W302" i="7"/>
  <c r="X302" i="7"/>
  <c r="Y302" i="7"/>
  <c r="Z302" i="7"/>
  <c r="AA302" i="7"/>
  <c r="AB302" i="7"/>
  <c r="E303" i="7"/>
  <c r="F303" i="7"/>
  <c r="G303" i="7"/>
  <c r="H303" i="7"/>
  <c r="I303" i="7"/>
  <c r="J303" i="7"/>
  <c r="K303" i="7"/>
  <c r="L303" i="7"/>
  <c r="M303" i="7"/>
  <c r="N303" i="7"/>
  <c r="O303" i="7"/>
  <c r="P303" i="7"/>
  <c r="Q303" i="7"/>
  <c r="R303" i="7"/>
  <c r="S303" i="7"/>
  <c r="T303" i="7"/>
  <c r="U303" i="7"/>
  <c r="V303" i="7"/>
  <c r="W303" i="7"/>
  <c r="X303" i="7"/>
  <c r="Y303" i="7"/>
  <c r="Z303" i="7"/>
  <c r="AA303" i="7"/>
  <c r="AB303" i="7"/>
  <c r="E304" i="7"/>
  <c r="F304" i="7"/>
  <c r="G304" i="7"/>
  <c r="H304" i="7"/>
  <c r="I304" i="7"/>
  <c r="J304" i="7"/>
  <c r="K304" i="7"/>
  <c r="L304" i="7"/>
  <c r="M304" i="7"/>
  <c r="N304" i="7"/>
  <c r="O304" i="7"/>
  <c r="P304" i="7"/>
  <c r="Q304" i="7"/>
  <c r="R304" i="7"/>
  <c r="S304" i="7"/>
  <c r="T304" i="7"/>
  <c r="U304" i="7"/>
  <c r="V304" i="7"/>
  <c r="W304" i="7"/>
  <c r="X304" i="7"/>
  <c r="Y304" i="7"/>
  <c r="Z304" i="7"/>
  <c r="AA304" i="7"/>
  <c r="AB304" i="7"/>
  <c r="E305" i="7"/>
  <c r="F305" i="7"/>
  <c r="G305" i="7"/>
  <c r="H305" i="7"/>
  <c r="I305" i="7"/>
  <c r="J305" i="7"/>
  <c r="K305" i="7"/>
  <c r="L305" i="7"/>
  <c r="M305" i="7"/>
  <c r="N305" i="7"/>
  <c r="O305" i="7"/>
  <c r="P305" i="7"/>
  <c r="Q305" i="7"/>
  <c r="R305" i="7"/>
  <c r="S305" i="7"/>
  <c r="T305" i="7"/>
  <c r="U305" i="7"/>
  <c r="V305" i="7"/>
  <c r="W305" i="7"/>
  <c r="X305" i="7"/>
  <c r="Y305" i="7"/>
  <c r="Z305" i="7"/>
  <c r="AA305" i="7"/>
  <c r="AB305" i="7"/>
  <c r="E306" i="7"/>
  <c r="F306" i="7"/>
  <c r="G306" i="7"/>
  <c r="H306" i="7"/>
  <c r="I306" i="7"/>
  <c r="J306" i="7"/>
  <c r="K306" i="7"/>
  <c r="L306" i="7"/>
  <c r="M306" i="7"/>
  <c r="N306" i="7"/>
  <c r="O306" i="7"/>
  <c r="P306" i="7"/>
  <c r="Q306" i="7"/>
  <c r="R306" i="7"/>
  <c r="S306" i="7"/>
  <c r="T306" i="7"/>
  <c r="U306" i="7"/>
  <c r="V306" i="7"/>
  <c r="W306" i="7"/>
  <c r="X306" i="7"/>
  <c r="Y306" i="7"/>
  <c r="Z306" i="7"/>
  <c r="AA306" i="7"/>
  <c r="AB306" i="7"/>
  <c r="E307" i="7"/>
  <c r="F307" i="7"/>
  <c r="G307" i="7"/>
  <c r="H307" i="7"/>
  <c r="I307" i="7"/>
  <c r="J307" i="7"/>
  <c r="K307" i="7"/>
  <c r="L307" i="7"/>
  <c r="M307" i="7"/>
  <c r="N307" i="7"/>
  <c r="O307" i="7"/>
  <c r="P307" i="7"/>
  <c r="Q307" i="7"/>
  <c r="R307" i="7"/>
  <c r="S307" i="7"/>
  <c r="T307" i="7"/>
  <c r="U307" i="7"/>
  <c r="V307" i="7"/>
  <c r="W307" i="7"/>
  <c r="X307" i="7"/>
  <c r="Y307" i="7"/>
  <c r="Z307" i="7"/>
  <c r="AA307" i="7"/>
  <c r="AB307" i="7"/>
  <c r="E308" i="7"/>
  <c r="F308" i="7"/>
  <c r="G308" i="7"/>
  <c r="H308" i="7"/>
  <c r="I308" i="7"/>
  <c r="J308" i="7"/>
  <c r="K308" i="7"/>
  <c r="L308" i="7"/>
  <c r="M308" i="7"/>
  <c r="N308" i="7"/>
  <c r="O308" i="7"/>
  <c r="P308" i="7"/>
  <c r="Q308" i="7"/>
  <c r="R308" i="7"/>
  <c r="S308" i="7"/>
  <c r="T308" i="7"/>
  <c r="U308" i="7"/>
  <c r="V308" i="7"/>
  <c r="W308" i="7"/>
  <c r="X308" i="7"/>
  <c r="Y308" i="7"/>
  <c r="Z308" i="7"/>
  <c r="AA308" i="7"/>
  <c r="AB308" i="7"/>
  <c r="E309" i="7"/>
  <c r="F309" i="7"/>
  <c r="G309" i="7"/>
  <c r="H309" i="7"/>
  <c r="I309" i="7"/>
  <c r="J309" i="7"/>
  <c r="K309" i="7"/>
  <c r="L309" i="7"/>
  <c r="M309" i="7"/>
  <c r="N309" i="7"/>
  <c r="O309" i="7"/>
  <c r="P309" i="7"/>
  <c r="Q309" i="7"/>
  <c r="R309" i="7"/>
  <c r="S309" i="7"/>
  <c r="T309" i="7"/>
  <c r="U309" i="7"/>
  <c r="V309" i="7"/>
  <c r="W309" i="7"/>
  <c r="X309" i="7"/>
  <c r="Y309" i="7"/>
  <c r="Z309" i="7"/>
  <c r="AA309" i="7"/>
  <c r="AB309" i="7"/>
  <c r="E310" i="7"/>
  <c r="F310" i="7"/>
  <c r="G310" i="7"/>
  <c r="H310" i="7"/>
  <c r="I310" i="7"/>
  <c r="J310" i="7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AA310" i="7"/>
  <c r="AB310" i="7"/>
  <c r="E311" i="7"/>
  <c r="F311" i="7"/>
  <c r="G311" i="7"/>
  <c r="H311" i="7"/>
  <c r="I311" i="7"/>
  <c r="J311" i="7"/>
  <c r="K311" i="7"/>
  <c r="L311" i="7"/>
  <c r="M311" i="7"/>
  <c r="N311" i="7"/>
  <c r="O311" i="7"/>
  <c r="P311" i="7"/>
  <c r="Q311" i="7"/>
  <c r="R311" i="7"/>
  <c r="S311" i="7"/>
  <c r="T311" i="7"/>
  <c r="U311" i="7"/>
  <c r="V311" i="7"/>
  <c r="W311" i="7"/>
  <c r="X311" i="7"/>
  <c r="Y311" i="7"/>
  <c r="Z311" i="7"/>
  <c r="AA311" i="7"/>
  <c r="AB311" i="7"/>
  <c r="E312" i="7"/>
  <c r="F312" i="7"/>
  <c r="G312" i="7"/>
  <c r="H312" i="7"/>
  <c r="I312" i="7"/>
  <c r="J312" i="7"/>
  <c r="K312" i="7"/>
  <c r="L312" i="7"/>
  <c r="M312" i="7"/>
  <c r="N312" i="7"/>
  <c r="O312" i="7"/>
  <c r="P312" i="7"/>
  <c r="Q312" i="7"/>
  <c r="R312" i="7"/>
  <c r="S312" i="7"/>
  <c r="T312" i="7"/>
  <c r="U312" i="7"/>
  <c r="V312" i="7"/>
  <c r="W312" i="7"/>
  <c r="X312" i="7"/>
  <c r="Y312" i="7"/>
  <c r="Z312" i="7"/>
  <c r="AA312" i="7"/>
  <c r="AB312" i="7"/>
  <c r="E313" i="7"/>
  <c r="F313" i="7"/>
  <c r="G313" i="7"/>
  <c r="H313" i="7"/>
  <c r="I313" i="7"/>
  <c r="J313" i="7"/>
  <c r="K313" i="7"/>
  <c r="L313" i="7"/>
  <c r="M313" i="7"/>
  <c r="N313" i="7"/>
  <c r="O313" i="7"/>
  <c r="P313" i="7"/>
  <c r="Q313" i="7"/>
  <c r="R313" i="7"/>
  <c r="S313" i="7"/>
  <c r="T313" i="7"/>
  <c r="U313" i="7"/>
  <c r="V313" i="7"/>
  <c r="W313" i="7"/>
  <c r="X313" i="7"/>
  <c r="Y313" i="7"/>
  <c r="Z313" i="7"/>
  <c r="AA313" i="7"/>
  <c r="AB313" i="7"/>
  <c r="E314" i="7"/>
  <c r="F314" i="7"/>
  <c r="G314" i="7"/>
  <c r="H314" i="7"/>
  <c r="I314" i="7"/>
  <c r="J314" i="7"/>
  <c r="K314" i="7"/>
  <c r="L314" i="7"/>
  <c r="M314" i="7"/>
  <c r="N314" i="7"/>
  <c r="O314" i="7"/>
  <c r="P314" i="7"/>
  <c r="Q314" i="7"/>
  <c r="R314" i="7"/>
  <c r="S314" i="7"/>
  <c r="T314" i="7"/>
  <c r="U314" i="7"/>
  <c r="V314" i="7"/>
  <c r="W314" i="7"/>
  <c r="X314" i="7"/>
  <c r="Y314" i="7"/>
  <c r="Z314" i="7"/>
  <c r="AA314" i="7"/>
  <c r="AB314" i="7"/>
  <c r="E315" i="7"/>
  <c r="F315" i="7"/>
  <c r="G315" i="7"/>
  <c r="H315" i="7"/>
  <c r="I315" i="7"/>
  <c r="J315" i="7"/>
  <c r="K315" i="7"/>
  <c r="L315" i="7"/>
  <c r="M315" i="7"/>
  <c r="N315" i="7"/>
  <c r="O315" i="7"/>
  <c r="P315" i="7"/>
  <c r="Q315" i="7"/>
  <c r="R315" i="7"/>
  <c r="S315" i="7"/>
  <c r="T315" i="7"/>
  <c r="U315" i="7"/>
  <c r="V315" i="7"/>
  <c r="W315" i="7"/>
  <c r="X315" i="7"/>
  <c r="Y315" i="7"/>
  <c r="Z315" i="7"/>
  <c r="AA315" i="7"/>
  <c r="AB315" i="7"/>
  <c r="E316" i="7"/>
  <c r="F316" i="7"/>
  <c r="G316" i="7"/>
  <c r="H316" i="7"/>
  <c r="I316" i="7"/>
  <c r="J316" i="7"/>
  <c r="K316" i="7"/>
  <c r="L316" i="7"/>
  <c r="M316" i="7"/>
  <c r="N316" i="7"/>
  <c r="O316" i="7"/>
  <c r="P316" i="7"/>
  <c r="Q316" i="7"/>
  <c r="R316" i="7"/>
  <c r="S316" i="7"/>
  <c r="T316" i="7"/>
  <c r="U316" i="7"/>
  <c r="V316" i="7"/>
  <c r="W316" i="7"/>
  <c r="X316" i="7"/>
  <c r="Y316" i="7"/>
  <c r="Z316" i="7"/>
  <c r="AA316" i="7"/>
  <c r="AB316" i="7"/>
  <c r="E317" i="7"/>
  <c r="F317" i="7"/>
  <c r="G317" i="7"/>
  <c r="H317" i="7"/>
  <c r="I317" i="7"/>
  <c r="J317" i="7"/>
  <c r="K317" i="7"/>
  <c r="L317" i="7"/>
  <c r="M317" i="7"/>
  <c r="N317" i="7"/>
  <c r="O317" i="7"/>
  <c r="P317" i="7"/>
  <c r="Q317" i="7"/>
  <c r="R317" i="7"/>
  <c r="S317" i="7"/>
  <c r="T317" i="7"/>
  <c r="U317" i="7"/>
  <c r="V317" i="7"/>
  <c r="W317" i="7"/>
  <c r="X317" i="7"/>
  <c r="Y317" i="7"/>
  <c r="Z317" i="7"/>
  <c r="AA317" i="7"/>
  <c r="AB317" i="7"/>
  <c r="E318" i="7"/>
  <c r="F318" i="7"/>
  <c r="G318" i="7"/>
  <c r="H318" i="7"/>
  <c r="I318" i="7"/>
  <c r="J318" i="7"/>
  <c r="K318" i="7"/>
  <c r="L318" i="7"/>
  <c r="M318" i="7"/>
  <c r="N318" i="7"/>
  <c r="O318" i="7"/>
  <c r="P318" i="7"/>
  <c r="Q318" i="7"/>
  <c r="R318" i="7"/>
  <c r="S318" i="7"/>
  <c r="T318" i="7"/>
  <c r="U318" i="7"/>
  <c r="V318" i="7"/>
  <c r="W318" i="7"/>
  <c r="X318" i="7"/>
  <c r="Y318" i="7"/>
  <c r="Z318" i="7"/>
  <c r="AA318" i="7"/>
  <c r="AB318" i="7"/>
  <c r="E319" i="7"/>
  <c r="F319" i="7"/>
  <c r="G319" i="7"/>
  <c r="H319" i="7"/>
  <c r="I319" i="7"/>
  <c r="J319" i="7"/>
  <c r="K319" i="7"/>
  <c r="L319" i="7"/>
  <c r="M319" i="7"/>
  <c r="N319" i="7"/>
  <c r="O319" i="7"/>
  <c r="P319" i="7"/>
  <c r="Q319" i="7"/>
  <c r="R319" i="7"/>
  <c r="S319" i="7"/>
  <c r="T319" i="7"/>
  <c r="U319" i="7"/>
  <c r="V319" i="7"/>
  <c r="W319" i="7"/>
  <c r="X319" i="7"/>
  <c r="Y319" i="7"/>
  <c r="Z319" i="7"/>
  <c r="AA319" i="7"/>
  <c r="AB319" i="7"/>
  <c r="E320" i="7"/>
  <c r="F320" i="7"/>
  <c r="G320" i="7"/>
  <c r="H320" i="7"/>
  <c r="I320" i="7"/>
  <c r="J320" i="7"/>
  <c r="K320" i="7"/>
  <c r="L320" i="7"/>
  <c r="M320" i="7"/>
  <c r="N320" i="7"/>
  <c r="O320" i="7"/>
  <c r="P320" i="7"/>
  <c r="Q320" i="7"/>
  <c r="R320" i="7"/>
  <c r="S320" i="7"/>
  <c r="T320" i="7"/>
  <c r="U320" i="7"/>
  <c r="V320" i="7"/>
  <c r="W320" i="7"/>
  <c r="X320" i="7"/>
  <c r="Y320" i="7"/>
  <c r="Z320" i="7"/>
  <c r="AA320" i="7"/>
  <c r="AB320" i="7"/>
  <c r="E321" i="7"/>
  <c r="F321" i="7"/>
  <c r="G321" i="7"/>
  <c r="H321" i="7"/>
  <c r="I321" i="7"/>
  <c r="J321" i="7"/>
  <c r="K321" i="7"/>
  <c r="L321" i="7"/>
  <c r="M321" i="7"/>
  <c r="N321" i="7"/>
  <c r="O321" i="7"/>
  <c r="P321" i="7"/>
  <c r="Q321" i="7"/>
  <c r="R321" i="7"/>
  <c r="S321" i="7"/>
  <c r="T321" i="7"/>
  <c r="U321" i="7"/>
  <c r="V321" i="7"/>
  <c r="W321" i="7"/>
  <c r="X321" i="7"/>
  <c r="Y321" i="7"/>
  <c r="Z321" i="7"/>
  <c r="AA321" i="7"/>
  <c r="AB321" i="7"/>
  <c r="E322" i="7"/>
  <c r="F322" i="7"/>
  <c r="G322" i="7"/>
  <c r="H322" i="7"/>
  <c r="I322" i="7"/>
  <c r="J322" i="7"/>
  <c r="K322" i="7"/>
  <c r="L322" i="7"/>
  <c r="M322" i="7"/>
  <c r="N322" i="7"/>
  <c r="O322" i="7"/>
  <c r="P322" i="7"/>
  <c r="Q322" i="7"/>
  <c r="R322" i="7"/>
  <c r="S322" i="7"/>
  <c r="T322" i="7"/>
  <c r="U322" i="7"/>
  <c r="V322" i="7"/>
  <c r="W322" i="7"/>
  <c r="X322" i="7"/>
  <c r="Y322" i="7"/>
  <c r="Z322" i="7"/>
  <c r="AA322" i="7"/>
  <c r="AB322" i="7"/>
  <c r="E323" i="7"/>
  <c r="F323" i="7"/>
  <c r="G323" i="7"/>
  <c r="H323" i="7"/>
  <c r="I323" i="7"/>
  <c r="J323" i="7"/>
  <c r="K323" i="7"/>
  <c r="L323" i="7"/>
  <c r="M323" i="7"/>
  <c r="N323" i="7"/>
  <c r="O323" i="7"/>
  <c r="P323" i="7"/>
  <c r="Q323" i="7"/>
  <c r="R323" i="7"/>
  <c r="S323" i="7"/>
  <c r="T323" i="7"/>
  <c r="U323" i="7"/>
  <c r="V323" i="7"/>
  <c r="W323" i="7"/>
  <c r="X323" i="7"/>
  <c r="Y323" i="7"/>
  <c r="Z323" i="7"/>
  <c r="AA323" i="7"/>
  <c r="AB323" i="7"/>
  <c r="E324" i="7"/>
  <c r="F324" i="7"/>
  <c r="G324" i="7"/>
  <c r="H324" i="7"/>
  <c r="I324" i="7"/>
  <c r="J324" i="7"/>
  <c r="K324" i="7"/>
  <c r="L324" i="7"/>
  <c r="M324" i="7"/>
  <c r="N324" i="7"/>
  <c r="O324" i="7"/>
  <c r="P324" i="7"/>
  <c r="Q324" i="7"/>
  <c r="R324" i="7"/>
  <c r="S324" i="7"/>
  <c r="T324" i="7"/>
  <c r="U324" i="7"/>
  <c r="V324" i="7"/>
  <c r="W324" i="7"/>
  <c r="X324" i="7"/>
  <c r="Y324" i="7"/>
  <c r="Z324" i="7"/>
  <c r="AA324" i="7"/>
  <c r="AB324" i="7"/>
  <c r="E325" i="7"/>
  <c r="F325" i="7"/>
  <c r="G325" i="7"/>
  <c r="H325" i="7"/>
  <c r="I325" i="7"/>
  <c r="J325" i="7"/>
  <c r="K325" i="7"/>
  <c r="L325" i="7"/>
  <c r="M325" i="7"/>
  <c r="N325" i="7"/>
  <c r="O325" i="7"/>
  <c r="P325" i="7"/>
  <c r="Q325" i="7"/>
  <c r="R325" i="7"/>
  <c r="S325" i="7"/>
  <c r="T325" i="7"/>
  <c r="U325" i="7"/>
  <c r="V325" i="7"/>
  <c r="W325" i="7"/>
  <c r="X325" i="7"/>
  <c r="Y325" i="7"/>
  <c r="Z325" i="7"/>
  <c r="AA325" i="7"/>
  <c r="AB325" i="7"/>
  <c r="E326" i="7"/>
  <c r="F326" i="7"/>
  <c r="G326" i="7"/>
  <c r="H326" i="7"/>
  <c r="I326" i="7"/>
  <c r="J326" i="7"/>
  <c r="K326" i="7"/>
  <c r="L326" i="7"/>
  <c r="M326" i="7"/>
  <c r="N326" i="7"/>
  <c r="O326" i="7"/>
  <c r="P326" i="7"/>
  <c r="Q326" i="7"/>
  <c r="R326" i="7"/>
  <c r="S326" i="7"/>
  <c r="T326" i="7"/>
  <c r="U326" i="7"/>
  <c r="V326" i="7"/>
  <c r="W326" i="7"/>
  <c r="X326" i="7"/>
  <c r="Y326" i="7"/>
  <c r="Z326" i="7"/>
  <c r="AA326" i="7"/>
  <c r="AB326" i="7"/>
  <c r="E327" i="7"/>
  <c r="F327" i="7"/>
  <c r="G327" i="7"/>
  <c r="H327" i="7"/>
  <c r="I327" i="7"/>
  <c r="J327" i="7"/>
  <c r="K327" i="7"/>
  <c r="L327" i="7"/>
  <c r="M327" i="7"/>
  <c r="N327" i="7"/>
  <c r="O327" i="7"/>
  <c r="P327" i="7"/>
  <c r="Q327" i="7"/>
  <c r="R327" i="7"/>
  <c r="S327" i="7"/>
  <c r="T327" i="7"/>
  <c r="U327" i="7"/>
  <c r="V327" i="7"/>
  <c r="W327" i="7"/>
  <c r="X327" i="7"/>
  <c r="Y327" i="7"/>
  <c r="Z327" i="7"/>
  <c r="AA327" i="7"/>
  <c r="AB327" i="7"/>
  <c r="E328" i="7"/>
  <c r="F328" i="7"/>
  <c r="G328" i="7"/>
  <c r="H328" i="7"/>
  <c r="I328" i="7"/>
  <c r="J328" i="7"/>
  <c r="K328" i="7"/>
  <c r="L328" i="7"/>
  <c r="M328" i="7"/>
  <c r="N328" i="7"/>
  <c r="O328" i="7"/>
  <c r="P328" i="7"/>
  <c r="Q328" i="7"/>
  <c r="R328" i="7"/>
  <c r="S328" i="7"/>
  <c r="T328" i="7"/>
  <c r="U328" i="7"/>
  <c r="V328" i="7"/>
  <c r="W328" i="7"/>
  <c r="X328" i="7"/>
  <c r="Y328" i="7"/>
  <c r="Z328" i="7"/>
  <c r="AA328" i="7"/>
  <c r="AB328" i="7"/>
  <c r="E329" i="7"/>
  <c r="F329" i="7"/>
  <c r="G329" i="7"/>
  <c r="H329" i="7"/>
  <c r="I329" i="7"/>
  <c r="J329" i="7"/>
  <c r="K329" i="7"/>
  <c r="L329" i="7"/>
  <c r="M329" i="7"/>
  <c r="N329" i="7"/>
  <c r="O329" i="7"/>
  <c r="P329" i="7"/>
  <c r="Q329" i="7"/>
  <c r="R329" i="7"/>
  <c r="S329" i="7"/>
  <c r="T329" i="7"/>
  <c r="U329" i="7"/>
  <c r="V329" i="7"/>
  <c r="W329" i="7"/>
  <c r="X329" i="7"/>
  <c r="Y329" i="7"/>
  <c r="Z329" i="7"/>
  <c r="AA329" i="7"/>
  <c r="AB329" i="7"/>
  <c r="E330" i="7"/>
  <c r="F330" i="7"/>
  <c r="G330" i="7"/>
  <c r="H330" i="7"/>
  <c r="I330" i="7"/>
  <c r="J330" i="7"/>
  <c r="K330" i="7"/>
  <c r="L330" i="7"/>
  <c r="M330" i="7"/>
  <c r="N330" i="7"/>
  <c r="O330" i="7"/>
  <c r="P330" i="7"/>
  <c r="Q330" i="7"/>
  <c r="R330" i="7"/>
  <c r="S330" i="7"/>
  <c r="T330" i="7"/>
  <c r="U330" i="7"/>
  <c r="V330" i="7"/>
  <c r="W330" i="7"/>
  <c r="X330" i="7"/>
  <c r="Y330" i="7"/>
  <c r="Z330" i="7"/>
  <c r="AA330" i="7"/>
  <c r="AB330" i="7"/>
  <c r="E331" i="7"/>
  <c r="F331" i="7"/>
  <c r="G331" i="7"/>
  <c r="H331" i="7"/>
  <c r="I331" i="7"/>
  <c r="J331" i="7"/>
  <c r="K331" i="7"/>
  <c r="L331" i="7"/>
  <c r="M331" i="7"/>
  <c r="N331" i="7"/>
  <c r="O331" i="7"/>
  <c r="P331" i="7"/>
  <c r="Q331" i="7"/>
  <c r="R331" i="7"/>
  <c r="S331" i="7"/>
  <c r="T331" i="7"/>
  <c r="U331" i="7"/>
  <c r="V331" i="7"/>
  <c r="W331" i="7"/>
  <c r="X331" i="7"/>
  <c r="Y331" i="7"/>
  <c r="Z331" i="7"/>
  <c r="AA331" i="7"/>
  <c r="AB331" i="7"/>
  <c r="E332" i="7"/>
  <c r="F332" i="7"/>
  <c r="G332" i="7"/>
  <c r="H332" i="7"/>
  <c r="I332" i="7"/>
  <c r="J332" i="7"/>
  <c r="K332" i="7"/>
  <c r="L332" i="7"/>
  <c r="M332" i="7"/>
  <c r="N332" i="7"/>
  <c r="O332" i="7"/>
  <c r="P332" i="7"/>
  <c r="Q332" i="7"/>
  <c r="R332" i="7"/>
  <c r="S332" i="7"/>
  <c r="T332" i="7"/>
  <c r="U332" i="7"/>
  <c r="V332" i="7"/>
  <c r="W332" i="7"/>
  <c r="X332" i="7"/>
  <c r="Y332" i="7"/>
  <c r="Z332" i="7"/>
  <c r="AA332" i="7"/>
  <c r="AB332" i="7"/>
  <c r="E333" i="7"/>
  <c r="F333" i="7"/>
  <c r="G333" i="7"/>
  <c r="H333" i="7"/>
  <c r="I333" i="7"/>
  <c r="J333" i="7"/>
  <c r="K333" i="7"/>
  <c r="L333" i="7"/>
  <c r="M333" i="7"/>
  <c r="N333" i="7"/>
  <c r="O333" i="7"/>
  <c r="P333" i="7"/>
  <c r="Q333" i="7"/>
  <c r="R333" i="7"/>
  <c r="S333" i="7"/>
  <c r="T333" i="7"/>
  <c r="U333" i="7"/>
  <c r="V333" i="7"/>
  <c r="W333" i="7"/>
  <c r="X333" i="7"/>
  <c r="Y333" i="7"/>
  <c r="Z333" i="7"/>
  <c r="AA333" i="7"/>
  <c r="AB333" i="7"/>
  <c r="E334" i="7"/>
  <c r="F334" i="7"/>
  <c r="G334" i="7"/>
  <c r="H334" i="7"/>
  <c r="I334" i="7"/>
  <c r="J334" i="7"/>
  <c r="K334" i="7"/>
  <c r="L334" i="7"/>
  <c r="M334" i="7"/>
  <c r="N334" i="7"/>
  <c r="O334" i="7"/>
  <c r="P334" i="7"/>
  <c r="Q334" i="7"/>
  <c r="R334" i="7"/>
  <c r="S334" i="7"/>
  <c r="T334" i="7"/>
  <c r="U334" i="7"/>
  <c r="V334" i="7"/>
  <c r="W334" i="7"/>
  <c r="X334" i="7"/>
  <c r="Y334" i="7"/>
  <c r="Z334" i="7"/>
  <c r="AA334" i="7"/>
  <c r="AB334" i="7"/>
  <c r="E335" i="7"/>
  <c r="F335" i="7"/>
  <c r="G335" i="7"/>
  <c r="H335" i="7"/>
  <c r="I335" i="7"/>
  <c r="J335" i="7"/>
  <c r="K335" i="7"/>
  <c r="L335" i="7"/>
  <c r="M335" i="7"/>
  <c r="N335" i="7"/>
  <c r="O335" i="7"/>
  <c r="P335" i="7"/>
  <c r="Q335" i="7"/>
  <c r="R335" i="7"/>
  <c r="S335" i="7"/>
  <c r="T335" i="7"/>
  <c r="U335" i="7"/>
  <c r="V335" i="7"/>
  <c r="W335" i="7"/>
  <c r="X335" i="7"/>
  <c r="Y335" i="7"/>
  <c r="Z335" i="7"/>
  <c r="AA335" i="7"/>
  <c r="AB335" i="7"/>
  <c r="E336" i="7"/>
  <c r="F336" i="7"/>
  <c r="G336" i="7"/>
  <c r="H336" i="7"/>
  <c r="I336" i="7"/>
  <c r="J336" i="7"/>
  <c r="K336" i="7"/>
  <c r="L336" i="7"/>
  <c r="M336" i="7"/>
  <c r="N336" i="7"/>
  <c r="O336" i="7"/>
  <c r="P336" i="7"/>
  <c r="Q336" i="7"/>
  <c r="R336" i="7"/>
  <c r="S336" i="7"/>
  <c r="T336" i="7"/>
  <c r="U336" i="7"/>
  <c r="V336" i="7"/>
  <c r="W336" i="7"/>
  <c r="X336" i="7"/>
  <c r="Y336" i="7"/>
  <c r="Z336" i="7"/>
  <c r="AA336" i="7"/>
  <c r="AB336" i="7"/>
  <c r="E337" i="7"/>
  <c r="F337" i="7"/>
  <c r="G337" i="7"/>
  <c r="H337" i="7"/>
  <c r="I337" i="7"/>
  <c r="J337" i="7"/>
  <c r="K337" i="7"/>
  <c r="L337" i="7"/>
  <c r="M337" i="7"/>
  <c r="N337" i="7"/>
  <c r="O337" i="7"/>
  <c r="P337" i="7"/>
  <c r="Q337" i="7"/>
  <c r="R337" i="7"/>
  <c r="S337" i="7"/>
  <c r="T337" i="7"/>
  <c r="U337" i="7"/>
  <c r="V337" i="7"/>
  <c r="W337" i="7"/>
  <c r="X337" i="7"/>
  <c r="Y337" i="7"/>
  <c r="Z337" i="7"/>
  <c r="AA337" i="7"/>
  <c r="AB337" i="7"/>
  <c r="E338" i="7"/>
  <c r="F338" i="7"/>
  <c r="G338" i="7"/>
  <c r="H338" i="7"/>
  <c r="I338" i="7"/>
  <c r="J338" i="7"/>
  <c r="K338" i="7"/>
  <c r="L338" i="7"/>
  <c r="M338" i="7"/>
  <c r="N338" i="7"/>
  <c r="O338" i="7"/>
  <c r="P338" i="7"/>
  <c r="Q338" i="7"/>
  <c r="R338" i="7"/>
  <c r="S338" i="7"/>
  <c r="T338" i="7"/>
  <c r="U338" i="7"/>
  <c r="V338" i="7"/>
  <c r="W338" i="7"/>
  <c r="X338" i="7"/>
  <c r="Y338" i="7"/>
  <c r="Z338" i="7"/>
  <c r="AA338" i="7"/>
  <c r="AB338" i="7"/>
  <c r="E339" i="7"/>
  <c r="F339" i="7"/>
  <c r="G339" i="7"/>
  <c r="H339" i="7"/>
  <c r="I339" i="7"/>
  <c r="J339" i="7"/>
  <c r="K339" i="7"/>
  <c r="L339" i="7"/>
  <c r="M339" i="7"/>
  <c r="N339" i="7"/>
  <c r="O339" i="7"/>
  <c r="P339" i="7"/>
  <c r="Q339" i="7"/>
  <c r="R339" i="7"/>
  <c r="S339" i="7"/>
  <c r="T339" i="7"/>
  <c r="U339" i="7"/>
  <c r="V339" i="7"/>
  <c r="W339" i="7"/>
  <c r="X339" i="7"/>
  <c r="Y339" i="7"/>
  <c r="Z339" i="7"/>
  <c r="AA339" i="7"/>
  <c r="AB339" i="7"/>
  <c r="E340" i="7"/>
  <c r="F340" i="7"/>
  <c r="G340" i="7"/>
  <c r="H340" i="7"/>
  <c r="I340" i="7"/>
  <c r="J340" i="7"/>
  <c r="K340" i="7"/>
  <c r="L340" i="7"/>
  <c r="M340" i="7"/>
  <c r="N340" i="7"/>
  <c r="O340" i="7"/>
  <c r="P340" i="7"/>
  <c r="Q340" i="7"/>
  <c r="R340" i="7"/>
  <c r="S340" i="7"/>
  <c r="T340" i="7"/>
  <c r="U340" i="7"/>
  <c r="V340" i="7"/>
  <c r="W340" i="7"/>
  <c r="X340" i="7"/>
  <c r="Y340" i="7"/>
  <c r="Z340" i="7"/>
  <c r="AA340" i="7"/>
  <c r="AB340" i="7"/>
  <c r="E341" i="7"/>
  <c r="F341" i="7"/>
  <c r="G341" i="7"/>
  <c r="H341" i="7"/>
  <c r="I341" i="7"/>
  <c r="J341" i="7"/>
  <c r="K341" i="7"/>
  <c r="L341" i="7"/>
  <c r="M341" i="7"/>
  <c r="N341" i="7"/>
  <c r="O341" i="7"/>
  <c r="P341" i="7"/>
  <c r="Q341" i="7"/>
  <c r="R341" i="7"/>
  <c r="S341" i="7"/>
  <c r="T341" i="7"/>
  <c r="U341" i="7"/>
  <c r="V341" i="7"/>
  <c r="W341" i="7"/>
  <c r="X341" i="7"/>
  <c r="Y341" i="7"/>
  <c r="Z341" i="7"/>
  <c r="AA341" i="7"/>
  <c r="AB341" i="7"/>
  <c r="E342" i="7"/>
  <c r="F342" i="7"/>
  <c r="G342" i="7"/>
  <c r="H342" i="7"/>
  <c r="I342" i="7"/>
  <c r="J342" i="7"/>
  <c r="K342" i="7"/>
  <c r="L342" i="7"/>
  <c r="M342" i="7"/>
  <c r="N342" i="7"/>
  <c r="O342" i="7"/>
  <c r="P342" i="7"/>
  <c r="Q342" i="7"/>
  <c r="R342" i="7"/>
  <c r="S342" i="7"/>
  <c r="T342" i="7"/>
  <c r="U342" i="7"/>
  <c r="V342" i="7"/>
  <c r="W342" i="7"/>
  <c r="X342" i="7"/>
  <c r="Y342" i="7"/>
  <c r="Z342" i="7"/>
  <c r="AA342" i="7"/>
  <c r="AB342" i="7"/>
  <c r="E343" i="7"/>
  <c r="F343" i="7"/>
  <c r="G343" i="7"/>
  <c r="H343" i="7"/>
  <c r="I343" i="7"/>
  <c r="J343" i="7"/>
  <c r="K343" i="7"/>
  <c r="L343" i="7"/>
  <c r="M343" i="7"/>
  <c r="N343" i="7"/>
  <c r="O343" i="7"/>
  <c r="P343" i="7"/>
  <c r="Q343" i="7"/>
  <c r="R343" i="7"/>
  <c r="S343" i="7"/>
  <c r="T343" i="7"/>
  <c r="U343" i="7"/>
  <c r="V343" i="7"/>
  <c r="W343" i="7"/>
  <c r="X343" i="7"/>
  <c r="Y343" i="7"/>
  <c r="Z343" i="7"/>
  <c r="AA343" i="7"/>
  <c r="AB343" i="7"/>
  <c r="E344" i="7"/>
  <c r="F344" i="7"/>
  <c r="G344" i="7"/>
  <c r="H344" i="7"/>
  <c r="I344" i="7"/>
  <c r="J344" i="7"/>
  <c r="K344" i="7"/>
  <c r="L344" i="7"/>
  <c r="M344" i="7"/>
  <c r="N344" i="7"/>
  <c r="O344" i="7"/>
  <c r="P344" i="7"/>
  <c r="Q344" i="7"/>
  <c r="R344" i="7"/>
  <c r="S344" i="7"/>
  <c r="T344" i="7"/>
  <c r="U344" i="7"/>
  <c r="V344" i="7"/>
  <c r="W344" i="7"/>
  <c r="X344" i="7"/>
  <c r="Y344" i="7"/>
  <c r="Z344" i="7"/>
  <c r="AA344" i="7"/>
  <c r="AB344" i="7"/>
  <c r="E345" i="7"/>
  <c r="F345" i="7"/>
  <c r="G345" i="7"/>
  <c r="H345" i="7"/>
  <c r="I345" i="7"/>
  <c r="J345" i="7"/>
  <c r="K345" i="7"/>
  <c r="L345" i="7"/>
  <c r="M345" i="7"/>
  <c r="N345" i="7"/>
  <c r="O345" i="7"/>
  <c r="P345" i="7"/>
  <c r="Q345" i="7"/>
  <c r="R345" i="7"/>
  <c r="S345" i="7"/>
  <c r="T345" i="7"/>
  <c r="U345" i="7"/>
  <c r="V345" i="7"/>
  <c r="W345" i="7"/>
  <c r="X345" i="7"/>
  <c r="Y345" i="7"/>
  <c r="Z345" i="7"/>
  <c r="AA345" i="7"/>
  <c r="AB345" i="7"/>
  <c r="E346" i="7"/>
  <c r="F346" i="7"/>
  <c r="G346" i="7"/>
  <c r="H346" i="7"/>
  <c r="I346" i="7"/>
  <c r="J346" i="7"/>
  <c r="K346" i="7"/>
  <c r="L346" i="7"/>
  <c r="M346" i="7"/>
  <c r="N346" i="7"/>
  <c r="O346" i="7"/>
  <c r="P346" i="7"/>
  <c r="Q346" i="7"/>
  <c r="R346" i="7"/>
  <c r="S346" i="7"/>
  <c r="T346" i="7"/>
  <c r="U346" i="7"/>
  <c r="V346" i="7"/>
  <c r="W346" i="7"/>
  <c r="X346" i="7"/>
  <c r="Y346" i="7"/>
  <c r="Z346" i="7"/>
  <c r="AA346" i="7"/>
  <c r="AB346" i="7"/>
  <c r="E347" i="7"/>
  <c r="F347" i="7"/>
  <c r="G347" i="7"/>
  <c r="H347" i="7"/>
  <c r="I347" i="7"/>
  <c r="J347" i="7"/>
  <c r="K347" i="7"/>
  <c r="L347" i="7"/>
  <c r="M347" i="7"/>
  <c r="N347" i="7"/>
  <c r="O347" i="7"/>
  <c r="P347" i="7"/>
  <c r="Q347" i="7"/>
  <c r="R347" i="7"/>
  <c r="S347" i="7"/>
  <c r="T347" i="7"/>
  <c r="U347" i="7"/>
  <c r="V347" i="7"/>
  <c r="W347" i="7"/>
  <c r="X347" i="7"/>
  <c r="Y347" i="7"/>
  <c r="Z347" i="7"/>
  <c r="AA347" i="7"/>
  <c r="AB347" i="7"/>
  <c r="E348" i="7"/>
  <c r="F348" i="7"/>
  <c r="G348" i="7"/>
  <c r="H348" i="7"/>
  <c r="I348" i="7"/>
  <c r="J348" i="7"/>
  <c r="K348" i="7"/>
  <c r="L348" i="7"/>
  <c r="M348" i="7"/>
  <c r="N348" i="7"/>
  <c r="O348" i="7"/>
  <c r="P348" i="7"/>
  <c r="Q348" i="7"/>
  <c r="R348" i="7"/>
  <c r="S348" i="7"/>
  <c r="T348" i="7"/>
  <c r="U348" i="7"/>
  <c r="V348" i="7"/>
  <c r="W348" i="7"/>
  <c r="X348" i="7"/>
  <c r="Y348" i="7"/>
  <c r="Z348" i="7"/>
  <c r="AA348" i="7"/>
  <c r="AB348" i="7"/>
  <c r="E349" i="7"/>
  <c r="F349" i="7"/>
  <c r="G349" i="7"/>
  <c r="H349" i="7"/>
  <c r="I349" i="7"/>
  <c r="J349" i="7"/>
  <c r="K349" i="7"/>
  <c r="L349" i="7"/>
  <c r="M349" i="7"/>
  <c r="N349" i="7"/>
  <c r="O349" i="7"/>
  <c r="P349" i="7"/>
  <c r="Q349" i="7"/>
  <c r="R349" i="7"/>
  <c r="S349" i="7"/>
  <c r="T349" i="7"/>
  <c r="U349" i="7"/>
  <c r="V349" i="7"/>
  <c r="W349" i="7"/>
  <c r="X349" i="7"/>
  <c r="Y349" i="7"/>
  <c r="Z349" i="7"/>
  <c r="AA349" i="7"/>
  <c r="AB349" i="7"/>
  <c r="E350" i="7"/>
  <c r="F350" i="7"/>
  <c r="G350" i="7"/>
  <c r="H350" i="7"/>
  <c r="I350" i="7"/>
  <c r="J350" i="7"/>
  <c r="K350" i="7"/>
  <c r="L350" i="7"/>
  <c r="M350" i="7"/>
  <c r="N350" i="7"/>
  <c r="O350" i="7"/>
  <c r="P350" i="7"/>
  <c r="Q350" i="7"/>
  <c r="R350" i="7"/>
  <c r="S350" i="7"/>
  <c r="T350" i="7"/>
  <c r="U350" i="7"/>
  <c r="V350" i="7"/>
  <c r="W350" i="7"/>
  <c r="X350" i="7"/>
  <c r="Y350" i="7"/>
  <c r="Z350" i="7"/>
  <c r="AA350" i="7"/>
  <c r="AB350" i="7"/>
  <c r="E351" i="7"/>
  <c r="F351" i="7"/>
  <c r="G351" i="7"/>
  <c r="H351" i="7"/>
  <c r="I351" i="7"/>
  <c r="J351" i="7"/>
  <c r="K351" i="7"/>
  <c r="L351" i="7"/>
  <c r="M351" i="7"/>
  <c r="N351" i="7"/>
  <c r="O351" i="7"/>
  <c r="P351" i="7"/>
  <c r="Q351" i="7"/>
  <c r="R351" i="7"/>
  <c r="S351" i="7"/>
  <c r="T351" i="7"/>
  <c r="U351" i="7"/>
  <c r="V351" i="7"/>
  <c r="W351" i="7"/>
  <c r="X351" i="7"/>
  <c r="Y351" i="7"/>
  <c r="Z351" i="7"/>
  <c r="AA351" i="7"/>
  <c r="AB351" i="7"/>
  <c r="E352" i="7"/>
  <c r="F352" i="7"/>
  <c r="G352" i="7"/>
  <c r="H352" i="7"/>
  <c r="I352" i="7"/>
  <c r="J352" i="7"/>
  <c r="K352" i="7"/>
  <c r="L352" i="7"/>
  <c r="M352" i="7"/>
  <c r="N352" i="7"/>
  <c r="O352" i="7"/>
  <c r="P352" i="7"/>
  <c r="Q352" i="7"/>
  <c r="R352" i="7"/>
  <c r="S352" i="7"/>
  <c r="T352" i="7"/>
  <c r="U352" i="7"/>
  <c r="V352" i="7"/>
  <c r="W352" i="7"/>
  <c r="X352" i="7"/>
  <c r="Y352" i="7"/>
  <c r="Z352" i="7"/>
  <c r="AA352" i="7"/>
  <c r="AB352" i="7"/>
  <c r="E353" i="7"/>
  <c r="F353" i="7"/>
  <c r="G353" i="7"/>
  <c r="H353" i="7"/>
  <c r="I353" i="7"/>
  <c r="J353" i="7"/>
  <c r="K353" i="7"/>
  <c r="L353" i="7"/>
  <c r="M353" i="7"/>
  <c r="N353" i="7"/>
  <c r="O353" i="7"/>
  <c r="P353" i="7"/>
  <c r="Q353" i="7"/>
  <c r="R353" i="7"/>
  <c r="S353" i="7"/>
  <c r="T353" i="7"/>
  <c r="U353" i="7"/>
  <c r="V353" i="7"/>
  <c r="W353" i="7"/>
  <c r="X353" i="7"/>
  <c r="Y353" i="7"/>
  <c r="Z353" i="7"/>
  <c r="AA353" i="7"/>
  <c r="AB353" i="7"/>
  <c r="E354" i="7"/>
  <c r="F354" i="7"/>
  <c r="G354" i="7"/>
  <c r="H354" i="7"/>
  <c r="I354" i="7"/>
  <c r="J354" i="7"/>
  <c r="K354" i="7"/>
  <c r="L354" i="7"/>
  <c r="M354" i="7"/>
  <c r="N354" i="7"/>
  <c r="O354" i="7"/>
  <c r="P354" i="7"/>
  <c r="Q354" i="7"/>
  <c r="R354" i="7"/>
  <c r="S354" i="7"/>
  <c r="T354" i="7"/>
  <c r="U354" i="7"/>
  <c r="V354" i="7"/>
  <c r="W354" i="7"/>
  <c r="X354" i="7"/>
  <c r="Y354" i="7"/>
  <c r="Z354" i="7"/>
  <c r="AA354" i="7"/>
  <c r="AB354" i="7"/>
  <c r="E355" i="7"/>
  <c r="F355" i="7"/>
  <c r="G355" i="7"/>
  <c r="H355" i="7"/>
  <c r="I355" i="7"/>
  <c r="J355" i="7"/>
  <c r="K355" i="7"/>
  <c r="L355" i="7"/>
  <c r="M355" i="7"/>
  <c r="N355" i="7"/>
  <c r="O355" i="7"/>
  <c r="P355" i="7"/>
  <c r="Q355" i="7"/>
  <c r="R355" i="7"/>
  <c r="S355" i="7"/>
  <c r="T355" i="7"/>
  <c r="U355" i="7"/>
  <c r="V355" i="7"/>
  <c r="W355" i="7"/>
  <c r="X355" i="7"/>
  <c r="Y355" i="7"/>
  <c r="Z355" i="7"/>
  <c r="AA355" i="7"/>
  <c r="AB355" i="7"/>
  <c r="E356" i="7"/>
  <c r="F356" i="7"/>
  <c r="G356" i="7"/>
  <c r="H356" i="7"/>
  <c r="I356" i="7"/>
  <c r="J356" i="7"/>
  <c r="K356" i="7"/>
  <c r="L356" i="7"/>
  <c r="M356" i="7"/>
  <c r="N356" i="7"/>
  <c r="O356" i="7"/>
  <c r="P356" i="7"/>
  <c r="Q356" i="7"/>
  <c r="R356" i="7"/>
  <c r="S356" i="7"/>
  <c r="T356" i="7"/>
  <c r="U356" i="7"/>
  <c r="V356" i="7"/>
  <c r="W356" i="7"/>
  <c r="X356" i="7"/>
  <c r="Y356" i="7"/>
  <c r="Z356" i="7"/>
  <c r="AA356" i="7"/>
  <c r="AB356" i="7"/>
  <c r="E357" i="7"/>
  <c r="F357" i="7"/>
  <c r="G357" i="7"/>
  <c r="H357" i="7"/>
  <c r="I357" i="7"/>
  <c r="J357" i="7"/>
  <c r="K357" i="7"/>
  <c r="L357" i="7"/>
  <c r="M357" i="7"/>
  <c r="N357" i="7"/>
  <c r="O357" i="7"/>
  <c r="P357" i="7"/>
  <c r="Q357" i="7"/>
  <c r="R357" i="7"/>
  <c r="S357" i="7"/>
  <c r="T357" i="7"/>
  <c r="U357" i="7"/>
  <c r="V357" i="7"/>
  <c r="W357" i="7"/>
  <c r="X357" i="7"/>
  <c r="Y357" i="7"/>
  <c r="Z357" i="7"/>
  <c r="AA357" i="7"/>
  <c r="AB357" i="7"/>
  <c r="E358" i="7"/>
  <c r="F358" i="7"/>
  <c r="G358" i="7"/>
  <c r="H358" i="7"/>
  <c r="I358" i="7"/>
  <c r="J358" i="7"/>
  <c r="K358" i="7"/>
  <c r="L358" i="7"/>
  <c r="M358" i="7"/>
  <c r="N358" i="7"/>
  <c r="O358" i="7"/>
  <c r="P358" i="7"/>
  <c r="Q358" i="7"/>
  <c r="R358" i="7"/>
  <c r="S358" i="7"/>
  <c r="T358" i="7"/>
  <c r="U358" i="7"/>
  <c r="V358" i="7"/>
  <c r="W358" i="7"/>
  <c r="X358" i="7"/>
  <c r="Y358" i="7"/>
  <c r="Z358" i="7"/>
  <c r="AA358" i="7"/>
  <c r="AB358" i="7"/>
  <c r="E359" i="7"/>
  <c r="F359" i="7"/>
  <c r="G359" i="7"/>
  <c r="H359" i="7"/>
  <c r="I359" i="7"/>
  <c r="J359" i="7"/>
  <c r="K359" i="7"/>
  <c r="L359" i="7"/>
  <c r="M359" i="7"/>
  <c r="N359" i="7"/>
  <c r="O359" i="7"/>
  <c r="P359" i="7"/>
  <c r="Q359" i="7"/>
  <c r="R359" i="7"/>
  <c r="S359" i="7"/>
  <c r="T359" i="7"/>
  <c r="U359" i="7"/>
  <c r="V359" i="7"/>
  <c r="W359" i="7"/>
  <c r="X359" i="7"/>
  <c r="Y359" i="7"/>
  <c r="Z359" i="7"/>
  <c r="AA359" i="7"/>
  <c r="AB359" i="7"/>
  <c r="E360" i="7"/>
  <c r="F360" i="7"/>
  <c r="G360" i="7"/>
  <c r="H360" i="7"/>
  <c r="I360" i="7"/>
  <c r="J360" i="7"/>
  <c r="K360" i="7"/>
  <c r="L360" i="7"/>
  <c r="M360" i="7"/>
  <c r="N360" i="7"/>
  <c r="O360" i="7"/>
  <c r="P360" i="7"/>
  <c r="Q360" i="7"/>
  <c r="R360" i="7"/>
  <c r="S360" i="7"/>
  <c r="T360" i="7"/>
  <c r="U360" i="7"/>
  <c r="V360" i="7"/>
  <c r="W360" i="7"/>
  <c r="X360" i="7"/>
  <c r="Y360" i="7"/>
  <c r="Z360" i="7"/>
  <c r="AA360" i="7"/>
  <c r="AB360" i="7"/>
  <c r="E361" i="7"/>
  <c r="F361" i="7"/>
  <c r="G361" i="7"/>
  <c r="H361" i="7"/>
  <c r="I361" i="7"/>
  <c r="J361" i="7"/>
  <c r="K361" i="7"/>
  <c r="L361" i="7"/>
  <c r="M361" i="7"/>
  <c r="N361" i="7"/>
  <c r="O361" i="7"/>
  <c r="P361" i="7"/>
  <c r="Q361" i="7"/>
  <c r="R361" i="7"/>
  <c r="S361" i="7"/>
  <c r="T361" i="7"/>
  <c r="U361" i="7"/>
  <c r="V361" i="7"/>
  <c r="W361" i="7"/>
  <c r="X361" i="7"/>
  <c r="Y361" i="7"/>
  <c r="Z361" i="7"/>
  <c r="AA361" i="7"/>
  <c r="AB361" i="7"/>
  <c r="E362" i="7"/>
  <c r="F362" i="7"/>
  <c r="G362" i="7"/>
  <c r="H362" i="7"/>
  <c r="I362" i="7"/>
  <c r="J362" i="7"/>
  <c r="K362" i="7"/>
  <c r="L362" i="7"/>
  <c r="M362" i="7"/>
  <c r="N362" i="7"/>
  <c r="O362" i="7"/>
  <c r="P362" i="7"/>
  <c r="Q362" i="7"/>
  <c r="R362" i="7"/>
  <c r="S362" i="7"/>
  <c r="T362" i="7"/>
  <c r="U362" i="7"/>
  <c r="V362" i="7"/>
  <c r="W362" i="7"/>
  <c r="X362" i="7"/>
  <c r="Y362" i="7"/>
  <c r="Z362" i="7"/>
  <c r="AA362" i="7"/>
  <c r="AB362" i="7"/>
  <c r="E363" i="7"/>
  <c r="F363" i="7"/>
  <c r="G363" i="7"/>
  <c r="H363" i="7"/>
  <c r="I363" i="7"/>
  <c r="J363" i="7"/>
  <c r="K363" i="7"/>
  <c r="L363" i="7"/>
  <c r="M363" i="7"/>
  <c r="N363" i="7"/>
  <c r="O363" i="7"/>
  <c r="P363" i="7"/>
  <c r="Q363" i="7"/>
  <c r="R363" i="7"/>
  <c r="S363" i="7"/>
  <c r="T363" i="7"/>
  <c r="U363" i="7"/>
  <c r="V363" i="7"/>
  <c r="W363" i="7"/>
  <c r="X363" i="7"/>
  <c r="Y363" i="7"/>
  <c r="Z363" i="7"/>
  <c r="AA363" i="7"/>
  <c r="AB363" i="7"/>
  <c r="E364" i="7"/>
  <c r="F364" i="7"/>
  <c r="G364" i="7"/>
  <c r="H364" i="7"/>
  <c r="I364" i="7"/>
  <c r="J364" i="7"/>
  <c r="K364" i="7"/>
  <c r="L364" i="7"/>
  <c r="M364" i="7"/>
  <c r="N364" i="7"/>
  <c r="O364" i="7"/>
  <c r="P364" i="7"/>
  <c r="Q364" i="7"/>
  <c r="R364" i="7"/>
  <c r="S364" i="7"/>
  <c r="T364" i="7"/>
  <c r="U364" i="7"/>
  <c r="V364" i="7"/>
  <c r="W364" i="7"/>
  <c r="X364" i="7"/>
  <c r="Y364" i="7"/>
  <c r="Z364" i="7"/>
  <c r="AA364" i="7"/>
  <c r="AB364" i="7"/>
  <c r="E365" i="7"/>
  <c r="F365" i="7"/>
  <c r="G365" i="7"/>
  <c r="H365" i="7"/>
  <c r="I365" i="7"/>
  <c r="J365" i="7"/>
  <c r="K365" i="7"/>
  <c r="L365" i="7"/>
  <c r="M365" i="7"/>
  <c r="N365" i="7"/>
  <c r="O365" i="7"/>
  <c r="P365" i="7"/>
  <c r="Q365" i="7"/>
  <c r="R365" i="7"/>
  <c r="S365" i="7"/>
  <c r="T365" i="7"/>
  <c r="U365" i="7"/>
  <c r="V365" i="7"/>
  <c r="W365" i="7"/>
  <c r="X365" i="7"/>
  <c r="Y365" i="7"/>
  <c r="Z365" i="7"/>
  <c r="AA365" i="7"/>
  <c r="AB365" i="7"/>
  <c r="E366" i="7"/>
  <c r="F366" i="7"/>
  <c r="G366" i="7"/>
  <c r="H366" i="7"/>
  <c r="I366" i="7"/>
  <c r="J366" i="7"/>
  <c r="K366" i="7"/>
  <c r="L366" i="7"/>
  <c r="M366" i="7"/>
  <c r="N366" i="7"/>
  <c r="O366" i="7"/>
  <c r="P366" i="7"/>
  <c r="Q366" i="7"/>
  <c r="R366" i="7"/>
  <c r="S366" i="7"/>
  <c r="T366" i="7"/>
  <c r="U366" i="7"/>
  <c r="V366" i="7"/>
  <c r="W366" i="7"/>
  <c r="X366" i="7"/>
  <c r="Y366" i="7"/>
  <c r="Z366" i="7"/>
  <c r="AA366" i="7"/>
  <c r="AB366" i="7"/>
  <c r="E367" i="7"/>
  <c r="F367" i="7"/>
  <c r="G367" i="7"/>
  <c r="H367" i="7"/>
  <c r="I367" i="7"/>
  <c r="J367" i="7"/>
  <c r="K367" i="7"/>
  <c r="L367" i="7"/>
  <c r="M367" i="7"/>
  <c r="N367" i="7"/>
  <c r="O367" i="7"/>
  <c r="P367" i="7"/>
  <c r="Q367" i="7"/>
  <c r="R367" i="7"/>
  <c r="S367" i="7"/>
  <c r="T367" i="7"/>
  <c r="U367" i="7"/>
  <c r="V367" i="7"/>
  <c r="W367" i="7"/>
  <c r="X367" i="7"/>
  <c r="Y367" i="7"/>
  <c r="Z367" i="7"/>
  <c r="AA367" i="7"/>
  <c r="AB367" i="7"/>
  <c r="E368" i="7"/>
  <c r="F368" i="7"/>
  <c r="G368" i="7"/>
  <c r="H368" i="7"/>
  <c r="I368" i="7"/>
  <c r="J368" i="7"/>
  <c r="K368" i="7"/>
  <c r="L368" i="7"/>
  <c r="M368" i="7"/>
  <c r="N368" i="7"/>
  <c r="O368" i="7"/>
  <c r="P368" i="7"/>
  <c r="Q368" i="7"/>
  <c r="R368" i="7"/>
  <c r="S368" i="7"/>
  <c r="T368" i="7"/>
  <c r="U368" i="7"/>
  <c r="V368" i="7"/>
  <c r="W368" i="7"/>
  <c r="X368" i="7"/>
  <c r="Y368" i="7"/>
  <c r="Z368" i="7"/>
  <c r="AA368" i="7"/>
  <c r="AB368" i="7"/>
  <c r="E369" i="7"/>
  <c r="F369" i="7"/>
  <c r="G369" i="7"/>
  <c r="H369" i="7"/>
  <c r="I369" i="7"/>
  <c r="J369" i="7"/>
  <c r="K369" i="7"/>
  <c r="L369" i="7"/>
  <c r="M369" i="7"/>
  <c r="N369" i="7"/>
  <c r="O369" i="7"/>
  <c r="P369" i="7"/>
  <c r="Q369" i="7"/>
  <c r="R369" i="7"/>
  <c r="S369" i="7"/>
  <c r="T369" i="7"/>
  <c r="U369" i="7"/>
  <c r="V369" i="7"/>
  <c r="W369" i="7"/>
  <c r="X369" i="7"/>
  <c r="Y369" i="7"/>
  <c r="Z369" i="7"/>
  <c r="AA369" i="7"/>
  <c r="AB369" i="7"/>
  <c r="E370" i="7"/>
  <c r="F370" i="7"/>
  <c r="G370" i="7"/>
  <c r="H370" i="7"/>
  <c r="I370" i="7"/>
  <c r="J370" i="7"/>
  <c r="K370" i="7"/>
  <c r="L370" i="7"/>
  <c r="M370" i="7"/>
  <c r="N370" i="7"/>
  <c r="O370" i="7"/>
  <c r="P370" i="7"/>
  <c r="Q370" i="7"/>
  <c r="R370" i="7"/>
  <c r="S370" i="7"/>
  <c r="T370" i="7"/>
  <c r="U370" i="7"/>
  <c r="V370" i="7"/>
  <c r="W370" i="7"/>
  <c r="X370" i="7"/>
  <c r="Y370" i="7"/>
  <c r="Z370" i="7"/>
  <c r="AA370" i="7"/>
  <c r="AB370" i="7"/>
  <c r="E371" i="7"/>
  <c r="F371" i="7"/>
  <c r="G371" i="7"/>
  <c r="H371" i="7"/>
  <c r="I371" i="7"/>
  <c r="J371" i="7"/>
  <c r="K371" i="7"/>
  <c r="L371" i="7"/>
  <c r="M371" i="7"/>
  <c r="N371" i="7"/>
  <c r="O371" i="7"/>
  <c r="P371" i="7"/>
  <c r="Q371" i="7"/>
  <c r="R371" i="7"/>
  <c r="S371" i="7"/>
  <c r="T371" i="7"/>
  <c r="U371" i="7"/>
  <c r="V371" i="7"/>
  <c r="W371" i="7"/>
  <c r="X371" i="7"/>
  <c r="Y371" i="7"/>
  <c r="Z371" i="7"/>
  <c r="AA371" i="7"/>
  <c r="AB371" i="7"/>
  <c r="E372" i="7"/>
  <c r="F372" i="7"/>
  <c r="G372" i="7"/>
  <c r="H372" i="7"/>
  <c r="I372" i="7"/>
  <c r="J372" i="7"/>
  <c r="K372" i="7"/>
  <c r="L372" i="7"/>
  <c r="M372" i="7"/>
  <c r="N372" i="7"/>
  <c r="O372" i="7"/>
  <c r="P372" i="7"/>
  <c r="Q372" i="7"/>
  <c r="R372" i="7"/>
  <c r="S372" i="7"/>
  <c r="T372" i="7"/>
  <c r="U372" i="7"/>
  <c r="V372" i="7"/>
  <c r="W372" i="7"/>
  <c r="X372" i="7"/>
  <c r="Y372" i="7"/>
  <c r="Z372" i="7"/>
  <c r="AA372" i="7"/>
  <c r="AB372" i="7"/>
  <c r="E373" i="7"/>
  <c r="F373" i="7"/>
  <c r="G373" i="7"/>
  <c r="H373" i="7"/>
  <c r="I373" i="7"/>
  <c r="J373" i="7"/>
  <c r="K373" i="7"/>
  <c r="L373" i="7"/>
  <c r="M373" i="7"/>
  <c r="N373" i="7"/>
  <c r="O373" i="7"/>
  <c r="P373" i="7"/>
  <c r="Q373" i="7"/>
  <c r="R373" i="7"/>
  <c r="S373" i="7"/>
  <c r="T373" i="7"/>
  <c r="U373" i="7"/>
  <c r="V373" i="7"/>
  <c r="W373" i="7"/>
  <c r="X373" i="7"/>
  <c r="Y373" i="7"/>
  <c r="Z373" i="7"/>
  <c r="AA373" i="7"/>
  <c r="AB373" i="7"/>
  <c r="E374" i="7"/>
  <c r="F374" i="7"/>
  <c r="G374" i="7"/>
  <c r="H374" i="7"/>
  <c r="I374" i="7"/>
  <c r="J374" i="7"/>
  <c r="K374" i="7"/>
  <c r="L374" i="7"/>
  <c r="M374" i="7"/>
  <c r="N374" i="7"/>
  <c r="O374" i="7"/>
  <c r="P374" i="7"/>
  <c r="Q374" i="7"/>
  <c r="R374" i="7"/>
  <c r="S374" i="7"/>
  <c r="T374" i="7"/>
  <c r="U374" i="7"/>
  <c r="V374" i="7"/>
  <c r="W374" i="7"/>
  <c r="X374" i="7"/>
  <c r="Y374" i="7"/>
  <c r="Z374" i="7"/>
  <c r="AA374" i="7"/>
  <c r="AB374" i="7"/>
  <c r="E375" i="7"/>
  <c r="F375" i="7"/>
  <c r="G375" i="7"/>
  <c r="H375" i="7"/>
  <c r="I375" i="7"/>
  <c r="J375" i="7"/>
  <c r="K375" i="7"/>
  <c r="L375" i="7"/>
  <c r="M375" i="7"/>
  <c r="N375" i="7"/>
  <c r="O375" i="7"/>
  <c r="P375" i="7"/>
  <c r="Q375" i="7"/>
  <c r="R375" i="7"/>
  <c r="S375" i="7"/>
  <c r="T375" i="7"/>
  <c r="U375" i="7"/>
  <c r="V375" i="7"/>
  <c r="W375" i="7"/>
  <c r="X375" i="7"/>
  <c r="Y375" i="7"/>
  <c r="Z375" i="7"/>
  <c r="AA375" i="7"/>
  <c r="AB375" i="7"/>
  <c r="E376" i="7"/>
  <c r="F376" i="7"/>
  <c r="G376" i="7"/>
  <c r="H376" i="7"/>
  <c r="I376" i="7"/>
  <c r="J376" i="7"/>
  <c r="K376" i="7"/>
  <c r="L376" i="7"/>
  <c r="M376" i="7"/>
  <c r="N376" i="7"/>
  <c r="O376" i="7"/>
  <c r="P376" i="7"/>
  <c r="Q376" i="7"/>
  <c r="R376" i="7"/>
  <c r="S376" i="7"/>
  <c r="T376" i="7"/>
  <c r="U376" i="7"/>
  <c r="V376" i="7"/>
  <c r="W376" i="7"/>
  <c r="X376" i="7"/>
  <c r="Y376" i="7"/>
  <c r="Z376" i="7"/>
  <c r="AA376" i="7"/>
  <c r="AB376" i="7"/>
  <c r="E377" i="7"/>
  <c r="F377" i="7"/>
  <c r="G377" i="7"/>
  <c r="H377" i="7"/>
  <c r="I377" i="7"/>
  <c r="J377" i="7"/>
  <c r="K377" i="7"/>
  <c r="L377" i="7"/>
  <c r="M377" i="7"/>
  <c r="N377" i="7"/>
  <c r="O377" i="7"/>
  <c r="P377" i="7"/>
  <c r="Q377" i="7"/>
  <c r="R377" i="7"/>
  <c r="S377" i="7"/>
  <c r="T377" i="7"/>
  <c r="U377" i="7"/>
  <c r="V377" i="7"/>
  <c r="W377" i="7"/>
  <c r="X377" i="7"/>
  <c r="Y377" i="7"/>
  <c r="Z377" i="7"/>
  <c r="AA377" i="7"/>
  <c r="AB377" i="7"/>
  <c r="E378" i="7"/>
  <c r="F378" i="7"/>
  <c r="G378" i="7"/>
  <c r="H378" i="7"/>
  <c r="I378" i="7"/>
  <c r="J378" i="7"/>
  <c r="K378" i="7"/>
  <c r="L378" i="7"/>
  <c r="M378" i="7"/>
  <c r="N378" i="7"/>
  <c r="O378" i="7"/>
  <c r="P378" i="7"/>
  <c r="Q378" i="7"/>
  <c r="R378" i="7"/>
  <c r="S378" i="7"/>
  <c r="T378" i="7"/>
  <c r="U378" i="7"/>
  <c r="V378" i="7"/>
  <c r="W378" i="7"/>
  <c r="X378" i="7"/>
  <c r="Y378" i="7"/>
  <c r="Z378" i="7"/>
  <c r="AA378" i="7"/>
  <c r="AB378" i="7"/>
  <c r="E379" i="7"/>
  <c r="F379" i="7"/>
  <c r="G379" i="7"/>
  <c r="H379" i="7"/>
  <c r="I379" i="7"/>
  <c r="J379" i="7"/>
  <c r="K379" i="7"/>
  <c r="L379" i="7"/>
  <c r="M379" i="7"/>
  <c r="N379" i="7"/>
  <c r="O379" i="7"/>
  <c r="P379" i="7"/>
  <c r="Q379" i="7"/>
  <c r="R379" i="7"/>
  <c r="S379" i="7"/>
  <c r="T379" i="7"/>
  <c r="U379" i="7"/>
  <c r="V379" i="7"/>
  <c r="W379" i="7"/>
  <c r="X379" i="7"/>
  <c r="Y379" i="7"/>
  <c r="Z379" i="7"/>
  <c r="AA379" i="7"/>
  <c r="AB379" i="7"/>
  <c r="E380" i="7"/>
  <c r="F380" i="7"/>
  <c r="G380" i="7"/>
  <c r="H380" i="7"/>
  <c r="I380" i="7"/>
  <c r="J380" i="7"/>
  <c r="K380" i="7"/>
  <c r="L380" i="7"/>
  <c r="M380" i="7"/>
  <c r="N380" i="7"/>
  <c r="O380" i="7"/>
  <c r="P380" i="7"/>
  <c r="Q380" i="7"/>
  <c r="R380" i="7"/>
  <c r="S380" i="7"/>
  <c r="T380" i="7"/>
  <c r="U380" i="7"/>
  <c r="V380" i="7"/>
  <c r="W380" i="7"/>
  <c r="X380" i="7"/>
  <c r="Y380" i="7"/>
  <c r="Z380" i="7"/>
  <c r="AA380" i="7"/>
  <c r="AB380" i="7"/>
  <c r="E381" i="7"/>
  <c r="F381" i="7"/>
  <c r="G381" i="7"/>
  <c r="H381" i="7"/>
  <c r="I381" i="7"/>
  <c r="J381" i="7"/>
  <c r="K381" i="7"/>
  <c r="L381" i="7"/>
  <c r="M381" i="7"/>
  <c r="N381" i="7"/>
  <c r="O381" i="7"/>
  <c r="P381" i="7"/>
  <c r="Q381" i="7"/>
  <c r="R381" i="7"/>
  <c r="S381" i="7"/>
  <c r="T381" i="7"/>
  <c r="U381" i="7"/>
  <c r="V381" i="7"/>
  <c r="W381" i="7"/>
  <c r="X381" i="7"/>
  <c r="Y381" i="7"/>
  <c r="Z381" i="7"/>
  <c r="AA381" i="7"/>
  <c r="AB381" i="7"/>
  <c r="E382" i="7"/>
  <c r="F382" i="7"/>
  <c r="G382" i="7"/>
  <c r="H382" i="7"/>
  <c r="I382" i="7"/>
  <c r="J382" i="7"/>
  <c r="K382" i="7"/>
  <c r="L382" i="7"/>
  <c r="M382" i="7"/>
  <c r="N382" i="7"/>
  <c r="O382" i="7"/>
  <c r="P382" i="7"/>
  <c r="Q382" i="7"/>
  <c r="R382" i="7"/>
  <c r="S382" i="7"/>
  <c r="T382" i="7"/>
  <c r="U382" i="7"/>
  <c r="V382" i="7"/>
  <c r="W382" i="7"/>
  <c r="X382" i="7"/>
  <c r="Y382" i="7"/>
  <c r="Z382" i="7"/>
  <c r="AA382" i="7"/>
  <c r="AB382" i="7"/>
  <c r="E383" i="7"/>
  <c r="F383" i="7"/>
  <c r="G383" i="7"/>
  <c r="H383" i="7"/>
  <c r="I383" i="7"/>
  <c r="J383" i="7"/>
  <c r="K383" i="7"/>
  <c r="L383" i="7"/>
  <c r="M383" i="7"/>
  <c r="N383" i="7"/>
  <c r="O383" i="7"/>
  <c r="P383" i="7"/>
  <c r="Q383" i="7"/>
  <c r="R383" i="7"/>
  <c r="S383" i="7"/>
  <c r="T383" i="7"/>
  <c r="U383" i="7"/>
  <c r="V383" i="7"/>
  <c r="W383" i="7"/>
  <c r="X383" i="7"/>
  <c r="Y383" i="7"/>
  <c r="Z383" i="7"/>
  <c r="AA383" i="7"/>
  <c r="AB383" i="7"/>
  <c r="E384" i="7"/>
  <c r="F384" i="7"/>
  <c r="G384" i="7"/>
  <c r="H384" i="7"/>
  <c r="I384" i="7"/>
  <c r="J384" i="7"/>
  <c r="K384" i="7"/>
  <c r="L384" i="7"/>
  <c r="M384" i="7"/>
  <c r="N384" i="7"/>
  <c r="O384" i="7"/>
  <c r="P384" i="7"/>
  <c r="Q384" i="7"/>
  <c r="R384" i="7"/>
  <c r="S384" i="7"/>
  <c r="T384" i="7"/>
  <c r="U384" i="7"/>
  <c r="V384" i="7"/>
  <c r="W384" i="7"/>
  <c r="X384" i="7"/>
  <c r="Y384" i="7"/>
  <c r="Z384" i="7"/>
  <c r="AA384" i="7"/>
  <c r="AB384" i="7"/>
  <c r="E385" i="7"/>
  <c r="F385" i="7"/>
  <c r="G385" i="7"/>
  <c r="H385" i="7"/>
  <c r="I385" i="7"/>
  <c r="J385" i="7"/>
  <c r="K385" i="7"/>
  <c r="L385" i="7"/>
  <c r="M385" i="7"/>
  <c r="N385" i="7"/>
  <c r="O385" i="7"/>
  <c r="P385" i="7"/>
  <c r="Q385" i="7"/>
  <c r="R385" i="7"/>
  <c r="S385" i="7"/>
  <c r="T385" i="7"/>
  <c r="U385" i="7"/>
  <c r="V385" i="7"/>
  <c r="W385" i="7"/>
  <c r="X385" i="7"/>
  <c r="Y385" i="7"/>
  <c r="Z385" i="7"/>
  <c r="AA385" i="7"/>
  <c r="AB385" i="7"/>
  <c r="E386" i="7"/>
  <c r="F386" i="7"/>
  <c r="G386" i="7"/>
  <c r="H386" i="7"/>
  <c r="I386" i="7"/>
  <c r="J386" i="7"/>
  <c r="K386" i="7"/>
  <c r="L386" i="7"/>
  <c r="M386" i="7"/>
  <c r="N386" i="7"/>
  <c r="O386" i="7"/>
  <c r="P386" i="7"/>
  <c r="Q386" i="7"/>
  <c r="R386" i="7"/>
  <c r="S386" i="7"/>
  <c r="T386" i="7"/>
  <c r="U386" i="7"/>
  <c r="V386" i="7"/>
  <c r="W386" i="7"/>
  <c r="X386" i="7"/>
  <c r="Y386" i="7"/>
  <c r="Z386" i="7"/>
  <c r="AA386" i="7"/>
  <c r="AB386" i="7"/>
  <c r="E387" i="7"/>
  <c r="F387" i="7"/>
  <c r="G387" i="7"/>
  <c r="H387" i="7"/>
  <c r="I387" i="7"/>
  <c r="J387" i="7"/>
  <c r="K387" i="7"/>
  <c r="L387" i="7"/>
  <c r="M387" i="7"/>
  <c r="N387" i="7"/>
  <c r="O387" i="7"/>
  <c r="P387" i="7"/>
  <c r="Q387" i="7"/>
  <c r="R387" i="7"/>
  <c r="S387" i="7"/>
  <c r="T387" i="7"/>
  <c r="U387" i="7"/>
  <c r="V387" i="7"/>
  <c r="W387" i="7"/>
  <c r="X387" i="7"/>
  <c r="Y387" i="7"/>
  <c r="Z387" i="7"/>
  <c r="AA387" i="7"/>
  <c r="AB387" i="7"/>
  <c r="E388" i="7"/>
  <c r="F388" i="7"/>
  <c r="G388" i="7"/>
  <c r="H388" i="7"/>
  <c r="I388" i="7"/>
  <c r="J388" i="7"/>
  <c r="K388" i="7"/>
  <c r="L388" i="7"/>
  <c r="M388" i="7"/>
  <c r="N388" i="7"/>
  <c r="O388" i="7"/>
  <c r="P388" i="7"/>
  <c r="Q388" i="7"/>
  <c r="R388" i="7"/>
  <c r="S388" i="7"/>
  <c r="T388" i="7"/>
  <c r="U388" i="7"/>
  <c r="V388" i="7"/>
  <c r="W388" i="7"/>
  <c r="X388" i="7"/>
  <c r="Y388" i="7"/>
  <c r="Z388" i="7"/>
  <c r="AA388" i="7"/>
  <c r="AB388" i="7"/>
  <c r="E389" i="7"/>
  <c r="F389" i="7"/>
  <c r="G389" i="7"/>
  <c r="H389" i="7"/>
  <c r="I389" i="7"/>
  <c r="J389" i="7"/>
  <c r="K389" i="7"/>
  <c r="L389" i="7"/>
  <c r="M389" i="7"/>
  <c r="N389" i="7"/>
  <c r="O389" i="7"/>
  <c r="P389" i="7"/>
  <c r="Q389" i="7"/>
  <c r="R389" i="7"/>
  <c r="S389" i="7"/>
  <c r="T389" i="7"/>
  <c r="U389" i="7"/>
  <c r="V389" i="7"/>
  <c r="W389" i="7"/>
  <c r="X389" i="7"/>
  <c r="Y389" i="7"/>
  <c r="Z389" i="7"/>
  <c r="AA389" i="7"/>
  <c r="AB389" i="7"/>
  <c r="E390" i="7"/>
  <c r="F390" i="7"/>
  <c r="G390" i="7"/>
  <c r="H390" i="7"/>
  <c r="I390" i="7"/>
  <c r="J390" i="7"/>
  <c r="K390" i="7"/>
  <c r="L390" i="7"/>
  <c r="M390" i="7"/>
  <c r="N390" i="7"/>
  <c r="O390" i="7"/>
  <c r="P390" i="7"/>
  <c r="Q390" i="7"/>
  <c r="R390" i="7"/>
  <c r="S390" i="7"/>
  <c r="T390" i="7"/>
  <c r="U390" i="7"/>
  <c r="V390" i="7"/>
  <c r="W390" i="7"/>
  <c r="X390" i="7"/>
  <c r="Y390" i="7"/>
  <c r="Z390" i="7"/>
  <c r="AA390" i="7"/>
  <c r="AB390" i="7"/>
  <c r="E391" i="7"/>
  <c r="F391" i="7"/>
  <c r="G391" i="7"/>
  <c r="H391" i="7"/>
  <c r="I391" i="7"/>
  <c r="J391" i="7"/>
  <c r="K391" i="7"/>
  <c r="L391" i="7"/>
  <c r="M391" i="7"/>
  <c r="N391" i="7"/>
  <c r="O391" i="7"/>
  <c r="P391" i="7"/>
  <c r="Q391" i="7"/>
  <c r="R391" i="7"/>
  <c r="S391" i="7"/>
  <c r="T391" i="7"/>
  <c r="U391" i="7"/>
  <c r="V391" i="7"/>
  <c r="W391" i="7"/>
  <c r="X391" i="7"/>
  <c r="Y391" i="7"/>
  <c r="Z391" i="7"/>
  <c r="AA391" i="7"/>
  <c r="AB391" i="7"/>
  <c r="E392" i="7"/>
  <c r="F392" i="7"/>
  <c r="G392" i="7"/>
  <c r="H392" i="7"/>
  <c r="I392" i="7"/>
  <c r="J392" i="7"/>
  <c r="K392" i="7"/>
  <c r="L392" i="7"/>
  <c r="M392" i="7"/>
  <c r="N392" i="7"/>
  <c r="O392" i="7"/>
  <c r="P392" i="7"/>
  <c r="Q392" i="7"/>
  <c r="R392" i="7"/>
  <c r="S392" i="7"/>
  <c r="T392" i="7"/>
  <c r="U392" i="7"/>
  <c r="V392" i="7"/>
  <c r="W392" i="7"/>
  <c r="X392" i="7"/>
  <c r="Y392" i="7"/>
  <c r="Z392" i="7"/>
  <c r="AA392" i="7"/>
  <c r="AB392" i="7"/>
  <c r="E393" i="7"/>
  <c r="F393" i="7"/>
  <c r="G393" i="7"/>
  <c r="H393" i="7"/>
  <c r="I393" i="7"/>
  <c r="J393" i="7"/>
  <c r="K393" i="7"/>
  <c r="L393" i="7"/>
  <c r="M393" i="7"/>
  <c r="N393" i="7"/>
  <c r="O393" i="7"/>
  <c r="P393" i="7"/>
  <c r="Q393" i="7"/>
  <c r="R393" i="7"/>
  <c r="S393" i="7"/>
  <c r="T393" i="7"/>
  <c r="U393" i="7"/>
  <c r="V393" i="7"/>
  <c r="W393" i="7"/>
  <c r="X393" i="7"/>
  <c r="Y393" i="7"/>
  <c r="Z393" i="7"/>
  <c r="AA393" i="7"/>
  <c r="AB393" i="7"/>
  <c r="E394" i="7"/>
  <c r="F394" i="7"/>
  <c r="G394" i="7"/>
  <c r="H394" i="7"/>
  <c r="I394" i="7"/>
  <c r="J394" i="7"/>
  <c r="K394" i="7"/>
  <c r="L394" i="7"/>
  <c r="M394" i="7"/>
  <c r="N394" i="7"/>
  <c r="O394" i="7"/>
  <c r="P394" i="7"/>
  <c r="Q394" i="7"/>
  <c r="R394" i="7"/>
  <c r="S394" i="7"/>
  <c r="T394" i="7"/>
  <c r="U394" i="7"/>
  <c r="V394" i="7"/>
  <c r="W394" i="7"/>
  <c r="X394" i="7"/>
  <c r="Y394" i="7"/>
  <c r="Z394" i="7"/>
  <c r="AA394" i="7"/>
  <c r="AB394" i="7"/>
  <c r="E395" i="7"/>
  <c r="F395" i="7"/>
  <c r="G395" i="7"/>
  <c r="H395" i="7"/>
  <c r="I395" i="7"/>
  <c r="J395" i="7"/>
  <c r="K395" i="7"/>
  <c r="L395" i="7"/>
  <c r="M395" i="7"/>
  <c r="N395" i="7"/>
  <c r="O395" i="7"/>
  <c r="P395" i="7"/>
  <c r="Q395" i="7"/>
  <c r="R395" i="7"/>
  <c r="S395" i="7"/>
  <c r="T395" i="7"/>
  <c r="U395" i="7"/>
  <c r="V395" i="7"/>
  <c r="W395" i="7"/>
  <c r="X395" i="7"/>
  <c r="Y395" i="7"/>
  <c r="Z395" i="7"/>
  <c r="AA395" i="7"/>
  <c r="AB395" i="7"/>
  <c r="E396" i="7"/>
  <c r="F396" i="7"/>
  <c r="G396" i="7"/>
  <c r="H396" i="7"/>
  <c r="I396" i="7"/>
  <c r="J396" i="7"/>
  <c r="K396" i="7"/>
  <c r="L396" i="7"/>
  <c r="M396" i="7"/>
  <c r="N396" i="7"/>
  <c r="O396" i="7"/>
  <c r="P396" i="7"/>
  <c r="Q396" i="7"/>
  <c r="R396" i="7"/>
  <c r="S396" i="7"/>
  <c r="T396" i="7"/>
  <c r="U396" i="7"/>
  <c r="V396" i="7"/>
  <c r="W396" i="7"/>
  <c r="X396" i="7"/>
  <c r="Y396" i="7"/>
  <c r="Z396" i="7"/>
  <c r="AA396" i="7"/>
  <c r="AB396" i="7"/>
  <c r="E397" i="7"/>
  <c r="F397" i="7"/>
  <c r="G397" i="7"/>
  <c r="H397" i="7"/>
  <c r="I397" i="7"/>
  <c r="J397" i="7"/>
  <c r="K397" i="7"/>
  <c r="L397" i="7"/>
  <c r="M397" i="7"/>
  <c r="N397" i="7"/>
  <c r="O397" i="7"/>
  <c r="P397" i="7"/>
  <c r="Q397" i="7"/>
  <c r="R397" i="7"/>
  <c r="S397" i="7"/>
  <c r="T397" i="7"/>
  <c r="U397" i="7"/>
  <c r="V397" i="7"/>
  <c r="W397" i="7"/>
  <c r="X397" i="7"/>
  <c r="Y397" i="7"/>
  <c r="Z397" i="7"/>
  <c r="AA397" i="7"/>
  <c r="AB397" i="7"/>
  <c r="E398" i="7"/>
  <c r="F398" i="7"/>
  <c r="G398" i="7"/>
  <c r="H398" i="7"/>
  <c r="I398" i="7"/>
  <c r="J398" i="7"/>
  <c r="K398" i="7"/>
  <c r="L398" i="7"/>
  <c r="M398" i="7"/>
  <c r="N398" i="7"/>
  <c r="O398" i="7"/>
  <c r="P398" i="7"/>
  <c r="Q398" i="7"/>
  <c r="R398" i="7"/>
  <c r="S398" i="7"/>
  <c r="T398" i="7"/>
  <c r="U398" i="7"/>
  <c r="V398" i="7"/>
  <c r="W398" i="7"/>
  <c r="X398" i="7"/>
  <c r="Y398" i="7"/>
  <c r="Z398" i="7"/>
  <c r="AA398" i="7"/>
  <c r="AB398" i="7"/>
  <c r="E399" i="7"/>
  <c r="F399" i="7"/>
  <c r="G399" i="7"/>
  <c r="H399" i="7"/>
  <c r="I399" i="7"/>
  <c r="J399" i="7"/>
  <c r="K399" i="7"/>
  <c r="L399" i="7"/>
  <c r="M399" i="7"/>
  <c r="N399" i="7"/>
  <c r="O399" i="7"/>
  <c r="P399" i="7"/>
  <c r="Q399" i="7"/>
  <c r="R399" i="7"/>
  <c r="S399" i="7"/>
  <c r="T399" i="7"/>
  <c r="U399" i="7"/>
  <c r="V399" i="7"/>
  <c r="W399" i="7"/>
  <c r="X399" i="7"/>
  <c r="Y399" i="7"/>
  <c r="Z399" i="7"/>
  <c r="AA399" i="7"/>
  <c r="AB399" i="7"/>
  <c r="E400" i="7"/>
  <c r="F400" i="7"/>
  <c r="G400" i="7"/>
  <c r="H400" i="7"/>
  <c r="I400" i="7"/>
  <c r="J400" i="7"/>
  <c r="K400" i="7"/>
  <c r="L400" i="7"/>
  <c r="M400" i="7"/>
  <c r="N400" i="7"/>
  <c r="O400" i="7"/>
  <c r="P400" i="7"/>
  <c r="Q400" i="7"/>
  <c r="R400" i="7"/>
  <c r="S400" i="7"/>
  <c r="T400" i="7"/>
  <c r="U400" i="7"/>
  <c r="V400" i="7"/>
  <c r="W400" i="7"/>
  <c r="X400" i="7"/>
  <c r="Y400" i="7"/>
  <c r="Z400" i="7"/>
  <c r="AA400" i="7"/>
  <c r="AB400" i="7"/>
  <c r="E401" i="7"/>
  <c r="F401" i="7"/>
  <c r="G401" i="7"/>
  <c r="H401" i="7"/>
  <c r="I401" i="7"/>
  <c r="J401" i="7"/>
  <c r="K401" i="7"/>
  <c r="L401" i="7"/>
  <c r="M401" i="7"/>
  <c r="N401" i="7"/>
  <c r="O401" i="7"/>
  <c r="P401" i="7"/>
  <c r="Q401" i="7"/>
  <c r="R401" i="7"/>
  <c r="S401" i="7"/>
  <c r="T401" i="7"/>
  <c r="U401" i="7"/>
  <c r="V401" i="7"/>
  <c r="W401" i="7"/>
  <c r="X401" i="7"/>
  <c r="Y401" i="7"/>
  <c r="Z401" i="7"/>
  <c r="AA401" i="7"/>
  <c r="AB401" i="7"/>
  <c r="E402" i="7"/>
  <c r="F402" i="7"/>
  <c r="G402" i="7"/>
  <c r="H402" i="7"/>
  <c r="I402" i="7"/>
  <c r="J402" i="7"/>
  <c r="K402" i="7"/>
  <c r="L402" i="7"/>
  <c r="M402" i="7"/>
  <c r="N402" i="7"/>
  <c r="O402" i="7"/>
  <c r="P402" i="7"/>
  <c r="Q402" i="7"/>
  <c r="R402" i="7"/>
  <c r="S402" i="7"/>
  <c r="T402" i="7"/>
  <c r="U402" i="7"/>
  <c r="V402" i="7"/>
  <c r="W402" i="7"/>
  <c r="X402" i="7"/>
  <c r="Y402" i="7"/>
  <c r="Z402" i="7"/>
  <c r="AA402" i="7"/>
  <c r="AB402" i="7"/>
  <c r="E403" i="7"/>
  <c r="F403" i="7"/>
  <c r="G403" i="7"/>
  <c r="H403" i="7"/>
  <c r="I403" i="7"/>
  <c r="J403" i="7"/>
  <c r="K403" i="7"/>
  <c r="L403" i="7"/>
  <c r="M403" i="7"/>
  <c r="N403" i="7"/>
  <c r="O403" i="7"/>
  <c r="P403" i="7"/>
  <c r="Q403" i="7"/>
  <c r="R403" i="7"/>
  <c r="S403" i="7"/>
  <c r="T403" i="7"/>
  <c r="U403" i="7"/>
  <c r="V403" i="7"/>
  <c r="W403" i="7"/>
  <c r="X403" i="7"/>
  <c r="Y403" i="7"/>
  <c r="Z403" i="7"/>
  <c r="AA403" i="7"/>
  <c r="AB403" i="7"/>
  <c r="E404" i="7"/>
  <c r="F404" i="7"/>
  <c r="G404" i="7"/>
  <c r="H404" i="7"/>
  <c r="I404" i="7"/>
  <c r="J404" i="7"/>
  <c r="K404" i="7"/>
  <c r="L404" i="7"/>
  <c r="M404" i="7"/>
  <c r="N404" i="7"/>
  <c r="O404" i="7"/>
  <c r="P404" i="7"/>
  <c r="Q404" i="7"/>
  <c r="R404" i="7"/>
  <c r="S404" i="7"/>
  <c r="T404" i="7"/>
  <c r="U404" i="7"/>
  <c r="V404" i="7"/>
  <c r="W404" i="7"/>
  <c r="X404" i="7"/>
  <c r="Y404" i="7"/>
  <c r="Z404" i="7"/>
  <c r="AA404" i="7"/>
  <c r="AB404" i="7"/>
  <c r="E405" i="7"/>
  <c r="F405" i="7"/>
  <c r="G405" i="7"/>
  <c r="H405" i="7"/>
  <c r="I405" i="7"/>
  <c r="J405" i="7"/>
  <c r="K405" i="7"/>
  <c r="L405" i="7"/>
  <c r="M405" i="7"/>
  <c r="N405" i="7"/>
  <c r="O405" i="7"/>
  <c r="P405" i="7"/>
  <c r="Q405" i="7"/>
  <c r="R405" i="7"/>
  <c r="S405" i="7"/>
  <c r="T405" i="7"/>
  <c r="U405" i="7"/>
  <c r="V405" i="7"/>
  <c r="W405" i="7"/>
  <c r="X405" i="7"/>
  <c r="Y405" i="7"/>
  <c r="Z405" i="7"/>
  <c r="AA405" i="7"/>
  <c r="AB405" i="7"/>
  <c r="E406" i="7"/>
  <c r="F406" i="7"/>
  <c r="G406" i="7"/>
  <c r="H406" i="7"/>
  <c r="I406" i="7"/>
  <c r="J406" i="7"/>
  <c r="K406" i="7"/>
  <c r="L406" i="7"/>
  <c r="M406" i="7"/>
  <c r="N406" i="7"/>
  <c r="O406" i="7"/>
  <c r="P406" i="7"/>
  <c r="Q406" i="7"/>
  <c r="R406" i="7"/>
  <c r="S406" i="7"/>
  <c r="T406" i="7"/>
  <c r="U406" i="7"/>
  <c r="V406" i="7"/>
  <c r="W406" i="7"/>
  <c r="X406" i="7"/>
  <c r="Y406" i="7"/>
  <c r="Z406" i="7"/>
  <c r="AA406" i="7"/>
  <c r="AB406" i="7"/>
  <c r="E407" i="7"/>
  <c r="F407" i="7"/>
  <c r="G407" i="7"/>
  <c r="H407" i="7"/>
  <c r="I407" i="7"/>
  <c r="J407" i="7"/>
  <c r="K407" i="7"/>
  <c r="L407" i="7"/>
  <c r="M407" i="7"/>
  <c r="N407" i="7"/>
  <c r="O407" i="7"/>
  <c r="P407" i="7"/>
  <c r="Q407" i="7"/>
  <c r="R407" i="7"/>
  <c r="S407" i="7"/>
  <c r="T407" i="7"/>
  <c r="U407" i="7"/>
  <c r="V407" i="7"/>
  <c r="W407" i="7"/>
  <c r="X407" i="7"/>
  <c r="Y407" i="7"/>
  <c r="Z407" i="7"/>
  <c r="AA407" i="7"/>
  <c r="AB407" i="7"/>
  <c r="E408" i="7"/>
  <c r="F408" i="7"/>
  <c r="G408" i="7"/>
  <c r="H408" i="7"/>
  <c r="I408" i="7"/>
  <c r="J408" i="7"/>
  <c r="K408" i="7"/>
  <c r="L408" i="7"/>
  <c r="M408" i="7"/>
  <c r="N408" i="7"/>
  <c r="O408" i="7"/>
  <c r="P408" i="7"/>
  <c r="Q408" i="7"/>
  <c r="R408" i="7"/>
  <c r="S408" i="7"/>
  <c r="T408" i="7"/>
  <c r="U408" i="7"/>
  <c r="V408" i="7"/>
  <c r="W408" i="7"/>
  <c r="X408" i="7"/>
  <c r="Y408" i="7"/>
  <c r="Z408" i="7"/>
  <c r="AA408" i="7"/>
  <c r="AB408" i="7"/>
  <c r="E409" i="7"/>
  <c r="F409" i="7"/>
  <c r="G409" i="7"/>
  <c r="H409" i="7"/>
  <c r="I409" i="7"/>
  <c r="J409" i="7"/>
  <c r="K409" i="7"/>
  <c r="L409" i="7"/>
  <c r="M409" i="7"/>
  <c r="N409" i="7"/>
  <c r="O409" i="7"/>
  <c r="P409" i="7"/>
  <c r="Q409" i="7"/>
  <c r="R409" i="7"/>
  <c r="S409" i="7"/>
  <c r="T409" i="7"/>
  <c r="U409" i="7"/>
  <c r="V409" i="7"/>
  <c r="W409" i="7"/>
  <c r="X409" i="7"/>
  <c r="Y409" i="7"/>
  <c r="Z409" i="7"/>
  <c r="AA409" i="7"/>
  <c r="AB409" i="7"/>
  <c r="E410" i="7"/>
  <c r="F410" i="7"/>
  <c r="G410" i="7"/>
  <c r="H410" i="7"/>
  <c r="I410" i="7"/>
  <c r="J410" i="7"/>
  <c r="K410" i="7"/>
  <c r="L410" i="7"/>
  <c r="M410" i="7"/>
  <c r="N410" i="7"/>
  <c r="O410" i="7"/>
  <c r="P410" i="7"/>
  <c r="Q410" i="7"/>
  <c r="R410" i="7"/>
  <c r="S410" i="7"/>
  <c r="T410" i="7"/>
  <c r="U410" i="7"/>
  <c r="V410" i="7"/>
  <c r="W410" i="7"/>
  <c r="X410" i="7"/>
  <c r="Y410" i="7"/>
  <c r="Z410" i="7"/>
  <c r="AA410" i="7"/>
  <c r="AB410" i="7"/>
  <c r="E411" i="7"/>
  <c r="F411" i="7"/>
  <c r="G411" i="7"/>
  <c r="H411" i="7"/>
  <c r="I411" i="7"/>
  <c r="J411" i="7"/>
  <c r="K411" i="7"/>
  <c r="L411" i="7"/>
  <c r="M411" i="7"/>
  <c r="N411" i="7"/>
  <c r="O411" i="7"/>
  <c r="P411" i="7"/>
  <c r="Q411" i="7"/>
  <c r="R411" i="7"/>
  <c r="S411" i="7"/>
  <c r="T411" i="7"/>
  <c r="U411" i="7"/>
  <c r="V411" i="7"/>
  <c r="W411" i="7"/>
  <c r="X411" i="7"/>
  <c r="Y411" i="7"/>
  <c r="Z411" i="7"/>
  <c r="AA411" i="7"/>
  <c r="AB411" i="7"/>
  <c r="E412" i="7"/>
  <c r="F412" i="7"/>
  <c r="G412" i="7"/>
  <c r="H412" i="7"/>
  <c r="I412" i="7"/>
  <c r="J412" i="7"/>
  <c r="K412" i="7"/>
  <c r="L412" i="7"/>
  <c r="M412" i="7"/>
  <c r="N412" i="7"/>
  <c r="O412" i="7"/>
  <c r="P412" i="7"/>
  <c r="Q412" i="7"/>
  <c r="R412" i="7"/>
  <c r="S412" i="7"/>
  <c r="T412" i="7"/>
  <c r="U412" i="7"/>
  <c r="V412" i="7"/>
  <c r="W412" i="7"/>
  <c r="X412" i="7"/>
  <c r="Y412" i="7"/>
  <c r="Z412" i="7"/>
  <c r="AA412" i="7"/>
  <c r="AB412" i="7"/>
  <c r="E413" i="7"/>
  <c r="F413" i="7"/>
  <c r="G413" i="7"/>
  <c r="H413" i="7"/>
  <c r="I413" i="7"/>
  <c r="J413" i="7"/>
  <c r="K413" i="7"/>
  <c r="L413" i="7"/>
  <c r="M413" i="7"/>
  <c r="N413" i="7"/>
  <c r="O413" i="7"/>
  <c r="P413" i="7"/>
  <c r="Q413" i="7"/>
  <c r="R413" i="7"/>
  <c r="S413" i="7"/>
  <c r="T413" i="7"/>
  <c r="U413" i="7"/>
  <c r="V413" i="7"/>
  <c r="W413" i="7"/>
  <c r="X413" i="7"/>
  <c r="Y413" i="7"/>
  <c r="Z413" i="7"/>
  <c r="AA413" i="7"/>
  <c r="AB413" i="7"/>
  <c r="E414" i="7"/>
  <c r="F414" i="7"/>
  <c r="G414" i="7"/>
  <c r="H414" i="7"/>
  <c r="I414" i="7"/>
  <c r="J414" i="7"/>
  <c r="K414" i="7"/>
  <c r="L414" i="7"/>
  <c r="M414" i="7"/>
  <c r="N414" i="7"/>
  <c r="O414" i="7"/>
  <c r="P414" i="7"/>
  <c r="Q414" i="7"/>
  <c r="R414" i="7"/>
  <c r="S414" i="7"/>
  <c r="T414" i="7"/>
  <c r="U414" i="7"/>
  <c r="V414" i="7"/>
  <c r="W414" i="7"/>
  <c r="X414" i="7"/>
  <c r="Y414" i="7"/>
  <c r="Z414" i="7"/>
  <c r="AA414" i="7"/>
  <c r="AB414" i="7"/>
  <c r="E415" i="7"/>
  <c r="F415" i="7"/>
  <c r="G415" i="7"/>
  <c r="H415" i="7"/>
  <c r="I415" i="7"/>
  <c r="J415" i="7"/>
  <c r="K415" i="7"/>
  <c r="L415" i="7"/>
  <c r="M415" i="7"/>
  <c r="N415" i="7"/>
  <c r="O415" i="7"/>
  <c r="P415" i="7"/>
  <c r="Q415" i="7"/>
  <c r="R415" i="7"/>
  <c r="S415" i="7"/>
  <c r="T415" i="7"/>
  <c r="U415" i="7"/>
  <c r="V415" i="7"/>
  <c r="W415" i="7"/>
  <c r="X415" i="7"/>
  <c r="Y415" i="7"/>
  <c r="Z415" i="7"/>
  <c r="AA415" i="7"/>
  <c r="AB415" i="7"/>
  <c r="E416" i="7"/>
  <c r="F416" i="7"/>
  <c r="G416" i="7"/>
  <c r="H416" i="7"/>
  <c r="I416" i="7"/>
  <c r="J416" i="7"/>
  <c r="K416" i="7"/>
  <c r="L416" i="7"/>
  <c r="M416" i="7"/>
  <c r="N416" i="7"/>
  <c r="O416" i="7"/>
  <c r="P416" i="7"/>
  <c r="Q416" i="7"/>
  <c r="R416" i="7"/>
  <c r="S416" i="7"/>
  <c r="T416" i="7"/>
  <c r="U416" i="7"/>
  <c r="V416" i="7"/>
  <c r="W416" i="7"/>
  <c r="X416" i="7"/>
  <c r="Y416" i="7"/>
  <c r="Z416" i="7"/>
  <c r="AA416" i="7"/>
  <c r="AB416" i="7"/>
  <c r="E417" i="7"/>
  <c r="F417" i="7"/>
  <c r="G417" i="7"/>
  <c r="H417" i="7"/>
  <c r="I417" i="7"/>
  <c r="J417" i="7"/>
  <c r="K417" i="7"/>
  <c r="L417" i="7"/>
  <c r="M417" i="7"/>
  <c r="N417" i="7"/>
  <c r="O417" i="7"/>
  <c r="P417" i="7"/>
  <c r="Q417" i="7"/>
  <c r="R417" i="7"/>
  <c r="S417" i="7"/>
  <c r="T417" i="7"/>
  <c r="U417" i="7"/>
  <c r="V417" i="7"/>
  <c r="W417" i="7"/>
  <c r="X417" i="7"/>
  <c r="Y417" i="7"/>
  <c r="Z417" i="7"/>
  <c r="AA417" i="7"/>
  <c r="AB417" i="7"/>
  <c r="E418" i="7"/>
  <c r="F418" i="7"/>
  <c r="G418" i="7"/>
  <c r="H418" i="7"/>
  <c r="I418" i="7"/>
  <c r="J418" i="7"/>
  <c r="K418" i="7"/>
  <c r="L418" i="7"/>
  <c r="M418" i="7"/>
  <c r="N418" i="7"/>
  <c r="O418" i="7"/>
  <c r="P418" i="7"/>
  <c r="Q418" i="7"/>
  <c r="R418" i="7"/>
  <c r="S418" i="7"/>
  <c r="T418" i="7"/>
  <c r="U418" i="7"/>
  <c r="V418" i="7"/>
  <c r="W418" i="7"/>
  <c r="X418" i="7"/>
  <c r="Y418" i="7"/>
  <c r="Z418" i="7"/>
  <c r="AA418" i="7"/>
  <c r="AB418" i="7"/>
  <c r="E419" i="7"/>
  <c r="F419" i="7"/>
  <c r="G419" i="7"/>
  <c r="H419" i="7"/>
  <c r="I419" i="7"/>
  <c r="J419" i="7"/>
  <c r="K419" i="7"/>
  <c r="L419" i="7"/>
  <c r="M419" i="7"/>
  <c r="N419" i="7"/>
  <c r="O419" i="7"/>
  <c r="P419" i="7"/>
  <c r="Q419" i="7"/>
  <c r="R419" i="7"/>
  <c r="S419" i="7"/>
  <c r="T419" i="7"/>
  <c r="U419" i="7"/>
  <c r="V419" i="7"/>
  <c r="W419" i="7"/>
  <c r="X419" i="7"/>
  <c r="Y419" i="7"/>
  <c r="Z419" i="7"/>
  <c r="AA419" i="7"/>
  <c r="AB419" i="7"/>
  <c r="E420" i="7"/>
  <c r="F420" i="7"/>
  <c r="G420" i="7"/>
  <c r="H420" i="7"/>
  <c r="I420" i="7"/>
  <c r="J420" i="7"/>
  <c r="K420" i="7"/>
  <c r="L420" i="7"/>
  <c r="M420" i="7"/>
  <c r="N420" i="7"/>
  <c r="O420" i="7"/>
  <c r="P420" i="7"/>
  <c r="Q420" i="7"/>
  <c r="R420" i="7"/>
  <c r="S420" i="7"/>
  <c r="T420" i="7"/>
  <c r="U420" i="7"/>
  <c r="V420" i="7"/>
  <c r="W420" i="7"/>
  <c r="X420" i="7"/>
  <c r="Y420" i="7"/>
  <c r="Z420" i="7"/>
  <c r="AA420" i="7"/>
  <c r="AB420" i="7"/>
  <c r="E421" i="7"/>
  <c r="F421" i="7"/>
  <c r="G421" i="7"/>
  <c r="H421" i="7"/>
  <c r="I421" i="7"/>
  <c r="J421" i="7"/>
  <c r="K421" i="7"/>
  <c r="L421" i="7"/>
  <c r="M421" i="7"/>
  <c r="N421" i="7"/>
  <c r="O421" i="7"/>
  <c r="P421" i="7"/>
  <c r="Q421" i="7"/>
  <c r="R421" i="7"/>
  <c r="S421" i="7"/>
  <c r="T421" i="7"/>
  <c r="U421" i="7"/>
  <c r="V421" i="7"/>
  <c r="W421" i="7"/>
  <c r="X421" i="7"/>
  <c r="Y421" i="7"/>
  <c r="Z421" i="7"/>
  <c r="AA421" i="7"/>
  <c r="AB421" i="7"/>
  <c r="E422" i="7"/>
  <c r="F422" i="7"/>
  <c r="G422" i="7"/>
  <c r="H422" i="7"/>
  <c r="I422" i="7"/>
  <c r="J422" i="7"/>
  <c r="K422" i="7"/>
  <c r="L422" i="7"/>
  <c r="M422" i="7"/>
  <c r="N422" i="7"/>
  <c r="O422" i="7"/>
  <c r="P422" i="7"/>
  <c r="Q422" i="7"/>
  <c r="R422" i="7"/>
  <c r="S422" i="7"/>
  <c r="T422" i="7"/>
  <c r="U422" i="7"/>
  <c r="V422" i="7"/>
  <c r="W422" i="7"/>
  <c r="X422" i="7"/>
  <c r="Y422" i="7"/>
  <c r="Z422" i="7"/>
  <c r="AA422" i="7"/>
  <c r="AB422" i="7"/>
  <c r="E423" i="7"/>
  <c r="F423" i="7"/>
  <c r="G423" i="7"/>
  <c r="H423" i="7"/>
  <c r="I423" i="7"/>
  <c r="J423" i="7"/>
  <c r="K423" i="7"/>
  <c r="L423" i="7"/>
  <c r="M423" i="7"/>
  <c r="N423" i="7"/>
  <c r="O423" i="7"/>
  <c r="P423" i="7"/>
  <c r="Q423" i="7"/>
  <c r="R423" i="7"/>
  <c r="S423" i="7"/>
  <c r="T423" i="7"/>
  <c r="U423" i="7"/>
  <c r="V423" i="7"/>
  <c r="W423" i="7"/>
  <c r="X423" i="7"/>
  <c r="Y423" i="7"/>
  <c r="Z423" i="7"/>
  <c r="AA423" i="7"/>
  <c r="AB423" i="7"/>
  <c r="E424" i="7"/>
  <c r="F424" i="7"/>
  <c r="G424" i="7"/>
  <c r="H424" i="7"/>
  <c r="I424" i="7"/>
  <c r="J424" i="7"/>
  <c r="K424" i="7"/>
  <c r="L424" i="7"/>
  <c r="M424" i="7"/>
  <c r="N424" i="7"/>
  <c r="O424" i="7"/>
  <c r="P424" i="7"/>
  <c r="Q424" i="7"/>
  <c r="R424" i="7"/>
  <c r="S424" i="7"/>
  <c r="T424" i="7"/>
  <c r="U424" i="7"/>
  <c r="V424" i="7"/>
  <c r="W424" i="7"/>
  <c r="X424" i="7"/>
  <c r="Y424" i="7"/>
  <c r="Z424" i="7"/>
  <c r="AA424" i="7"/>
  <c r="AB424" i="7"/>
  <c r="E425" i="7"/>
  <c r="F425" i="7"/>
  <c r="G425" i="7"/>
  <c r="H425" i="7"/>
  <c r="I425" i="7"/>
  <c r="J425" i="7"/>
  <c r="K425" i="7"/>
  <c r="L425" i="7"/>
  <c r="M425" i="7"/>
  <c r="N425" i="7"/>
  <c r="O425" i="7"/>
  <c r="P425" i="7"/>
  <c r="Q425" i="7"/>
  <c r="R425" i="7"/>
  <c r="S425" i="7"/>
  <c r="T425" i="7"/>
  <c r="U425" i="7"/>
  <c r="V425" i="7"/>
  <c r="W425" i="7"/>
  <c r="X425" i="7"/>
  <c r="Y425" i="7"/>
  <c r="Z425" i="7"/>
  <c r="AA425" i="7"/>
  <c r="AB425" i="7"/>
  <c r="E426" i="7"/>
  <c r="F426" i="7"/>
  <c r="G426" i="7"/>
  <c r="H426" i="7"/>
  <c r="I426" i="7"/>
  <c r="J426" i="7"/>
  <c r="K426" i="7"/>
  <c r="L426" i="7"/>
  <c r="M426" i="7"/>
  <c r="N426" i="7"/>
  <c r="O426" i="7"/>
  <c r="P426" i="7"/>
  <c r="Q426" i="7"/>
  <c r="R426" i="7"/>
  <c r="S426" i="7"/>
  <c r="T426" i="7"/>
  <c r="U426" i="7"/>
  <c r="V426" i="7"/>
  <c r="W426" i="7"/>
  <c r="X426" i="7"/>
  <c r="Y426" i="7"/>
  <c r="Z426" i="7"/>
  <c r="AA426" i="7"/>
  <c r="AB426" i="7"/>
  <c r="E427" i="7"/>
  <c r="F427" i="7"/>
  <c r="G427" i="7"/>
  <c r="H427" i="7"/>
  <c r="I427" i="7"/>
  <c r="J427" i="7"/>
  <c r="K427" i="7"/>
  <c r="L427" i="7"/>
  <c r="M427" i="7"/>
  <c r="N427" i="7"/>
  <c r="O427" i="7"/>
  <c r="P427" i="7"/>
  <c r="Q427" i="7"/>
  <c r="R427" i="7"/>
  <c r="S427" i="7"/>
  <c r="T427" i="7"/>
  <c r="U427" i="7"/>
  <c r="V427" i="7"/>
  <c r="W427" i="7"/>
  <c r="X427" i="7"/>
  <c r="Y427" i="7"/>
  <c r="Z427" i="7"/>
  <c r="AA427" i="7"/>
  <c r="AB427" i="7"/>
  <c r="E428" i="7"/>
  <c r="F428" i="7"/>
  <c r="G428" i="7"/>
  <c r="H428" i="7"/>
  <c r="I428" i="7"/>
  <c r="J428" i="7"/>
  <c r="K428" i="7"/>
  <c r="L428" i="7"/>
  <c r="M428" i="7"/>
  <c r="N428" i="7"/>
  <c r="O428" i="7"/>
  <c r="P428" i="7"/>
  <c r="Q428" i="7"/>
  <c r="R428" i="7"/>
  <c r="S428" i="7"/>
  <c r="T428" i="7"/>
  <c r="U428" i="7"/>
  <c r="V428" i="7"/>
  <c r="W428" i="7"/>
  <c r="X428" i="7"/>
  <c r="Y428" i="7"/>
  <c r="Z428" i="7"/>
  <c r="AA428" i="7"/>
  <c r="AB428" i="7"/>
  <c r="E429" i="7"/>
  <c r="F429" i="7"/>
  <c r="G429" i="7"/>
  <c r="H429" i="7"/>
  <c r="I429" i="7"/>
  <c r="J429" i="7"/>
  <c r="K429" i="7"/>
  <c r="L429" i="7"/>
  <c r="M429" i="7"/>
  <c r="N429" i="7"/>
  <c r="O429" i="7"/>
  <c r="P429" i="7"/>
  <c r="Q429" i="7"/>
  <c r="R429" i="7"/>
  <c r="S429" i="7"/>
  <c r="T429" i="7"/>
  <c r="U429" i="7"/>
  <c r="V429" i="7"/>
  <c r="W429" i="7"/>
  <c r="X429" i="7"/>
  <c r="Y429" i="7"/>
  <c r="Z429" i="7"/>
  <c r="AA429" i="7"/>
  <c r="AB429" i="7"/>
  <c r="E430" i="7"/>
  <c r="F430" i="7"/>
  <c r="G430" i="7"/>
  <c r="H430" i="7"/>
  <c r="I430" i="7"/>
  <c r="J430" i="7"/>
  <c r="K430" i="7"/>
  <c r="L430" i="7"/>
  <c r="M430" i="7"/>
  <c r="N430" i="7"/>
  <c r="O430" i="7"/>
  <c r="P430" i="7"/>
  <c r="Q430" i="7"/>
  <c r="R430" i="7"/>
  <c r="S430" i="7"/>
  <c r="T430" i="7"/>
  <c r="U430" i="7"/>
  <c r="V430" i="7"/>
  <c r="W430" i="7"/>
  <c r="X430" i="7"/>
  <c r="Y430" i="7"/>
  <c r="Z430" i="7"/>
  <c r="AA430" i="7"/>
  <c r="AB430" i="7"/>
  <c r="E431" i="7"/>
  <c r="F431" i="7"/>
  <c r="G431" i="7"/>
  <c r="H431" i="7"/>
  <c r="I431" i="7"/>
  <c r="J431" i="7"/>
  <c r="K431" i="7"/>
  <c r="L431" i="7"/>
  <c r="M431" i="7"/>
  <c r="N431" i="7"/>
  <c r="O431" i="7"/>
  <c r="P431" i="7"/>
  <c r="Q431" i="7"/>
  <c r="R431" i="7"/>
  <c r="S431" i="7"/>
  <c r="T431" i="7"/>
  <c r="U431" i="7"/>
  <c r="V431" i="7"/>
  <c r="W431" i="7"/>
  <c r="X431" i="7"/>
  <c r="Y431" i="7"/>
  <c r="Z431" i="7"/>
  <c r="AA431" i="7"/>
  <c r="AB431" i="7"/>
  <c r="E432" i="7"/>
  <c r="F432" i="7"/>
  <c r="G432" i="7"/>
  <c r="H432" i="7"/>
  <c r="I432" i="7"/>
  <c r="J432" i="7"/>
  <c r="K432" i="7"/>
  <c r="L432" i="7"/>
  <c r="M432" i="7"/>
  <c r="N432" i="7"/>
  <c r="O432" i="7"/>
  <c r="P432" i="7"/>
  <c r="Q432" i="7"/>
  <c r="R432" i="7"/>
  <c r="S432" i="7"/>
  <c r="T432" i="7"/>
  <c r="U432" i="7"/>
  <c r="V432" i="7"/>
  <c r="W432" i="7"/>
  <c r="X432" i="7"/>
  <c r="Y432" i="7"/>
  <c r="Z432" i="7"/>
  <c r="AA432" i="7"/>
  <c r="AB432" i="7"/>
  <c r="E433" i="7"/>
  <c r="F433" i="7"/>
  <c r="G433" i="7"/>
  <c r="H433" i="7"/>
  <c r="I433" i="7"/>
  <c r="J433" i="7"/>
  <c r="K433" i="7"/>
  <c r="L433" i="7"/>
  <c r="M433" i="7"/>
  <c r="N433" i="7"/>
  <c r="O433" i="7"/>
  <c r="P433" i="7"/>
  <c r="Q433" i="7"/>
  <c r="R433" i="7"/>
  <c r="S433" i="7"/>
  <c r="T433" i="7"/>
  <c r="U433" i="7"/>
  <c r="V433" i="7"/>
  <c r="W433" i="7"/>
  <c r="X433" i="7"/>
  <c r="Y433" i="7"/>
  <c r="Z433" i="7"/>
  <c r="AA433" i="7"/>
  <c r="AB433" i="7"/>
  <c r="E434" i="7"/>
  <c r="F434" i="7"/>
  <c r="G434" i="7"/>
  <c r="H434" i="7"/>
  <c r="I434" i="7"/>
  <c r="J434" i="7"/>
  <c r="K434" i="7"/>
  <c r="L434" i="7"/>
  <c r="M434" i="7"/>
  <c r="N434" i="7"/>
  <c r="O434" i="7"/>
  <c r="P434" i="7"/>
  <c r="Q434" i="7"/>
  <c r="R434" i="7"/>
  <c r="S434" i="7"/>
  <c r="T434" i="7"/>
  <c r="U434" i="7"/>
  <c r="V434" i="7"/>
  <c r="W434" i="7"/>
  <c r="X434" i="7"/>
  <c r="Y434" i="7"/>
  <c r="Z434" i="7"/>
  <c r="AA434" i="7"/>
  <c r="AB434" i="7"/>
  <c r="E435" i="7"/>
  <c r="F435" i="7"/>
  <c r="G435" i="7"/>
  <c r="H435" i="7"/>
  <c r="I435" i="7"/>
  <c r="J435" i="7"/>
  <c r="K435" i="7"/>
  <c r="L435" i="7"/>
  <c r="M435" i="7"/>
  <c r="N435" i="7"/>
  <c r="O435" i="7"/>
  <c r="P435" i="7"/>
  <c r="Q435" i="7"/>
  <c r="R435" i="7"/>
  <c r="S435" i="7"/>
  <c r="T435" i="7"/>
  <c r="U435" i="7"/>
  <c r="V435" i="7"/>
  <c r="W435" i="7"/>
  <c r="X435" i="7"/>
  <c r="Y435" i="7"/>
  <c r="Z435" i="7"/>
  <c r="AA435" i="7"/>
  <c r="AB435" i="7"/>
  <c r="E436" i="7"/>
  <c r="F436" i="7"/>
  <c r="G436" i="7"/>
  <c r="H436" i="7"/>
  <c r="I436" i="7"/>
  <c r="J436" i="7"/>
  <c r="K436" i="7"/>
  <c r="L436" i="7"/>
  <c r="M436" i="7"/>
  <c r="N436" i="7"/>
  <c r="O436" i="7"/>
  <c r="P436" i="7"/>
  <c r="Q436" i="7"/>
  <c r="R436" i="7"/>
  <c r="S436" i="7"/>
  <c r="T436" i="7"/>
  <c r="U436" i="7"/>
  <c r="V436" i="7"/>
  <c r="W436" i="7"/>
  <c r="X436" i="7"/>
  <c r="Y436" i="7"/>
  <c r="Z436" i="7"/>
  <c r="AA436" i="7"/>
  <c r="AB436" i="7"/>
  <c r="E437" i="7"/>
  <c r="F437" i="7"/>
  <c r="G437" i="7"/>
  <c r="H437" i="7"/>
  <c r="I437" i="7"/>
  <c r="J437" i="7"/>
  <c r="K437" i="7"/>
  <c r="L437" i="7"/>
  <c r="M437" i="7"/>
  <c r="N437" i="7"/>
  <c r="O437" i="7"/>
  <c r="P437" i="7"/>
  <c r="Q437" i="7"/>
  <c r="R437" i="7"/>
  <c r="S437" i="7"/>
  <c r="T437" i="7"/>
  <c r="U437" i="7"/>
  <c r="V437" i="7"/>
  <c r="W437" i="7"/>
  <c r="X437" i="7"/>
  <c r="Y437" i="7"/>
  <c r="Z437" i="7"/>
  <c r="AA437" i="7"/>
  <c r="AB437" i="7"/>
  <c r="E438" i="7"/>
  <c r="F438" i="7"/>
  <c r="G438" i="7"/>
  <c r="H438" i="7"/>
  <c r="I438" i="7"/>
  <c r="J438" i="7"/>
  <c r="K438" i="7"/>
  <c r="L438" i="7"/>
  <c r="M438" i="7"/>
  <c r="N438" i="7"/>
  <c r="O438" i="7"/>
  <c r="P438" i="7"/>
  <c r="Q438" i="7"/>
  <c r="R438" i="7"/>
  <c r="S438" i="7"/>
  <c r="T438" i="7"/>
  <c r="U438" i="7"/>
  <c r="V438" i="7"/>
  <c r="W438" i="7"/>
  <c r="X438" i="7"/>
  <c r="Y438" i="7"/>
  <c r="Z438" i="7"/>
  <c r="AA438" i="7"/>
  <c r="AB438" i="7"/>
  <c r="E439" i="7"/>
  <c r="F439" i="7"/>
  <c r="G439" i="7"/>
  <c r="H439" i="7"/>
  <c r="I439" i="7"/>
  <c r="J439" i="7"/>
  <c r="K439" i="7"/>
  <c r="L439" i="7"/>
  <c r="M439" i="7"/>
  <c r="N439" i="7"/>
  <c r="O439" i="7"/>
  <c r="P439" i="7"/>
  <c r="Q439" i="7"/>
  <c r="R439" i="7"/>
  <c r="S439" i="7"/>
  <c r="T439" i="7"/>
  <c r="U439" i="7"/>
  <c r="V439" i="7"/>
  <c r="W439" i="7"/>
  <c r="X439" i="7"/>
  <c r="Y439" i="7"/>
  <c r="Z439" i="7"/>
  <c r="AA439" i="7"/>
  <c r="AB439" i="7"/>
  <c r="E440" i="7"/>
  <c r="F440" i="7"/>
  <c r="G440" i="7"/>
  <c r="H440" i="7"/>
  <c r="I440" i="7"/>
  <c r="J440" i="7"/>
  <c r="K440" i="7"/>
  <c r="L440" i="7"/>
  <c r="M440" i="7"/>
  <c r="N440" i="7"/>
  <c r="O440" i="7"/>
  <c r="P440" i="7"/>
  <c r="Q440" i="7"/>
  <c r="R440" i="7"/>
  <c r="S440" i="7"/>
  <c r="T440" i="7"/>
  <c r="U440" i="7"/>
  <c r="V440" i="7"/>
  <c r="W440" i="7"/>
  <c r="X440" i="7"/>
  <c r="Y440" i="7"/>
  <c r="Z440" i="7"/>
  <c r="AA440" i="7"/>
  <c r="AB440" i="7"/>
  <c r="E441" i="7"/>
  <c r="F441" i="7"/>
  <c r="G441" i="7"/>
  <c r="H441" i="7"/>
  <c r="I441" i="7"/>
  <c r="J441" i="7"/>
  <c r="K441" i="7"/>
  <c r="L441" i="7"/>
  <c r="M441" i="7"/>
  <c r="N441" i="7"/>
  <c r="O441" i="7"/>
  <c r="P441" i="7"/>
  <c r="Q441" i="7"/>
  <c r="R441" i="7"/>
  <c r="S441" i="7"/>
  <c r="T441" i="7"/>
  <c r="U441" i="7"/>
  <c r="V441" i="7"/>
  <c r="W441" i="7"/>
  <c r="X441" i="7"/>
  <c r="Y441" i="7"/>
  <c r="Z441" i="7"/>
  <c r="AA441" i="7"/>
  <c r="AB441" i="7"/>
  <c r="E442" i="7"/>
  <c r="F442" i="7"/>
  <c r="G442" i="7"/>
  <c r="H442" i="7"/>
  <c r="I442" i="7"/>
  <c r="J442" i="7"/>
  <c r="K442" i="7"/>
  <c r="L442" i="7"/>
  <c r="M442" i="7"/>
  <c r="N442" i="7"/>
  <c r="O442" i="7"/>
  <c r="P442" i="7"/>
  <c r="Q442" i="7"/>
  <c r="R442" i="7"/>
  <c r="S442" i="7"/>
  <c r="T442" i="7"/>
  <c r="U442" i="7"/>
  <c r="V442" i="7"/>
  <c r="W442" i="7"/>
  <c r="X442" i="7"/>
  <c r="Y442" i="7"/>
  <c r="Z442" i="7"/>
  <c r="AA442" i="7"/>
  <c r="AB442" i="7"/>
  <c r="E443" i="7"/>
  <c r="F443" i="7"/>
  <c r="G443" i="7"/>
  <c r="H443" i="7"/>
  <c r="I443" i="7"/>
  <c r="J443" i="7"/>
  <c r="K443" i="7"/>
  <c r="L443" i="7"/>
  <c r="M443" i="7"/>
  <c r="N443" i="7"/>
  <c r="O443" i="7"/>
  <c r="P443" i="7"/>
  <c r="Q443" i="7"/>
  <c r="R443" i="7"/>
  <c r="S443" i="7"/>
  <c r="T443" i="7"/>
  <c r="U443" i="7"/>
  <c r="V443" i="7"/>
  <c r="W443" i="7"/>
  <c r="X443" i="7"/>
  <c r="Y443" i="7"/>
  <c r="Z443" i="7"/>
  <c r="AA443" i="7"/>
  <c r="AB443" i="7"/>
  <c r="E444" i="7"/>
  <c r="F444" i="7"/>
  <c r="G444" i="7"/>
  <c r="H444" i="7"/>
  <c r="I444" i="7"/>
  <c r="J444" i="7"/>
  <c r="K444" i="7"/>
  <c r="L444" i="7"/>
  <c r="M444" i="7"/>
  <c r="N444" i="7"/>
  <c r="O444" i="7"/>
  <c r="P444" i="7"/>
  <c r="Q444" i="7"/>
  <c r="R444" i="7"/>
  <c r="S444" i="7"/>
  <c r="T444" i="7"/>
  <c r="U444" i="7"/>
  <c r="V444" i="7"/>
  <c r="W444" i="7"/>
  <c r="X444" i="7"/>
  <c r="Y444" i="7"/>
  <c r="Z444" i="7"/>
  <c r="AA444" i="7"/>
  <c r="AB444" i="7"/>
  <c r="E445" i="7"/>
  <c r="F445" i="7"/>
  <c r="G445" i="7"/>
  <c r="H445" i="7"/>
  <c r="I445" i="7"/>
  <c r="J445" i="7"/>
  <c r="K445" i="7"/>
  <c r="L445" i="7"/>
  <c r="M445" i="7"/>
  <c r="N445" i="7"/>
  <c r="O445" i="7"/>
  <c r="P445" i="7"/>
  <c r="Q445" i="7"/>
  <c r="R445" i="7"/>
  <c r="S445" i="7"/>
  <c r="T445" i="7"/>
  <c r="U445" i="7"/>
  <c r="V445" i="7"/>
  <c r="W445" i="7"/>
  <c r="X445" i="7"/>
  <c r="Y445" i="7"/>
  <c r="Z445" i="7"/>
  <c r="AA445" i="7"/>
  <c r="AB445" i="7"/>
  <c r="E446" i="7"/>
  <c r="F446" i="7"/>
  <c r="G446" i="7"/>
  <c r="H446" i="7"/>
  <c r="I446" i="7"/>
  <c r="J446" i="7"/>
  <c r="K446" i="7"/>
  <c r="L446" i="7"/>
  <c r="M446" i="7"/>
  <c r="N446" i="7"/>
  <c r="O446" i="7"/>
  <c r="P446" i="7"/>
  <c r="Q446" i="7"/>
  <c r="R446" i="7"/>
  <c r="S446" i="7"/>
  <c r="T446" i="7"/>
  <c r="U446" i="7"/>
  <c r="V446" i="7"/>
  <c r="W446" i="7"/>
  <c r="X446" i="7"/>
  <c r="Y446" i="7"/>
  <c r="Z446" i="7"/>
  <c r="AA446" i="7"/>
  <c r="AB446" i="7"/>
  <c r="E447" i="7"/>
  <c r="F447" i="7"/>
  <c r="G447" i="7"/>
  <c r="H447" i="7"/>
  <c r="I447" i="7"/>
  <c r="J447" i="7"/>
  <c r="K447" i="7"/>
  <c r="L447" i="7"/>
  <c r="M447" i="7"/>
  <c r="N447" i="7"/>
  <c r="O447" i="7"/>
  <c r="P447" i="7"/>
  <c r="Q447" i="7"/>
  <c r="R447" i="7"/>
  <c r="S447" i="7"/>
  <c r="T447" i="7"/>
  <c r="U447" i="7"/>
  <c r="V447" i="7"/>
  <c r="W447" i="7"/>
  <c r="X447" i="7"/>
  <c r="Y447" i="7"/>
  <c r="Z447" i="7"/>
  <c r="AA447" i="7"/>
  <c r="AB447" i="7"/>
  <c r="E448" i="7"/>
  <c r="F448" i="7"/>
  <c r="G448" i="7"/>
  <c r="H448" i="7"/>
  <c r="I448" i="7"/>
  <c r="J448" i="7"/>
  <c r="K448" i="7"/>
  <c r="L448" i="7"/>
  <c r="M448" i="7"/>
  <c r="N448" i="7"/>
  <c r="O448" i="7"/>
  <c r="P448" i="7"/>
  <c r="Q448" i="7"/>
  <c r="R448" i="7"/>
  <c r="S448" i="7"/>
  <c r="T448" i="7"/>
  <c r="U448" i="7"/>
  <c r="V448" i="7"/>
  <c r="W448" i="7"/>
  <c r="X448" i="7"/>
  <c r="Y448" i="7"/>
  <c r="Z448" i="7"/>
  <c r="AA448" i="7"/>
  <c r="AB448" i="7"/>
  <c r="E449" i="7"/>
  <c r="F449" i="7"/>
  <c r="G449" i="7"/>
  <c r="H449" i="7"/>
  <c r="I449" i="7"/>
  <c r="J449" i="7"/>
  <c r="K449" i="7"/>
  <c r="L449" i="7"/>
  <c r="M449" i="7"/>
  <c r="N449" i="7"/>
  <c r="O449" i="7"/>
  <c r="P449" i="7"/>
  <c r="Q449" i="7"/>
  <c r="R449" i="7"/>
  <c r="S449" i="7"/>
  <c r="T449" i="7"/>
  <c r="U449" i="7"/>
  <c r="V449" i="7"/>
  <c r="W449" i="7"/>
  <c r="X449" i="7"/>
  <c r="Y449" i="7"/>
  <c r="Z449" i="7"/>
  <c r="AA449" i="7"/>
  <c r="AB449" i="7"/>
  <c r="E450" i="7"/>
  <c r="F450" i="7"/>
  <c r="G450" i="7"/>
  <c r="H450" i="7"/>
  <c r="I450" i="7"/>
  <c r="J450" i="7"/>
  <c r="K450" i="7"/>
  <c r="L450" i="7"/>
  <c r="M450" i="7"/>
  <c r="N450" i="7"/>
  <c r="O450" i="7"/>
  <c r="P450" i="7"/>
  <c r="Q450" i="7"/>
  <c r="R450" i="7"/>
  <c r="S450" i="7"/>
  <c r="T450" i="7"/>
  <c r="U450" i="7"/>
  <c r="V450" i="7"/>
  <c r="W450" i="7"/>
  <c r="X450" i="7"/>
  <c r="Y450" i="7"/>
  <c r="Z450" i="7"/>
  <c r="AA450" i="7"/>
  <c r="AB450" i="7"/>
  <c r="E451" i="7"/>
  <c r="F451" i="7"/>
  <c r="G451" i="7"/>
  <c r="H451" i="7"/>
  <c r="I451" i="7"/>
  <c r="J451" i="7"/>
  <c r="K451" i="7"/>
  <c r="L451" i="7"/>
  <c r="M451" i="7"/>
  <c r="N451" i="7"/>
  <c r="O451" i="7"/>
  <c r="P451" i="7"/>
  <c r="Q451" i="7"/>
  <c r="R451" i="7"/>
  <c r="S451" i="7"/>
  <c r="T451" i="7"/>
  <c r="U451" i="7"/>
  <c r="V451" i="7"/>
  <c r="W451" i="7"/>
  <c r="X451" i="7"/>
  <c r="Y451" i="7"/>
  <c r="Z451" i="7"/>
  <c r="AA451" i="7"/>
  <c r="AB451" i="7"/>
  <c r="E452" i="7"/>
  <c r="F452" i="7"/>
  <c r="G452" i="7"/>
  <c r="H452" i="7"/>
  <c r="I452" i="7"/>
  <c r="J452" i="7"/>
  <c r="K452" i="7"/>
  <c r="L452" i="7"/>
  <c r="M452" i="7"/>
  <c r="N452" i="7"/>
  <c r="O452" i="7"/>
  <c r="P452" i="7"/>
  <c r="Q452" i="7"/>
  <c r="R452" i="7"/>
  <c r="S452" i="7"/>
  <c r="T452" i="7"/>
  <c r="U452" i="7"/>
  <c r="V452" i="7"/>
  <c r="W452" i="7"/>
  <c r="X452" i="7"/>
  <c r="Y452" i="7"/>
  <c r="Z452" i="7"/>
  <c r="AA452" i="7"/>
  <c r="AB452" i="7"/>
  <c r="E453" i="7"/>
  <c r="F453" i="7"/>
  <c r="G453" i="7"/>
  <c r="H453" i="7"/>
  <c r="I453" i="7"/>
  <c r="J453" i="7"/>
  <c r="K453" i="7"/>
  <c r="L453" i="7"/>
  <c r="M453" i="7"/>
  <c r="N453" i="7"/>
  <c r="O453" i="7"/>
  <c r="P453" i="7"/>
  <c r="Q453" i="7"/>
  <c r="R453" i="7"/>
  <c r="S453" i="7"/>
  <c r="T453" i="7"/>
  <c r="U453" i="7"/>
  <c r="V453" i="7"/>
  <c r="W453" i="7"/>
  <c r="X453" i="7"/>
  <c r="Y453" i="7"/>
  <c r="Z453" i="7"/>
  <c r="AA453" i="7"/>
  <c r="AB453" i="7"/>
  <c r="E454" i="7"/>
  <c r="F454" i="7"/>
  <c r="G454" i="7"/>
  <c r="H454" i="7"/>
  <c r="I454" i="7"/>
  <c r="J454" i="7"/>
  <c r="K454" i="7"/>
  <c r="L454" i="7"/>
  <c r="M454" i="7"/>
  <c r="N454" i="7"/>
  <c r="O454" i="7"/>
  <c r="P454" i="7"/>
  <c r="Q454" i="7"/>
  <c r="R454" i="7"/>
  <c r="S454" i="7"/>
  <c r="T454" i="7"/>
  <c r="U454" i="7"/>
  <c r="V454" i="7"/>
  <c r="W454" i="7"/>
  <c r="X454" i="7"/>
  <c r="Y454" i="7"/>
  <c r="Z454" i="7"/>
  <c r="AA454" i="7"/>
  <c r="AB454" i="7"/>
  <c r="E455" i="7"/>
  <c r="F455" i="7"/>
  <c r="G455" i="7"/>
  <c r="H455" i="7"/>
  <c r="I455" i="7"/>
  <c r="J455" i="7"/>
  <c r="K455" i="7"/>
  <c r="L455" i="7"/>
  <c r="M455" i="7"/>
  <c r="N455" i="7"/>
  <c r="O455" i="7"/>
  <c r="P455" i="7"/>
  <c r="Q455" i="7"/>
  <c r="R455" i="7"/>
  <c r="S455" i="7"/>
  <c r="T455" i="7"/>
  <c r="U455" i="7"/>
  <c r="V455" i="7"/>
  <c r="W455" i="7"/>
  <c r="X455" i="7"/>
  <c r="Y455" i="7"/>
  <c r="Z455" i="7"/>
  <c r="AA455" i="7"/>
  <c r="AB455" i="7"/>
  <c r="E456" i="7"/>
  <c r="F456" i="7"/>
  <c r="G456" i="7"/>
  <c r="H456" i="7"/>
  <c r="I456" i="7"/>
  <c r="J456" i="7"/>
  <c r="K456" i="7"/>
  <c r="L456" i="7"/>
  <c r="M456" i="7"/>
  <c r="N456" i="7"/>
  <c r="O456" i="7"/>
  <c r="P456" i="7"/>
  <c r="Q456" i="7"/>
  <c r="R456" i="7"/>
  <c r="S456" i="7"/>
  <c r="T456" i="7"/>
  <c r="U456" i="7"/>
  <c r="V456" i="7"/>
  <c r="W456" i="7"/>
  <c r="X456" i="7"/>
  <c r="Y456" i="7"/>
  <c r="Z456" i="7"/>
  <c r="AA456" i="7"/>
  <c r="AB456" i="7"/>
  <c r="E457" i="7"/>
  <c r="F457" i="7"/>
  <c r="G457" i="7"/>
  <c r="H457" i="7"/>
  <c r="I457" i="7"/>
  <c r="J457" i="7"/>
  <c r="K457" i="7"/>
  <c r="L457" i="7"/>
  <c r="M457" i="7"/>
  <c r="N457" i="7"/>
  <c r="O457" i="7"/>
  <c r="P457" i="7"/>
  <c r="Q457" i="7"/>
  <c r="R457" i="7"/>
  <c r="S457" i="7"/>
  <c r="T457" i="7"/>
  <c r="U457" i="7"/>
  <c r="V457" i="7"/>
  <c r="W457" i="7"/>
  <c r="X457" i="7"/>
  <c r="Y457" i="7"/>
  <c r="Z457" i="7"/>
  <c r="AA457" i="7"/>
  <c r="AB457" i="7"/>
  <c r="E458" i="7"/>
  <c r="F458" i="7"/>
  <c r="G458" i="7"/>
  <c r="H458" i="7"/>
  <c r="I458" i="7"/>
  <c r="J458" i="7"/>
  <c r="K458" i="7"/>
  <c r="L458" i="7"/>
  <c r="M458" i="7"/>
  <c r="N458" i="7"/>
  <c r="O458" i="7"/>
  <c r="P458" i="7"/>
  <c r="Q458" i="7"/>
  <c r="R458" i="7"/>
  <c r="S458" i="7"/>
  <c r="T458" i="7"/>
  <c r="U458" i="7"/>
  <c r="V458" i="7"/>
  <c r="W458" i="7"/>
  <c r="X458" i="7"/>
  <c r="Y458" i="7"/>
  <c r="Z458" i="7"/>
  <c r="AA458" i="7"/>
  <c r="AB458" i="7"/>
  <c r="E459" i="7"/>
  <c r="F459" i="7"/>
  <c r="G459" i="7"/>
  <c r="H459" i="7"/>
  <c r="I459" i="7"/>
  <c r="J459" i="7"/>
  <c r="K459" i="7"/>
  <c r="L459" i="7"/>
  <c r="M459" i="7"/>
  <c r="N459" i="7"/>
  <c r="O459" i="7"/>
  <c r="P459" i="7"/>
  <c r="Q459" i="7"/>
  <c r="R459" i="7"/>
  <c r="S459" i="7"/>
  <c r="T459" i="7"/>
  <c r="U459" i="7"/>
  <c r="V459" i="7"/>
  <c r="W459" i="7"/>
  <c r="X459" i="7"/>
  <c r="Y459" i="7"/>
  <c r="Z459" i="7"/>
  <c r="AA459" i="7"/>
  <c r="AB459" i="7"/>
  <c r="E460" i="7"/>
  <c r="F460" i="7"/>
  <c r="G460" i="7"/>
  <c r="H460" i="7"/>
  <c r="I460" i="7"/>
  <c r="J460" i="7"/>
  <c r="K460" i="7"/>
  <c r="L460" i="7"/>
  <c r="M460" i="7"/>
  <c r="N460" i="7"/>
  <c r="O460" i="7"/>
  <c r="P460" i="7"/>
  <c r="Q460" i="7"/>
  <c r="R460" i="7"/>
  <c r="S460" i="7"/>
  <c r="T460" i="7"/>
  <c r="U460" i="7"/>
  <c r="V460" i="7"/>
  <c r="W460" i="7"/>
  <c r="X460" i="7"/>
  <c r="Y460" i="7"/>
  <c r="Z460" i="7"/>
  <c r="AA460" i="7"/>
  <c r="AB460" i="7"/>
  <c r="E461" i="7"/>
  <c r="F461" i="7"/>
  <c r="G461" i="7"/>
  <c r="H461" i="7"/>
  <c r="I461" i="7"/>
  <c r="J461" i="7"/>
  <c r="K461" i="7"/>
  <c r="L461" i="7"/>
  <c r="M461" i="7"/>
  <c r="N461" i="7"/>
  <c r="O461" i="7"/>
  <c r="P461" i="7"/>
  <c r="Q461" i="7"/>
  <c r="R461" i="7"/>
  <c r="S461" i="7"/>
  <c r="T461" i="7"/>
  <c r="U461" i="7"/>
  <c r="V461" i="7"/>
  <c r="W461" i="7"/>
  <c r="X461" i="7"/>
  <c r="Y461" i="7"/>
  <c r="Z461" i="7"/>
  <c r="AA461" i="7"/>
  <c r="AB461" i="7"/>
  <c r="E462" i="7"/>
  <c r="F462" i="7"/>
  <c r="G462" i="7"/>
  <c r="H462" i="7"/>
  <c r="I462" i="7"/>
  <c r="J462" i="7"/>
  <c r="K462" i="7"/>
  <c r="L462" i="7"/>
  <c r="M462" i="7"/>
  <c r="N462" i="7"/>
  <c r="O462" i="7"/>
  <c r="P462" i="7"/>
  <c r="Q462" i="7"/>
  <c r="R462" i="7"/>
  <c r="S462" i="7"/>
  <c r="T462" i="7"/>
  <c r="U462" i="7"/>
  <c r="V462" i="7"/>
  <c r="W462" i="7"/>
  <c r="X462" i="7"/>
  <c r="Y462" i="7"/>
  <c r="Z462" i="7"/>
  <c r="AA462" i="7"/>
  <c r="AB462" i="7"/>
  <c r="E463" i="7"/>
  <c r="F463" i="7"/>
  <c r="G463" i="7"/>
  <c r="H463" i="7"/>
  <c r="I463" i="7"/>
  <c r="J463" i="7"/>
  <c r="K463" i="7"/>
  <c r="L463" i="7"/>
  <c r="M463" i="7"/>
  <c r="N463" i="7"/>
  <c r="O463" i="7"/>
  <c r="P463" i="7"/>
  <c r="Q463" i="7"/>
  <c r="R463" i="7"/>
  <c r="S463" i="7"/>
  <c r="T463" i="7"/>
  <c r="U463" i="7"/>
  <c r="V463" i="7"/>
  <c r="W463" i="7"/>
  <c r="X463" i="7"/>
  <c r="Y463" i="7"/>
  <c r="Z463" i="7"/>
  <c r="AA463" i="7"/>
  <c r="AB463" i="7"/>
  <c r="E464" i="7"/>
  <c r="F464" i="7"/>
  <c r="G464" i="7"/>
  <c r="H464" i="7"/>
  <c r="I464" i="7"/>
  <c r="J464" i="7"/>
  <c r="K464" i="7"/>
  <c r="L464" i="7"/>
  <c r="M464" i="7"/>
  <c r="N464" i="7"/>
  <c r="O464" i="7"/>
  <c r="P464" i="7"/>
  <c r="Q464" i="7"/>
  <c r="R464" i="7"/>
  <c r="S464" i="7"/>
  <c r="T464" i="7"/>
  <c r="U464" i="7"/>
  <c r="V464" i="7"/>
  <c r="W464" i="7"/>
  <c r="X464" i="7"/>
  <c r="Y464" i="7"/>
  <c r="Z464" i="7"/>
  <c r="AA464" i="7"/>
  <c r="AB464" i="7"/>
  <c r="E465" i="7"/>
  <c r="F465" i="7"/>
  <c r="G465" i="7"/>
  <c r="H465" i="7"/>
  <c r="I465" i="7"/>
  <c r="J465" i="7"/>
  <c r="K465" i="7"/>
  <c r="L465" i="7"/>
  <c r="M465" i="7"/>
  <c r="N465" i="7"/>
  <c r="O465" i="7"/>
  <c r="P465" i="7"/>
  <c r="Q465" i="7"/>
  <c r="R465" i="7"/>
  <c r="S465" i="7"/>
  <c r="T465" i="7"/>
  <c r="U465" i="7"/>
  <c r="V465" i="7"/>
  <c r="W465" i="7"/>
  <c r="X465" i="7"/>
  <c r="Y465" i="7"/>
  <c r="Z465" i="7"/>
  <c r="AA465" i="7"/>
  <c r="AB465" i="7"/>
  <c r="E466" i="7"/>
  <c r="F466" i="7"/>
  <c r="G466" i="7"/>
  <c r="H466" i="7"/>
  <c r="I466" i="7"/>
  <c r="J466" i="7"/>
  <c r="K466" i="7"/>
  <c r="L466" i="7"/>
  <c r="M466" i="7"/>
  <c r="N466" i="7"/>
  <c r="O466" i="7"/>
  <c r="P466" i="7"/>
  <c r="Q466" i="7"/>
  <c r="R466" i="7"/>
  <c r="S466" i="7"/>
  <c r="T466" i="7"/>
  <c r="U466" i="7"/>
  <c r="V466" i="7"/>
  <c r="W466" i="7"/>
  <c r="X466" i="7"/>
  <c r="Y466" i="7"/>
  <c r="Z466" i="7"/>
  <c r="AA466" i="7"/>
  <c r="AB466" i="7"/>
  <c r="E467" i="7"/>
  <c r="F467" i="7"/>
  <c r="G467" i="7"/>
  <c r="H467" i="7"/>
  <c r="I467" i="7"/>
  <c r="J467" i="7"/>
  <c r="K467" i="7"/>
  <c r="L467" i="7"/>
  <c r="M467" i="7"/>
  <c r="N467" i="7"/>
  <c r="O467" i="7"/>
  <c r="P467" i="7"/>
  <c r="Q467" i="7"/>
  <c r="R467" i="7"/>
  <c r="S467" i="7"/>
  <c r="T467" i="7"/>
  <c r="U467" i="7"/>
  <c r="V467" i="7"/>
  <c r="W467" i="7"/>
  <c r="X467" i="7"/>
  <c r="Y467" i="7"/>
  <c r="Z467" i="7"/>
  <c r="AA467" i="7"/>
  <c r="AB467" i="7"/>
  <c r="E468" i="7"/>
  <c r="F468" i="7"/>
  <c r="G468" i="7"/>
  <c r="H468" i="7"/>
  <c r="I468" i="7"/>
  <c r="J468" i="7"/>
  <c r="K468" i="7"/>
  <c r="L468" i="7"/>
  <c r="M468" i="7"/>
  <c r="N468" i="7"/>
  <c r="O468" i="7"/>
  <c r="P468" i="7"/>
  <c r="Q468" i="7"/>
  <c r="R468" i="7"/>
  <c r="S468" i="7"/>
  <c r="T468" i="7"/>
  <c r="U468" i="7"/>
  <c r="V468" i="7"/>
  <c r="W468" i="7"/>
  <c r="X468" i="7"/>
  <c r="Y468" i="7"/>
  <c r="Z468" i="7"/>
  <c r="AA468" i="7"/>
  <c r="AB468" i="7"/>
  <c r="E469" i="7"/>
  <c r="F469" i="7"/>
  <c r="G469" i="7"/>
  <c r="H469" i="7"/>
  <c r="I469" i="7"/>
  <c r="J469" i="7"/>
  <c r="K469" i="7"/>
  <c r="L469" i="7"/>
  <c r="M469" i="7"/>
  <c r="N469" i="7"/>
  <c r="O469" i="7"/>
  <c r="P469" i="7"/>
  <c r="Q469" i="7"/>
  <c r="R469" i="7"/>
  <c r="S469" i="7"/>
  <c r="T469" i="7"/>
  <c r="U469" i="7"/>
  <c r="V469" i="7"/>
  <c r="W469" i="7"/>
  <c r="X469" i="7"/>
  <c r="Y469" i="7"/>
  <c r="Z469" i="7"/>
  <c r="AA469" i="7"/>
  <c r="AB469" i="7"/>
  <c r="E470" i="7"/>
  <c r="F470" i="7"/>
  <c r="G470" i="7"/>
  <c r="H470" i="7"/>
  <c r="I470" i="7"/>
  <c r="J470" i="7"/>
  <c r="K470" i="7"/>
  <c r="L470" i="7"/>
  <c r="M470" i="7"/>
  <c r="N470" i="7"/>
  <c r="O470" i="7"/>
  <c r="P470" i="7"/>
  <c r="Q470" i="7"/>
  <c r="R470" i="7"/>
  <c r="S470" i="7"/>
  <c r="T470" i="7"/>
  <c r="U470" i="7"/>
  <c r="V470" i="7"/>
  <c r="W470" i="7"/>
  <c r="X470" i="7"/>
  <c r="Y470" i="7"/>
  <c r="Z470" i="7"/>
  <c r="AA470" i="7"/>
  <c r="AB470" i="7"/>
  <c r="E471" i="7"/>
  <c r="F471" i="7"/>
  <c r="G471" i="7"/>
  <c r="H471" i="7"/>
  <c r="I471" i="7"/>
  <c r="J471" i="7"/>
  <c r="K471" i="7"/>
  <c r="L471" i="7"/>
  <c r="M471" i="7"/>
  <c r="N471" i="7"/>
  <c r="O471" i="7"/>
  <c r="P471" i="7"/>
  <c r="Q471" i="7"/>
  <c r="R471" i="7"/>
  <c r="S471" i="7"/>
  <c r="T471" i="7"/>
  <c r="U471" i="7"/>
  <c r="V471" i="7"/>
  <c r="W471" i="7"/>
  <c r="X471" i="7"/>
  <c r="Y471" i="7"/>
  <c r="Z471" i="7"/>
  <c r="AA471" i="7"/>
  <c r="AB471" i="7"/>
  <c r="E472" i="7"/>
  <c r="F472" i="7"/>
  <c r="G472" i="7"/>
  <c r="H472" i="7"/>
  <c r="I472" i="7"/>
  <c r="J472" i="7"/>
  <c r="K472" i="7"/>
  <c r="L472" i="7"/>
  <c r="M472" i="7"/>
  <c r="N472" i="7"/>
  <c r="O472" i="7"/>
  <c r="P472" i="7"/>
  <c r="Q472" i="7"/>
  <c r="R472" i="7"/>
  <c r="S472" i="7"/>
  <c r="T472" i="7"/>
  <c r="U472" i="7"/>
  <c r="V472" i="7"/>
  <c r="W472" i="7"/>
  <c r="X472" i="7"/>
  <c r="Y472" i="7"/>
  <c r="Z472" i="7"/>
  <c r="AA472" i="7"/>
  <c r="AB472" i="7"/>
  <c r="E473" i="7"/>
  <c r="F473" i="7"/>
  <c r="G473" i="7"/>
  <c r="H473" i="7"/>
  <c r="I473" i="7"/>
  <c r="J473" i="7"/>
  <c r="K473" i="7"/>
  <c r="L473" i="7"/>
  <c r="M473" i="7"/>
  <c r="N473" i="7"/>
  <c r="O473" i="7"/>
  <c r="P473" i="7"/>
  <c r="Q473" i="7"/>
  <c r="R473" i="7"/>
  <c r="S473" i="7"/>
  <c r="T473" i="7"/>
  <c r="U473" i="7"/>
  <c r="V473" i="7"/>
  <c r="W473" i="7"/>
  <c r="X473" i="7"/>
  <c r="Y473" i="7"/>
  <c r="Z473" i="7"/>
  <c r="AA473" i="7"/>
  <c r="AB473" i="7"/>
  <c r="E474" i="7"/>
  <c r="F474" i="7"/>
  <c r="G474" i="7"/>
  <c r="H474" i="7"/>
  <c r="I474" i="7"/>
  <c r="J474" i="7"/>
  <c r="K474" i="7"/>
  <c r="L474" i="7"/>
  <c r="M474" i="7"/>
  <c r="N474" i="7"/>
  <c r="O474" i="7"/>
  <c r="P474" i="7"/>
  <c r="Q474" i="7"/>
  <c r="R474" i="7"/>
  <c r="S474" i="7"/>
  <c r="T474" i="7"/>
  <c r="U474" i="7"/>
  <c r="V474" i="7"/>
  <c r="W474" i="7"/>
  <c r="X474" i="7"/>
  <c r="Y474" i="7"/>
  <c r="Z474" i="7"/>
  <c r="AA474" i="7"/>
  <c r="AB474" i="7"/>
  <c r="E475" i="7"/>
  <c r="F475" i="7"/>
  <c r="G475" i="7"/>
  <c r="H475" i="7"/>
  <c r="I475" i="7"/>
  <c r="J475" i="7"/>
  <c r="K475" i="7"/>
  <c r="L475" i="7"/>
  <c r="M475" i="7"/>
  <c r="N475" i="7"/>
  <c r="O475" i="7"/>
  <c r="P475" i="7"/>
  <c r="Q475" i="7"/>
  <c r="R475" i="7"/>
  <c r="S475" i="7"/>
  <c r="T475" i="7"/>
  <c r="U475" i="7"/>
  <c r="V475" i="7"/>
  <c r="W475" i="7"/>
  <c r="X475" i="7"/>
  <c r="Y475" i="7"/>
  <c r="Z475" i="7"/>
  <c r="AA475" i="7"/>
  <c r="AB475" i="7"/>
  <c r="E476" i="7"/>
  <c r="F476" i="7"/>
  <c r="G476" i="7"/>
  <c r="H476" i="7"/>
  <c r="I476" i="7"/>
  <c r="J476" i="7"/>
  <c r="K476" i="7"/>
  <c r="L476" i="7"/>
  <c r="M476" i="7"/>
  <c r="N476" i="7"/>
  <c r="O476" i="7"/>
  <c r="P476" i="7"/>
  <c r="Q476" i="7"/>
  <c r="R476" i="7"/>
  <c r="S476" i="7"/>
  <c r="T476" i="7"/>
  <c r="U476" i="7"/>
  <c r="V476" i="7"/>
  <c r="W476" i="7"/>
  <c r="X476" i="7"/>
  <c r="Y476" i="7"/>
  <c r="Z476" i="7"/>
  <c r="AA476" i="7"/>
  <c r="AB476" i="7"/>
  <c r="E477" i="7"/>
  <c r="F477" i="7"/>
  <c r="G477" i="7"/>
  <c r="H477" i="7"/>
  <c r="I477" i="7"/>
  <c r="J477" i="7"/>
  <c r="K477" i="7"/>
  <c r="L477" i="7"/>
  <c r="M477" i="7"/>
  <c r="N477" i="7"/>
  <c r="O477" i="7"/>
  <c r="P477" i="7"/>
  <c r="Q477" i="7"/>
  <c r="R477" i="7"/>
  <c r="S477" i="7"/>
  <c r="T477" i="7"/>
  <c r="U477" i="7"/>
  <c r="V477" i="7"/>
  <c r="W477" i="7"/>
  <c r="X477" i="7"/>
  <c r="Y477" i="7"/>
  <c r="Z477" i="7"/>
  <c r="AA477" i="7"/>
  <c r="AB477" i="7"/>
  <c r="E478" i="7"/>
  <c r="F478" i="7"/>
  <c r="G478" i="7"/>
  <c r="H478" i="7"/>
  <c r="I478" i="7"/>
  <c r="J478" i="7"/>
  <c r="K478" i="7"/>
  <c r="L478" i="7"/>
  <c r="M478" i="7"/>
  <c r="N478" i="7"/>
  <c r="O478" i="7"/>
  <c r="P478" i="7"/>
  <c r="Q478" i="7"/>
  <c r="R478" i="7"/>
  <c r="S478" i="7"/>
  <c r="T478" i="7"/>
  <c r="U478" i="7"/>
  <c r="V478" i="7"/>
  <c r="W478" i="7"/>
  <c r="X478" i="7"/>
  <c r="Y478" i="7"/>
  <c r="Z478" i="7"/>
  <c r="AA478" i="7"/>
  <c r="AB478" i="7"/>
  <c r="E479" i="7"/>
  <c r="F479" i="7"/>
  <c r="G479" i="7"/>
  <c r="H479" i="7"/>
  <c r="I479" i="7"/>
  <c r="J479" i="7"/>
  <c r="K479" i="7"/>
  <c r="L479" i="7"/>
  <c r="M479" i="7"/>
  <c r="N479" i="7"/>
  <c r="O479" i="7"/>
  <c r="P479" i="7"/>
  <c r="Q479" i="7"/>
  <c r="R479" i="7"/>
  <c r="S479" i="7"/>
  <c r="T479" i="7"/>
  <c r="U479" i="7"/>
  <c r="V479" i="7"/>
  <c r="W479" i="7"/>
  <c r="X479" i="7"/>
  <c r="Y479" i="7"/>
  <c r="Z479" i="7"/>
  <c r="AA479" i="7"/>
  <c r="AB479" i="7"/>
  <c r="E480" i="7"/>
  <c r="F480" i="7"/>
  <c r="G480" i="7"/>
  <c r="H480" i="7"/>
  <c r="I480" i="7"/>
  <c r="J480" i="7"/>
  <c r="K480" i="7"/>
  <c r="L480" i="7"/>
  <c r="M480" i="7"/>
  <c r="N480" i="7"/>
  <c r="O480" i="7"/>
  <c r="P480" i="7"/>
  <c r="Q480" i="7"/>
  <c r="R480" i="7"/>
  <c r="S480" i="7"/>
  <c r="T480" i="7"/>
  <c r="U480" i="7"/>
  <c r="V480" i="7"/>
  <c r="W480" i="7"/>
  <c r="X480" i="7"/>
  <c r="Y480" i="7"/>
  <c r="Z480" i="7"/>
  <c r="AA480" i="7"/>
  <c r="AB480" i="7"/>
  <c r="E481" i="7"/>
  <c r="F481" i="7"/>
  <c r="G481" i="7"/>
  <c r="H481" i="7"/>
  <c r="I481" i="7"/>
  <c r="J481" i="7"/>
  <c r="K481" i="7"/>
  <c r="L481" i="7"/>
  <c r="M481" i="7"/>
  <c r="N481" i="7"/>
  <c r="O481" i="7"/>
  <c r="P481" i="7"/>
  <c r="Q481" i="7"/>
  <c r="R481" i="7"/>
  <c r="S481" i="7"/>
  <c r="T481" i="7"/>
  <c r="U481" i="7"/>
  <c r="V481" i="7"/>
  <c r="W481" i="7"/>
  <c r="X481" i="7"/>
  <c r="Y481" i="7"/>
  <c r="Z481" i="7"/>
  <c r="AA481" i="7"/>
  <c r="AB481" i="7"/>
  <c r="E482" i="7"/>
  <c r="F482" i="7"/>
  <c r="G482" i="7"/>
  <c r="H482" i="7"/>
  <c r="I482" i="7"/>
  <c r="J482" i="7"/>
  <c r="K482" i="7"/>
  <c r="L482" i="7"/>
  <c r="M482" i="7"/>
  <c r="N482" i="7"/>
  <c r="O482" i="7"/>
  <c r="P482" i="7"/>
  <c r="Q482" i="7"/>
  <c r="R482" i="7"/>
  <c r="S482" i="7"/>
  <c r="T482" i="7"/>
  <c r="U482" i="7"/>
  <c r="V482" i="7"/>
  <c r="W482" i="7"/>
  <c r="X482" i="7"/>
  <c r="Y482" i="7"/>
  <c r="Z482" i="7"/>
  <c r="AA482" i="7"/>
  <c r="AB482" i="7"/>
  <c r="E483" i="7"/>
  <c r="F483" i="7"/>
  <c r="G483" i="7"/>
  <c r="H483" i="7"/>
  <c r="I483" i="7"/>
  <c r="J483" i="7"/>
  <c r="K483" i="7"/>
  <c r="L483" i="7"/>
  <c r="M483" i="7"/>
  <c r="N483" i="7"/>
  <c r="O483" i="7"/>
  <c r="P483" i="7"/>
  <c r="Q483" i="7"/>
  <c r="R483" i="7"/>
  <c r="S483" i="7"/>
  <c r="T483" i="7"/>
  <c r="U483" i="7"/>
  <c r="V483" i="7"/>
  <c r="W483" i="7"/>
  <c r="X483" i="7"/>
  <c r="Y483" i="7"/>
  <c r="Z483" i="7"/>
  <c r="AA483" i="7"/>
  <c r="AB483" i="7"/>
  <c r="E484" i="7"/>
  <c r="F484" i="7"/>
  <c r="G484" i="7"/>
  <c r="H484" i="7"/>
  <c r="I484" i="7"/>
  <c r="J484" i="7"/>
  <c r="K484" i="7"/>
  <c r="L484" i="7"/>
  <c r="M484" i="7"/>
  <c r="N484" i="7"/>
  <c r="O484" i="7"/>
  <c r="P484" i="7"/>
  <c r="Q484" i="7"/>
  <c r="R484" i="7"/>
  <c r="S484" i="7"/>
  <c r="T484" i="7"/>
  <c r="U484" i="7"/>
  <c r="V484" i="7"/>
  <c r="W484" i="7"/>
  <c r="X484" i="7"/>
  <c r="Y484" i="7"/>
  <c r="Z484" i="7"/>
  <c r="AA484" i="7"/>
  <c r="AB484" i="7"/>
  <c r="E485" i="7"/>
  <c r="F485" i="7"/>
  <c r="G485" i="7"/>
  <c r="H485" i="7"/>
  <c r="I485" i="7"/>
  <c r="J485" i="7"/>
  <c r="K485" i="7"/>
  <c r="L485" i="7"/>
  <c r="M485" i="7"/>
  <c r="N485" i="7"/>
  <c r="O485" i="7"/>
  <c r="P485" i="7"/>
  <c r="Q485" i="7"/>
  <c r="R485" i="7"/>
  <c r="S485" i="7"/>
  <c r="T485" i="7"/>
  <c r="U485" i="7"/>
  <c r="V485" i="7"/>
  <c r="W485" i="7"/>
  <c r="X485" i="7"/>
  <c r="Y485" i="7"/>
  <c r="Z485" i="7"/>
  <c r="AA485" i="7"/>
  <c r="AB485" i="7"/>
  <c r="E486" i="7"/>
  <c r="F486" i="7"/>
  <c r="G486" i="7"/>
  <c r="H486" i="7"/>
  <c r="I486" i="7"/>
  <c r="J486" i="7"/>
  <c r="K486" i="7"/>
  <c r="L486" i="7"/>
  <c r="M486" i="7"/>
  <c r="N486" i="7"/>
  <c r="O486" i="7"/>
  <c r="P486" i="7"/>
  <c r="Q486" i="7"/>
  <c r="R486" i="7"/>
  <c r="S486" i="7"/>
  <c r="T486" i="7"/>
  <c r="U486" i="7"/>
  <c r="V486" i="7"/>
  <c r="W486" i="7"/>
  <c r="X486" i="7"/>
  <c r="Y486" i="7"/>
  <c r="Z486" i="7"/>
  <c r="AA486" i="7"/>
  <c r="AB486" i="7"/>
  <c r="E487" i="7"/>
  <c r="F487" i="7"/>
  <c r="G487" i="7"/>
  <c r="H487" i="7"/>
  <c r="I487" i="7"/>
  <c r="J487" i="7"/>
  <c r="K487" i="7"/>
  <c r="L487" i="7"/>
  <c r="M487" i="7"/>
  <c r="N487" i="7"/>
  <c r="O487" i="7"/>
  <c r="P487" i="7"/>
  <c r="Q487" i="7"/>
  <c r="R487" i="7"/>
  <c r="S487" i="7"/>
  <c r="T487" i="7"/>
  <c r="U487" i="7"/>
  <c r="V487" i="7"/>
  <c r="W487" i="7"/>
  <c r="X487" i="7"/>
  <c r="Y487" i="7"/>
  <c r="Z487" i="7"/>
  <c r="AA487" i="7"/>
  <c r="AB487" i="7"/>
  <c r="E488" i="7"/>
  <c r="F488" i="7"/>
  <c r="G488" i="7"/>
  <c r="H488" i="7"/>
  <c r="I488" i="7"/>
  <c r="J488" i="7"/>
  <c r="K488" i="7"/>
  <c r="L488" i="7"/>
  <c r="M488" i="7"/>
  <c r="N488" i="7"/>
  <c r="O488" i="7"/>
  <c r="P488" i="7"/>
  <c r="Q488" i="7"/>
  <c r="R488" i="7"/>
  <c r="S488" i="7"/>
  <c r="T488" i="7"/>
  <c r="U488" i="7"/>
  <c r="V488" i="7"/>
  <c r="W488" i="7"/>
  <c r="X488" i="7"/>
  <c r="Y488" i="7"/>
  <c r="Z488" i="7"/>
  <c r="AA488" i="7"/>
  <c r="AB488" i="7"/>
  <c r="E489" i="7"/>
  <c r="F489" i="7"/>
  <c r="G489" i="7"/>
  <c r="H489" i="7"/>
  <c r="I489" i="7"/>
  <c r="J489" i="7"/>
  <c r="K489" i="7"/>
  <c r="L489" i="7"/>
  <c r="M489" i="7"/>
  <c r="N489" i="7"/>
  <c r="O489" i="7"/>
  <c r="P489" i="7"/>
  <c r="Q489" i="7"/>
  <c r="R489" i="7"/>
  <c r="S489" i="7"/>
  <c r="T489" i="7"/>
  <c r="U489" i="7"/>
  <c r="V489" i="7"/>
  <c r="W489" i="7"/>
  <c r="X489" i="7"/>
  <c r="Y489" i="7"/>
  <c r="Z489" i="7"/>
  <c r="AA489" i="7"/>
  <c r="AB489" i="7"/>
  <c r="E490" i="7"/>
  <c r="F490" i="7"/>
  <c r="G490" i="7"/>
  <c r="H490" i="7"/>
  <c r="I490" i="7"/>
  <c r="J490" i="7"/>
  <c r="K490" i="7"/>
  <c r="L490" i="7"/>
  <c r="M490" i="7"/>
  <c r="N490" i="7"/>
  <c r="O490" i="7"/>
  <c r="P490" i="7"/>
  <c r="Q490" i="7"/>
  <c r="R490" i="7"/>
  <c r="S490" i="7"/>
  <c r="T490" i="7"/>
  <c r="U490" i="7"/>
  <c r="V490" i="7"/>
  <c r="W490" i="7"/>
  <c r="X490" i="7"/>
  <c r="Y490" i="7"/>
  <c r="Z490" i="7"/>
  <c r="AA490" i="7"/>
  <c r="AB490" i="7"/>
  <c r="E491" i="7"/>
  <c r="F491" i="7"/>
  <c r="G491" i="7"/>
  <c r="H491" i="7"/>
  <c r="I491" i="7"/>
  <c r="J491" i="7"/>
  <c r="K491" i="7"/>
  <c r="L491" i="7"/>
  <c r="M491" i="7"/>
  <c r="N491" i="7"/>
  <c r="O491" i="7"/>
  <c r="P491" i="7"/>
  <c r="Q491" i="7"/>
  <c r="R491" i="7"/>
  <c r="S491" i="7"/>
  <c r="T491" i="7"/>
  <c r="U491" i="7"/>
  <c r="V491" i="7"/>
  <c r="W491" i="7"/>
  <c r="X491" i="7"/>
  <c r="Y491" i="7"/>
  <c r="Z491" i="7"/>
  <c r="AA491" i="7"/>
  <c r="AB491" i="7"/>
  <c r="E492" i="7"/>
  <c r="F492" i="7"/>
  <c r="G492" i="7"/>
  <c r="H492" i="7"/>
  <c r="I492" i="7"/>
  <c r="J492" i="7"/>
  <c r="K492" i="7"/>
  <c r="L492" i="7"/>
  <c r="M492" i="7"/>
  <c r="N492" i="7"/>
  <c r="O492" i="7"/>
  <c r="P492" i="7"/>
  <c r="Q492" i="7"/>
  <c r="R492" i="7"/>
  <c r="S492" i="7"/>
  <c r="T492" i="7"/>
  <c r="U492" i="7"/>
  <c r="V492" i="7"/>
  <c r="W492" i="7"/>
  <c r="X492" i="7"/>
  <c r="Y492" i="7"/>
  <c r="Z492" i="7"/>
  <c r="AA492" i="7"/>
  <c r="AB492" i="7"/>
  <c r="E493" i="7"/>
  <c r="F493" i="7"/>
  <c r="G493" i="7"/>
  <c r="H493" i="7"/>
  <c r="I493" i="7"/>
  <c r="J493" i="7"/>
  <c r="K493" i="7"/>
  <c r="L493" i="7"/>
  <c r="M493" i="7"/>
  <c r="N493" i="7"/>
  <c r="O493" i="7"/>
  <c r="P493" i="7"/>
  <c r="Q493" i="7"/>
  <c r="R493" i="7"/>
  <c r="S493" i="7"/>
  <c r="T493" i="7"/>
  <c r="U493" i="7"/>
  <c r="V493" i="7"/>
  <c r="W493" i="7"/>
  <c r="X493" i="7"/>
  <c r="Y493" i="7"/>
  <c r="Z493" i="7"/>
  <c r="AA493" i="7"/>
  <c r="AB493" i="7"/>
  <c r="E494" i="7"/>
  <c r="F494" i="7"/>
  <c r="G494" i="7"/>
  <c r="H494" i="7"/>
  <c r="I494" i="7"/>
  <c r="J494" i="7"/>
  <c r="K494" i="7"/>
  <c r="L494" i="7"/>
  <c r="M494" i="7"/>
  <c r="N494" i="7"/>
  <c r="O494" i="7"/>
  <c r="P494" i="7"/>
  <c r="Q494" i="7"/>
  <c r="R494" i="7"/>
  <c r="S494" i="7"/>
  <c r="T494" i="7"/>
  <c r="U494" i="7"/>
  <c r="V494" i="7"/>
  <c r="W494" i="7"/>
  <c r="X494" i="7"/>
  <c r="Y494" i="7"/>
  <c r="Z494" i="7"/>
  <c r="AA494" i="7"/>
  <c r="AB494" i="7"/>
  <c r="E495" i="7"/>
  <c r="F495" i="7"/>
  <c r="G495" i="7"/>
  <c r="H495" i="7"/>
  <c r="I495" i="7"/>
  <c r="J495" i="7"/>
  <c r="K495" i="7"/>
  <c r="L495" i="7"/>
  <c r="M495" i="7"/>
  <c r="N495" i="7"/>
  <c r="O495" i="7"/>
  <c r="P495" i="7"/>
  <c r="Q495" i="7"/>
  <c r="R495" i="7"/>
  <c r="S495" i="7"/>
  <c r="T495" i="7"/>
  <c r="U495" i="7"/>
  <c r="V495" i="7"/>
  <c r="W495" i="7"/>
  <c r="X495" i="7"/>
  <c r="Y495" i="7"/>
  <c r="Z495" i="7"/>
  <c r="AA495" i="7"/>
  <c r="AB495" i="7"/>
  <c r="E496" i="7"/>
  <c r="F496" i="7"/>
  <c r="G496" i="7"/>
  <c r="H496" i="7"/>
  <c r="I496" i="7"/>
  <c r="J496" i="7"/>
  <c r="K496" i="7"/>
  <c r="L496" i="7"/>
  <c r="M496" i="7"/>
  <c r="N496" i="7"/>
  <c r="O496" i="7"/>
  <c r="P496" i="7"/>
  <c r="Q496" i="7"/>
  <c r="R496" i="7"/>
  <c r="S496" i="7"/>
  <c r="T496" i="7"/>
  <c r="U496" i="7"/>
  <c r="V496" i="7"/>
  <c r="W496" i="7"/>
  <c r="X496" i="7"/>
  <c r="Y496" i="7"/>
  <c r="Z496" i="7"/>
  <c r="AA496" i="7"/>
  <c r="AB496" i="7"/>
  <c r="E497" i="7"/>
  <c r="F497" i="7"/>
  <c r="G497" i="7"/>
  <c r="H497" i="7"/>
  <c r="I497" i="7"/>
  <c r="J497" i="7"/>
  <c r="K497" i="7"/>
  <c r="L497" i="7"/>
  <c r="M497" i="7"/>
  <c r="N497" i="7"/>
  <c r="O497" i="7"/>
  <c r="P497" i="7"/>
  <c r="Q497" i="7"/>
  <c r="R497" i="7"/>
  <c r="S497" i="7"/>
  <c r="T497" i="7"/>
  <c r="U497" i="7"/>
  <c r="V497" i="7"/>
  <c r="W497" i="7"/>
  <c r="X497" i="7"/>
  <c r="Y497" i="7"/>
  <c r="Z497" i="7"/>
  <c r="AA497" i="7"/>
  <c r="AB497" i="7"/>
  <c r="E498" i="7"/>
  <c r="F498" i="7"/>
  <c r="G498" i="7"/>
  <c r="H498" i="7"/>
  <c r="I498" i="7"/>
  <c r="J498" i="7"/>
  <c r="K498" i="7"/>
  <c r="L498" i="7"/>
  <c r="M498" i="7"/>
  <c r="N498" i="7"/>
  <c r="O498" i="7"/>
  <c r="P498" i="7"/>
  <c r="Q498" i="7"/>
  <c r="R498" i="7"/>
  <c r="S498" i="7"/>
  <c r="T498" i="7"/>
  <c r="U498" i="7"/>
  <c r="V498" i="7"/>
  <c r="W498" i="7"/>
  <c r="X498" i="7"/>
  <c r="Y498" i="7"/>
  <c r="Z498" i="7"/>
  <c r="AA498" i="7"/>
  <c r="AB498" i="7"/>
  <c r="E499" i="7"/>
  <c r="F499" i="7"/>
  <c r="G499" i="7"/>
  <c r="H499" i="7"/>
  <c r="I499" i="7"/>
  <c r="J499" i="7"/>
  <c r="K499" i="7"/>
  <c r="L499" i="7"/>
  <c r="M499" i="7"/>
  <c r="N499" i="7"/>
  <c r="O499" i="7"/>
  <c r="P499" i="7"/>
  <c r="Q499" i="7"/>
  <c r="R499" i="7"/>
  <c r="S499" i="7"/>
  <c r="T499" i="7"/>
  <c r="U499" i="7"/>
  <c r="V499" i="7"/>
  <c r="W499" i="7"/>
  <c r="X499" i="7"/>
  <c r="Y499" i="7"/>
  <c r="Z499" i="7"/>
  <c r="AA499" i="7"/>
  <c r="AB499" i="7"/>
  <c r="E500" i="7"/>
  <c r="F500" i="7"/>
  <c r="G500" i="7"/>
  <c r="H500" i="7"/>
  <c r="I500" i="7"/>
  <c r="J500" i="7"/>
  <c r="K500" i="7"/>
  <c r="L500" i="7"/>
  <c r="M500" i="7"/>
  <c r="N500" i="7"/>
  <c r="O500" i="7"/>
  <c r="P500" i="7"/>
  <c r="Q500" i="7"/>
  <c r="R500" i="7"/>
  <c r="S500" i="7"/>
  <c r="T500" i="7"/>
  <c r="U500" i="7"/>
  <c r="V500" i="7"/>
  <c r="W500" i="7"/>
  <c r="X500" i="7"/>
  <c r="Y500" i="7"/>
  <c r="Z500" i="7"/>
  <c r="AA500" i="7"/>
  <c r="AB500" i="7"/>
  <c r="E501" i="7"/>
  <c r="F501" i="7"/>
  <c r="G501" i="7"/>
  <c r="H501" i="7"/>
  <c r="I501" i="7"/>
  <c r="J501" i="7"/>
  <c r="K501" i="7"/>
  <c r="L501" i="7"/>
  <c r="M501" i="7"/>
  <c r="N501" i="7"/>
  <c r="O501" i="7"/>
  <c r="P501" i="7"/>
  <c r="Q501" i="7"/>
  <c r="R501" i="7"/>
  <c r="S501" i="7"/>
  <c r="T501" i="7"/>
  <c r="U501" i="7"/>
  <c r="V501" i="7"/>
  <c r="W501" i="7"/>
  <c r="X501" i="7"/>
  <c r="Y501" i="7"/>
  <c r="Z501" i="7"/>
  <c r="AA501" i="7"/>
  <c r="AB501" i="7"/>
  <c r="E502" i="7"/>
  <c r="F502" i="7"/>
  <c r="G502" i="7"/>
  <c r="H502" i="7"/>
  <c r="I502" i="7"/>
  <c r="J502" i="7"/>
  <c r="K502" i="7"/>
  <c r="L502" i="7"/>
  <c r="M502" i="7"/>
  <c r="N502" i="7"/>
  <c r="O502" i="7"/>
  <c r="P502" i="7"/>
  <c r="Q502" i="7"/>
  <c r="R502" i="7"/>
  <c r="S502" i="7"/>
  <c r="T502" i="7"/>
  <c r="U502" i="7"/>
  <c r="V502" i="7"/>
  <c r="W502" i="7"/>
  <c r="X502" i="7"/>
  <c r="Y502" i="7"/>
  <c r="Z502" i="7"/>
  <c r="AA502" i="7"/>
  <c r="AB502" i="7"/>
  <c r="E503" i="7"/>
  <c r="F503" i="7"/>
  <c r="G503" i="7"/>
  <c r="H503" i="7"/>
  <c r="I503" i="7"/>
  <c r="J503" i="7"/>
  <c r="K503" i="7"/>
  <c r="L503" i="7"/>
  <c r="M503" i="7"/>
  <c r="N503" i="7"/>
  <c r="O503" i="7"/>
  <c r="P503" i="7"/>
  <c r="Q503" i="7"/>
  <c r="R503" i="7"/>
  <c r="S503" i="7"/>
  <c r="T503" i="7"/>
  <c r="U503" i="7"/>
  <c r="V503" i="7"/>
  <c r="W503" i="7"/>
  <c r="X503" i="7"/>
  <c r="Y503" i="7"/>
  <c r="Z503" i="7"/>
  <c r="AA503" i="7"/>
  <c r="AB503" i="7"/>
  <c r="E504" i="7"/>
  <c r="F504" i="7"/>
  <c r="G504" i="7"/>
  <c r="H504" i="7"/>
  <c r="I504" i="7"/>
  <c r="J504" i="7"/>
  <c r="K504" i="7"/>
  <c r="L504" i="7"/>
  <c r="M504" i="7"/>
  <c r="N504" i="7"/>
  <c r="O504" i="7"/>
  <c r="P504" i="7"/>
  <c r="Q504" i="7"/>
  <c r="R504" i="7"/>
  <c r="S504" i="7"/>
  <c r="T504" i="7"/>
  <c r="U504" i="7"/>
  <c r="V504" i="7"/>
  <c r="W504" i="7"/>
  <c r="X504" i="7"/>
  <c r="Y504" i="7"/>
  <c r="Z504" i="7"/>
  <c r="AA504" i="7"/>
  <c r="AB504" i="7"/>
  <c r="E505" i="7"/>
  <c r="F505" i="7"/>
  <c r="G505" i="7"/>
  <c r="H505" i="7"/>
  <c r="I505" i="7"/>
  <c r="J505" i="7"/>
  <c r="K505" i="7"/>
  <c r="L505" i="7"/>
  <c r="M505" i="7"/>
  <c r="N505" i="7"/>
  <c r="O505" i="7"/>
  <c r="P505" i="7"/>
  <c r="Q505" i="7"/>
  <c r="R505" i="7"/>
  <c r="S505" i="7"/>
  <c r="T505" i="7"/>
  <c r="U505" i="7"/>
  <c r="V505" i="7"/>
  <c r="W505" i="7"/>
  <c r="X505" i="7"/>
  <c r="Y505" i="7"/>
  <c r="Z505" i="7"/>
  <c r="AA505" i="7"/>
  <c r="AB505" i="7"/>
  <c r="E506" i="7"/>
  <c r="F506" i="7"/>
  <c r="G506" i="7"/>
  <c r="H506" i="7"/>
  <c r="I506" i="7"/>
  <c r="J506" i="7"/>
  <c r="K506" i="7"/>
  <c r="L506" i="7"/>
  <c r="M506" i="7"/>
  <c r="N506" i="7"/>
  <c r="O506" i="7"/>
  <c r="P506" i="7"/>
  <c r="Q506" i="7"/>
  <c r="R506" i="7"/>
  <c r="S506" i="7"/>
  <c r="T506" i="7"/>
  <c r="U506" i="7"/>
  <c r="V506" i="7"/>
  <c r="W506" i="7"/>
  <c r="X506" i="7"/>
  <c r="Y506" i="7"/>
  <c r="Z506" i="7"/>
  <c r="AA506" i="7"/>
  <c r="AB506" i="7"/>
  <c r="E507" i="7"/>
  <c r="F507" i="7"/>
  <c r="G507" i="7"/>
  <c r="H507" i="7"/>
  <c r="I507" i="7"/>
  <c r="J507" i="7"/>
  <c r="K507" i="7"/>
  <c r="L507" i="7"/>
  <c r="M507" i="7"/>
  <c r="N507" i="7"/>
  <c r="O507" i="7"/>
  <c r="P507" i="7"/>
  <c r="Q507" i="7"/>
  <c r="R507" i="7"/>
  <c r="S507" i="7"/>
  <c r="T507" i="7"/>
  <c r="U507" i="7"/>
  <c r="V507" i="7"/>
  <c r="W507" i="7"/>
  <c r="X507" i="7"/>
  <c r="Y507" i="7"/>
  <c r="Z507" i="7"/>
  <c r="AA507" i="7"/>
  <c r="AB507" i="7"/>
  <c r="E508" i="7"/>
  <c r="F508" i="7"/>
  <c r="G508" i="7"/>
  <c r="H508" i="7"/>
  <c r="I508" i="7"/>
  <c r="J508" i="7"/>
  <c r="K508" i="7"/>
  <c r="L508" i="7"/>
  <c r="M508" i="7"/>
  <c r="N508" i="7"/>
  <c r="O508" i="7"/>
  <c r="P508" i="7"/>
  <c r="Q508" i="7"/>
  <c r="R508" i="7"/>
  <c r="S508" i="7"/>
  <c r="T508" i="7"/>
  <c r="U508" i="7"/>
  <c r="V508" i="7"/>
  <c r="W508" i="7"/>
  <c r="X508" i="7"/>
  <c r="Y508" i="7"/>
  <c r="Z508" i="7"/>
  <c r="AA508" i="7"/>
  <c r="AB508" i="7"/>
  <c r="E509" i="7"/>
  <c r="F509" i="7"/>
  <c r="G509" i="7"/>
  <c r="H509" i="7"/>
  <c r="I509" i="7"/>
  <c r="J509" i="7"/>
  <c r="K509" i="7"/>
  <c r="L509" i="7"/>
  <c r="M509" i="7"/>
  <c r="N509" i="7"/>
  <c r="O509" i="7"/>
  <c r="P509" i="7"/>
  <c r="Q509" i="7"/>
  <c r="R509" i="7"/>
  <c r="S509" i="7"/>
  <c r="T509" i="7"/>
  <c r="U509" i="7"/>
  <c r="V509" i="7"/>
  <c r="W509" i="7"/>
  <c r="X509" i="7"/>
  <c r="Y509" i="7"/>
  <c r="Z509" i="7"/>
  <c r="AA509" i="7"/>
  <c r="AB509" i="7"/>
  <c r="E510" i="7"/>
  <c r="F510" i="7"/>
  <c r="G510" i="7"/>
  <c r="H510" i="7"/>
  <c r="I510" i="7"/>
  <c r="J510" i="7"/>
  <c r="K510" i="7"/>
  <c r="L510" i="7"/>
  <c r="M510" i="7"/>
  <c r="N510" i="7"/>
  <c r="O510" i="7"/>
  <c r="P510" i="7"/>
  <c r="Q510" i="7"/>
  <c r="R510" i="7"/>
  <c r="S510" i="7"/>
  <c r="T510" i="7"/>
  <c r="U510" i="7"/>
  <c r="V510" i="7"/>
  <c r="W510" i="7"/>
  <c r="X510" i="7"/>
  <c r="Y510" i="7"/>
  <c r="Z510" i="7"/>
  <c r="AA510" i="7"/>
  <c r="AB510" i="7"/>
  <c r="E511" i="7"/>
  <c r="F511" i="7"/>
  <c r="G511" i="7"/>
  <c r="H511" i="7"/>
  <c r="I511" i="7"/>
  <c r="J511" i="7"/>
  <c r="K511" i="7"/>
  <c r="L511" i="7"/>
  <c r="M511" i="7"/>
  <c r="N511" i="7"/>
  <c r="O511" i="7"/>
  <c r="P511" i="7"/>
  <c r="Q511" i="7"/>
  <c r="R511" i="7"/>
  <c r="S511" i="7"/>
  <c r="T511" i="7"/>
  <c r="U511" i="7"/>
  <c r="V511" i="7"/>
  <c r="W511" i="7"/>
  <c r="X511" i="7"/>
  <c r="Y511" i="7"/>
  <c r="Z511" i="7"/>
  <c r="AA511" i="7"/>
  <c r="AB511" i="7"/>
  <c r="E512" i="7"/>
  <c r="F512" i="7"/>
  <c r="G512" i="7"/>
  <c r="H512" i="7"/>
  <c r="I512" i="7"/>
  <c r="J512" i="7"/>
  <c r="K512" i="7"/>
  <c r="L512" i="7"/>
  <c r="M512" i="7"/>
  <c r="N512" i="7"/>
  <c r="O512" i="7"/>
  <c r="P512" i="7"/>
  <c r="Q512" i="7"/>
  <c r="R512" i="7"/>
  <c r="S512" i="7"/>
  <c r="T512" i="7"/>
  <c r="U512" i="7"/>
  <c r="V512" i="7"/>
  <c r="W512" i="7"/>
  <c r="X512" i="7"/>
  <c r="Y512" i="7"/>
  <c r="Z512" i="7"/>
  <c r="AA512" i="7"/>
  <c r="AB512" i="7"/>
  <c r="E513" i="7"/>
  <c r="F513" i="7"/>
  <c r="G513" i="7"/>
  <c r="H513" i="7"/>
  <c r="I513" i="7"/>
  <c r="J513" i="7"/>
  <c r="K513" i="7"/>
  <c r="L513" i="7"/>
  <c r="M513" i="7"/>
  <c r="N513" i="7"/>
  <c r="O513" i="7"/>
  <c r="P513" i="7"/>
  <c r="Q513" i="7"/>
  <c r="R513" i="7"/>
  <c r="S513" i="7"/>
  <c r="T513" i="7"/>
  <c r="U513" i="7"/>
  <c r="V513" i="7"/>
  <c r="W513" i="7"/>
  <c r="X513" i="7"/>
  <c r="Y513" i="7"/>
  <c r="Z513" i="7"/>
  <c r="AA513" i="7"/>
  <c r="AB513" i="7"/>
  <c r="E514" i="7"/>
  <c r="F514" i="7"/>
  <c r="G514" i="7"/>
  <c r="H514" i="7"/>
  <c r="I514" i="7"/>
  <c r="J514" i="7"/>
  <c r="K514" i="7"/>
  <c r="L514" i="7"/>
  <c r="M514" i="7"/>
  <c r="N514" i="7"/>
  <c r="O514" i="7"/>
  <c r="P514" i="7"/>
  <c r="Q514" i="7"/>
  <c r="R514" i="7"/>
  <c r="S514" i="7"/>
  <c r="T514" i="7"/>
  <c r="U514" i="7"/>
  <c r="V514" i="7"/>
  <c r="W514" i="7"/>
  <c r="X514" i="7"/>
  <c r="Y514" i="7"/>
  <c r="Z514" i="7"/>
  <c r="AA514" i="7"/>
  <c r="AB514" i="7"/>
  <c r="E515" i="7"/>
  <c r="F515" i="7"/>
  <c r="G515" i="7"/>
  <c r="H515" i="7"/>
  <c r="I515" i="7"/>
  <c r="J515" i="7"/>
  <c r="K515" i="7"/>
  <c r="L515" i="7"/>
  <c r="M515" i="7"/>
  <c r="N515" i="7"/>
  <c r="O515" i="7"/>
  <c r="P515" i="7"/>
  <c r="Q515" i="7"/>
  <c r="R515" i="7"/>
  <c r="S515" i="7"/>
  <c r="T515" i="7"/>
  <c r="U515" i="7"/>
  <c r="V515" i="7"/>
  <c r="W515" i="7"/>
  <c r="X515" i="7"/>
  <c r="Y515" i="7"/>
  <c r="Z515" i="7"/>
  <c r="AA515" i="7"/>
  <c r="AB515" i="7"/>
  <c r="E516" i="7"/>
  <c r="F516" i="7"/>
  <c r="G516" i="7"/>
  <c r="H516" i="7"/>
  <c r="I516" i="7"/>
  <c r="J516" i="7"/>
  <c r="K516" i="7"/>
  <c r="L516" i="7"/>
  <c r="M516" i="7"/>
  <c r="N516" i="7"/>
  <c r="O516" i="7"/>
  <c r="P516" i="7"/>
  <c r="Q516" i="7"/>
  <c r="R516" i="7"/>
  <c r="S516" i="7"/>
  <c r="T516" i="7"/>
  <c r="U516" i="7"/>
  <c r="V516" i="7"/>
  <c r="W516" i="7"/>
  <c r="X516" i="7"/>
  <c r="Y516" i="7"/>
  <c r="Z516" i="7"/>
  <c r="AA516" i="7"/>
  <c r="AB516" i="7"/>
  <c r="E517" i="7"/>
  <c r="F517" i="7"/>
  <c r="G517" i="7"/>
  <c r="H517" i="7"/>
  <c r="I517" i="7"/>
  <c r="J517" i="7"/>
  <c r="K517" i="7"/>
  <c r="L517" i="7"/>
  <c r="M517" i="7"/>
  <c r="N517" i="7"/>
  <c r="O517" i="7"/>
  <c r="P517" i="7"/>
  <c r="Q517" i="7"/>
  <c r="R517" i="7"/>
  <c r="S517" i="7"/>
  <c r="T517" i="7"/>
  <c r="U517" i="7"/>
  <c r="V517" i="7"/>
  <c r="W517" i="7"/>
  <c r="X517" i="7"/>
  <c r="Y517" i="7"/>
  <c r="Z517" i="7"/>
  <c r="AA517" i="7"/>
  <c r="AB517" i="7"/>
  <c r="E518" i="7"/>
  <c r="F518" i="7"/>
  <c r="G518" i="7"/>
  <c r="H518" i="7"/>
  <c r="I518" i="7"/>
  <c r="J518" i="7"/>
  <c r="K518" i="7"/>
  <c r="L518" i="7"/>
  <c r="M518" i="7"/>
  <c r="N518" i="7"/>
  <c r="O518" i="7"/>
  <c r="P518" i="7"/>
  <c r="Q518" i="7"/>
  <c r="R518" i="7"/>
  <c r="S518" i="7"/>
  <c r="T518" i="7"/>
  <c r="U518" i="7"/>
  <c r="V518" i="7"/>
  <c r="W518" i="7"/>
  <c r="X518" i="7"/>
  <c r="Y518" i="7"/>
  <c r="Z518" i="7"/>
  <c r="AA518" i="7"/>
  <c r="AB518" i="7"/>
  <c r="E519" i="7"/>
  <c r="F519" i="7"/>
  <c r="G519" i="7"/>
  <c r="H519" i="7"/>
  <c r="I519" i="7"/>
  <c r="J519" i="7"/>
  <c r="K519" i="7"/>
  <c r="L519" i="7"/>
  <c r="M519" i="7"/>
  <c r="N519" i="7"/>
  <c r="O519" i="7"/>
  <c r="P519" i="7"/>
  <c r="Q519" i="7"/>
  <c r="R519" i="7"/>
  <c r="S519" i="7"/>
  <c r="T519" i="7"/>
  <c r="U519" i="7"/>
  <c r="V519" i="7"/>
  <c r="W519" i="7"/>
  <c r="X519" i="7"/>
  <c r="Y519" i="7"/>
  <c r="Z519" i="7"/>
  <c r="AA519" i="7"/>
  <c r="AB519" i="7"/>
  <c r="E520" i="7"/>
  <c r="F520" i="7"/>
  <c r="G520" i="7"/>
  <c r="H520" i="7"/>
  <c r="I520" i="7"/>
  <c r="J520" i="7"/>
  <c r="K520" i="7"/>
  <c r="L520" i="7"/>
  <c r="M520" i="7"/>
  <c r="N520" i="7"/>
  <c r="O520" i="7"/>
  <c r="P520" i="7"/>
  <c r="Q520" i="7"/>
  <c r="R520" i="7"/>
  <c r="S520" i="7"/>
  <c r="T520" i="7"/>
  <c r="U520" i="7"/>
  <c r="V520" i="7"/>
  <c r="W520" i="7"/>
  <c r="X520" i="7"/>
  <c r="Y520" i="7"/>
  <c r="Z520" i="7"/>
  <c r="AA520" i="7"/>
  <c r="AB520" i="7"/>
  <c r="E521" i="7"/>
  <c r="F521" i="7"/>
  <c r="G521" i="7"/>
  <c r="H521" i="7"/>
  <c r="I521" i="7"/>
  <c r="J521" i="7"/>
  <c r="K521" i="7"/>
  <c r="L521" i="7"/>
  <c r="M521" i="7"/>
  <c r="N521" i="7"/>
  <c r="O521" i="7"/>
  <c r="P521" i="7"/>
  <c r="Q521" i="7"/>
  <c r="R521" i="7"/>
  <c r="S521" i="7"/>
  <c r="T521" i="7"/>
  <c r="U521" i="7"/>
  <c r="V521" i="7"/>
  <c r="W521" i="7"/>
  <c r="X521" i="7"/>
  <c r="Y521" i="7"/>
  <c r="Z521" i="7"/>
  <c r="AA521" i="7"/>
  <c r="AB521" i="7"/>
  <c r="E522" i="7"/>
  <c r="F522" i="7"/>
  <c r="G522" i="7"/>
  <c r="H522" i="7"/>
  <c r="I522" i="7"/>
  <c r="J522" i="7"/>
  <c r="K522" i="7"/>
  <c r="L522" i="7"/>
  <c r="M522" i="7"/>
  <c r="N522" i="7"/>
  <c r="O522" i="7"/>
  <c r="P522" i="7"/>
  <c r="Q522" i="7"/>
  <c r="R522" i="7"/>
  <c r="S522" i="7"/>
  <c r="T522" i="7"/>
  <c r="U522" i="7"/>
  <c r="V522" i="7"/>
  <c r="W522" i="7"/>
  <c r="X522" i="7"/>
  <c r="Y522" i="7"/>
  <c r="Z522" i="7"/>
  <c r="AA522" i="7"/>
  <c r="AB522" i="7"/>
  <c r="E523" i="7"/>
  <c r="F523" i="7"/>
  <c r="G523" i="7"/>
  <c r="H523" i="7"/>
  <c r="I523" i="7"/>
  <c r="J523" i="7"/>
  <c r="K523" i="7"/>
  <c r="L523" i="7"/>
  <c r="M523" i="7"/>
  <c r="N523" i="7"/>
  <c r="O523" i="7"/>
  <c r="P523" i="7"/>
  <c r="Q523" i="7"/>
  <c r="R523" i="7"/>
  <c r="S523" i="7"/>
  <c r="T523" i="7"/>
  <c r="U523" i="7"/>
  <c r="V523" i="7"/>
  <c r="W523" i="7"/>
  <c r="X523" i="7"/>
  <c r="Y523" i="7"/>
  <c r="Z523" i="7"/>
  <c r="AA523" i="7"/>
  <c r="AB523" i="7"/>
  <c r="E524" i="7"/>
  <c r="F524" i="7"/>
  <c r="G524" i="7"/>
  <c r="H524" i="7"/>
  <c r="I524" i="7"/>
  <c r="J524" i="7"/>
  <c r="K524" i="7"/>
  <c r="L524" i="7"/>
  <c r="M524" i="7"/>
  <c r="N524" i="7"/>
  <c r="O524" i="7"/>
  <c r="P524" i="7"/>
  <c r="Q524" i="7"/>
  <c r="R524" i="7"/>
  <c r="S524" i="7"/>
  <c r="T524" i="7"/>
  <c r="U524" i="7"/>
  <c r="V524" i="7"/>
  <c r="W524" i="7"/>
  <c r="X524" i="7"/>
  <c r="Y524" i="7"/>
  <c r="Z524" i="7"/>
  <c r="AA524" i="7"/>
  <c r="AB524" i="7"/>
  <c r="E525" i="7"/>
  <c r="F525" i="7"/>
  <c r="G525" i="7"/>
  <c r="H525" i="7"/>
  <c r="I525" i="7"/>
  <c r="J525" i="7"/>
  <c r="K525" i="7"/>
  <c r="L525" i="7"/>
  <c r="M525" i="7"/>
  <c r="N525" i="7"/>
  <c r="O525" i="7"/>
  <c r="P525" i="7"/>
  <c r="Q525" i="7"/>
  <c r="R525" i="7"/>
  <c r="S525" i="7"/>
  <c r="T525" i="7"/>
  <c r="U525" i="7"/>
  <c r="V525" i="7"/>
  <c r="W525" i="7"/>
  <c r="X525" i="7"/>
  <c r="Y525" i="7"/>
  <c r="Z525" i="7"/>
  <c r="AA525" i="7"/>
  <c r="AB525" i="7"/>
  <c r="E526" i="7"/>
  <c r="F526" i="7"/>
  <c r="G526" i="7"/>
  <c r="H526" i="7"/>
  <c r="I526" i="7"/>
  <c r="J526" i="7"/>
  <c r="K526" i="7"/>
  <c r="L526" i="7"/>
  <c r="M526" i="7"/>
  <c r="N526" i="7"/>
  <c r="O526" i="7"/>
  <c r="P526" i="7"/>
  <c r="Q526" i="7"/>
  <c r="R526" i="7"/>
  <c r="S526" i="7"/>
  <c r="T526" i="7"/>
  <c r="U526" i="7"/>
  <c r="V526" i="7"/>
  <c r="W526" i="7"/>
  <c r="X526" i="7"/>
  <c r="Y526" i="7"/>
  <c r="Z526" i="7"/>
  <c r="AA526" i="7"/>
  <c r="AB526" i="7"/>
  <c r="E527" i="7"/>
  <c r="F527" i="7"/>
  <c r="G527" i="7"/>
  <c r="H527" i="7"/>
  <c r="I527" i="7"/>
  <c r="J527" i="7"/>
  <c r="K527" i="7"/>
  <c r="L527" i="7"/>
  <c r="M527" i="7"/>
  <c r="N527" i="7"/>
  <c r="O527" i="7"/>
  <c r="P527" i="7"/>
  <c r="Q527" i="7"/>
  <c r="R527" i="7"/>
  <c r="S527" i="7"/>
  <c r="T527" i="7"/>
  <c r="U527" i="7"/>
  <c r="V527" i="7"/>
  <c r="W527" i="7"/>
  <c r="X527" i="7"/>
  <c r="Y527" i="7"/>
  <c r="Z527" i="7"/>
  <c r="AA527" i="7"/>
  <c r="AB527" i="7"/>
  <c r="E528" i="7"/>
  <c r="F528" i="7"/>
  <c r="G528" i="7"/>
  <c r="H528" i="7"/>
  <c r="I528" i="7"/>
  <c r="J528" i="7"/>
  <c r="K528" i="7"/>
  <c r="L528" i="7"/>
  <c r="M528" i="7"/>
  <c r="N528" i="7"/>
  <c r="O528" i="7"/>
  <c r="P528" i="7"/>
  <c r="Q528" i="7"/>
  <c r="R528" i="7"/>
  <c r="S528" i="7"/>
  <c r="T528" i="7"/>
  <c r="U528" i="7"/>
  <c r="V528" i="7"/>
  <c r="W528" i="7"/>
  <c r="X528" i="7"/>
  <c r="Y528" i="7"/>
  <c r="Z528" i="7"/>
  <c r="AA528" i="7"/>
  <c r="AB528" i="7"/>
  <c r="E529" i="7"/>
  <c r="F529" i="7"/>
  <c r="G529" i="7"/>
  <c r="H529" i="7"/>
  <c r="I529" i="7"/>
  <c r="J529" i="7"/>
  <c r="K529" i="7"/>
  <c r="L529" i="7"/>
  <c r="M529" i="7"/>
  <c r="N529" i="7"/>
  <c r="O529" i="7"/>
  <c r="P529" i="7"/>
  <c r="Q529" i="7"/>
  <c r="R529" i="7"/>
  <c r="S529" i="7"/>
  <c r="T529" i="7"/>
  <c r="U529" i="7"/>
  <c r="V529" i="7"/>
  <c r="W529" i="7"/>
  <c r="X529" i="7"/>
  <c r="Y529" i="7"/>
  <c r="Z529" i="7"/>
  <c r="AA529" i="7"/>
  <c r="AB529" i="7"/>
  <c r="E530" i="7"/>
  <c r="F530" i="7"/>
  <c r="G530" i="7"/>
  <c r="H530" i="7"/>
  <c r="I530" i="7"/>
  <c r="J530" i="7"/>
  <c r="K530" i="7"/>
  <c r="L530" i="7"/>
  <c r="M530" i="7"/>
  <c r="N530" i="7"/>
  <c r="O530" i="7"/>
  <c r="P530" i="7"/>
  <c r="Q530" i="7"/>
  <c r="R530" i="7"/>
  <c r="S530" i="7"/>
  <c r="T530" i="7"/>
  <c r="U530" i="7"/>
  <c r="V530" i="7"/>
  <c r="W530" i="7"/>
  <c r="X530" i="7"/>
  <c r="Y530" i="7"/>
  <c r="Z530" i="7"/>
  <c r="AA530" i="7"/>
  <c r="AB530" i="7"/>
  <c r="E531" i="7"/>
  <c r="F531" i="7"/>
  <c r="G531" i="7"/>
  <c r="H531" i="7"/>
  <c r="I531" i="7"/>
  <c r="J531" i="7"/>
  <c r="K531" i="7"/>
  <c r="L531" i="7"/>
  <c r="M531" i="7"/>
  <c r="N531" i="7"/>
  <c r="O531" i="7"/>
  <c r="P531" i="7"/>
  <c r="Q531" i="7"/>
  <c r="R531" i="7"/>
  <c r="S531" i="7"/>
  <c r="T531" i="7"/>
  <c r="U531" i="7"/>
  <c r="V531" i="7"/>
  <c r="W531" i="7"/>
  <c r="X531" i="7"/>
  <c r="Y531" i="7"/>
  <c r="Z531" i="7"/>
  <c r="AA531" i="7"/>
  <c r="AB531" i="7"/>
  <c r="E532" i="7"/>
  <c r="F532" i="7"/>
  <c r="G532" i="7"/>
  <c r="H532" i="7"/>
  <c r="I532" i="7"/>
  <c r="J532" i="7"/>
  <c r="K532" i="7"/>
  <c r="L532" i="7"/>
  <c r="M532" i="7"/>
  <c r="N532" i="7"/>
  <c r="O532" i="7"/>
  <c r="P532" i="7"/>
  <c r="Q532" i="7"/>
  <c r="R532" i="7"/>
  <c r="S532" i="7"/>
  <c r="T532" i="7"/>
  <c r="U532" i="7"/>
  <c r="V532" i="7"/>
  <c r="W532" i="7"/>
  <c r="X532" i="7"/>
  <c r="Y532" i="7"/>
  <c r="Z532" i="7"/>
  <c r="AA532" i="7"/>
  <c r="AB532" i="7"/>
  <c r="E533" i="7"/>
  <c r="F533" i="7"/>
  <c r="G533" i="7"/>
  <c r="H533" i="7"/>
  <c r="I533" i="7"/>
  <c r="J533" i="7"/>
  <c r="K533" i="7"/>
  <c r="L533" i="7"/>
  <c r="M533" i="7"/>
  <c r="N533" i="7"/>
  <c r="O533" i="7"/>
  <c r="P533" i="7"/>
  <c r="Q533" i="7"/>
  <c r="R533" i="7"/>
  <c r="S533" i="7"/>
  <c r="T533" i="7"/>
  <c r="U533" i="7"/>
  <c r="V533" i="7"/>
  <c r="W533" i="7"/>
  <c r="X533" i="7"/>
  <c r="Y533" i="7"/>
  <c r="Z533" i="7"/>
  <c r="AA533" i="7"/>
  <c r="AB533" i="7"/>
  <c r="E534" i="7"/>
  <c r="F534" i="7"/>
  <c r="G534" i="7"/>
  <c r="H534" i="7"/>
  <c r="I534" i="7"/>
  <c r="J534" i="7"/>
  <c r="K534" i="7"/>
  <c r="L534" i="7"/>
  <c r="M534" i="7"/>
  <c r="N534" i="7"/>
  <c r="O534" i="7"/>
  <c r="P534" i="7"/>
  <c r="Q534" i="7"/>
  <c r="R534" i="7"/>
  <c r="S534" i="7"/>
  <c r="T534" i="7"/>
  <c r="U534" i="7"/>
  <c r="V534" i="7"/>
  <c r="W534" i="7"/>
  <c r="X534" i="7"/>
  <c r="Y534" i="7"/>
  <c r="Z534" i="7"/>
  <c r="AA534" i="7"/>
  <c r="AB534" i="7"/>
  <c r="E535" i="7"/>
  <c r="F535" i="7"/>
  <c r="G535" i="7"/>
  <c r="H535" i="7"/>
  <c r="I535" i="7"/>
  <c r="J535" i="7"/>
  <c r="K535" i="7"/>
  <c r="L535" i="7"/>
  <c r="M535" i="7"/>
  <c r="N535" i="7"/>
  <c r="O535" i="7"/>
  <c r="P535" i="7"/>
  <c r="Q535" i="7"/>
  <c r="R535" i="7"/>
  <c r="S535" i="7"/>
  <c r="T535" i="7"/>
  <c r="U535" i="7"/>
  <c r="V535" i="7"/>
  <c r="W535" i="7"/>
  <c r="X535" i="7"/>
  <c r="Y535" i="7"/>
  <c r="Z535" i="7"/>
  <c r="AA535" i="7"/>
  <c r="AB535" i="7"/>
  <c r="E536" i="7"/>
  <c r="F536" i="7"/>
  <c r="G536" i="7"/>
  <c r="H536" i="7"/>
  <c r="I536" i="7"/>
  <c r="J536" i="7"/>
  <c r="K536" i="7"/>
  <c r="L536" i="7"/>
  <c r="M536" i="7"/>
  <c r="N536" i="7"/>
  <c r="O536" i="7"/>
  <c r="P536" i="7"/>
  <c r="Q536" i="7"/>
  <c r="R536" i="7"/>
  <c r="S536" i="7"/>
  <c r="T536" i="7"/>
  <c r="U536" i="7"/>
  <c r="V536" i="7"/>
  <c r="W536" i="7"/>
  <c r="X536" i="7"/>
  <c r="Y536" i="7"/>
  <c r="Z536" i="7"/>
  <c r="AA536" i="7"/>
  <c r="AB536" i="7"/>
  <c r="E537" i="7"/>
  <c r="F537" i="7"/>
  <c r="G537" i="7"/>
  <c r="H537" i="7"/>
  <c r="I537" i="7"/>
  <c r="J537" i="7"/>
  <c r="K537" i="7"/>
  <c r="L537" i="7"/>
  <c r="M537" i="7"/>
  <c r="N537" i="7"/>
  <c r="O537" i="7"/>
  <c r="P537" i="7"/>
  <c r="Q537" i="7"/>
  <c r="R537" i="7"/>
  <c r="S537" i="7"/>
  <c r="T537" i="7"/>
  <c r="U537" i="7"/>
  <c r="V537" i="7"/>
  <c r="W537" i="7"/>
  <c r="X537" i="7"/>
  <c r="Y537" i="7"/>
  <c r="Z537" i="7"/>
  <c r="AA537" i="7"/>
  <c r="AB537" i="7"/>
  <c r="E538" i="7"/>
  <c r="F538" i="7"/>
  <c r="G538" i="7"/>
  <c r="H538" i="7"/>
  <c r="I538" i="7"/>
  <c r="J538" i="7"/>
  <c r="K538" i="7"/>
  <c r="L538" i="7"/>
  <c r="M538" i="7"/>
  <c r="N538" i="7"/>
  <c r="O538" i="7"/>
  <c r="P538" i="7"/>
  <c r="Q538" i="7"/>
  <c r="R538" i="7"/>
  <c r="S538" i="7"/>
  <c r="T538" i="7"/>
  <c r="U538" i="7"/>
  <c r="V538" i="7"/>
  <c r="W538" i="7"/>
  <c r="X538" i="7"/>
  <c r="Y538" i="7"/>
  <c r="Z538" i="7"/>
  <c r="AA538" i="7"/>
  <c r="AB538" i="7"/>
  <c r="E539" i="7"/>
  <c r="F539" i="7"/>
  <c r="G539" i="7"/>
  <c r="H539" i="7"/>
  <c r="I539" i="7"/>
  <c r="J539" i="7"/>
  <c r="K539" i="7"/>
  <c r="L539" i="7"/>
  <c r="M539" i="7"/>
  <c r="N539" i="7"/>
  <c r="O539" i="7"/>
  <c r="P539" i="7"/>
  <c r="Q539" i="7"/>
  <c r="R539" i="7"/>
  <c r="S539" i="7"/>
  <c r="T539" i="7"/>
  <c r="U539" i="7"/>
  <c r="V539" i="7"/>
  <c r="W539" i="7"/>
  <c r="X539" i="7"/>
  <c r="Y539" i="7"/>
  <c r="Z539" i="7"/>
  <c r="AA539" i="7"/>
  <c r="AB539" i="7"/>
  <c r="E540" i="7"/>
  <c r="F540" i="7"/>
  <c r="G540" i="7"/>
  <c r="H540" i="7"/>
  <c r="I540" i="7"/>
  <c r="J540" i="7"/>
  <c r="K540" i="7"/>
  <c r="L540" i="7"/>
  <c r="M540" i="7"/>
  <c r="N540" i="7"/>
  <c r="O540" i="7"/>
  <c r="P540" i="7"/>
  <c r="Q540" i="7"/>
  <c r="R540" i="7"/>
  <c r="S540" i="7"/>
  <c r="T540" i="7"/>
  <c r="U540" i="7"/>
  <c r="V540" i="7"/>
  <c r="W540" i="7"/>
  <c r="X540" i="7"/>
  <c r="Y540" i="7"/>
  <c r="Z540" i="7"/>
  <c r="AA540" i="7"/>
  <c r="AB540" i="7"/>
  <c r="E541" i="7"/>
  <c r="F541" i="7"/>
  <c r="G541" i="7"/>
  <c r="H541" i="7"/>
  <c r="I541" i="7"/>
  <c r="J541" i="7"/>
  <c r="K541" i="7"/>
  <c r="L541" i="7"/>
  <c r="M541" i="7"/>
  <c r="N541" i="7"/>
  <c r="O541" i="7"/>
  <c r="P541" i="7"/>
  <c r="Q541" i="7"/>
  <c r="R541" i="7"/>
  <c r="S541" i="7"/>
  <c r="T541" i="7"/>
  <c r="U541" i="7"/>
  <c r="V541" i="7"/>
  <c r="W541" i="7"/>
  <c r="X541" i="7"/>
  <c r="Y541" i="7"/>
  <c r="Z541" i="7"/>
  <c r="AA541" i="7"/>
  <c r="AB541" i="7"/>
  <c r="E542" i="7"/>
  <c r="F542" i="7"/>
  <c r="G542" i="7"/>
  <c r="H542" i="7"/>
  <c r="I542" i="7"/>
  <c r="J542" i="7"/>
  <c r="K542" i="7"/>
  <c r="L542" i="7"/>
  <c r="M542" i="7"/>
  <c r="N542" i="7"/>
  <c r="O542" i="7"/>
  <c r="P542" i="7"/>
  <c r="Q542" i="7"/>
  <c r="R542" i="7"/>
  <c r="S542" i="7"/>
  <c r="T542" i="7"/>
  <c r="U542" i="7"/>
  <c r="V542" i="7"/>
  <c r="W542" i="7"/>
  <c r="X542" i="7"/>
  <c r="Y542" i="7"/>
  <c r="Z542" i="7"/>
  <c r="AA542" i="7"/>
  <c r="AB542" i="7"/>
  <c r="E543" i="7"/>
  <c r="F543" i="7"/>
  <c r="G543" i="7"/>
  <c r="H543" i="7"/>
  <c r="I543" i="7"/>
  <c r="J543" i="7"/>
  <c r="K543" i="7"/>
  <c r="L543" i="7"/>
  <c r="M543" i="7"/>
  <c r="N543" i="7"/>
  <c r="O543" i="7"/>
  <c r="P543" i="7"/>
  <c r="Q543" i="7"/>
  <c r="R543" i="7"/>
  <c r="S543" i="7"/>
  <c r="T543" i="7"/>
  <c r="U543" i="7"/>
  <c r="V543" i="7"/>
  <c r="W543" i="7"/>
  <c r="X543" i="7"/>
  <c r="Y543" i="7"/>
  <c r="Z543" i="7"/>
  <c r="AA543" i="7"/>
  <c r="AB543" i="7"/>
  <c r="E544" i="7"/>
  <c r="F544" i="7"/>
  <c r="G544" i="7"/>
  <c r="H544" i="7"/>
  <c r="I544" i="7"/>
  <c r="J544" i="7"/>
  <c r="K544" i="7"/>
  <c r="L544" i="7"/>
  <c r="M544" i="7"/>
  <c r="N544" i="7"/>
  <c r="O544" i="7"/>
  <c r="P544" i="7"/>
  <c r="Q544" i="7"/>
  <c r="R544" i="7"/>
  <c r="S544" i="7"/>
  <c r="T544" i="7"/>
  <c r="U544" i="7"/>
  <c r="V544" i="7"/>
  <c r="W544" i="7"/>
  <c r="X544" i="7"/>
  <c r="Y544" i="7"/>
  <c r="Z544" i="7"/>
  <c r="AA544" i="7"/>
  <c r="AB544" i="7"/>
  <c r="E545" i="7"/>
  <c r="F545" i="7"/>
  <c r="G545" i="7"/>
  <c r="H545" i="7"/>
  <c r="I545" i="7"/>
  <c r="J545" i="7"/>
  <c r="K545" i="7"/>
  <c r="L545" i="7"/>
  <c r="M545" i="7"/>
  <c r="N545" i="7"/>
  <c r="O545" i="7"/>
  <c r="P545" i="7"/>
  <c r="Q545" i="7"/>
  <c r="R545" i="7"/>
  <c r="S545" i="7"/>
  <c r="T545" i="7"/>
  <c r="U545" i="7"/>
  <c r="V545" i="7"/>
  <c r="W545" i="7"/>
  <c r="X545" i="7"/>
  <c r="Y545" i="7"/>
  <c r="Z545" i="7"/>
  <c r="AA545" i="7"/>
  <c r="AB545" i="7"/>
  <c r="E546" i="7"/>
  <c r="F546" i="7"/>
  <c r="G546" i="7"/>
  <c r="H546" i="7"/>
  <c r="I546" i="7"/>
  <c r="J546" i="7"/>
  <c r="K546" i="7"/>
  <c r="L546" i="7"/>
  <c r="M546" i="7"/>
  <c r="N546" i="7"/>
  <c r="O546" i="7"/>
  <c r="P546" i="7"/>
  <c r="Q546" i="7"/>
  <c r="R546" i="7"/>
  <c r="S546" i="7"/>
  <c r="T546" i="7"/>
  <c r="U546" i="7"/>
  <c r="V546" i="7"/>
  <c r="W546" i="7"/>
  <c r="X546" i="7"/>
  <c r="Y546" i="7"/>
  <c r="Z546" i="7"/>
  <c r="AA546" i="7"/>
  <c r="AB546" i="7"/>
  <c r="E547" i="7"/>
  <c r="F547" i="7"/>
  <c r="G547" i="7"/>
  <c r="H547" i="7"/>
  <c r="I547" i="7"/>
  <c r="J547" i="7"/>
  <c r="K547" i="7"/>
  <c r="L547" i="7"/>
  <c r="M547" i="7"/>
  <c r="N547" i="7"/>
  <c r="O547" i="7"/>
  <c r="P547" i="7"/>
  <c r="Q547" i="7"/>
  <c r="R547" i="7"/>
  <c r="S547" i="7"/>
  <c r="T547" i="7"/>
  <c r="U547" i="7"/>
  <c r="V547" i="7"/>
  <c r="W547" i="7"/>
  <c r="X547" i="7"/>
  <c r="Y547" i="7"/>
  <c r="Z547" i="7"/>
  <c r="AA547" i="7"/>
  <c r="AB547" i="7"/>
  <c r="E548" i="7"/>
  <c r="F548" i="7"/>
  <c r="G548" i="7"/>
  <c r="H548" i="7"/>
  <c r="I548" i="7"/>
  <c r="J548" i="7"/>
  <c r="K548" i="7"/>
  <c r="L548" i="7"/>
  <c r="M548" i="7"/>
  <c r="N548" i="7"/>
  <c r="O548" i="7"/>
  <c r="P548" i="7"/>
  <c r="Q548" i="7"/>
  <c r="R548" i="7"/>
  <c r="S548" i="7"/>
  <c r="T548" i="7"/>
  <c r="U548" i="7"/>
  <c r="V548" i="7"/>
  <c r="W548" i="7"/>
  <c r="X548" i="7"/>
  <c r="Y548" i="7"/>
  <c r="Z548" i="7"/>
  <c r="AA548" i="7"/>
  <c r="AB548" i="7"/>
  <c r="E549" i="7"/>
  <c r="F549" i="7"/>
  <c r="G549" i="7"/>
  <c r="H549" i="7"/>
  <c r="I549" i="7"/>
  <c r="J549" i="7"/>
  <c r="K549" i="7"/>
  <c r="L549" i="7"/>
  <c r="M549" i="7"/>
  <c r="N549" i="7"/>
  <c r="O549" i="7"/>
  <c r="P549" i="7"/>
  <c r="Q549" i="7"/>
  <c r="R549" i="7"/>
  <c r="S549" i="7"/>
  <c r="T549" i="7"/>
  <c r="U549" i="7"/>
  <c r="V549" i="7"/>
  <c r="W549" i="7"/>
  <c r="X549" i="7"/>
  <c r="Y549" i="7"/>
  <c r="Z549" i="7"/>
  <c r="AA549" i="7"/>
  <c r="AB549" i="7"/>
  <c r="E550" i="7"/>
  <c r="F550" i="7"/>
  <c r="G550" i="7"/>
  <c r="H550" i="7"/>
  <c r="I550" i="7"/>
  <c r="J550" i="7"/>
  <c r="K550" i="7"/>
  <c r="L550" i="7"/>
  <c r="M550" i="7"/>
  <c r="N550" i="7"/>
  <c r="O550" i="7"/>
  <c r="P550" i="7"/>
  <c r="Q550" i="7"/>
  <c r="R550" i="7"/>
  <c r="S550" i="7"/>
  <c r="T550" i="7"/>
  <c r="U550" i="7"/>
  <c r="V550" i="7"/>
  <c r="W550" i="7"/>
  <c r="X550" i="7"/>
  <c r="Y550" i="7"/>
  <c r="Z550" i="7"/>
  <c r="AA550" i="7"/>
  <c r="AB550" i="7"/>
  <c r="E551" i="7"/>
  <c r="F551" i="7"/>
  <c r="G551" i="7"/>
  <c r="H551" i="7"/>
  <c r="I551" i="7"/>
  <c r="J551" i="7"/>
  <c r="K551" i="7"/>
  <c r="L551" i="7"/>
  <c r="M551" i="7"/>
  <c r="N551" i="7"/>
  <c r="O551" i="7"/>
  <c r="P551" i="7"/>
  <c r="Q551" i="7"/>
  <c r="R551" i="7"/>
  <c r="S551" i="7"/>
  <c r="T551" i="7"/>
  <c r="U551" i="7"/>
  <c r="V551" i="7"/>
  <c r="W551" i="7"/>
  <c r="X551" i="7"/>
  <c r="Y551" i="7"/>
  <c r="Z551" i="7"/>
  <c r="AA551" i="7"/>
  <c r="AB551" i="7"/>
  <c r="E552" i="7"/>
  <c r="F552" i="7"/>
  <c r="G552" i="7"/>
  <c r="H552" i="7"/>
  <c r="I552" i="7"/>
  <c r="J552" i="7"/>
  <c r="K552" i="7"/>
  <c r="L552" i="7"/>
  <c r="M552" i="7"/>
  <c r="N552" i="7"/>
  <c r="O552" i="7"/>
  <c r="P552" i="7"/>
  <c r="Q552" i="7"/>
  <c r="R552" i="7"/>
  <c r="S552" i="7"/>
  <c r="T552" i="7"/>
  <c r="U552" i="7"/>
  <c r="V552" i="7"/>
  <c r="W552" i="7"/>
  <c r="X552" i="7"/>
  <c r="Y552" i="7"/>
  <c r="Z552" i="7"/>
  <c r="AA552" i="7"/>
  <c r="AB552" i="7"/>
  <c r="E553" i="7"/>
  <c r="F553" i="7"/>
  <c r="G553" i="7"/>
  <c r="H553" i="7"/>
  <c r="I553" i="7"/>
  <c r="J553" i="7"/>
  <c r="K553" i="7"/>
  <c r="L553" i="7"/>
  <c r="M553" i="7"/>
  <c r="N553" i="7"/>
  <c r="O553" i="7"/>
  <c r="P553" i="7"/>
  <c r="Q553" i="7"/>
  <c r="R553" i="7"/>
  <c r="S553" i="7"/>
  <c r="T553" i="7"/>
  <c r="U553" i="7"/>
  <c r="V553" i="7"/>
  <c r="W553" i="7"/>
  <c r="X553" i="7"/>
  <c r="Y553" i="7"/>
  <c r="Z553" i="7"/>
  <c r="AA553" i="7"/>
  <c r="AB553" i="7"/>
  <c r="E554" i="7"/>
  <c r="F554" i="7"/>
  <c r="G554" i="7"/>
  <c r="H554" i="7"/>
  <c r="I554" i="7"/>
  <c r="J554" i="7"/>
  <c r="K554" i="7"/>
  <c r="L554" i="7"/>
  <c r="M554" i="7"/>
  <c r="N554" i="7"/>
  <c r="O554" i="7"/>
  <c r="P554" i="7"/>
  <c r="Q554" i="7"/>
  <c r="R554" i="7"/>
  <c r="S554" i="7"/>
  <c r="T554" i="7"/>
  <c r="U554" i="7"/>
  <c r="V554" i="7"/>
  <c r="W554" i="7"/>
  <c r="X554" i="7"/>
  <c r="Y554" i="7"/>
  <c r="Z554" i="7"/>
  <c r="AA554" i="7"/>
  <c r="AB554" i="7"/>
  <c r="E555" i="7"/>
  <c r="F555" i="7"/>
  <c r="G555" i="7"/>
  <c r="H555" i="7"/>
  <c r="I555" i="7"/>
  <c r="J555" i="7"/>
  <c r="K555" i="7"/>
  <c r="L555" i="7"/>
  <c r="M555" i="7"/>
  <c r="N555" i="7"/>
  <c r="O555" i="7"/>
  <c r="P555" i="7"/>
  <c r="Q555" i="7"/>
  <c r="R555" i="7"/>
  <c r="S555" i="7"/>
  <c r="T555" i="7"/>
  <c r="U555" i="7"/>
  <c r="V555" i="7"/>
  <c r="W555" i="7"/>
  <c r="X555" i="7"/>
  <c r="Y555" i="7"/>
  <c r="Z555" i="7"/>
  <c r="AA555" i="7"/>
  <c r="AB555" i="7"/>
  <c r="E556" i="7"/>
  <c r="F556" i="7"/>
  <c r="G556" i="7"/>
  <c r="H556" i="7"/>
  <c r="I556" i="7"/>
  <c r="J556" i="7"/>
  <c r="K556" i="7"/>
  <c r="L556" i="7"/>
  <c r="M556" i="7"/>
  <c r="N556" i="7"/>
  <c r="O556" i="7"/>
  <c r="P556" i="7"/>
  <c r="Q556" i="7"/>
  <c r="R556" i="7"/>
  <c r="S556" i="7"/>
  <c r="T556" i="7"/>
  <c r="U556" i="7"/>
  <c r="V556" i="7"/>
  <c r="W556" i="7"/>
  <c r="X556" i="7"/>
  <c r="Y556" i="7"/>
  <c r="Z556" i="7"/>
  <c r="AA556" i="7"/>
  <c r="AB556" i="7"/>
  <c r="E557" i="7"/>
  <c r="F557" i="7"/>
  <c r="G557" i="7"/>
  <c r="H557" i="7"/>
  <c r="I557" i="7"/>
  <c r="J557" i="7"/>
  <c r="K557" i="7"/>
  <c r="L557" i="7"/>
  <c r="M557" i="7"/>
  <c r="N557" i="7"/>
  <c r="O557" i="7"/>
  <c r="P557" i="7"/>
  <c r="Q557" i="7"/>
  <c r="R557" i="7"/>
  <c r="S557" i="7"/>
  <c r="T557" i="7"/>
  <c r="U557" i="7"/>
  <c r="V557" i="7"/>
  <c r="W557" i="7"/>
  <c r="X557" i="7"/>
  <c r="Y557" i="7"/>
  <c r="Z557" i="7"/>
  <c r="AA557" i="7"/>
  <c r="AB557" i="7"/>
  <c r="E558" i="7"/>
  <c r="F558" i="7"/>
  <c r="G558" i="7"/>
  <c r="H558" i="7"/>
  <c r="I558" i="7"/>
  <c r="J558" i="7"/>
  <c r="K558" i="7"/>
  <c r="L558" i="7"/>
  <c r="M558" i="7"/>
  <c r="N558" i="7"/>
  <c r="O558" i="7"/>
  <c r="P558" i="7"/>
  <c r="Q558" i="7"/>
  <c r="R558" i="7"/>
  <c r="S558" i="7"/>
  <c r="T558" i="7"/>
  <c r="U558" i="7"/>
  <c r="V558" i="7"/>
  <c r="W558" i="7"/>
  <c r="X558" i="7"/>
  <c r="Y558" i="7"/>
  <c r="Z558" i="7"/>
  <c r="AA558" i="7"/>
  <c r="AB558" i="7"/>
  <c r="E559" i="7"/>
  <c r="F559" i="7"/>
  <c r="G559" i="7"/>
  <c r="H559" i="7"/>
  <c r="I559" i="7"/>
  <c r="J559" i="7"/>
  <c r="K559" i="7"/>
  <c r="L559" i="7"/>
  <c r="M559" i="7"/>
  <c r="N559" i="7"/>
  <c r="O559" i="7"/>
  <c r="P559" i="7"/>
  <c r="Q559" i="7"/>
  <c r="R559" i="7"/>
  <c r="S559" i="7"/>
  <c r="T559" i="7"/>
  <c r="U559" i="7"/>
  <c r="V559" i="7"/>
  <c r="W559" i="7"/>
  <c r="X559" i="7"/>
  <c r="Y559" i="7"/>
  <c r="Z559" i="7"/>
  <c r="AA559" i="7"/>
  <c r="AB559" i="7"/>
  <c r="E560" i="7"/>
  <c r="F560" i="7"/>
  <c r="G560" i="7"/>
  <c r="H560" i="7"/>
  <c r="I560" i="7"/>
  <c r="J560" i="7"/>
  <c r="K560" i="7"/>
  <c r="L560" i="7"/>
  <c r="M560" i="7"/>
  <c r="N560" i="7"/>
  <c r="O560" i="7"/>
  <c r="P560" i="7"/>
  <c r="Q560" i="7"/>
  <c r="R560" i="7"/>
  <c r="S560" i="7"/>
  <c r="T560" i="7"/>
  <c r="U560" i="7"/>
  <c r="V560" i="7"/>
  <c r="W560" i="7"/>
  <c r="X560" i="7"/>
  <c r="Y560" i="7"/>
  <c r="Z560" i="7"/>
  <c r="AA560" i="7"/>
  <c r="AB560" i="7"/>
  <c r="E561" i="7"/>
  <c r="F561" i="7"/>
  <c r="G561" i="7"/>
  <c r="H561" i="7"/>
  <c r="I561" i="7"/>
  <c r="J561" i="7"/>
  <c r="K561" i="7"/>
  <c r="L561" i="7"/>
  <c r="M561" i="7"/>
  <c r="N561" i="7"/>
  <c r="O561" i="7"/>
  <c r="P561" i="7"/>
  <c r="Q561" i="7"/>
  <c r="R561" i="7"/>
  <c r="S561" i="7"/>
  <c r="T561" i="7"/>
  <c r="U561" i="7"/>
  <c r="V561" i="7"/>
  <c r="W561" i="7"/>
  <c r="X561" i="7"/>
  <c r="Y561" i="7"/>
  <c r="Z561" i="7"/>
  <c r="AA561" i="7"/>
  <c r="AB561" i="7"/>
  <c r="E562" i="7"/>
  <c r="F562" i="7"/>
  <c r="G562" i="7"/>
  <c r="H562" i="7"/>
  <c r="I562" i="7"/>
  <c r="J562" i="7"/>
  <c r="K562" i="7"/>
  <c r="L562" i="7"/>
  <c r="M562" i="7"/>
  <c r="N562" i="7"/>
  <c r="O562" i="7"/>
  <c r="P562" i="7"/>
  <c r="Q562" i="7"/>
  <c r="R562" i="7"/>
  <c r="S562" i="7"/>
  <c r="T562" i="7"/>
  <c r="U562" i="7"/>
  <c r="V562" i="7"/>
  <c r="W562" i="7"/>
  <c r="X562" i="7"/>
  <c r="Y562" i="7"/>
  <c r="Z562" i="7"/>
  <c r="AA562" i="7"/>
  <c r="AB562" i="7"/>
  <c r="E563" i="7"/>
  <c r="F563" i="7"/>
  <c r="G563" i="7"/>
  <c r="H563" i="7"/>
  <c r="I563" i="7"/>
  <c r="J563" i="7"/>
  <c r="K563" i="7"/>
  <c r="L563" i="7"/>
  <c r="M563" i="7"/>
  <c r="N563" i="7"/>
  <c r="O563" i="7"/>
  <c r="P563" i="7"/>
  <c r="Q563" i="7"/>
  <c r="R563" i="7"/>
  <c r="S563" i="7"/>
  <c r="T563" i="7"/>
  <c r="U563" i="7"/>
  <c r="V563" i="7"/>
  <c r="W563" i="7"/>
  <c r="X563" i="7"/>
  <c r="Y563" i="7"/>
  <c r="Z563" i="7"/>
  <c r="AA563" i="7"/>
  <c r="AB563" i="7"/>
  <c r="E564" i="7"/>
  <c r="F564" i="7"/>
  <c r="G564" i="7"/>
  <c r="H564" i="7"/>
  <c r="I564" i="7"/>
  <c r="J564" i="7"/>
  <c r="K564" i="7"/>
  <c r="L564" i="7"/>
  <c r="M564" i="7"/>
  <c r="N564" i="7"/>
  <c r="O564" i="7"/>
  <c r="P564" i="7"/>
  <c r="Q564" i="7"/>
  <c r="R564" i="7"/>
  <c r="S564" i="7"/>
  <c r="T564" i="7"/>
  <c r="U564" i="7"/>
  <c r="V564" i="7"/>
  <c r="W564" i="7"/>
  <c r="X564" i="7"/>
  <c r="Y564" i="7"/>
  <c r="Z564" i="7"/>
  <c r="AA564" i="7"/>
  <c r="AB564" i="7"/>
  <c r="E565" i="7"/>
  <c r="F565" i="7"/>
  <c r="G565" i="7"/>
  <c r="H565" i="7"/>
  <c r="I565" i="7"/>
  <c r="J565" i="7"/>
  <c r="K565" i="7"/>
  <c r="L565" i="7"/>
  <c r="M565" i="7"/>
  <c r="N565" i="7"/>
  <c r="O565" i="7"/>
  <c r="P565" i="7"/>
  <c r="Q565" i="7"/>
  <c r="R565" i="7"/>
  <c r="S565" i="7"/>
  <c r="T565" i="7"/>
  <c r="U565" i="7"/>
  <c r="V565" i="7"/>
  <c r="W565" i="7"/>
  <c r="X565" i="7"/>
  <c r="Y565" i="7"/>
  <c r="Z565" i="7"/>
  <c r="AA565" i="7"/>
  <c r="AB565" i="7"/>
  <c r="E566" i="7"/>
  <c r="F566" i="7"/>
  <c r="G566" i="7"/>
  <c r="H566" i="7"/>
  <c r="I566" i="7"/>
  <c r="J566" i="7"/>
  <c r="K566" i="7"/>
  <c r="L566" i="7"/>
  <c r="M566" i="7"/>
  <c r="N566" i="7"/>
  <c r="O566" i="7"/>
  <c r="P566" i="7"/>
  <c r="Q566" i="7"/>
  <c r="R566" i="7"/>
  <c r="S566" i="7"/>
  <c r="T566" i="7"/>
  <c r="U566" i="7"/>
  <c r="V566" i="7"/>
  <c r="W566" i="7"/>
  <c r="X566" i="7"/>
  <c r="Y566" i="7"/>
  <c r="Z566" i="7"/>
  <c r="AA566" i="7"/>
  <c r="AB566" i="7"/>
  <c r="E567" i="7"/>
  <c r="F567" i="7"/>
  <c r="G567" i="7"/>
  <c r="H567" i="7"/>
  <c r="I567" i="7"/>
  <c r="J567" i="7"/>
  <c r="K567" i="7"/>
  <c r="L567" i="7"/>
  <c r="M567" i="7"/>
  <c r="N567" i="7"/>
  <c r="O567" i="7"/>
  <c r="P567" i="7"/>
  <c r="Q567" i="7"/>
  <c r="R567" i="7"/>
  <c r="S567" i="7"/>
  <c r="T567" i="7"/>
  <c r="U567" i="7"/>
  <c r="V567" i="7"/>
  <c r="W567" i="7"/>
  <c r="X567" i="7"/>
  <c r="Y567" i="7"/>
  <c r="Z567" i="7"/>
  <c r="AA567" i="7"/>
  <c r="AB567" i="7"/>
  <c r="E568" i="7"/>
  <c r="F568" i="7"/>
  <c r="G568" i="7"/>
  <c r="H568" i="7"/>
  <c r="I568" i="7"/>
  <c r="J568" i="7"/>
  <c r="K568" i="7"/>
  <c r="L568" i="7"/>
  <c r="M568" i="7"/>
  <c r="N568" i="7"/>
  <c r="O568" i="7"/>
  <c r="P568" i="7"/>
  <c r="Q568" i="7"/>
  <c r="R568" i="7"/>
  <c r="S568" i="7"/>
  <c r="T568" i="7"/>
  <c r="U568" i="7"/>
  <c r="V568" i="7"/>
  <c r="W568" i="7"/>
  <c r="X568" i="7"/>
  <c r="Y568" i="7"/>
  <c r="Z568" i="7"/>
  <c r="AA568" i="7"/>
  <c r="AB568" i="7"/>
  <c r="E569" i="7"/>
  <c r="F569" i="7"/>
  <c r="G569" i="7"/>
  <c r="H569" i="7"/>
  <c r="I569" i="7"/>
  <c r="J569" i="7"/>
  <c r="K569" i="7"/>
  <c r="L569" i="7"/>
  <c r="M569" i="7"/>
  <c r="N569" i="7"/>
  <c r="O569" i="7"/>
  <c r="P569" i="7"/>
  <c r="Q569" i="7"/>
  <c r="R569" i="7"/>
  <c r="S569" i="7"/>
  <c r="T569" i="7"/>
  <c r="U569" i="7"/>
  <c r="V569" i="7"/>
  <c r="W569" i="7"/>
  <c r="X569" i="7"/>
  <c r="Y569" i="7"/>
  <c r="Z569" i="7"/>
  <c r="AA569" i="7"/>
  <c r="AB569" i="7"/>
  <c r="E570" i="7"/>
  <c r="F570" i="7"/>
  <c r="G570" i="7"/>
  <c r="H570" i="7"/>
  <c r="I570" i="7"/>
  <c r="J570" i="7"/>
  <c r="K570" i="7"/>
  <c r="L570" i="7"/>
  <c r="M570" i="7"/>
  <c r="N570" i="7"/>
  <c r="O570" i="7"/>
  <c r="P570" i="7"/>
  <c r="Q570" i="7"/>
  <c r="R570" i="7"/>
  <c r="S570" i="7"/>
  <c r="T570" i="7"/>
  <c r="U570" i="7"/>
  <c r="V570" i="7"/>
  <c r="W570" i="7"/>
  <c r="X570" i="7"/>
  <c r="Y570" i="7"/>
  <c r="Z570" i="7"/>
  <c r="AA570" i="7"/>
  <c r="AB570" i="7"/>
  <c r="E571" i="7"/>
  <c r="F571" i="7"/>
  <c r="G571" i="7"/>
  <c r="H571" i="7"/>
  <c r="I571" i="7"/>
  <c r="J571" i="7"/>
  <c r="K571" i="7"/>
  <c r="L571" i="7"/>
  <c r="M571" i="7"/>
  <c r="N571" i="7"/>
  <c r="O571" i="7"/>
  <c r="P571" i="7"/>
  <c r="Q571" i="7"/>
  <c r="R571" i="7"/>
  <c r="S571" i="7"/>
  <c r="T571" i="7"/>
  <c r="U571" i="7"/>
  <c r="V571" i="7"/>
  <c r="W571" i="7"/>
  <c r="X571" i="7"/>
  <c r="Y571" i="7"/>
  <c r="Z571" i="7"/>
  <c r="AA571" i="7"/>
  <c r="AB571" i="7"/>
  <c r="E572" i="7"/>
  <c r="F572" i="7"/>
  <c r="G572" i="7"/>
  <c r="H572" i="7"/>
  <c r="I572" i="7"/>
  <c r="J572" i="7"/>
  <c r="K572" i="7"/>
  <c r="L572" i="7"/>
  <c r="M572" i="7"/>
  <c r="N572" i="7"/>
  <c r="O572" i="7"/>
  <c r="P572" i="7"/>
  <c r="Q572" i="7"/>
  <c r="R572" i="7"/>
  <c r="S572" i="7"/>
  <c r="T572" i="7"/>
  <c r="U572" i="7"/>
  <c r="V572" i="7"/>
  <c r="W572" i="7"/>
  <c r="X572" i="7"/>
  <c r="Y572" i="7"/>
  <c r="Z572" i="7"/>
  <c r="AA572" i="7"/>
  <c r="AB572" i="7"/>
  <c r="E573" i="7"/>
  <c r="F573" i="7"/>
  <c r="G573" i="7"/>
  <c r="H573" i="7"/>
  <c r="I573" i="7"/>
  <c r="J573" i="7"/>
  <c r="K573" i="7"/>
  <c r="L573" i="7"/>
  <c r="M573" i="7"/>
  <c r="N573" i="7"/>
  <c r="O573" i="7"/>
  <c r="P573" i="7"/>
  <c r="Q573" i="7"/>
  <c r="R573" i="7"/>
  <c r="S573" i="7"/>
  <c r="T573" i="7"/>
  <c r="U573" i="7"/>
  <c r="V573" i="7"/>
  <c r="W573" i="7"/>
  <c r="X573" i="7"/>
  <c r="Y573" i="7"/>
  <c r="Z573" i="7"/>
  <c r="AA573" i="7"/>
  <c r="AB573" i="7"/>
  <c r="E574" i="7"/>
  <c r="F574" i="7"/>
  <c r="G574" i="7"/>
  <c r="H574" i="7"/>
  <c r="I574" i="7"/>
  <c r="J574" i="7"/>
  <c r="K574" i="7"/>
  <c r="L574" i="7"/>
  <c r="M574" i="7"/>
  <c r="N574" i="7"/>
  <c r="O574" i="7"/>
  <c r="P574" i="7"/>
  <c r="Q574" i="7"/>
  <c r="R574" i="7"/>
  <c r="S574" i="7"/>
  <c r="T574" i="7"/>
  <c r="U574" i="7"/>
  <c r="V574" i="7"/>
  <c r="W574" i="7"/>
  <c r="X574" i="7"/>
  <c r="Y574" i="7"/>
  <c r="Z574" i="7"/>
  <c r="AA574" i="7"/>
  <c r="AB574" i="7"/>
  <c r="E575" i="7"/>
  <c r="F575" i="7"/>
  <c r="G575" i="7"/>
  <c r="H575" i="7"/>
  <c r="I575" i="7"/>
  <c r="J575" i="7"/>
  <c r="K575" i="7"/>
  <c r="L575" i="7"/>
  <c r="M575" i="7"/>
  <c r="N575" i="7"/>
  <c r="O575" i="7"/>
  <c r="P575" i="7"/>
  <c r="Q575" i="7"/>
  <c r="R575" i="7"/>
  <c r="S575" i="7"/>
  <c r="T575" i="7"/>
  <c r="U575" i="7"/>
  <c r="V575" i="7"/>
  <c r="W575" i="7"/>
  <c r="X575" i="7"/>
  <c r="Y575" i="7"/>
  <c r="Z575" i="7"/>
  <c r="AA575" i="7"/>
  <c r="AB575" i="7"/>
  <c r="E576" i="7"/>
  <c r="F576" i="7"/>
  <c r="G576" i="7"/>
  <c r="H576" i="7"/>
  <c r="I576" i="7"/>
  <c r="J576" i="7"/>
  <c r="K576" i="7"/>
  <c r="L576" i="7"/>
  <c r="M576" i="7"/>
  <c r="N576" i="7"/>
  <c r="O576" i="7"/>
  <c r="P576" i="7"/>
  <c r="Q576" i="7"/>
  <c r="R576" i="7"/>
  <c r="S576" i="7"/>
  <c r="T576" i="7"/>
  <c r="U576" i="7"/>
  <c r="V576" i="7"/>
  <c r="W576" i="7"/>
  <c r="X576" i="7"/>
  <c r="Y576" i="7"/>
  <c r="Z576" i="7"/>
  <c r="AA576" i="7"/>
  <c r="AB576" i="7"/>
  <c r="E577" i="7"/>
  <c r="F577" i="7"/>
  <c r="G577" i="7"/>
  <c r="H577" i="7"/>
  <c r="I577" i="7"/>
  <c r="J577" i="7"/>
  <c r="K577" i="7"/>
  <c r="L577" i="7"/>
  <c r="M577" i="7"/>
  <c r="N577" i="7"/>
  <c r="O577" i="7"/>
  <c r="P577" i="7"/>
  <c r="Q577" i="7"/>
  <c r="R577" i="7"/>
  <c r="S577" i="7"/>
  <c r="T577" i="7"/>
  <c r="U577" i="7"/>
  <c r="V577" i="7"/>
  <c r="W577" i="7"/>
  <c r="X577" i="7"/>
  <c r="Y577" i="7"/>
  <c r="Z577" i="7"/>
  <c r="AA577" i="7"/>
  <c r="AB577" i="7"/>
  <c r="E578" i="7"/>
  <c r="F578" i="7"/>
  <c r="G578" i="7"/>
  <c r="H578" i="7"/>
  <c r="I578" i="7"/>
  <c r="J578" i="7"/>
  <c r="K578" i="7"/>
  <c r="L578" i="7"/>
  <c r="M578" i="7"/>
  <c r="N578" i="7"/>
  <c r="O578" i="7"/>
  <c r="P578" i="7"/>
  <c r="Q578" i="7"/>
  <c r="R578" i="7"/>
  <c r="S578" i="7"/>
  <c r="T578" i="7"/>
  <c r="U578" i="7"/>
  <c r="V578" i="7"/>
  <c r="W578" i="7"/>
  <c r="X578" i="7"/>
  <c r="Y578" i="7"/>
  <c r="Z578" i="7"/>
  <c r="AA578" i="7"/>
  <c r="AB578" i="7"/>
  <c r="E579" i="7"/>
  <c r="F579" i="7"/>
  <c r="G579" i="7"/>
  <c r="H579" i="7"/>
  <c r="I579" i="7"/>
  <c r="J579" i="7"/>
  <c r="K579" i="7"/>
  <c r="L579" i="7"/>
  <c r="M579" i="7"/>
  <c r="N579" i="7"/>
  <c r="O579" i="7"/>
  <c r="P579" i="7"/>
  <c r="Q579" i="7"/>
  <c r="R579" i="7"/>
  <c r="S579" i="7"/>
  <c r="T579" i="7"/>
  <c r="U579" i="7"/>
  <c r="V579" i="7"/>
  <c r="W579" i="7"/>
  <c r="X579" i="7"/>
  <c r="Y579" i="7"/>
  <c r="Z579" i="7"/>
  <c r="AA579" i="7"/>
  <c r="AB579" i="7"/>
  <c r="E580" i="7"/>
  <c r="F580" i="7"/>
  <c r="G580" i="7"/>
  <c r="H580" i="7"/>
  <c r="I580" i="7"/>
  <c r="J580" i="7"/>
  <c r="K580" i="7"/>
  <c r="L580" i="7"/>
  <c r="M580" i="7"/>
  <c r="N580" i="7"/>
  <c r="O580" i="7"/>
  <c r="P580" i="7"/>
  <c r="Q580" i="7"/>
  <c r="R580" i="7"/>
  <c r="S580" i="7"/>
  <c r="T580" i="7"/>
  <c r="U580" i="7"/>
  <c r="V580" i="7"/>
  <c r="W580" i="7"/>
  <c r="X580" i="7"/>
  <c r="Y580" i="7"/>
  <c r="Z580" i="7"/>
  <c r="AA580" i="7"/>
  <c r="AB580" i="7"/>
  <c r="E581" i="7"/>
  <c r="F581" i="7"/>
  <c r="G581" i="7"/>
  <c r="H581" i="7"/>
  <c r="I581" i="7"/>
  <c r="J581" i="7"/>
  <c r="K581" i="7"/>
  <c r="L581" i="7"/>
  <c r="M581" i="7"/>
  <c r="N581" i="7"/>
  <c r="O581" i="7"/>
  <c r="P581" i="7"/>
  <c r="Q581" i="7"/>
  <c r="R581" i="7"/>
  <c r="S581" i="7"/>
  <c r="T581" i="7"/>
  <c r="U581" i="7"/>
  <c r="V581" i="7"/>
  <c r="W581" i="7"/>
  <c r="X581" i="7"/>
  <c r="Y581" i="7"/>
  <c r="Z581" i="7"/>
  <c r="AA581" i="7"/>
  <c r="AB581" i="7"/>
  <c r="E582" i="7"/>
  <c r="F582" i="7"/>
  <c r="G582" i="7"/>
  <c r="H582" i="7"/>
  <c r="I582" i="7"/>
  <c r="J582" i="7"/>
  <c r="K582" i="7"/>
  <c r="L582" i="7"/>
  <c r="M582" i="7"/>
  <c r="N582" i="7"/>
  <c r="O582" i="7"/>
  <c r="P582" i="7"/>
  <c r="Q582" i="7"/>
  <c r="R582" i="7"/>
  <c r="S582" i="7"/>
  <c r="T582" i="7"/>
  <c r="U582" i="7"/>
  <c r="V582" i="7"/>
  <c r="W582" i="7"/>
  <c r="X582" i="7"/>
  <c r="Y582" i="7"/>
  <c r="Z582" i="7"/>
  <c r="AA582" i="7"/>
  <c r="AB582" i="7"/>
  <c r="E583" i="7"/>
  <c r="F583" i="7"/>
  <c r="G583" i="7"/>
  <c r="H583" i="7"/>
  <c r="I583" i="7"/>
  <c r="J583" i="7"/>
  <c r="K583" i="7"/>
  <c r="L583" i="7"/>
  <c r="M583" i="7"/>
  <c r="N583" i="7"/>
  <c r="O583" i="7"/>
  <c r="P583" i="7"/>
  <c r="Q583" i="7"/>
  <c r="R583" i="7"/>
  <c r="S583" i="7"/>
  <c r="T583" i="7"/>
  <c r="U583" i="7"/>
  <c r="V583" i="7"/>
  <c r="W583" i="7"/>
  <c r="X583" i="7"/>
  <c r="Y583" i="7"/>
  <c r="Z583" i="7"/>
  <c r="AA583" i="7"/>
  <c r="AB583" i="7"/>
  <c r="E584" i="7"/>
  <c r="F584" i="7"/>
  <c r="G584" i="7"/>
  <c r="H584" i="7"/>
  <c r="I584" i="7"/>
  <c r="J584" i="7"/>
  <c r="K584" i="7"/>
  <c r="L584" i="7"/>
  <c r="M584" i="7"/>
  <c r="N584" i="7"/>
  <c r="O584" i="7"/>
  <c r="P584" i="7"/>
  <c r="Q584" i="7"/>
  <c r="R584" i="7"/>
  <c r="S584" i="7"/>
  <c r="T584" i="7"/>
  <c r="U584" i="7"/>
  <c r="V584" i="7"/>
  <c r="W584" i="7"/>
  <c r="X584" i="7"/>
  <c r="Y584" i="7"/>
  <c r="Z584" i="7"/>
  <c r="AA584" i="7"/>
  <c r="AB584" i="7"/>
  <c r="E585" i="7"/>
  <c r="F585" i="7"/>
  <c r="G585" i="7"/>
  <c r="H585" i="7"/>
  <c r="I585" i="7"/>
  <c r="J585" i="7"/>
  <c r="K585" i="7"/>
  <c r="L585" i="7"/>
  <c r="M585" i="7"/>
  <c r="N585" i="7"/>
  <c r="O585" i="7"/>
  <c r="P585" i="7"/>
  <c r="Q585" i="7"/>
  <c r="R585" i="7"/>
  <c r="S585" i="7"/>
  <c r="T585" i="7"/>
  <c r="U585" i="7"/>
  <c r="V585" i="7"/>
  <c r="W585" i="7"/>
  <c r="X585" i="7"/>
  <c r="Y585" i="7"/>
  <c r="Z585" i="7"/>
  <c r="AA585" i="7"/>
  <c r="AB585" i="7"/>
  <c r="E586" i="7"/>
  <c r="F586" i="7"/>
  <c r="G586" i="7"/>
  <c r="H586" i="7"/>
  <c r="I586" i="7"/>
  <c r="J586" i="7"/>
  <c r="K586" i="7"/>
  <c r="L586" i="7"/>
  <c r="M586" i="7"/>
  <c r="N586" i="7"/>
  <c r="O586" i="7"/>
  <c r="P586" i="7"/>
  <c r="Q586" i="7"/>
  <c r="R586" i="7"/>
  <c r="S586" i="7"/>
  <c r="T586" i="7"/>
  <c r="U586" i="7"/>
  <c r="V586" i="7"/>
  <c r="W586" i="7"/>
  <c r="X586" i="7"/>
  <c r="Y586" i="7"/>
  <c r="Z586" i="7"/>
  <c r="AA586" i="7"/>
  <c r="AB586" i="7"/>
  <c r="E587" i="7"/>
  <c r="F587" i="7"/>
  <c r="G587" i="7"/>
  <c r="H587" i="7"/>
  <c r="I587" i="7"/>
  <c r="J587" i="7"/>
  <c r="K587" i="7"/>
  <c r="L587" i="7"/>
  <c r="M587" i="7"/>
  <c r="N587" i="7"/>
  <c r="O587" i="7"/>
  <c r="P587" i="7"/>
  <c r="Q587" i="7"/>
  <c r="R587" i="7"/>
  <c r="S587" i="7"/>
  <c r="T587" i="7"/>
  <c r="U587" i="7"/>
  <c r="V587" i="7"/>
  <c r="W587" i="7"/>
  <c r="X587" i="7"/>
  <c r="Y587" i="7"/>
  <c r="Z587" i="7"/>
  <c r="AA587" i="7"/>
  <c r="AB587" i="7"/>
  <c r="E588" i="7"/>
  <c r="F588" i="7"/>
  <c r="G588" i="7"/>
  <c r="H588" i="7"/>
  <c r="I588" i="7"/>
  <c r="J588" i="7"/>
  <c r="K588" i="7"/>
  <c r="L588" i="7"/>
  <c r="M588" i="7"/>
  <c r="N588" i="7"/>
  <c r="O588" i="7"/>
  <c r="P588" i="7"/>
  <c r="Q588" i="7"/>
  <c r="R588" i="7"/>
  <c r="S588" i="7"/>
  <c r="T588" i="7"/>
  <c r="U588" i="7"/>
  <c r="V588" i="7"/>
  <c r="W588" i="7"/>
  <c r="X588" i="7"/>
  <c r="Y588" i="7"/>
  <c r="Z588" i="7"/>
  <c r="AA588" i="7"/>
  <c r="AB588" i="7"/>
  <c r="E589" i="7"/>
  <c r="F589" i="7"/>
  <c r="G589" i="7"/>
  <c r="H589" i="7"/>
  <c r="I589" i="7"/>
  <c r="J589" i="7"/>
  <c r="K589" i="7"/>
  <c r="L589" i="7"/>
  <c r="M589" i="7"/>
  <c r="N589" i="7"/>
  <c r="O589" i="7"/>
  <c r="P589" i="7"/>
  <c r="Q589" i="7"/>
  <c r="R589" i="7"/>
  <c r="S589" i="7"/>
  <c r="T589" i="7"/>
  <c r="U589" i="7"/>
  <c r="V589" i="7"/>
  <c r="W589" i="7"/>
  <c r="X589" i="7"/>
  <c r="Y589" i="7"/>
  <c r="Z589" i="7"/>
  <c r="AA589" i="7"/>
  <c r="AB589" i="7"/>
  <c r="E590" i="7"/>
  <c r="F590" i="7"/>
  <c r="G590" i="7"/>
  <c r="H590" i="7"/>
  <c r="I590" i="7"/>
  <c r="J590" i="7"/>
  <c r="K590" i="7"/>
  <c r="L590" i="7"/>
  <c r="M590" i="7"/>
  <c r="N590" i="7"/>
  <c r="O590" i="7"/>
  <c r="P590" i="7"/>
  <c r="Q590" i="7"/>
  <c r="R590" i="7"/>
  <c r="S590" i="7"/>
  <c r="T590" i="7"/>
  <c r="U590" i="7"/>
  <c r="V590" i="7"/>
  <c r="W590" i="7"/>
  <c r="X590" i="7"/>
  <c r="Y590" i="7"/>
  <c r="Z590" i="7"/>
  <c r="AA590" i="7"/>
  <c r="AB590" i="7"/>
  <c r="E591" i="7"/>
  <c r="F591" i="7"/>
  <c r="G591" i="7"/>
  <c r="H591" i="7"/>
  <c r="I591" i="7"/>
  <c r="J591" i="7"/>
  <c r="K591" i="7"/>
  <c r="L591" i="7"/>
  <c r="M591" i="7"/>
  <c r="N591" i="7"/>
  <c r="O591" i="7"/>
  <c r="P591" i="7"/>
  <c r="Q591" i="7"/>
  <c r="R591" i="7"/>
  <c r="S591" i="7"/>
  <c r="T591" i="7"/>
  <c r="U591" i="7"/>
  <c r="V591" i="7"/>
  <c r="W591" i="7"/>
  <c r="X591" i="7"/>
  <c r="Y591" i="7"/>
  <c r="Z591" i="7"/>
  <c r="AA591" i="7"/>
  <c r="AB591" i="7"/>
  <c r="E592" i="7"/>
  <c r="F592" i="7"/>
  <c r="G592" i="7"/>
  <c r="H592" i="7"/>
  <c r="I592" i="7"/>
  <c r="J592" i="7"/>
  <c r="K592" i="7"/>
  <c r="L592" i="7"/>
  <c r="M592" i="7"/>
  <c r="N592" i="7"/>
  <c r="O592" i="7"/>
  <c r="P592" i="7"/>
  <c r="Q592" i="7"/>
  <c r="R592" i="7"/>
  <c r="S592" i="7"/>
  <c r="T592" i="7"/>
  <c r="U592" i="7"/>
  <c r="V592" i="7"/>
  <c r="W592" i="7"/>
  <c r="X592" i="7"/>
  <c r="Y592" i="7"/>
  <c r="Z592" i="7"/>
  <c r="AA592" i="7"/>
  <c r="AB592" i="7"/>
  <c r="E593" i="7"/>
  <c r="F593" i="7"/>
  <c r="G593" i="7"/>
  <c r="H593" i="7"/>
  <c r="I593" i="7"/>
  <c r="J593" i="7"/>
  <c r="K593" i="7"/>
  <c r="L593" i="7"/>
  <c r="M593" i="7"/>
  <c r="N593" i="7"/>
  <c r="O593" i="7"/>
  <c r="P593" i="7"/>
  <c r="Q593" i="7"/>
  <c r="R593" i="7"/>
  <c r="S593" i="7"/>
  <c r="T593" i="7"/>
  <c r="U593" i="7"/>
  <c r="V593" i="7"/>
  <c r="W593" i="7"/>
  <c r="X593" i="7"/>
  <c r="Y593" i="7"/>
  <c r="Z593" i="7"/>
  <c r="AA593" i="7"/>
  <c r="AB593" i="7"/>
  <c r="E594" i="7"/>
  <c r="F594" i="7"/>
  <c r="G594" i="7"/>
  <c r="H594" i="7"/>
  <c r="I594" i="7"/>
  <c r="J594" i="7"/>
  <c r="K594" i="7"/>
  <c r="L594" i="7"/>
  <c r="M594" i="7"/>
  <c r="N594" i="7"/>
  <c r="O594" i="7"/>
  <c r="P594" i="7"/>
  <c r="Q594" i="7"/>
  <c r="R594" i="7"/>
  <c r="S594" i="7"/>
  <c r="T594" i="7"/>
  <c r="U594" i="7"/>
  <c r="V594" i="7"/>
  <c r="W594" i="7"/>
  <c r="X594" i="7"/>
  <c r="Y594" i="7"/>
  <c r="Z594" i="7"/>
  <c r="AA594" i="7"/>
  <c r="AB594" i="7"/>
  <c r="E595" i="7"/>
  <c r="F595" i="7"/>
  <c r="G595" i="7"/>
  <c r="H595" i="7"/>
  <c r="I595" i="7"/>
  <c r="J595" i="7"/>
  <c r="K595" i="7"/>
  <c r="L595" i="7"/>
  <c r="M595" i="7"/>
  <c r="N595" i="7"/>
  <c r="O595" i="7"/>
  <c r="P595" i="7"/>
  <c r="Q595" i="7"/>
  <c r="R595" i="7"/>
  <c r="S595" i="7"/>
  <c r="T595" i="7"/>
  <c r="U595" i="7"/>
  <c r="V595" i="7"/>
  <c r="W595" i="7"/>
  <c r="X595" i="7"/>
  <c r="Y595" i="7"/>
  <c r="Z595" i="7"/>
  <c r="AA595" i="7"/>
  <c r="AB595" i="7"/>
  <c r="E596" i="7"/>
  <c r="F596" i="7"/>
  <c r="G596" i="7"/>
  <c r="H596" i="7"/>
  <c r="I596" i="7"/>
  <c r="J596" i="7"/>
  <c r="K596" i="7"/>
  <c r="L596" i="7"/>
  <c r="M596" i="7"/>
  <c r="N596" i="7"/>
  <c r="O596" i="7"/>
  <c r="P596" i="7"/>
  <c r="Q596" i="7"/>
  <c r="R596" i="7"/>
  <c r="S596" i="7"/>
  <c r="T596" i="7"/>
  <c r="U596" i="7"/>
  <c r="V596" i="7"/>
  <c r="W596" i="7"/>
  <c r="X596" i="7"/>
  <c r="Y596" i="7"/>
  <c r="Z596" i="7"/>
  <c r="AA596" i="7"/>
  <c r="AB596" i="7"/>
  <c r="E597" i="7"/>
  <c r="F597" i="7"/>
  <c r="G597" i="7"/>
  <c r="H597" i="7"/>
  <c r="I597" i="7"/>
  <c r="J597" i="7"/>
  <c r="K597" i="7"/>
  <c r="L597" i="7"/>
  <c r="M597" i="7"/>
  <c r="N597" i="7"/>
  <c r="O597" i="7"/>
  <c r="P597" i="7"/>
  <c r="Q597" i="7"/>
  <c r="R597" i="7"/>
  <c r="S597" i="7"/>
  <c r="T597" i="7"/>
  <c r="U597" i="7"/>
  <c r="V597" i="7"/>
  <c r="W597" i="7"/>
  <c r="X597" i="7"/>
  <c r="Y597" i="7"/>
  <c r="Z597" i="7"/>
  <c r="AA597" i="7"/>
  <c r="AB597" i="7"/>
  <c r="E598" i="7"/>
  <c r="F598" i="7"/>
  <c r="G598" i="7"/>
  <c r="H598" i="7"/>
  <c r="I598" i="7"/>
  <c r="J598" i="7"/>
  <c r="K598" i="7"/>
  <c r="L598" i="7"/>
  <c r="M598" i="7"/>
  <c r="N598" i="7"/>
  <c r="O598" i="7"/>
  <c r="P598" i="7"/>
  <c r="Q598" i="7"/>
  <c r="R598" i="7"/>
  <c r="S598" i="7"/>
  <c r="T598" i="7"/>
  <c r="U598" i="7"/>
  <c r="V598" i="7"/>
  <c r="W598" i="7"/>
  <c r="X598" i="7"/>
  <c r="Y598" i="7"/>
  <c r="Z598" i="7"/>
  <c r="AA598" i="7"/>
  <c r="AB598" i="7"/>
  <c r="E599" i="7"/>
  <c r="F599" i="7"/>
  <c r="G599" i="7"/>
  <c r="H599" i="7"/>
  <c r="I599" i="7"/>
  <c r="J599" i="7"/>
  <c r="K599" i="7"/>
  <c r="L599" i="7"/>
  <c r="M599" i="7"/>
  <c r="N599" i="7"/>
  <c r="O599" i="7"/>
  <c r="P599" i="7"/>
  <c r="Q599" i="7"/>
  <c r="R599" i="7"/>
  <c r="S599" i="7"/>
  <c r="T599" i="7"/>
  <c r="U599" i="7"/>
  <c r="V599" i="7"/>
  <c r="W599" i="7"/>
  <c r="X599" i="7"/>
  <c r="Y599" i="7"/>
  <c r="Z599" i="7"/>
  <c r="AA599" i="7"/>
  <c r="AB599" i="7"/>
  <c r="E600" i="7"/>
  <c r="F600" i="7"/>
  <c r="G600" i="7"/>
  <c r="H600" i="7"/>
  <c r="I600" i="7"/>
  <c r="J600" i="7"/>
  <c r="K600" i="7"/>
  <c r="L600" i="7"/>
  <c r="M600" i="7"/>
  <c r="N600" i="7"/>
  <c r="O600" i="7"/>
  <c r="P600" i="7"/>
  <c r="Q600" i="7"/>
  <c r="R600" i="7"/>
  <c r="S600" i="7"/>
  <c r="T600" i="7"/>
  <c r="U600" i="7"/>
  <c r="V600" i="7"/>
  <c r="W600" i="7"/>
  <c r="X600" i="7"/>
  <c r="Y600" i="7"/>
  <c r="Z600" i="7"/>
  <c r="AA600" i="7"/>
  <c r="AB600" i="7"/>
  <c r="E601" i="7"/>
  <c r="F601" i="7"/>
  <c r="G601" i="7"/>
  <c r="H601" i="7"/>
  <c r="I601" i="7"/>
  <c r="J601" i="7"/>
  <c r="K601" i="7"/>
  <c r="L601" i="7"/>
  <c r="M601" i="7"/>
  <c r="N601" i="7"/>
  <c r="O601" i="7"/>
  <c r="P601" i="7"/>
  <c r="Q601" i="7"/>
  <c r="R601" i="7"/>
  <c r="S601" i="7"/>
  <c r="T601" i="7"/>
  <c r="U601" i="7"/>
  <c r="V601" i="7"/>
  <c r="W601" i="7"/>
  <c r="X601" i="7"/>
  <c r="Y601" i="7"/>
  <c r="Z601" i="7"/>
  <c r="AA601" i="7"/>
  <c r="AB601" i="7"/>
  <c r="E602" i="7"/>
  <c r="F602" i="7"/>
  <c r="G602" i="7"/>
  <c r="H602" i="7"/>
  <c r="I602" i="7"/>
  <c r="J602" i="7"/>
  <c r="K602" i="7"/>
  <c r="L602" i="7"/>
  <c r="M602" i="7"/>
  <c r="N602" i="7"/>
  <c r="O602" i="7"/>
  <c r="P602" i="7"/>
  <c r="Q602" i="7"/>
  <c r="R602" i="7"/>
  <c r="S602" i="7"/>
  <c r="T602" i="7"/>
  <c r="U602" i="7"/>
  <c r="V602" i="7"/>
  <c r="W602" i="7"/>
  <c r="X602" i="7"/>
  <c r="Y602" i="7"/>
  <c r="Z602" i="7"/>
  <c r="AA602" i="7"/>
  <c r="AB602" i="7"/>
  <c r="E603" i="7"/>
  <c r="F603" i="7"/>
  <c r="G603" i="7"/>
  <c r="H603" i="7"/>
  <c r="I603" i="7"/>
  <c r="J603" i="7"/>
  <c r="K603" i="7"/>
  <c r="L603" i="7"/>
  <c r="M603" i="7"/>
  <c r="N603" i="7"/>
  <c r="O603" i="7"/>
  <c r="P603" i="7"/>
  <c r="Q603" i="7"/>
  <c r="R603" i="7"/>
  <c r="S603" i="7"/>
  <c r="T603" i="7"/>
  <c r="U603" i="7"/>
  <c r="V603" i="7"/>
  <c r="W603" i="7"/>
  <c r="X603" i="7"/>
  <c r="Y603" i="7"/>
  <c r="Z603" i="7"/>
  <c r="AA603" i="7"/>
  <c r="AB603" i="7"/>
  <c r="E604" i="7"/>
  <c r="F604" i="7"/>
  <c r="G604" i="7"/>
  <c r="H604" i="7"/>
  <c r="I604" i="7"/>
  <c r="J604" i="7"/>
  <c r="K604" i="7"/>
  <c r="L604" i="7"/>
  <c r="M604" i="7"/>
  <c r="N604" i="7"/>
  <c r="O604" i="7"/>
  <c r="P604" i="7"/>
  <c r="Q604" i="7"/>
  <c r="R604" i="7"/>
  <c r="S604" i="7"/>
  <c r="T604" i="7"/>
  <c r="U604" i="7"/>
  <c r="V604" i="7"/>
  <c r="W604" i="7"/>
  <c r="X604" i="7"/>
  <c r="Y604" i="7"/>
  <c r="Z604" i="7"/>
  <c r="AA604" i="7"/>
  <c r="AB604" i="7"/>
  <c r="E605" i="7"/>
  <c r="F605" i="7"/>
  <c r="G605" i="7"/>
  <c r="H605" i="7"/>
  <c r="I605" i="7"/>
  <c r="J605" i="7"/>
  <c r="K605" i="7"/>
  <c r="L605" i="7"/>
  <c r="M605" i="7"/>
  <c r="N605" i="7"/>
  <c r="O605" i="7"/>
  <c r="P605" i="7"/>
  <c r="Q605" i="7"/>
  <c r="R605" i="7"/>
  <c r="S605" i="7"/>
  <c r="T605" i="7"/>
  <c r="U605" i="7"/>
  <c r="V605" i="7"/>
  <c r="W605" i="7"/>
  <c r="X605" i="7"/>
  <c r="Y605" i="7"/>
  <c r="Z605" i="7"/>
  <c r="AA605" i="7"/>
  <c r="AB605" i="7"/>
  <c r="E606" i="7"/>
  <c r="F606" i="7"/>
  <c r="G606" i="7"/>
  <c r="H606" i="7"/>
  <c r="I606" i="7"/>
  <c r="J606" i="7"/>
  <c r="K606" i="7"/>
  <c r="L606" i="7"/>
  <c r="M606" i="7"/>
  <c r="N606" i="7"/>
  <c r="O606" i="7"/>
  <c r="P606" i="7"/>
  <c r="Q606" i="7"/>
  <c r="R606" i="7"/>
  <c r="S606" i="7"/>
  <c r="T606" i="7"/>
  <c r="U606" i="7"/>
  <c r="V606" i="7"/>
  <c r="W606" i="7"/>
  <c r="X606" i="7"/>
  <c r="Y606" i="7"/>
  <c r="Z606" i="7"/>
  <c r="AA606" i="7"/>
  <c r="AB606" i="7"/>
  <c r="E607" i="7"/>
  <c r="F607" i="7"/>
  <c r="G607" i="7"/>
  <c r="H607" i="7"/>
  <c r="I607" i="7"/>
  <c r="J607" i="7"/>
  <c r="K607" i="7"/>
  <c r="L607" i="7"/>
  <c r="M607" i="7"/>
  <c r="N607" i="7"/>
  <c r="O607" i="7"/>
  <c r="P607" i="7"/>
  <c r="Q607" i="7"/>
  <c r="R607" i="7"/>
  <c r="S607" i="7"/>
  <c r="T607" i="7"/>
  <c r="U607" i="7"/>
  <c r="V607" i="7"/>
  <c r="W607" i="7"/>
  <c r="X607" i="7"/>
  <c r="Y607" i="7"/>
  <c r="Z607" i="7"/>
  <c r="AA607" i="7"/>
  <c r="AB607" i="7"/>
  <c r="E608" i="7"/>
  <c r="F608" i="7"/>
  <c r="G608" i="7"/>
  <c r="H608" i="7"/>
  <c r="I608" i="7"/>
  <c r="J608" i="7"/>
  <c r="K608" i="7"/>
  <c r="L608" i="7"/>
  <c r="M608" i="7"/>
  <c r="N608" i="7"/>
  <c r="O608" i="7"/>
  <c r="P608" i="7"/>
  <c r="Q608" i="7"/>
  <c r="R608" i="7"/>
  <c r="S608" i="7"/>
  <c r="T608" i="7"/>
  <c r="U608" i="7"/>
  <c r="V608" i="7"/>
  <c r="W608" i="7"/>
  <c r="X608" i="7"/>
  <c r="Y608" i="7"/>
  <c r="Z608" i="7"/>
  <c r="AA608" i="7"/>
  <c r="AB608" i="7"/>
  <c r="E609" i="7"/>
  <c r="F609" i="7"/>
  <c r="G609" i="7"/>
  <c r="H609" i="7"/>
  <c r="I609" i="7"/>
  <c r="J609" i="7"/>
  <c r="K609" i="7"/>
  <c r="L609" i="7"/>
  <c r="M609" i="7"/>
  <c r="N609" i="7"/>
  <c r="O609" i="7"/>
  <c r="P609" i="7"/>
  <c r="Q609" i="7"/>
  <c r="R609" i="7"/>
  <c r="S609" i="7"/>
  <c r="T609" i="7"/>
  <c r="U609" i="7"/>
  <c r="V609" i="7"/>
  <c r="W609" i="7"/>
  <c r="X609" i="7"/>
  <c r="Y609" i="7"/>
  <c r="Z609" i="7"/>
  <c r="AA609" i="7"/>
  <c r="AB609" i="7"/>
  <c r="E610" i="7"/>
  <c r="F610" i="7"/>
  <c r="G610" i="7"/>
  <c r="H610" i="7"/>
  <c r="I610" i="7"/>
  <c r="J610" i="7"/>
  <c r="K610" i="7"/>
  <c r="L610" i="7"/>
  <c r="M610" i="7"/>
  <c r="N610" i="7"/>
  <c r="O610" i="7"/>
  <c r="P610" i="7"/>
  <c r="Q610" i="7"/>
  <c r="R610" i="7"/>
  <c r="S610" i="7"/>
  <c r="T610" i="7"/>
  <c r="U610" i="7"/>
  <c r="V610" i="7"/>
  <c r="W610" i="7"/>
  <c r="X610" i="7"/>
  <c r="Y610" i="7"/>
  <c r="Z610" i="7"/>
  <c r="AA610" i="7"/>
  <c r="AB610" i="7"/>
  <c r="E611" i="7"/>
  <c r="F611" i="7"/>
  <c r="G611" i="7"/>
  <c r="H611" i="7"/>
  <c r="I611" i="7"/>
  <c r="J611" i="7"/>
  <c r="K611" i="7"/>
  <c r="L611" i="7"/>
  <c r="M611" i="7"/>
  <c r="N611" i="7"/>
  <c r="O611" i="7"/>
  <c r="P611" i="7"/>
  <c r="Q611" i="7"/>
  <c r="R611" i="7"/>
  <c r="S611" i="7"/>
  <c r="T611" i="7"/>
  <c r="U611" i="7"/>
  <c r="V611" i="7"/>
  <c r="W611" i="7"/>
  <c r="X611" i="7"/>
  <c r="Y611" i="7"/>
  <c r="Z611" i="7"/>
  <c r="AA611" i="7"/>
  <c r="AB611" i="7"/>
  <c r="E612" i="7"/>
  <c r="F612" i="7"/>
  <c r="G612" i="7"/>
  <c r="H612" i="7"/>
  <c r="I612" i="7"/>
  <c r="J612" i="7"/>
  <c r="K612" i="7"/>
  <c r="L612" i="7"/>
  <c r="M612" i="7"/>
  <c r="N612" i="7"/>
  <c r="O612" i="7"/>
  <c r="P612" i="7"/>
  <c r="Q612" i="7"/>
  <c r="R612" i="7"/>
  <c r="S612" i="7"/>
  <c r="T612" i="7"/>
  <c r="U612" i="7"/>
  <c r="V612" i="7"/>
  <c r="W612" i="7"/>
  <c r="X612" i="7"/>
  <c r="Y612" i="7"/>
  <c r="Z612" i="7"/>
  <c r="AA612" i="7"/>
  <c r="AB612" i="7"/>
  <c r="E613" i="7"/>
  <c r="F613" i="7"/>
  <c r="G613" i="7"/>
  <c r="H613" i="7"/>
  <c r="I613" i="7"/>
  <c r="J613" i="7"/>
  <c r="K613" i="7"/>
  <c r="L613" i="7"/>
  <c r="M613" i="7"/>
  <c r="N613" i="7"/>
  <c r="O613" i="7"/>
  <c r="P613" i="7"/>
  <c r="Q613" i="7"/>
  <c r="R613" i="7"/>
  <c r="S613" i="7"/>
  <c r="T613" i="7"/>
  <c r="U613" i="7"/>
  <c r="V613" i="7"/>
  <c r="W613" i="7"/>
  <c r="X613" i="7"/>
  <c r="Y613" i="7"/>
  <c r="Z613" i="7"/>
  <c r="AA613" i="7"/>
  <c r="AB613" i="7"/>
  <c r="E614" i="7"/>
  <c r="F614" i="7"/>
  <c r="G614" i="7"/>
  <c r="H614" i="7"/>
  <c r="I614" i="7"/>
  <c r="J614" i="7"/>
  <c r="K614" i="7"/>
  <c r="L614" i="7"/>
  <c r="M614" i="7"/>
  <c r="N614" i="7"/>
  <c r="O614" i="7"/>
  <c r="P614" i="7"/>
  <c r="Q614" i="7"/>
  <c r="R614" i="7"/>
  <c r="S614" i="7"/>
  <c r="T614" i="7"/>
  <c r="U614" i="7"/>
  <c r="V614" i="7"/>
  <c r="W614" i="7"/>
  <c r="X614" i="7"/>
  <c r="Y614" i="7"/>
  <c r="Z614" i="7"/>
  <c r="AA614" i="7"/>
  <c r="AB614" i="7"/>
  <c r="E615" i="7"/>
  <c r="F615" i="7"/>
  <c r="G615" i="7"/>
  <c r="H615" i="7"/>
  <c r="I615" i="7"/>
  <c r="J615" i="7"/>
  <c r="K615" i="7"/>
  <c r="L615" i="7"/>
  <c r="M615" i="7"/>
  <c r="N615" i="7"/>
  <c r="O615" i="7"/>
  <c r="P615" i="7"/>
  <c r="Q615" i="7"/>
  <c r="R615" i="7"/>
  <c r="S615" i="7"/>
  <c r="T615" i="7"/>
  <c r="U615" i="7"/>
  <c r="V615" i="7"/>
  <c r="W615" i="7"/>
  <c r="X615" i="7"/>
  <c r="Y615" i="7"/>
  <c r="Z615" i="7"/>
  <c r="AA615" i="7"/>
  <c r="AB615" i="7"/>
  <c r="E616" i="7"/>
  <c r="F616" i="7"/>
  <c r="G616" i="7"/>
  <c r="H616" i="7"/>
  <c r="I616" i="7"/>
  <c r="J616" i="7"/>
  <c r="K616" i="7"/>
  <c r="L616" i="7"/>
  <c r="M616" i="7"/>
  <c r="N616" i="7"/>
  <c r="O616" i="7"/>
  <c r="P616" i="7"/>
  <c r="Q616" i="7"/>
  <c r="R616" i="7"/>
  <c r="S616" i="7"/>
  <c r="T616" i="7"/>
  <c r="U616" i="7"/>
  <c r="V616" i="7"/>
  <c r="W616" i="7"/>
  <c r="X616" i="7"/>
  <c r="Y616" i="7"/>
  <c r="Z616" i="7"/>
  <c r="AA616" i="7"/>
  <c r="AB616" i="7"/>
  <c r="E617" i="7"/>
  <c r="F617" i="7"/>
  <c r="G617" i="7"/>
  <c r="H617" i="7"/>
  <c r="I617" i="7"/>
  <c r="J617" i="7"/>
  <c r="K617" i="7"/>
  <c r="L617" i="7"/>
  <c r="M617" i="7"/>
  <c r="N617" i="7"/>
  <c r="O617" i="7"/>
  <c r="P617" i="7"/>
  <c r="Q617" i="7"/>
  <c r="R617" i="7"/>
  <c r="S617" i="7"/>
  <c r="T617" i="7"/>
  <c r="U617" i="7"/>
  <c r="V617" i="7"/>
  <c r="W617" i="7"/>
  <c r="X617" i="7"/>
  <c r="Y617" i="7"/>
  <c r="Z617" i="7"/>
  <c r="AA617" i="7"/>
  <c r="AB617" i="7"/>
  <c r="E618" i="7"/>
  <c r="F618" i="7"/>
  <c r="G618" i="7"/>
  <c r="H618" i="7"/>
  <c r="I618" i="7"/>
  <c r="J618" i="7"/>
  <c r="K618" i="7"/>
  <c r="L618" i="7"/>
  <c r="M618" i="7"/>
  <c r="N618" i="7"/>
  <c r="O618" i="7"/>
  <c r="P618" i="7"/>
  <c r="Q618" i="7"/>
  <c r="R618" i="7"/>
  <c r="S618" i="7"/>
  <c r="T618" i="7"/>
  <c r="U618" i="7"/>
  <c r="V618" i="7"/>
  <c r="W618" i="7"/>
  <c r="X618" i="7"/>
  <c r="Y618" i="7"/>
  <c r="Z618" i="7"/>
  <c r="AA618" i="7"/>
  <c r="AB618" i="7"/>
  <c r="E619" i="7"/>
  <c r="F619" i="7"/>
  <c r="G619" i="7"/>
  <c r="H619" i="7"/>
  <c r="I619" i="7"/>
  <c r="J619" i="7"/>
  <c r="K619" i="7"/>
  <c r="L619" i="7"/>
  <c r="M619" i="7"/>
  <c r="N619" i="7"/>
  <c r="O619" i="7"/>
  <c r="P619" i="7"/>
  <c r="Q619" i="7"/>
  <c r="R619" i="7"/>
  <c r="S619" i="7"/>
  <c r="T619" i="7"/>
  <c r="U619" i="7"/>
  <c r="V619" i="7"/>
  <c r="W619" i="7"/>
  <c r="X619" i="7"/>
  <c r="Y619" i="7"/>
  <c r="Z619" i="7"/>
  <c r="AA619" i="7"/>
  <c r="AB619" i="7"/>
  <c r="E620" i="7"/>
  <c r="F620" i="7"/>
  <c r="G620" i="7"/>
  <c r="H620" i="7"/>
  <c r="I620" i="7"/>
  <c r="J620" i="7"/>
  <c r="K620" i="7"/>
  <c r="L620" i="7"/>
  <c r="M620" i="7"/>
  <c r="N620" i="7"/>
  <c r="O620" i="7"/>
  <c r="P620" i="7"/>
  <c r="Q620" i="7"/>
  <c r="R620" i="7"/>
  <c r="S620" i="7"/>
  <c r="T620" i="7"/>
  <c r="U620" i="7"/>
  <c r="V620" i="7"/>
  <c r="W620" i="7"/>
  <c r="X620" i="7"/>
  <c r="Y620" i="7"/>
  <c r="Z620" i="7"/>
  <c r="AA620" i="7"/>
  <c r="AB620" i="7"/>
  <c r="E621" i="7"/>
  <c r="F621" i="7"/>
  <c r="G621" i="7"/>
  <c r="H621" i="7"/>
  <c r="I621" i="7"/>
  <c r="J621" i="7"/>
  <c r="K621" i="7"/>
  <c r="L621" i="7"/>
  <c r="M621" i="7"/>
  <c r="N621" i="7"/>
  <c r="O621" i="7"/>
  <c r="P621" i="7"/>
  <c r="Q621" i="7"/>
  <c r="R621" i="7"/>
  <c r="S621" i="7"/>
  <c r="T621" i="7"/>
  <c r="U621" i="7"/>
  <c r="V621" i="7"/>
  <c r="W621" i="7"/>
  <c r="X621" i="7"/>
  <c r="Y621" i="7"/>
  <c r="Z621" i="7"/>
  <c r="AA621" i="7"/>
  <c r="AB621" i="7"/>
  <c r="E622" i="7"/>
  <c r="F622" i="7"/>
  <c r="G622" i="7"/>
  <c r="H622" i="7"/>
  <c r="I622" i="7"/>
  <c r="J622" i="7"/>
  <c r="K622" i="7"/>
  <c r="L622" i="7"/>
  <c r="M622" i="7"/>
  <c r="N622" i="7"/>
  <c r="O622" i="7"/>
  <c r="P622" i="7"/>
  <c r="Q622" i="7"/>
  <c r="R622" i="7"/>
  <c r="S622" i="7"/>
  <c r="T622" i="7"/>
  <c r="U622" i="7"/>
  <c r="V622" i="7"/>
  <c r="W622" i="7"/>
  <c r="X622" i="7"/>
  <c r="Y622" i="7"/>
  <c r="Z622" i="7"/>
  <c r="AA622" i="7"/>
  <c r="AB622" i="7"/>
  <c r="E623" i="7"/>
  <c r="F623" i="7"/>
  <c r="G623" i="7"/>
  <c r="H623" i="7"/>
  <c r="I623" i="7"/>
  <c r="J623" i="7"/>
  <c r="K623" i="7"/>
  <c r="L623" i="7"/>
  <c r="M623" i="7"/>
  <c r="N623" i="7"/>
  <c r="O623" i="7"/>
  <c r="P623" i="7"/>
  <c r="Q623" i="7"/>
  <c r="R623" i="7"/>
  <c r="S623" i="7"/>
  <c r="T623" i="7"/>
  <c r="U623" i="7"/>
  <c r="V623" i="7"/>
  <c r="W623" i="7"/>
  <c r="X623" i="7"/>
  <c r="Y623" i="7"/>
  <c r="Z623" i="7"/>
  <c r="AA623" i="7"/>
  <c r="AB623" i="7"/>
  <c r="E624" i="7"/>
  <c r="F624" i="7"/>
  <c r="G624" i="7"/>
  <c r="H624" i="7"/>
  <c r="I624" i="7"/>
  <c r="J624" i="7"/>
  <c r="K624" i="7"/>
  <c r="L624" i="7"/>
  <c r="M624" i="7"/>
  <c r="N624" i="7"/>
  <c r="O624" i="7"/>
  <c r="P624" i="7"/>
  <c r="Q624" i="7"/>
  <c r="R624" i="7"/>
  <c r="S624" i="7"/>
  <c r="T624" i="7"/>
  <c r="U624" i="7"/>
  <c r="V624" i="7"/>
  <c r="W624" i="7"/>
  <c r="X624" i="7"/>
  <c r="Y624" i="7"/>
  <c r="Z624" i="7"/>
  <c r="AA624" i="7"/>
  <c r="AB624" i="7"/>
  <c r="E625" i="7"/>
  <c r="F625" i="7"/>
  <c r="G625" i="7"/>
  <c r="H625" i="7"/>
  <c r="I625" i="7"/>
  <c r="J625" i="7"/>
  <c r="K625" i="7"/>
  <c r="L625" i="7"/>
  <c r="M625" i="7"/>
  <c r="N625" i="7"/>
  <c r="O625" i="7"/>
  <c r="P625" i="7"/>
  <c r="Q625" i="7"/>
  <c r="R625" i="7"/>
  <c r="S625" i="7"/>
  <c r="T625" i="7"/>
  <c r="U625" i="7"/>
  <c r="V625" i="7"/>
  <c r="W625" i="7"/>
  <c r="X625" i="7"/>
  <c r="Y625" i="7"/>
  <c r="Z625" i="7"/>
  <c r="AA625" i="7"/>
  <c r="AB625" i="7"/>
  <c r="E626" i="7"/>
  <c r="F626" i="7"/>
  <c r="G626" i="7"/>
  <c r="H626" i="7"/>
  <c r="I626" i="7"/>
  <c r="J626" i="7"/>
  <c r="K626" i="7"/>
  <c r="L626" i="7"/>
  <c r="M626" i="7"/>
  <c r="N626" i="7"/>
  <c r="O626" i="7"/>
  <c r="P626" i="7"/>
  <c r="Q626" i="7"/>
  <c r="R626" i="7"/>
  <c r="S626" i="7"/>
  <c r="T626" i="7"/>
  <c r="U626" i="7"/>
  <c r="V626" i="7"/>
  <c r="W626" i="7"/>
  <c r="X626" i="7"/>
  <c r="Y626" i="7"/>
  <c r="Z626" i="7"/>
  <c r="AA626" i="7"/>
  <c r="AB626" i="7"/>
  <c r="E627" i="7"/>
  <c r="F627" i="7"/>
  <c r="G627" i="7"/>
  <c r="H627" i="7"/>
  <c r="I627" i="7"/>
  <c r="J627" i="7"/>
  <c r="K627" i="7"/>
  <c r="L627" i="7"/>
  <c r="M627" i="7"/>
  <c r="N627" i="7"/>
  <c r="O627" i="7"/>
  <c r="P627" i="7"/>
  <c r="Q627" i="7"/>
  <c r="R627" i="7"/>
  <c r="S627" i="7"/>
  <c r="T627" i="7"/>
  <c r="U627" i="7"/>
  <c r="V627" i="7"/>
  <c r="W627" i="7"/>
  <c r="X627" i="7"/>
  <c r="Y627" i="7"/>
  <c r="Z627" i="7"/>
  <c r="AA627" i="7"/>
  <c r="AB627" i="7"/>
  <c r="E628" i="7"/>
  <c r="F628" i="7"/>
  <c r="G628" i="7"/>
  <c r="H628" i="7"/>
  <c r="I628" i="7"/>
  <c r="J628" i="7"/>
  <c r="K628" i="7"/>
  <c r="L628" i="7"/>
  <c r="M628" i="7"/>
  <c r="N628" i="7"/>
  <c r="O628" i="7"/>
  <c r="P628" i="7"/>
  <c r="Q628" i="7"/>
  <c r="R628" i="7"/>
  <c r="S628" i="7"/>
  <c r="T628" i="7"/>
  <c r="U628" i="7"/>
  <c r="V628" i="7"/>
  <c r="W628" i="7"/>
  <c r="X628" i="7"/>
  <c r="Y628" i="7"/>
  <c r="Z628" i="7"/>
  <c r="AA628" i="7"/>
  <c r="AB628" i="7"/>
  <c r="E629" i="7"/>
  <c r="F629" i="7"/>
  <c r="G629" i="7"/>
  <c r="H629" i="7"/>
  <c r="I629" i="7"/>
  <c r="J629" i="7"/>
  <c r="K629" i="7"/>
  <c r="L629" i="7"/>
  <c r="M629" i="7"/>
  <c r="N629" i="7"/>
  <c r="O629" i="7"/>
  <c r="P629" i="7"/>
  <c r="Q629" i="7"/>
  <c r="R629" i="7"/>
  <c r="S629" i="7"/>
  <c r="T629" i="7"/>
  <c r="U629" i="7"/>
  <c r="V629" i="7"/>
  <c r="W629" i="7"/>
  <c r="X629" i="7"/>
  <c r="Y629" i="7"/>
  <c r="Z629" i="7"/>
  <c r="AA629" i="7"/>
  <c r="AB629" i="7"/>
  <c r="E630" i="7"/>
  <c r="F630" i="7"/>
  <c r="G630" i="7"/>
  <c r="H630" i="7"/>
  <c r="I630" i="7"/>
  <c r="J630" i="7"/>
  <c r="K630" i="7"/>
  <c r="L630" i="7"/>
  <c r="M630" i="7"/>
  <c r="N630" i="7"/>
  <c r="O630" i="7"/>
  <c r="P630" i="7"/>
  <c r="Q630" i="7"/>
  <c r="R630" i="7"/>
  <c r="S630" i="7"/>
  <c r="T630" i="7"/>
  <c r="U630" i="7"/>
  <c r="V630" i="7"/>
  <c r="W630" i="7"/>
  <c r="X630" i="7"/>
  <c r="Y630" i="7"/>
  <c r="Z630" i="7"/>
  <c r="AA630" i="7"/>
  <c r="AB630" i="7"/>
  <c r="E631" i="7"/>
  <c r="F631" i="7"/>
  <c r="G631" i="7"/>
  <c r="H631" i="7"/>
  <c r="I631" i="7"/>
  <c r="J631" i="7"/>
  <c r="K631" i="7"/>
  <c r="L631" i="7"/>
  <c r="M631" i="7"/>
  <c r="N631" i="7"/>
  <c r="O631" i="7"/>
  <c r="P631" i="7"/>
  <c r="Q631" i="7"/>
  <c r="R631" i="7"/>
  <c r="S631" i="7"/>
  <c r="T631" i="7"/>
  <c r="U631" i="7"/>
  <c r="V631" i="7"/>
  <c r="W631" i="7"/>
  <c r="X631" i="7"/>
  <c r="Y631" i="7"/>
  <c r="Z631" i="7"/>
  <c r="AA631" i="7"/>
  <c r="AB631" i="7"/>
  <c r="E632" i="7"/>
  <c r="F632" i="7"/>
  <c r="G632" i="7"/>
  <c r="H632" i="7"/>
  <c r="I632" i="7"/>
  <c r="J632" i="7"/>
  <c r="K632" i="7"/>
  <c r="L632" i="7"/>
  <c r="M632" i="7"/>
  <c r="N632" i="7"/>
  <c r="O632" i="7"/>
  <c r="P632" i="7"/>
  <c r="Q632" i="7"/>
  <c r="R632" i="7"/>
  <c r="S632" i="7"/>
  <c r="T632" i="7"/>
  <c r="U632" i="7"/>
  <c r="V632" i="7"/>
  <c r="W632" i="7"/>
  <c r="X632" i="7"/>
  <c r="Y632" i="7"/>
  <c r="Z632" i="7"/>
  <c r="AA632" i="7"/>
  <c r="AB632" i="7"/>
  <c r="E633" i="7"/>
  <c r="F633" i="7"/>
  <c r="G633" i="7"/>
  <c r="H633" i="7"/>
  <c r="I633" i="7"/>
  <c r="J633" i="7"/>
  <c r="K633" i="7"/>
  <c r="L633" i="7"/>
  <c r="M633" i="7"/>
  <c r="N633" i="7"/>
  <c r="O633" i="7"/>
  <c r="P633" i="7"/>
  <c r="Q633" i="7"/>
  <c r="R633" i="7"/>
  <c r="S633" i="7"/>
  <c r="T633" i="7"/>
  <c r="U633" i="7"/>
  <c r="V633" i="7"/>
  <c r="W633" i="7"/>
  <c r="X633" i="7"/>
  <c r="Y633" i="7"/>
  <c r="Z633" i="7"/>
  <c r="AA633" i="7"/>
  <c r="AB633" i="7"/>
  <c r="E634" i="7"/>
  <c r="F634" i="7"/>
  <c r="G634" i="7"/>
  <c r="H634" i="7"/>
  <c r="I634" i="7"/>
  <c r="J634" i="7"/>
  <c r="K634" i="7"/>
  <c r="L634" i="7"/>
  <c r="M634" i="7"/>
  <c r="N634" i="7"/>
  <c r="O634" i="7"/>
  <c r="P634" i="7"/>
  <c r="Q634" i="7"/>
  <c r="R634" i="7"/>
  <c r="S634" i="7"/>
  <c r="T634" i="7"/>
  <c r="U634" i="7"/>
  <c r="V634" i="7"/>
  <c r="W634" i="7"/>
  <c r="X634" i="7"/>
  <c r="Y634" i="7"/>
  <c r="Z634" i="7"/>
  <c r="AA634" i="7"/>
  <c r="AB634" i="7"/>
  <c r="E635" i="7"/>
  <c r="F635" i="7"/>
  <c r="G635" i="7"/>
  <c r="H635" i="7"/>
  <c r="I635" i="7"/>
  <c r="J635" i="7"/>
  <c r="K635" i="7"/>
  <c r="L635" i="7"/>
  <c r="M635" i="7"/>
  <c r="N635" i="7"/>
  <c r="O635" i="7"/>
  <c r="P635" i="7"/>
  <c r="Q635" i="7"/>
  <c r="R635" i="7"/>
  <c r="S635" i="7"/>
  <c r="T635" i="7"/>
  <c r="U635" i="7"/>
  <c r="V635" i="7"/>
  <c r="W635" i="7"/>
  <c r="X635" i="7"/>
  <c r="Y635" i="7"/>
  <c r="Z635" i="7"/>
  <c r="AA635" i="7"/>
  <c r="AB635" i="7"/>
  <c r="E636" i="7"/>
  <c r="F636" i="7"/>
  <c r="G636" i="7"/>
  <c r="H636" i="7"/>
  <c r="I636" i="7"/>
  <c r="J636" i="7"/>
  <c r="K636" i="7"/>
  <c r="L636" i="7"/>
  <c r="M636" i="7"/>
  <c r="N636" i="7"/>
  <c r="O636" i="7"/>
  <c r="P636" i="7"/>
  <c r="Q636" i="7"/>
  <c r="R636" i="7"/>
  <c r="S636" i="7"/>
  <c r="T636" i="7"/>
  <c r="U636" i="7"/>
  <c r="V636" i="7"/>
  <c r="W636" i="7"/>
  <c r="X636" i="7"/>
  <c r="Y636" i="7"/>
  <c r="Z636" i="7"/>
  <c r="AA636" i="7"/>
  <c r="AB636" i="7"/>
  <c r="E637" i="7"/>
  <c r="F637" i="7"/>
  <c r="G637" i="7"/>
  <c r="H637" i="7"/>
  <c r="I637" i="7"/>
  <c r="J637" i="7"/>
  <c r="K637" i="7"/>
  <c r="L637" i="7"/>
  <c r="M637" i="7"/>
  <c r="N637" i="7"/>
  <c r="O637" i="7"/>
  <c r="P637" i="7"/>
  <c r="Q637" i="7"/>
  <c r="R637" i="7"/>
  <c r="S637" i="7"/>
  <c r="T637" i="7"/>
  <c r="U637" i="7"/>
  <c r="V637" i="7"/>
  <c r="W637" i="7"/>
  <c r="X637" i="7"/>
  <c r="Y637" i="7"/>
  <c r="Z637" i="7"/>
  <c r="AA637" i="7"/>
  <c r="AB637" i="7"/>
  <c r="E638" i="7"/>
  <c r="F638" i="7"/>
  <c r="G638" i="7"/>
  <c r="H638" i="7"/>
  <c r="I638" i="7"/>
  <c r="J638" i="7"/>
  <c r="K638" i="7"/>
  <c r="L638" i="7"/>
  <c r="M638" i="7"/>
  <c r="N638" i="7"/>
  <c r="O638" i="7"/>
  <c r="P638" i="7"/>
  <c r="Q638" i="7"/>
  <c r="R638" i="7"/>
  <c r="S638" i="7"/>
  <c r="T638" i="7"/>
  <c r="U638" i="7"/>
  <c r="V638" i="7"/>
  <c r="W638" i="7"/>
  <c r="X638" i="7"/>
  <c r="Y638" i="7"/>
  <c r="Z638" i="7"/>
  <c r="AA638" i="7"/>
  <c r="AB638" i="7"/>
  <c r="E639" i="7"/>
  <c r="F639" i="7"/>
  <c r="G639" i="7"/>
  <c r="H639" i="7"/>
  <c r="I639" i="7"/>
  <c r="J639" i="7"/>
  <c r="K639" i="7"/>
  <c r="L639" i="7"/>
  <c r="M639" i="7"/>
  <c r="N639" i="7"/>
  <c r="O639" i="7"/>
  <c r="P639" i="7"/>
  <c r="Q639" i="7"/>
  <c r="R639" i="7"/>
  <c r="S639" i="7"/>
  <c r="T639" i="7"/>
  <c r="U639" i="7"/>
  <c r="V639" i="7"/>
  <c r="W639" i="7"/>
  <c r="X639" i="7"/>
  <c r="Y639" i="7"/>
  <c r="Z639" i="7"/>
  <c r="AA639" i="7"/>
  <c r="AB639" i="7"/>
  <c r="E640" i="7"/>
  <c r="F640" i="7"/>
  <c r="G640" i="7"/>
  <c r="H640" i="7"/>
  <c r="I640" i="7"/>
  <c r="J640" i="7"/>
  <c r="K640" i="7"/>
  <c r="L640" i="7"/>
  <c r="M640" i="7"/>
  <c r="N640" i="7"/>
  <c r="O640" i="7"/>
  <c r="P640" i="7"/>
  <c r="Q640" i="7"/>
  <c r="R640" i="7"/>
  <c r="S640" i="7"/>
  <c r="T640" i="7"/>
  <c r="U640" i="7"/>
  <c r="V640" i="7"/>
  <c r="W640" i="7"/>
  <c r="X640" i="7"/>
  <c r="Y640" i="7"/>
  <c r="Z640" i="7"/>
  <c r="AA640" i="7"/>
  <c r="AB640" i="7"/>
  <c r="E641" i="7"/>
  <c r="F641" i="7"/>
  <c r="G641" i="7"/>
  <c r="H641" i="7"/>
  <c r="I641" i="7"/>
  <c r="J641" i="7"/>
  <c r="K641" i="7"/>
  <c r="L641" i="7"/>
  <c r="M641" i="7"/>
  <c r="N641" i="7"/>
  <c r="O641" i="7"/>
  <c r="P641" i="7"/>
  <c r="Q641" i="7"/>
  <c r="R641" i="7"/>
  <c r="S641" i="7"/>
  <c r="T641" i="7"/>
  <c r="U641" i="7"/>
  <c r="V641" i="7"/>
  <c r="W641" i="7"/>
  <c r="X641" i="7"/>
  <c r="Y641" i="7"/>
  <c r="Z641" i="7"/>
  <c r="AA641" i="7"/>
  <c r="AB641" i="7"/>
  <c r="E642" i="7"/>
  <c r="F642" i="7"/>
  <c r="G642" i="7"/>
  <c r="H642" i="7"/>
  <c r="I642" i="7"/>
  <c r="J642" i="7"/>
  <c r="K642" i="7"/>
  <c r="L642" i="7"/>
  <c r="M642" i="7"/>
  <c r="N642" i="7"/>
  <c r="O642" i="7"/>
  <c r="P642" i="7"/>
  <c r="Q642" i="7"/>
  <c r="R642" i="7"/>
  <c r="S642" i="7"/>
  <c r="T642" i="7"/>
  <c r="U642" i="7"/>
  <c r="V642" i="7"/>
  <c r="W642" i="7"/>
  <c r="X642" i="7"/>
  <c r="Y642" i="7"/>
  <c r="Z642" i="7"/>
  <c r="AA642" i="7"/>
  <c r="AB642" i="7"/>
  <c r="E643" i="7"/>
  <c r="F643" i="7"/>
  <c r="G643" i="7"/>
  <c r="H643" i="7"/>
  <c r="I643" i="7"/>
  <c r="J643" i="7"/>
  <c r="K643" i="7"/>
  <c r="L643" i="7"/>
  <c r="M643" i="7"/>
  <c r="N643" i="7"/>
  <c r="O643" i="7"/>
  <c r="P643" i="7"/>
  <c r="Q643" i="7"/>
  <c r="R643" i="7"/>
  <c r="S643" i="7"/>
  <c r="T643" i="7"/>
  <c r="U643" i="7"/>
  <c r="V643" i="7"/>
  <c r="W643" i="7"/>
  <c r="X643" i="7"/>
  <c r="Y643" i="7"/>
  <c r="Z643" i="7"/>
  <c r="AA643" i="7"/>
  <c r="AB643" i="7"/>
  <c r="E644" i="7"/>
  <c r="F644" i="7"/>
  <c r="G644" i="7"/>
  <c r="H644" i="7"/>
  <c r="I644" i="7"/>
  <c r="J644" i="7"/>
  <c r="K644" i="7"/>
  <c r="L644" i="7"/>
  <c r="M644" i="7"/>
  <c r="N644" i="7"/>
  <c r="O644" i="7"/>
  <c r="P644" i="7"/>
  <c r="Q644" i="7"/>
  <c r="R644" i="7"/>
  <c r="S644" i="7"/>
  <c r="T644" i="7"/>
  <c r="U644" i="7"/>
  <c r="V644" i="7"/>
  <c r="W644" i="7"/>
  <c r="X644" i="7"/>
  <c r="Y644" i="7"/>
  <c r="Z644" i="7"/>
  <c r="AA644" i="7"/>
  <c r="AB644" i="7"/>
  <c r="E645" i="7"/>
  <c r="F645" i="7"/>
  <c r="G645" i="7"/>
  <c r="H645" i="7"/>
  <c r="I645" i="7"/>
  <c r="J645" i="7"/>
  <c r="K645" i="7"/>
  <c r="L645" i="7"/>
  <c r="M645" i="7"/>
  <c r="N645" i="7"/>
  <c r="O645" i="7"/>
  <c r="P645" i="7"/>
  <c r="Q645" i="7"/>
  <c r="R645" i="7"/>
  <c r="S645" i="7"/>
  <c r="T645" i="7"/>
  <c r="U645" i="7"/>
  <c r="V645" i="7"/>
  <c r="W645" i="7"/>
  <c r="X645" i="7"/>
  <c r="Y645" i="7"/>
  <c r="Z645" i="7"/>
  <c r="AA645" i="7"/>
  <c r="AB645" i="7"/>
  <c r="E646" i="7"/>
  <c r="F646" i="7"/>
  <c r="G646" i="7"/>
  <c r="H646" i="7"/>
  <c r="I646" i="7"/>
  <c r="J646" i="7"/>
  <c r="K646" i="7"/>
  <c r="L646" i="7"/>
  <c r="M646" i="7"/>
  <c r="N646" i="7"/>
  <c r="O646" i="7"/>
  <c r="P646" i="7"/>
  <c r="Q646" i="7"/>
  <c r="R646" i="7"/>
  <c r="S646" i="7"/>
  <c r="T646" i="7"/>
  <c r="U646" i="7"/>
  <c r="V646" i="7"/>
  <c r="W646" i="7"/>
  <c r="X646" i="7"/>
  <c r="Y646" i="7"/>
  <c r="Z646" i="7"/>
  <c r="AA646" i="7"/>
  <c r="AB646" i="7"/>
  <c r="E647" i="7"/>
  <c r="F647" i="7"/>
  <c r="G647" i="7"/>
  <c r="H647" i="7"/>
  <c r="I647" i="7"/>
  <c r="J647" i="7"/>
  <c r="K647" i="7"/>
  <c r="L647" i="7"/>
  <c r="M647" i="7"/>
  <c r="N647" i="7"/>
  <c r="O647" i="7"/>
  <c r="P647" i="7"/>
  <c r="Q647" i="7"/>
  <c r="R647" i="7"/>
  <c r="S647" i="7"/>
  <c r="T647" i="7"/>
  <c r="U647" i="7"/>
  <c r="V647" i="7"/>
  <c r="W647" i="7"/>
  <c r="X647" i="7"/>
  <c r="Y647" i="7"/>
  <c r="Z647" i="7"/>
  <c r="AA647" i="7"/>
  <c r="AB647" i="7"/>
  <c r="E648" i="7"/>
  <c r="F648" i="7"/>
  <c r="G648" i="7"/>
  <c r="H648" i="7"/>
  <c r="I648" i="7"/>
  <c r="J648" i="7"/>
  <c r="K648" i="7"/>
  <c r="L648" i="7"/>
  <c r="M648" i="7"/>
  <c r="N648" i="7"/>
  <c r="O648" i="7"/>
  <c r="P648" i="7"/>
  <c r="Q648" i="7"/>
  <c r="R648" i="7"/>
  <c r="S648" i="7"/>
  <c r="T648" i="7"/>
  <c r="U648" i="7"/>
  <c r="V648" i="7"/>
  <c r="W648" i="7"/>
  <c r="X648" i="7"/>
  <c r="Y648" i="7"/>
  <c r="Z648" i="7"/>
  <c r="AA648" i="7"/>
  <c r="AB648" i="7"/>
  <c r="E649" i="7"/>
  <c r="F649" i="7"/>
  <c r="G649" i="7"/>
  <c r="H649" i="7"/>
  <c r="I649" i="7"/>
  <c r="J649" i="7"/>
  <c r="K649" i="7"/>
  <c r="L649" i="7"/>
  <c r="M649" i="7"/>
  <c r="N649" i="7"/>
  <c r="O649" i="7"/>
  <c r="P649" i="7"/>
  <c r="Q649" i="7"/>
  <c r="R649" i="7"/>
  <c r="S649" i="7"/>
  <c r="T649" i="7"/>
  <c r="U649" i="7"/>
  <c r="V649" i="7"/>
  <c r="W649" i="7"/>
  <c r="X649" i="7"/>
  <c r="Y649" i="7"/>
  <c r="Z649" i="7"/>
  <c r="AA649" i="7"/>
  <c r="AB649" i="7"/>
  <c r="E650" i="7"/>
  <c r="F650" i="7"/>
  <c r="G650" i="7"/>
  <c r="H650" i="7"/>
  <c r="I650" i="7"/>
  <c r="J650" i="7"/>
  <c r="K650" i="7"/>
  <c r="L650" i="7"/>
  <c r="M650" i="7"/>
  <c r="N650" i="7"/>
  <c r="O650" i="7"/>
  <c r="P650" i="7"/>
  <c r="Q650" i="7"/>
  <c r="R650" i="7"/>
  <c r="S650" i="7"/>
  <c r="T650" i="7"/>
  <c r="U650" i="7"/>
  <c r="V650" i="7"/>
  <c r="W650" i="7"/>
  <c r="X650" i="7"/>
  <c r="Y650" i="7"/>
  <c r="Z650" i="7"/>
  <c r="AA650" i="7"/>
  <c r="AB650" i="7"/>
  <c r="E651" i="7"/>
  <c r="F651" i="7"/>
  <c r="G651" i="7"/>
  <c r="H651" i="7"/>
  <c r="I651" i="7"/>
  <c r="J651" i="7"/>
  <c r="K651" i="7"/>
  <c r="L651" i="7"/>
  <c r="M651" i="7"/>
  <c r="N651" i="7"/>
  <c r="O651" i="7"/>
  <c r="P651" i="7"/>
  <c r="Q651" i="7"/>
  <c r="R651" i="7"/>
  <c r="S651" i="7"/>
  <c r="T651" i="7"/>
  <c r="U651" i="7"/>
  <c r="V651" i="7"/>
  <c r="W651" i="7"/>
  <c r="X651" i="7"/>
  <c r="Y651" i="7"/>
  <c r="Z651" i="7"/>
  <c r="AA651" i="7"/>
  <c r="AB651" i="7"/>
  <c r="E652" i="7"/>
  <c r="F652" i="7"/>
  <c r="G652" i="7"/>
  <c r="H652" i="7"/>
  <c r="I652" i="7"/>
  <c r="J652" i="7"/>
  <c r="K652" i="7"/>
  <c r="L652" i="7"/>
  <c r="M652" i="7"/>
  <c r="N652" i="7"/>
  <c r="O652" i="7"/>
  <c r="P652" i="7"/>
  <c r="Q652" i="7"/>
  <c r="R652" i="7"/>
  <c r="S652" i="7"/>
  <c r="T652" i="7"/>
  <c r="U652" i="7"/>
  <c r="V652" i="7"/>
  <c r="W652" i="7"/>
  <c r="X652" i="7"/>
  <c r="Y652" i="7"/>
  <c r="Z652" i="7"/>
  <c r="AA652" i="7"/>
  <c r="AB652" i="7"/>
  <c r="E653" i="7"/>
  <c r="F653" i="7"/>
  <c r="G653" i="7"/>
  <c r="H653" i="7"/>
  <c r="I653" i="7"/>
  <c r="J653" i="7"/>
  <c r="K653" i="7"/>
  <c r="L653" i="7"/>
  <c r="M653" i="7"/>
  <c r="N653" i="7"/>
  <c r="O653" i="7"/>
  <c r="P653" i="7"/>
  <c r="Q653" i="7"/>
  <c r="R653" i="7"/>
  <c r="S653" i="7"/>
  <c r="T653" i="7"/>
  <c r="U653" i="7"/>
  <c r="V653" i="7"/>
  <c r="W653" i="7"/>
  <c r="X653" i="7"/>
  <c r="Y653" i="7"/>
  <c r="Z653" i="7"/>
  <c r="AA653" i="7"/>
  <c r="AB653" i="7"/>
  <c r="E654" i="7"/>
  <c r="F654" i="7"/>
  <c r="G654" i="7"/>
  <c r="H654" i="7"/>
  <c r="I654" i="7"/>
  <c r="J654" i="7"/>
  <c r="K654" i="7"/>
  <c r="L654" i="7"/>
  <c r="M654" i="7"/>
  <c r="N654" i="7"/>
  <c r="O654" i="7"/>
  <c r="P654" i="7"/>
  <c r="Q654" i="7"/>
  <c r="R654" i="7"/>
  <c r="S654" i="7"/>
  <c r="T654" i="7"/>
  <c r="U654" i="7"/>
  <c r="V654" i="7"/>
  <c r="W654" i="7"/>
  <c r="X654" i="7"/>
  <c r="Y654" i="7"/>
  <c r="Z654" i="7"/>
  <c r="AA654" i="7"/>
  <c r="AB654" i="7"/>
  <c r="E655" i="7"/>
  <c r="F655" i="7"/>
  <c r="G655" i="7"/>
  <c r="H655" i="7"/>
  <c r="I655" i="7"/>
  <c r="J655" i="7"/>
  <c r="K655" i="7"/>
  <c r="L655" i="7"/>
  <c r="M655" i="7"/>
  <c r="N655" i="7"/>
  <c r="O655" i="7"/>
  <c r="P655" i="7"/>
  <c r="Q655" i="7"/>
  <c r="R655" i="7"/>
  <c r="S655" i="7"/>
  <c r="T655" i="7"/>
  <c r="U655" i="7"/>
  <c r="V655" i="7"/>
  <c r="W655" i="7"/>
  <c r="X655" i="7"/>
  <c r="Y655" i="7"/>
  <c r="Z655" i="7"/>
  <c r="AA655" i="7"/>
  <c r="AB655" i="7"/>
  <c r="E656" i="7"/>
  <c r="F656" i="7"/>
  <c r="G656" i="7"/>
  <c r="H656" i="7"/>
  <c r="I656" i="7"/>
  <c r="J656" i="7"/>
  <c r="K656" i="7"/>
  <c r="L656" i="7"/>
  <c r="M656" i="7"/>
  <c r="N656" i="7"/>
  <c r="O656" i="7"/>
  <c r="P656" i="7"/>
  <c r="Q656" i="7"/>
  <c r="R656" i="7"/>
  <c r="S656" i="7"/>
  <c r="T656" i="7"/>
  <c r="U656" i="7"/>
  <c r="V656" i="7"/>
  <c r="W656" i="7"/>
  <c r="X656" i="7"/>
  <c r="Y656" i="7"/>
  <c r="Z656" i="7"/>
  <c r="AA656" i="7"/>
  <c r="AB656" i="7"/>
  <c r="E657" i="7"/>
  <c r="F657" i="7"/>
  <c r="G657" i="7"/>
  <c r="H657" i="7"/>
  <c r="I657" i="7"/>
  <c r="J657" i="7"/>
  <c r="K657" i="7"/>
  <c r="L657" i="7"/>
  <c r="M657" i="7"/>
  <c r="N657" i="7"/>
  <c r="O657" i="7"/>
  <c r="P657" i="7"/>
  <c r="Q657" i="7"/>
  <c r="R657" i="7"/>
  <c r="S657" i="7"/>
  <c r="T657" i="7"/>
  <c r="U657" i="7"/>
  <c r="V657" i="7"/>
  <c r="W657" i="7"/>
  <c r="X657" i="7"/>
  <c r="Y657" i="7"/>
  <c r="Z657" i="7"/>
  <c r="AA657" i="7"/>
  <c r="AB657" i="7"/>
  <c r="E658" i="7"/>
  <c r="F658" i="7"/>
  <c r="G658" i="7"/>
  <c r="H658" i="7"/>
  <c r="I658" i="7"/>
  <c r="J658" i="7"/>
  <c r="K658" i="7"/>
  <c r="L658" i="7"/>
  <c r="M658" i="7"/>
  <c r="N658" i="7"/>
  <c r="O658" i="7"/>
  <c r="P658" i="7"/>
  <c r="Q658" i="7"/>
  <c r="R658" i="7"/>
  <c r="S658" i="7"/>
  <c r="T658" i="7"/>
  <c r="U658" i="7"/>
  <c r="V658" i="7"/>
  <c r="W658" i="7"/>
  <c r="X658" i="7"/>
  <c r="Y658" i="7"/>
  <c r="Z658" i="7"/>
  <c r="AA658" i="7"/>
  <c r="AB658" i="7"/>
  <c r="E659" i="7"/>
  <c r="F659" i="7"/>
  <c r="G659" i="7"/>
  <c r="H659" i="7"/>
  <c r="I659" i="7"/>
  <c r="J659" i="7"/>
  <c r="K659" i="7"/>
  <c r="L659" i="7"/>
  <c r="M659" i="7"/>
  <c r="N659" i="7"/>
  <c r="O659" i="7"/>
  <c r="P659" i="7"/>
  <c r="Q659" i="7"/>
  <c r="R659" i="7"/>
  <c r="S659" i="7"/>
  <c r="T659" i="7"/>
  <c r="U659" i="7"/>
  <c r="V659" i="7"/>
  <c r="W659" i="7"/>
  <c r="X659" i="7"/>
  <c r="Y659" i="7"/>
  <c r="Z659" i="7"/>
  <c r="AA659" i="7"/>
  <c r="AB659" i="7"/>
  <c r="E660" i="7"/>
  <c r="F660" i="7"/>
  <c r="G660" i="7"/>
  <c r="H660" i="7"/>
  <c r="I660" i="7"/>
  <c r="J660" i="7"/>
  <c r="K660" i="7"/>
  <c r="L660" i="7"/>
  <c r="M660" i="7"/>
  <c r="N660" i="7"/>
  <c r="O660" i="7"/>
  <c r="P660" i="7"/>
  <c r="Q660" i="7"/>
  <c r="R660" i="7"/>
  <c r="S660" i="7"/>
  <c r="T660" i="7"/>
  <c r="U660" i="7"/>
  <c r="V660" i="7"/>
  <c r="W660" i="7"/>
  <c r="X660" i="7"/>
  <c r="Y660" i="7"/>
  <c r="Z660" i="7"/>
  <c r="AA660" i="7"/>
  <c r="AB660" i="7"/>
  <c r="E661" i="7"/>
  <c r="F661" i="7"/>
  <c r="G661" i="7"/>
  <c r="H661" i="7"/>
  <c r="I661" i="7"/>
  <c r="J661" i="7"/>
  <c r="K661" i="7"/>
  <c r="L661" i="7"/>
  <c r="M661" i="7"/>
  <c r="N661" i="7"/>
  <c r="O661" i="7"/>
  <c r="P661" i="7"/>
  <c r="Q661" i="7"/>
  <c r="R661" i="7"/>
  <c r="S661" i="7"/>
  <c r="T661" i="7"/>
  <c r="U661" i="7"/>
  <c r="V661" i="7"/>
  <c r="W661" i="7"/>
  <c r="X661" i="7"/>
  <c r="Y661" i="7"/>
  <c r="Z661" i="7"/>
  <c r="AA661" i="7"/>
  <c r="AB661" i="7"/>
  <c r="E662" i="7"/>
  <c r="F662" i="7"/>
  <c r="G662" i="7"/>
  <c r="H662" i="7"/>
  <c r="I662" i="7"/>
  <c r="J662" i="7"/>
  <c r="K662" i="7"/>
  <c r="L662" i="7"/>
  <c r="M662" i="7"/>
  <c r="N662" i="7"/>
  <c r="O662" i="7"/>
  <c r="P662" i="7"/>
  <c r="Q662" i="7"/>
  <c r="R662" i="7"/>
  <c r="S662" i="7"/>
  <c r="T662" i="7"/>
  <c r="U662" i="7"/>
  <c r="V662" i="7"/>
  <c r="W662" i="7"/>
  <c r="X662" i="7"/>
  <c r="Y662" i="7"/>
  <c r="Z662" i="7"/>
  <c r="AA662" i="7"/>
  <c r="AB662" i="7"/>
  <c r="E663" i="7"/>
  <c r="F663" i="7"/>
  <c r="G663" i="7"/>
  <c r="H663" i="7"/>
  <c r="I663" i="7"/>
  <c r="J663" i="7"/>
  <c r="K663" i="7"/>
  <c r="L663" i="7"/>
  <c r="M663" i="7"/>
  <c r="N663" i="7"/>
  <c r="O663" i="7"/>
  <c r="P663" i="7"/>
  <c r="Q663" i="7"/>
  <c r="R663" i="7"/>
  <c r="S663" i="7"/>
  <c r="T663" i="7"/>
  <c r="U663" i="7"/>
  <c r="V663" i="7"/>
  <c r="W663" i="7"/>
  <c r="X663" i="7"/>
  <c r="Y663" i="7"/>
  <c r="Z663" i="7"/>
  <c r="AA663" i="7"/>
  <c r="AB663" i="7"/>
  <c r="E664" i="7"/>
  <c r="F664" i="7"/>
  <c r="G664" i="7"/>
  <c r="H664" i="7"/>
  <c r="I664" i="7"/>
  <c r="J664" i="7"/>
  <c r="K664" i="7"/>
  <c r="L664" i="7"/>
  <c r="M664" i="7"/>
  <c r="N664" i="7"/>
  <c r="O664" i="7"/>
  <c r="P664" i="7"/>
  <c r="Q664" i="7"/>
  <c r="R664" i="7"/>
  <c r="S664" i="7"/>
  <c r="T664" i="7"/>
  <c r="U664" i="7"/>
  <c r="V664" i="7"/>
  <c r="W664" i="7"/>
  <c r="X664" i="7"/>
  <c r="Y664" i="7"/>
  <c r="Z664" i="7"/>
  <c r="AA664" i="7"/>
  <c r="AB664" i="7"/>
  <c r="E665" i="7"/>
  <c r="F665" i="7"/>
  <c r="G665" i="7"/>
  <c r="H665" i="7"/>
  <c r="I665" i="7"/>
  <c r="J665" i="7"/>
  <c r="K665" i="7"/>
  <c r="L665" i="7"/>
  <c r="M665" i="7"/>
  <c r="N665" i="7"/>
  <c r="O665" i="7"/>
  <c r="P665" i="7"/>
  <c r="Q665" i="7"/>
  <c r="R665" i="7"/>
  <c r="S665" i="7"/>
  <c r="T665" i="7"/>
  <c r="U665" i="7"/>
  <c r="V665" i="7"/>
  <c r="W665" i="7"/>
  <c r="X665" i="7"/>
  <c r="Y665" i="7"/>
  <c r="Z665" i="7"/>
  <c r="AA665" i="7"/>
  <c r="AB665" i="7"/>
  <c r="E666" i="7"/>
  <c r="F666" i="7"/>
  <c r="G666" i="7"/>
  <c r="H666" i="7"/>
  <c r="I666" i="7"/>
  <c r="J666" i="7"/>
  <c r="K666" i="7"/>
  <c r="L666" i="7"/>
  <c r="M666" i="7"/>
  <c r="N666" i="7"/>
  <c r="O666" i="7"/>
  <c r="P666" i="7"/>
  <c r="Q666" i="7"/>
  <c r="R666" i="7"/>
  <c r="S666" i="7"/>
  <c r="T666" i="7"/>
  <c r="U666" i="7"/>
  <c r="V666" i="7"/>
  <c r="W666" i="7"/>
  <c r="X666" i="7"/>
  <c r="Y666" i="7"/>
  <c r="Z666" i="7"/>
  <c r="AA666" i="7"/>
  <c r="AB666" i="7"/>
  <c r="E667" i="7"/>
  <c r="F667" i="7"/>
  <c r="G667" i="7"/>
  <c r="H667" i="7"/>
  <c r="I667" i="7"/>
  <c r="J667" i="7"/>
  <c r="K667" i="7"/>
  <c r="L667" i="7"/>
  <c r="M667" i="7"/>
  <c r="N667" i="7"/>
  <c r="O667" i="7"/>
  <c r="P667" i="7"/>
  <c r="Q667" i="7"/>
  <c r="R667" i="7"/>
  <c r="S667" i="7"/>
  <c r="T667" i="7"/>
  <c r="U667" i="7"/>
  <c r="V667" i="7"/>
  <c r="W667" i="7"/>
  <c r="X667" i="7"/>
  <c r="Y667" i="7"/>
  <c r="Z667" i="7"/>
  <c r="AA667" i="7"/>
  <c r="AB667" i="7"/>
  <c r="E668" i="7"/>
  <c r="F668" i="7"/>
  <c r="G668" i="7"/>
  <c r="H668" i="7"/>
  <c r="I668" i="7"/>
  <c r="J668" i="7"/>
  <c r="K668" i="7"/>
  <c r="L668" i="7"/>
  <c r="M668" i="7"/>
  <c r="N668" i="7"/>
  <c r="O668" i="7"/>
  <c r="P668" i="7"/>
  <c r="Q668" i="7"/>
  <c r="R668" i="7"/>
  <c r="S668" i="7"/>
  <c r="T668" i="7"/>
  <c r="U668" i="7"/>
  <c r="V668" i="7"/>
  <c r="W668" i="7"/>
  <c r="X668" i="7"/>
  <c r="Y668" i="7"/>
  <c r="Z668" i="7"/>
  <c r="AA668" i="7"/>
  <c r="AB668" i="7"/>
  <c r="E669" i="7"/>
  <c r="F669" i="7"/>
  <c r="G669" i="7"/>
  <c r="H669" i="7"/>
  <c r="I669" i="7"/>
  <c r="J669" i="7"/>
  <c r="K669" i="7"/>
  <c r="L669" i="7"/>
  <c r="M669" i="7"/>
  <c r="N669" i="7"/>
  <c r="O669" i="7"/>
  <c r="P669" i="7"/>
  <c r="Q669" i="7"/>
  <c r="R669" i="7"/>
  <c r="S669" i="7"/>
  <c r="T669" i="7"/>
  <c r="U669" i="7"/>
  <c r="V669" i="7"/>
  <c r="W669" i="7"/>
  <c r="X669" i="7"/>
  <c r="Y669" i="7"/>
  <c r="Z669" i="7"/>
  <c r="AA669" i="7"/>
  <c r="AB669" i="7"/>
  <c r="E670" i="7"/>
  <c r="F670" i="7"/>
  <c r="G670" i="7"/>
  <c r="H670" i="7"/>
  <c r="I670" i="7"/>
  <c r="J670" i="7"/>
  <c r="K670" i="7"/>
  <c r="L670" i="7"/>
  <c r="M670" i="7"/>
  <c r="N670" i="7"/>
  <c r="O670" i="7"/>
  <c r="P670" i="7"/>
  <c r="Q670" i="7"/>
  <c r="R670" i="7"/>
  <c r="S670" i="7"/>
  <c r="T670" i="7"/>
  <c r="U670" i="7"/>
  <c r="V670" i="7"/>
  <c r="W670" i="7"/>
  <c r="X670" i="7"/>
  <c r="Y670" i="7"/>
  <c r="Z670" i="7"/>
  <c r="AA670" i="7"/>
  <c r="AB670" i="7"/>
  <c r="E671" i="7"/>
  <c r="F671" i="7"/>
  <c r="G671" i="7"/>
  <c r="H671" i="7"/>
  <c r="I671" i="7"/>
  <c r="J671" i="7"/>
  <c r="K671" i="7"/>
  <c r="L671" i="7"/>
  <c r="M671" i="7"/>
  <c r="N671" i="7"/>
  <c r="O671" i="7"/>
  <c r="P671" i="7"/>
  <c r="Q671" i="7"/>
  <c r="R671" i="7"/>
  <c r="S671" i="7"/>
  <c r="T671" i="7"/>
  <c r="U671" i="7"/>
  <c r="V671" i="7"/>
  <c r="W671" i="7"/>
  <c r="X671" i="7"/>
  <c r="Y671" i="7"/>
  <c r="Z671" i="7"/>
  <c r="AA671" i="7"/>
  <c r="AB671" i="7"/>
  <c r="E672" i="7"/>
  <c r="F672" i="7"/>
  <c r="G672" i="7"/>
  <c r="H672" i="7"/>
  <c r="I672" i="7"/>
  <c r="J672" i="7"/>
  <c r="K672" i="7"/>
  <c r="L672" i="7"/>
  <c r="M672" i="7"/>
  <c r="N672" i="7"/>
  <c r="O672" i="7"/>
  <c r="P672" i="7"/>
  <c r="Q672" i="7"/>
  <c r="R672" i="7"/>
  <c r="S672" i="7"/>
  <c r="T672" i="7"/>
  <c r="U672" i="7"/>
  <c r="V672" i="7"/>
  <c r="W672" i="7"/>
  <c r="X672" i="7"/>
  <c r="Y672" i="7"/>
  <c r="Z672" i="7"/>
  <c r="AA672" i="7"/>
  <c r="AB672" i="7"/>
  <c r="E673" i="7"/>
  <c r="F673" i="7"/>
  <c r="G673" i="7"/>
  <c r="H673" i="7"/>
  <c r="I673" i="7"/>
  <c r="J673" i="7"/>
  <c r="K673" i="7"/>
  <c r="L673" i="7"/>
  <c r="M673" i="7"/>
  <c r="N673" i="7"/>
  <c r="O673" i="7"/>
  <c r="P673" i="7"/>
  <c r="Q673" i="7"/>
  <c r="R673" i="7"/>
  <c r="S673" i="7"/>
  <c r="T673" i="7"/>
  <c r="U673" i="7"/>
  <c r="V673" i="7"/>
  <c r="W673" i="7"/>
  <c r="X673" i="7"/>
  <c r="Y673" i="7"/>
  <c r="Z673" i="7"/>
  <c r="AA673" i="7"/>
  <c r="AB673" i="7"/>
  <c r="E674" i="7"/>
  <c r="F674" i="7"/>
  <c r="G674" i="7"/>
  <c r="H674" i="7"/>
  <c r="I674" i="7"/>
  <c r="J674" i="7"/>
  <c r="K674" i="7"/>
  <c r="L674" i="7"/>
  <c r="M674" i="7"/>
  <c r="N674" i="7"/>
  <c r="O674" i="7"/>
  <c r="P674" i="7"/>
  <c r="Q674" i="7"/>
  <c r="R674" i="7"/>
  <c r="S674" i="7"/>
  <c r="T674" i="7"/>
  <c r="U674" i="7"/>
  <c r="V674" i="7"/>
  <c r="W674" i="7"/>
  <c r="X674" i="7"/>
  <c r="Y674" i="7"/>
  <c r="Z674" i="7"/>
  <c r="AA674" i="7"/>
  <c r="AB674" i="7"/>
  <c r="E675" i="7"/>
  <c r="F675" i="7"/>
  <c r="G675" i="7"/>
  <c r="H675" i="7"/>
  <c r="I675" i="7"/>
  <c r="J675" i="7"/>
  <c r="K675" i="7"/>
  <c r="L675" i="7"/>
  <c r="M675" i="7"/>
  <c r="N675" i="7"/>
  <c r="O675" i="7"/>
  <c r="P675" i="7"/>
  <c r="Q675" i="7"/>
  <c r="R675" i="7"/>
  <c r="S675" i="7"/>
  <c r="T675" i="7"/>
  <c r="U675" i="7"/>
  <c r="V675" i="7"/>
  <c r="W675" i="7"/>
  <c r="X675" i="7"/>
  <c r="Y675" i="7"/>
  <c r="Z675" i="7"/>
  <c r="AA675" i="7"/>
  <c r="AB675" i="7"/>
  <c r="E676" i="7"/>
  <c r="F676" i="7"/>
  <c r="G676" i="7"/>
  <c r="H676" i="7"/>
  <c r="I676" i="7"/>
  <c r="J676" i="7"/>
  <c r="K676" i="7"/>
  <c r="L676" i="7"/>
  <c r="M676" i="7"/>
  <c r="N676" i="7"/>
  <c r="O676" i="7"/>
  <c r="P676" i="7"/>
  <c r="Q676" i="7"/>
  <c r="R676" i="7"/>
  <c r="S676" i="7"/>
  <c r="T676" i="7"/>
  <c r="U676" i="7"/>
  <c r="V676" i="7"/>
  <c r="W676" i="7"/>
  <c r="X676" i="7"/>
  <c r="Y676" i="7"/>
  <c r="Z676" i="7"/>
  <c r="AA676" i="7"/>
  <c r="AB676" i="7"/>
  <c r="E677" i="7"/>
  <c r="F677" i="7"/>
  <c r="G677" i="7"/>
  <c r="H677" i="7"/>
  <c r="I677" i="7"/>
  <c r="J677" i="7"/>
  <c r="K677" i="7"/>
  <c r="L677" i="7"/>
  <c r="M677" i="7"/>
  <c r="N677" i="7"/>
  <c r="O677" i="7"/>
  <c r="P677" i="7"/>
  <c r="Q677" i="7"/>
  <c r="R677" i="7"/>
  <c r="S677" i="7"/>
  <c r="T677" i="7"/>
  <c r="U677" i="7"/>
  <c r="V677" i="7"/>
  <c r="W677" i="7"/>
  <c r="X677" i="7"/>
  <c r="Y677" i="7"/>
  <c r="Z677" i="7"/>
  <c r="AA677" i="7"/>
  <c r="AB677" i="7"/>
  <c r="E678" i="7"/>
  <c r="F678" i="7"/>
  <c r="G678" i="7"/>
  <c r="H678" i="7"/>
  <c r="I678" i="7"/>
  <c r="J678" i="7"/>
  <c r="K678" i="7"/>
  <c r="L678" i="7"/>
  <c r="M678" i="7"/>
  <c r="N678" i="7"/>
  <c r="O678" i="7"/>
  <c r="P678" i="7"/>
  <c r="Q678" i="7"/>
  <c r="R678" i="7"/>
  <c r="S678" i="7"/>
  <c r="T678" i="7"/>
  <c r="U678" i="7"/>
  <c r="V678" i="7"/>
  <c r="W678" i="7"/>
  <c r="X678" i="7"/>
  <c r="Y678" i="7"/>
  <c r="Z678" i="7"/>
  <c r="AA678" i="7"/>
  <c r="AB678" i="7"/>
  <c r="E679" i="7"/>
  <c r="F679" i="7"/>
  <c r="G679" i="7"/>
  <c r="H679" i="7"/>
  <c r="I679" i="7"/>
  <c r="J679" i="7"/>
  <c r="K679" i="7"/>
  <c r="L679" i="7"/>
  <c r="M679" i="7"/>
  <c r="N679" i="7"/>
  <c r="O679" i="7"/>
  <c r="P679" i="7"/>
  <c r="Q679" i="7"/>
  <c r="R679" i="7"/>
  <c r="S679" i="7"/>
  <c r="T679" i="7"/>
  <c r="U679" i="7"/>
  <c r="V679" i="7"/>
  <c r="W679" i="7"/>
  <c r="X679" i="7"/>
  <c r="Y679" i="7"/>
  <c r="Z679" i="7"/>
  <c r="AA679" i="7"/>
  <c r="AB679" i="7"/>
  <c r="E680" i="7"/>
  <c r="F680" i="7"/>
  <c r="G680" i="7"/>
  <c r="H680" i="7"/>
  <c r="I680" i="7"/>
  <c r="J680" i="7"/>
  <c r="K680" i="7"/>
  <c r="L680" i="7"/>
  <c r="M680" i="7"/>
  <c r="N680" i="7"/>
  <c r="O680" i="7"/>
  <c r="P680" i="7"/>
  <c r="Q680" i="7"/>
  <c r="R680" i="7"/>
  <c r="S680" i="7"/>
  <c r="T680" i="7"/>
  <c r="U680" i="7"/>
  <c r="V680" i="7"/>
  <c r="W680" i="7"/>
  <c r="X680" i="7"/>
  <c r="Y680" i="7"/>
  <c r="Z680" i="7"/>
  <c r="AA680" i="7"/>
  <c r="AB680" i="7"/>
  <c r="E681" i="7"/>
  <c r="F681" i="7"/>
  <c r="G681" i="7"/>
  <c r="H681" i="7"/>
  <c r="I681" i="7"/>
  <c r="J681" i="7"/>
  <c r="K681" i="7"/>
  <c r="L681" i="7"/>
  <c r="M681" i="7"/>
  <c r="N681" i="7"/>
  <c r="O681" i="7"/>
  <c r="P681" i="7"/>
  <c r="Q681" i="7"/>
  <c r="R681" i="7"/>
  <c r="S681" i="7"/>
  <c r="T681" i="7"/>
  <c r="U681" i="7"/>
  <c r="V681" i="7"/>
  <c r="W681" i="7"/>
  <c r="X681" i="7"/>
  <c r="Y681" i="7"/>
  <c r="Z681" i="7"/>
  <c r="AA681" i="7"/>
  <c r="AB681" i="7"/>
  <c r="E682" i="7"/>
  <c r="F682" i="7"/>
  <c r="G682" i="7"/>
  <c r="H682" i="7"/>
  <c r="I682" i="7"/>
  <c r="J682" i="7"/>
  <c r="K682" i="7"/>
  <c r="L682" i="7"/>
  <c r="M682" i="7"/>
  <c r="N682" i="7"/>
  <c r="O682" i="7"/>
  <c r="P682" i="7"/>
  <c r="Q682" i="7"/>
  <c r="R682" i="7"/>
  <c r="S682" i="7"/>
  <c r="T682" i="7"/>
  <c r="U682" i="7"/>
  <c r="V682" i="7"/>
  <c r="W682" i="7"/>
  <c r="X682" i="7"/>
  <c r="Y682" i="7"/>
  <c r="Z682" i="7"/>
  <c r="AA682" i="7"/>
  <c r="AB682" i="7"/>
  <c r="E683" i="7"/>
  <c r="F683" i="7"/>
  <c r="G683" i="7"/>
  <c r="H683" i="7"/>
  <c r="I683" i="7"/>
  <c r="J683" i="7"/>
  <c r="K683" i="7"/>
  <c r="L683" i="7"/>
  <c r="M683" i="7"/>
  <c r="N683" i="7"/>
  <c r="O683" i="7"/>
  <c r="P683" i="7"/>
  <c r="Q683" i="7"/>
  <c r="R683" i="7"/>
  <c r="S683" i="7"/>
  <c r="T683" i="7"/>
  <c r="U683" i="7"/>
  <c r="V683" i="7"/>
  <c r="W683" i="7"/>
  <c r="X683" i="7"/>
  <c r="Y683" i="7"/>
  <c r="Z683" i="7"/>
  <c r="AA683" i="7"/>
  <c r="AB683" i="7"/>
  <c r="E684" i="7"/>
  <c r="F684" i="7"/>
  <c r="G684" i="7"/>
  <c r="H684" i="7"/>
  <c r="I684" i="7"/>
  <c r="J684" i="7"/>
  <c r="K684" i="7"/>
  <c r="L684" i="7"/>
  <c r="M684" i="7"/>
  <c r="N684" i="7"/>
  <c r="O684" i="7"/>
  <c r="P684" i="7"/>
  <c r="Q684" i="7"/>
  <c r="R684" i="7"/>
  <c r="S684" i="7"/>
  <c r="T684" i="7"/>
  <c r="U684" i="7"/>
  <c r="V684" i="7"/>
  <c r="W684" i="7"/>
  <c r="X684" i="7"/>
  <c r="Y684" i="7"/>
  <c r="Z684" i="7"/>
  <c r="AA684" i="7"/>
  <c r="AB684" i="7"/>
  <c r="E685" i="7"/>
  <c r="F685" i="7"/>
  <c r="G685" i="7"/>
  <c r="H685" i="7"/>
  <c r="I685" i="7"/>
  <c r="J685" i="7"/>
  <c r="K685" i="7"/>
  <c r="L685" i="7"/>
  <c r="M685" i="7"/>
  <c r="N685" i="7"/>
  <c r="O685" i="7"/>
  <c r="P685" i="7"/>
  <c r="Q685" i="7"/>
  <c r="R685" i="7"/>
  <c r="S685" i="7"/>
  <c r="T685" i="7"/>
  <c r="U685" i="7"/>
  <c r="V685" i="7"/>
  <c r="W685" i="7"/>
  <c r="X685" i="7"/>
  <c r="Y685" i="7"/>
  <c r="Z685" i="7"/>
  <c r="AA685" i="7"/>
  <c r="AB685" i="7"/>
  <c r="E686" i="7"/>
  <c r="F686" i="7"/>
  <c r="G686" i="7"/>
  <c r="H686" i="7"/>
  <c r="I686" i="7"/>
  <c r="J686" i="7"/>
  <c r="K686" i="7"/>
  <c r="L686" i="7"/>
  <c r="M686" i="7"/>
  <c r="N686" i="7"/>
  <c r="O686" i="7"/>
  <c r="P686" i="7"/>
  <c r="Q686" i="7"/>
  <c r="R686" i="7"/>
  <c r="S686" i="7"/>
  <c r="T686" i="7"/>
  <c r="U686" i="7"/>
  <c r="V686" i="7"/>
  <c r="W686" i="7"/>
  <c r="X686" i="7"/>
  <c r="Y686" i="7"/>
  <c r="Z686" i="7"/>
  <c r="AA686" i="7"/>
  <c r="AB686" i="7"/>
  <c r="E687" i="7"/>
  <c r="F687" i="7"/>
  <c r="G687" i="7"/>
  <c r="H687" i="7"/>
  <c r="I687" i="7"/>
  <c r="J687" i="7"/>
  <c r="K687" i="7"/>
  <c r="L687" i="7"/>
  <c r="M687" i="7"/>
  <c r="N687" i="7"/>
  <c r="O687" i="7"/>
  <c r="P687" i="7"/>
  <c r="Q687" i="7"/>
  <c r="R687" i="7"/>
  <c r="S687" i="7"/>
  <c r="T687" i="7"/>
  <c r="U687" i="7"/>
  <c r="V687" i="7"/>
  <c r="W687" i="7"/>
  <c r="X687" i="7"/>
  <c r="Y687" i="7"/>
  <c r="Z687" i="7"/>
  <c r="AA687" i="7"/>
  <c r="AB687" i="7"/>
  <c r="E688" i="7"/>
  <c r="F688" i="7"/>
  <c r="G688" i="7"/>
  <c r="H688" i="7"/>
  <c r="I688" i="7"/>
  <c r="J688" i="7"/>
  <c r="K688" i="7"/>
  <c r="L688" i="7"/>
  <c r="M688" i="7"/>
  <c r="N688" i="7"/>
  <c r="O688" i="7"/>
  <c r="P688" i="7"/>
  <c r="Q688" i="7"/>
  <c r="R688" i="7"/>
  <c r="S688" i="7"/>
  <c r="T688" i="7"/>
  <c r="U688" i="7"/>
  <c r="V688" i="7"/>
  <c r="W688" i="7"/>
  <c r="X688" i="7"/>
  <c r="Y688" i="7"/>
  <c r="Z688" i="7"/>
  <c r="AA688" i="7"/>
  <c r="AB688" i="7"/>
  <c r="E689" i="7"/>
  <c r="F689" i="7"/>
  <c r="G689" i="7"/>
  <c r="H689" i="7"/>
  <c r="I689" i="7"/>
  <c r="J689" i="7"/>
  <c r="K689" i="7"/>
  <c r="L689" i="7"/>
  <c r="M689" i="7"/>
  <c r="N689" i="7"/>
  <c r="O689" i="7"/>
  <c r="P689" i="7"/>
  <c r="Q689" i="7"/>
  <c r="R689" i="7"/>
  <c r="S689" i="7"/>
  <c r="T689" i="7"/>
  <c r="U689" i="7"/>
  <c r="V689" i="7"/>
  <c r="W689" i="7"/>
  <c r="X689" i="7"/>
  <c r="Y689" i="7"/>
  <c r="Z689" i="7"/>
  <c r="AA689" i="7"/>
  <c r="AB689" i="7"/>
  <c r="E690" i="7"/>
  <c r="F690" i="7"/>
  <c r="G690" i="7"/>
  <c r="H690" i="7"/>
  <c r="I690" i="7"/>
  <c r="J690" i="7"/>
  <c r="K690" i="7"/>
  <c r="L690" i="7"/>
  <c r="M690" i="7"/>
  <c r="N690" i="7"/>
  <c r="O690" i="7"/>
  <c r="P690" i="7"/>
  <c r="Q690" i="7"/>
  <c r="R690" i="7"/>
  <c r="S690" i="7"/>
  <c r="T690" i="7"/>
  <c r="U690" i="7"/>
  <c r="V690" i="7"/>
  <c r="W690" i="7"/>
  <c r="X690" i="7"/>
  <c r="Y690" i="7"/>
  <c r="Z690" i="7"/>
  <c r="AA690" i="7"/>
  <c r="AB690" i="7"/>
  <c r="E691" i="7"/>
  <c r="F691" i="7"/>
  <c r="G691" i="7"/>
  <c r="H691" i="7"/>
  <c r="I691" i="7"/>
  <c r="J691" i="7"/>
  <c r="K691" i="7"/>
  <c r="L691" i="7"/>
  <c r="M691" i="7"/>
  <c r="N691" i="7"/>
  <c r="O691" i="7"/>
  <c r="P691" i="7"/>
  <c r="Q691" i="7"/>
  <c r="R691" i="7"/>
  <c r="S691" i="7"/>
  <c r="T691" i="7"/>
  <c r="U691" i="7"/>
  <c r="V691" i="7"/>
  <c r="W691" i="7"/>
  <c r="X691" i="7"/>
  <c r="Y691" i="7"/>
  <c r="Z691" i="7"/>
  <c r="AA691" i="7"/>
  <c r="AB691" i="7"/>
  <c r="E692" i="7"/>
  <c r="F692" i="7"/>
  <c r="G692" i="7"/>
  <c r="H692" i="7"/>
  <c r="I692" i="7"/>
  <c r="J692" i="7"/>
  <c r="K692" i="7"/>
  <c r="L692" i="7"/>
  <c r="M692" i="7"/>
  <c r="N692" i="7"/>
  <c r="O692" i="7"/>
  <c r="P692" i="7"/>
  <c r="Q692" i="7"/>
  <c r="R692" i="7"/>
  <c r="S692" i="7"/>
  <c r="T692" i="7"/>
  <c r="U692" i="7"/>
  <c r="V692" i="7"/>
  <c r="W692" i="7"/>
  <c r="X692" i="7"/>
  <c r="Y692" i="7"/>
  <c r="Z692" i="7"/>
  <c r="AA692" i="7"/>
  <c r="AB692" i="7"/>
  <c r="E693" i="7"/>
  <c r="F693" i="7"/>
  <c r="G693" i="7"/>
  <c r="H693" i="7"/>
  <c r="I693" i="7"/>
  <c r="J693" i="7"/>
  <c r="K693" i="7"/>
  <c r="L693" i="7"/>
  <c r="M693" i="7"/>
  <c r="N693" i="7"/>
  <c r="O693" i="7"/>
  <c r="P693" i="7"/>
  <c r="Q693" i="7"/>
  <c r="R693" i="7"/>
  <c r="S693" i="7"/>
  <c r="T693" i="7"/>
  <c r="U693" i="7"/>
  <c r="V693" i="7"/>
  <c r="W693" i="7"/>
  <c r="X693" i="7"/>
  <c r="Y693" i="7"/>
  <c r="Z693" i="7"/>
  <c r="AA693" i="7"/>
  <c r="AB693" i="7"/>
  <c r="E694" i="7"/>
  <c r="F694" i="7"/>
  <c r="G694" i="7"/>
  <c r="H694" i="7"/>
  <c r="I694" i="7"/>
  <c r="J694" i="7"/>
  <c r="K694" i="7"/>
  <c r="L694" i="7"/>
  <c r="M694" i="7"/>
  <c r="N694" i="7"/>
  <c r="O694" i="7"/>
  <c r="P694" i="7"/>
  <c r="Q694" i="7"/>
  <c r="R694" i="7"/>
  <c r="S694" i="7"/>
  <c r="T694" i="7"/>
  <c r="U694" i="7"/>
  <c r="V694" i="7"/>
  <c r="W694" i="7"/>
  <c r="X694" i="7"/>
  <c r="Y694" i="7"/>
  <c r="Z694" i="7"/>
  <c r="AA694" i="7"/>
  <c r="AB694" i="7"/>
  <c r="E695" i="7"/>
  <c r="F695" i="7"/>
  <c r="G695" i="7"/>
  <c r="H695" i="7"/>
  <c r="I695" i="7"/>
  <c r="J695" i="7"/>
  <c r="K695" i="7"/>
  <c r="L695" i="7"/>
  <c r="M695" i="7"/>
  <c r="N695" i="7"/>
  <c r="O695" i="7"/>
  <c r="P695" i="7"/>
  <c r="Q695" i="7"/>
  <c r="R695" i="7"/>
  <c r="S695" i="7"/>
  <c r="T695" i="7"/>
  <c r="U695" i="7"/>
  <c r="V695" i="7"/>
  <c r="W695" i="7"/>
  <c r="X695" i="7"/>
  <c r="Y695" i="7"/>
  <c r="Z695" i="7"/>
  <c r="AA695" i="7"/>
  <c r="AB695" i="7"/>
  <c r="E696" i="7"/>
  <c r="F696" i="7"/>
  <c r="G696" i="7"/>
  <c r="H696" i="7"/>
  <c r="I696" i="7"/>
  <c r="J696" i="7"/>
  <c r="K696" i="7"/>
  <c r="L696" i="7"/>
  <c r="M696" i="7"/>
  <c r="N696" i="7"/>
  <c r="O696" i="7"/>
  <c r="P696" i="7"/>
  <c r="Q696" i="7"/>
  <c r="R696" i="7"/>
  <c r="S696" i="7"/>
  <c r="T696" i="7"/>
  <c r="U696" i="7"/>
  <c r="V696" i="7"/>
  <c r="W696" i="7"/>
  <c r="X696" i="7"/>
  <c r="Y696" i="7"/>
  <c r="Z696" i="7"/>
  <c r="AA696" i="7"/>
  <c r="AB696" i="7"/>
  <c r="E697" i="7"/>
  <c r="F697" i="7"/>
  <c r="G697" i="7"/>
  <c r="H697" i="7"/>
  <c r="I697" i="7"/>
  <c r="J697" i="7"/>
  <c r="K697" i="7"/>
  <c r="L697" i="7"/>
  <c r="M697" i="7"/>
  <c r="N697" i="7"/>
  <c r="O697" i="7"/>
  <c r="P697" i="7"/>
  <c r="Q697" i="7"/>
  <c r="R697" i="7"/>
  <c r="S697" i="7"/>
  <c r="T697" i="7"/>
  <c r="U697" i="7"/>
  <c r="V697" i="7"/>
  <c r="W697" i="7"/>
  <c r="X697" i="7"/>
  <c r="Y697" i="7"/>
  <c r="Z697" i="7"/>
  <c r="AA697" i="7"/>
  <c r="AB697" i="7"/>
  <c r="E698" i="7"/>
  <c r="F698" i="7"/>
  <c r="G698" i="7"/>
  <c r="H698" i="7"/>
  <c r="I698" i="7"/>
  <c r="J698" i="7"/>
  <c r="K698" i="7"/>
  <c r="L698" i="7"/>
  <c r="M698" i="7"/>
  <c r="N698" i="7"/>
  <c r="O698" i="7"/>
  <c r="P698" i="7"/>
  <c r="Q698" i="7"/>
  <c r="R698" i="7"/>
  <c r="S698" i="7"/>
  <c r="T698" i="7"/>
  <c r="U698" i="7"/>
  <c r="V698" i="7"/>
  <c r="W698" i="7"/>
  <c r="X698" i="7"/>
  <c r="Y698" i="7"/>
  <c r="Z698" i="7"/>
  <c r="AA698" i="7"/>
  <c r="AB698" i="7"/>
  <c r="E699" i="7"/>
  <c r="F699" i="7"/>
  <c r="G699" i="7"/>
  <c r="H699" i="7"/>
  <c r="I699" i="7"/>
  <c r="J699" i="7"/>
  <c r="K699" i="7"/>
  <c r="L699" i="7"/>
  <c r="M699" i="7"/>
  <c r="N699" i="7"/>
  <c r="O699" i="7"/>
  <c r="P699" i="7"/>
  <c r="Q699" i="7"/>
  <c r="R699" i="7"/>
  <c r="S699" i="7"/>
  <c r="T699" i="7"/>
  <c r="U699" i="7"/>
  <c r="V699" i="7"/>
  <c r="W699" i="7"/>
  <c r="X699" i="7"/>
  <c r="Y699" i="7"/>
  <c r="Z699" i="7"/>
  <c r="AA699" i="7"/>
  <c r="AB699" i="7"/>
  <c r="E700" i="7"/>
  <c r="F700" i="7"/>
  <c r="G700" i="7"/>
  <c r="H700" i="7"/>
  <c r="I700" i="7"/>
  <c r="J700" i="7"/>
  <c r="K700" i="7"/>
  <c r="L700" i="7"/>
  <c r="M700" i="7"/>
  <c r="N700" i="7"/>
  <c r="O700" i="7"/>
  <c r="P700" i="7"/>
  <c r="Q700" i="7"/>
  <c r="R700" i="7"/>
  <c r="S700" i="7"/>
  <c r="T700" i="7"/>
  <c r="U700" i="7"/>
  <c r="V700" i="7"/>
  <c r="W700" i="7"/>
  <c r="X700" i="7"/>
  <c r="Y700" i="7"/>
  <c r="Z700" i="7"/>
  <c r="AA700" i="7"/>
  <c r="AB700" i="7"/>
  <c r="E701" i="7"/>
  <c r="F701" i="7"/>
  <c r="G701" i="7"/>
  <c r="H701" i="7"/>
  <c r="I701" i="7"/>
  <c r="J701" i="7"/>
  <c r="K701" i="7"/>
  <c r="L701" i="7"/>
  <c r="M701" i="7"/>
  <c r="N701" i="7"/>
  <c r="O701" i="7"/>
  <c r="P701" i="7"/>
  <c r="Q701" i="7"/>
  <c r="R701" i="7"/>
  <c r="S701" i="7"/>
  <c r="T701" i="7"/>
  <c r="U701" i="7"/>
  <c r="V701" i="7"/>
  <c r="W701" i="7"/>
  <c r="X701" i="7"/>
  <c r="Y701" i="7"/>
  <c r="Z701" i="7"/>
  <c r="AA701" i="7"/>
  <c r="AB701" i="7"/>
  <c r="E702" i="7"/>
  <c r="F702" i="7"/>
  <c r="G702" i="7"/>
  <c r="H702" i="7"/>
  <c r="I702" i="7"/>
  <c r="J702" i="7"/>
  <c r="K702" i="7"/>
  <c r="L702" i="7"/>
  <c r="M702" i="7"/>
  <c r="N702" i="7"/>
  <c r="O702" i="7"/>
  <c r="P702" i="7"/>
  <c r="Q702" i="7"/>
  <c r="R702" i="7"/>
  <c r="S702" i="7"/>
  <c r="T702" i="7"/>
  <c r="U702" i="7"/>
  <c r="V702" i="7"/>
  <c r="W702" i="7"/>
  <c r="X702" i="7"/>
  <c r="Y702" i="7"/>
  <c r="Z702" i="7"/>
  <c r="AA702" i="7"/>
  <c r="AB702" i="7"/>
  <c r="E703" i="7"/>
  <c r="F703" i="7"/>
  <c r="G703" i="7"/>
  <c r="H703" i="7"/>
  <c r="I703" i="7"/>
  <c r="J703" i="7"/>
  <c r="K703" i="7"/>
  <c r="L703" i="7"/>
  <c r="M703" i="7"/>
  <c r="N703" i="7"/>
  <c r="O703" i="7"/>
  <c r="P703" i="7"/>
  <c r="Q703" i="7"/>
  <c r="R703" i="7"/>
  <c r="S703" i="7"/>
  <c r="T703" i="7"/>
  <c r="U703" i="7"/>
  <c r="V703" i="7"/>
  <c r="W703" i="7"/>
  <c r="X703" i="7"/>
  <c r="Y703" i="7"/>
  <c r="Z703" i="7"/>
  <c r="AA703" i="7"/>
  <c r="AB703" i="7"/>
  <c r="E704" i="7"/>
  <c r="F704" i="7"/>
  <c r="G704" i="7"/>
  <c r="H704" i="7"/>
  <c r="I704" i="7"/>
  <c r="J704" i="7"/>
  <c r="K704" i="7"/>
  <c r="L704" i="7"/>
  <c r="M704" i="7"/>
  <c r="N704" i="7"/>
  <c r="O704" i="7"/>
  <c r="P704" i="7"/>
  <c r="Q704" i="7"/>
  <c r="R704" i="7"/>
  <c r="S704" i="7"/>
  <c r="T704" i="7"/>
  <c r="U704" i="7"/>
  <c r="V704" i="7"/>
  <c r="W704" i="7"/>
  <c r="X704" i="7"/>
  <c r="Y704" i="7"/>
  <c r="Z704" i="7"/>
  <c r="AA704" i="7"/>
  <c r="AB704" i="7"/>
  <c r="E705" i="7"/>
  <c r="F705" i="7"/>
  <c r="G705" i="7"/>
  <c r="H705" i="7"/>
  <c r="I705" i="7"/>
  <c r="J705" i="7"/>
  <c r="K705" i="7"/>
  <c r="L705" i="7"/>
  <c r="M705" i="7"/>
  <c r="N705" i="7"/>
  <c r="O705" i="7"/>
  <c r="P705" i="7"/>
  <c r="Q705" i="7"/>
  <c r="R705" i="7"/>
  <c r="S705" i="7"/>
  <c r="T705" i="7"/>
  <c r="U705" i="7"/>
  <c r="V705" i="7"/>
  <c r="W705" i="7"/>
  <c r="X705" i="7"/>
  <c r="Y705" i="7"/>
  <c r="Z705" i="7"/>
  <c r="AA705" i="7"/>
  <c r="AB705" i="7"/>
  <c r="E706" i="7"/>
  <c r="F706" i="7"/>
  <c r="G706" i="7"/>
  <c r="H706" i="7"/>
  <c r="I706" i="7"/>
  <c r="J706" i="7"/>
  <c r="K706" i="7"/>
  <c r="L706" i="7"/>
  <c r="M706" i="7"/>
  <c r="N706" i="7"/>
  <c r="O706" i="7"/>
  <c r="P706" i="7"/>
  <c r="Q706" i="7"/>
  <c r="R706" i="7"/>
  <c r="S706" i="7"/>
  <c r="T706" i="7"/>
  <c r="U706" i="7"/>
  <c r="V706" i="7"/>
  <c r="W706" i="7"/>
  <c r="X706" i="7"/>
  <c r="Y706" i="7"/>
  <c r="Z706" i="7"/>
  <c r="AA706" i="7"/>
  <c r="AB706" i="7"/>
  <c r="E707" i="7"/>
  <c r="F707" i="7"/>
  <c r="G707" i="7"/>
  <c r="H707" i="7"/>
  <c r="I707" i="7"/>
  <c r="J707" i="7"/>
  <c r="K707" i="7"/>
  <c r="L707" i="7"/>
  <c r="M707" i="7"/>
  <c r="N707" i="7"/>
  <c r="O707" i="7"/>
  <c r="P707" i="7"/>
  <c r="Q707" i="7"/>
  <c r="R707" i="7"/>
  <c r="S707" i="7"/>
  <c r="T707" i="7"/>
  <c r="U707" i="7"/>
  <c r="V707" i="7"/>
  <c r="W707" i="7"/>
  <c r="X707" i="7"/>
  <c r="Y707" i="7"/>
  <c r="Z707" i="7"/>
  <c r="AA707" i="7"/>
  <c r="AB707" i="7"/>
  <c r="E708" i="7"/>
  <c r="F708" i="7"/>
  <c r="G708" i="7"/>
  <c r="H708" i="7"/>
  <c r="I708" i="7"/>
  <c r="J708" i="7"/>
  <c r="K708" i="7"/>
  <c r="L708" i="7"/>
  <c r="M708" i="7"/>
  <c r="N708" i="7"/>
  <c r="O708" i="7"/>
  <c r="P708" i="7"/>
  <c r="Q708" i="7"/>
  <c r="R708" i="7"/>
  <c r="S708" i="7"/>
  <c r="T708" i="7"/>
  <c r="U708" i="7"/>
  <c r="V708" i="7"/>
  <c r="W708" i="7"/>
  <c r="X708" i="7"/>
  <c r="Y708" i="7"/>
  <c r="Z708" i="7"/>
  <c r="AA708" i="7"/>
  <c r="AB708" i="7"/>
  <c r="E709" i="7"/>
  <c r="F709" i="7"/>
  <c r="G709" i="7"/>
  <c r="H709" i="7"/>
  <c r="I709" i="7"/>
  <c r="J709" i="7"/>
  <c r="K709" i="7"/>
  <c r="L709" i="7"/>
  <c r="M709" i="7"/>
  <c r="N709" i="7"/>
  <c r="O709" i="7"/>
  <c r="P709" i="7"/>
  <c r="Q709" i="7"/>
  <c r="R709" i="7"/>
  <c r="S709" i="7"/>
  <c r="T709" i="7"/>
  <c r="U709" i="7"/>
  <c r="V709" i="7"/>
  <c r="W709" i="7"/>
  <c r="X709" i="7"/>
  <c r="Y709" i="7"/>
  <c r="Z709" i="7"/>
  <c r="AA709" i="7"/>
  <c r="AB709" i="7"/>
  <c r="E710" i="7"/>
  <c r="F710" i="7"/>
  <c r="G710" i="7"/>
  <c r="H710" i="7"/>
  <c r="I710" i="7"/>
  <c r="J710" i="7"/>
  <c r="K710" i="7"/>
  <c r="L710" i="7"/>
  <c r="M710" i="7"/>
  <c r="N710" i="7"/>
  <c r="O710" i="7"/>
  <c r="P710" i="7"/>
  <c r="Q710" i="7"/>
  <c r="R710" i="7"/>
  <c r="S710" i="7"/>
  <c r="T710" i="7"/>
  <c r="U710" i="7"/>
  <c r="V710" i="7"/>
  <c r="W710" i="7"/>
  <c r="X710" i="7"/>
  <c r="Y710" i="7"/>
  <c r="Z710" i="7"/>
  <c r="AA710" i="7"/>
  <c r="AB710" i="7"/>
  <c r="E711" i="7"/>
  <c r="F711" i="7"/>
  <c r="G711" i="7"/>
  <c r="H711" i="7"/>
  <c r="I711" i="7"/>
  <c r="J711" i="7"/>
  <c r="K711" i="7"/>
  <c r="L711" i="7"/>
  <c r="M711" i="7"/>
  <c r="N711" i="7"/>
  <c r="O711" i="7"/>
  <c r="P711" i="7"/>
  <c r="Q711" i="7"/>
  <c r="R711" i="7"/>
  <c r="S711" i="7"/>
  <c r="T711" i="7"/>
  <c r="U711" i="7"/>
  <c r="V711" i="7"/>
  <c r="W711" i="7"/>
  <c r="X711" i="7"/>
  <c r="Y711" i="7"/>
  <c r="Z711" i="7"/>
  <c r="AA711" i="7"/>
  <c r="AB711" i="7"/>
  <c r="E712" i="7"/>
  <c r="F712" i="7"/>
  <c r="G712" i="7"/>
  <c r="H712" i="7"/>
  <c r="I712" i="7"/>
  <c r="J712" i="7"/>
  <c r="K712" i="7"/>
  <c r="L712" i="7"/>
  <c r="M712" i="7"/>
  <c r="N712" i="7"/>
  <c r="O712" i="7"/>
  <c r="P712" i="7"/>
  <c r="Q712" i="7"/>
  <c r="R712" i="7"/>
  <c r="S712" i="7"/>
  <c r="T712" i="7"/>
  <c r="U712" i="7"/>
  <c r="V712" i="7"/>
  <c r="W712" i="7"/>
  <c r="X712" i="7"/>
  <c r="Y712" i="7"/>
  <c r="Z712" i="7"/>
  <c r="AA712" i="7"/>
  <c r="AB712" i="7"/>
  <c r="E713" i="7"/>
  <c r="F713" i="7"/>
  <c r="G713" i="7"/>
  <c r="H713" i="7"/>
  <c r="I713" i="7"/>
  <c r="J713" i="7"/>
  <c r="K713" i="7"/>
  <c r="L713" i="7"/>
  <c r="M713" i="7"/>
  <c r="N713" i="7"/>
  <c r="O713" i="7"/>
  <c r="P713" i="7"/>
  <c r="Q713" i="7"/>
  <c r="R713" i="7"/>
  <c r="S713" i="7"/>
  <c r="T713" i="7"/>
  <c r="U713" i="7"/>
  <c r="V713" i="7"/>
  <c r="W713" i="7"/>
  <c r="X713" i="7"/>
  <c r="Y713" i="7"/>
  <c r="Z713" i="7"/>
  <c r="AA713" i="7"/>
  <c r="AB713" i="7"/>
  <c r="E714" i="7"/>
  <c r="F714" i="7"/>
  <c r="G714" i="7"/>
  <c r="H714" i="7"/>
  <c r="I714" i="7"/>
  <c r="J714" i="7"/>
  <c r="K714" i="7"/>
  <c r="L714" i="7"/>
  <c r="M714" i="7"/>
  <c r="N714" i="7"/>
  <c r="O714" i="7"/>
  <c r="P714" i="7"/>
  <c r="Q714" i="7"/>
  <c r="R714" i="7"/>
  <c r="S714" i="7"/>
  <c r="T714" i="7"/>
  <c r="U714" i="7"/>
  <c r="V714" i="7"/>
  <c r="W714" i="7"/>
  <c r="X714" i="7"/>
  <c r="Y714" i="7"/>
  <c r="Z714" i="7"/>
  <c r="AA714" i="7"/>
  <c r="AB714" i="7"/>
  <c r="E715" i="7"/>
  <c r="F715" i="7"/>
  <c r="G715" i="7"/>
  <c r="H715" i="7"/>
  <c r="I715" i="7"/>
  <c r="J715" i="7"/>
  <c r="K715" i="7"/>
  <c r="L715" i="7"/>
  <c r="M715" i="7"/>
  <c r="N715" i="7"/>
  <c r="O715" i="7"/>
  <c r="P715" i="7"/>
  <c r="Q715" i="7"/>
  <c r="R715" i="7"/>
  <c r="S715" i="7"/>
  <c r="T715" i="7"/>
  <c r="U715" i="7"/>
  <c r="V715" i="7"/>
  <c r="W715" i="7"/>
  <c r="X715" i="7"/>
  <c r="Y715" i="7"/>
  <c r="Z715" i="7"/>
  <c r="AA715" i="7"/>
  <c r="AB715" i="7"/>
  <c r="E716" i="7"/>
  <c r="F716" i="7"/>
  <c r="G716" i="7"/>
  <c r="H716" i="7"/>
  <c r="I716" i="7"/>
  <c r="J716" i="7"/>
  <c r="K716" i="7"/>
  <c r="L716" i="7"/>
  <c r="M716" i="7"/>
  <c r="N716" i="7"/>
  <c r="O716" i="7"/>
  <c r="P716" i="7"/>
  <c r="Q716" i="7"/>
  <c r="R716" i="7"/>
  <c r="S716" i="7"/>
  <c r="T716" i="7"/>
  <c r="U716" i="7"/>
  <c r="V716" i="7"/>
  <c r="W716" i="7"/>
  <c r="X716" i="7"/>
  <c r="Y716" i="7"/>
  <c r="Z716" i="7"/>
  <c r="AA716" i="7"/>
  <c r="AB716" i="7"/>
  <c r="E717" i="7"/>
  <c r="F717" i="7"/>
  <c r="G717" i="7"/>
  <c r="H717" i="7"/>
  <c r="I717" i="7"/>
  <c r="J717" i="7"/>
  <c r="K717" i="7"/>
  <c r="L717" i="7"/>
  <c r="M717" i="7"/>
  <c r="N717" i="7"/>
  <c r="O717" i="7"/>
  <c r="P717" i="7"/>
  <c r="Q717" i="7"/>
  <c r="R717" i="7"/>
  <c r="S717" i="7"/>
  <c r="T717" i="7"/>
  <c r="U717" i="7"/>
  <c r="V717" i="7"/>
  <c r="W717" i="7"/>
  <c r="X717" i="7"/>
  <c r="Y717" i="7"/>
  <c r="Z717" i="7"/>
  <c r="AA717" i="7"/>
  <c r="AB717" i="7"/>
  <c r="E718" i="7"/>
  <c r="F718" i="7"/>
  <c r="G718" i="7"/>
  <c r="H718" i="7"/>
  <c r="I718" i="7"/>
  <c r="J718" i="7"/>
  <c r="K718" i="7"/>
  <c r="L718" i="7"/>
  <c r="M718" i="7"/>
  <c r="N718" i="7"/>
  <c r="O718" i="7"/>
  <c r="P718" i="7"/>
  <c r="Q718" i="7"/>
  <c r="R718" i="7"/>
  <c r="S718" i="7"/>
  <c r="T718" i="7"/>
  <c r="U718" i="7"/>
  <c r="V718" i="7"/>
  <c r="W718" i="7"/>
  <c r="X718" i="7"/>
  <c r="Y718" i="7"/>
  <c r="Z718" i="7"/>
  <c r="AA718" i="7"/>
  <c r="AB718" i="7"/>
  <c r="E719" i="7"/>
  <c r="F719" i="7"/>
  <c r="G719" i="7"/>
  <c r="H719" i="7"/>
  <c r="I719" i="7"/>
  <c r="J719" i="7"/>
  <c r="K719" i="7"/>
  <c r="L719" i="7"/>
  <c r="M719" i="7"/>
  <c r="N719" i="7"/>
  <c r="O719" i="7"/>
  <c r="P719" i="7"/>
  <c r="Q719" i="7"/>
  <c r="R719" i="7"/>
  <c r="S719" i="7"/>
  <c r="T719" i="7"/>
  <c r="U719" i="7"/>
  <c r="V719" i="7"/>
  <c r="W719" i="7"/>
  <c r="X719" i="7"/>
  <c r="Y719" i="7"/>
  <c r="Z719" i="7"/>
  <c r="AA719" i="7"/>
  <c r="AB719" i="7"/>
  <c r="E720" i="7"/>
  <c r="F720" i="7"/>
  <c r="G720" i="7"/>
  <c r="H720" i="7"/>
  <c r="I720" i="7"/>
  <c r="J720" i="7"/>
  <c r="K720" i="7"/>
  <c r="L720" i="7"/>
  <c r="M720" i="7"/>
  <c r="N720" i="7"/>
  <c r="O720" i="7"/>
  <c r="P720" i="7"/>
  <c r="Q720" i="7"/>
  <c r="R720" i="7"/>
  <c r="S720" i="7"/>
  <c r="T720" i="7"/>
  <c r="U720" i="7"/>
  <c r="V720" i="7"/>
  <c r="W720" i="7"/>
  <c r="X720" i="7"/>
  <c r="Y720" i="7"/>
  <c r="Z720" i="7"/>
  <c r="AA720" i="7"/>
  <c r="AB720" i="7"/>
  <c r="E721" i="7"/>
  <c r="F721" i="7"/>
  <c r="G721" i="7"/>
  <c r="H721" i="7"/>
  <c r="I721" i="7"/>
  <c r="J721" i="7"/>
  <c r="K721" i="7"/>
  <c r="L721" i="7"/>
  <c r="M721" i="7"/>
  <c r="N721" i="7"/>
  <c r="O721" i="7"/>
  <c r="P721" i="7"/>
  <c r="Q721" i="7"/>
  <c r="R721" i="7"/>
  <c r="S721" i="7"/>
  <c r="T721" i="7"/>
  <c r="U721" i="7"/>
  <c r="V721" i="7"/>
  <c r="W721" i="7"/>
  <c r="X721" i="7"/>
  <c r="Y721" i="7"/>
  <c r="Z721" i="7"/>
  <c r="AA721" i="7"/>
  <c r="AB721" i="7"/>
  <c r="E722" i="7"/>
  <c r="F722" i="7"/>
  <c r="G722" i="7"/>
  <c r="H722" i="7"/>
  <c r="I722" i="7"/>
  <c r="J722" i="7"/>
  <c r="K722" i="7"/>
  <c r="L722" i="7"/>
  <c r="M722" i="7"/>
  <c r="N722" i="7"/>
  <c r="O722" i="7"/>
  <c r="P722" i="7"/>
  <c r="Q722" i="7"/>
  <c r="R722" i="7"/>
  <c r="S722" i="7"/>
  <c r="T722" i="7"/>
  <c r="U722" i="7"/>
  <c r="V722" i="7"/>
  <c r="W722" i="7"/>
  <c r="X722" i="7"/>
  <c r="Y722" i="7"/>
  <c r="Z722" i="7"/>
  <c r="AA722" i="7"/>
  <c r="AB722" i="7"/>
  <c r="E723" i="7"/>
  <c r="F723" i="7"/>
  <c r="G723" i="7"/>
  <c r="H723" i="7"/>
  <c r="I723" i="7"/>
  <c r="J723" i="7"/>
  <c r="K723" i="7"/>
  <c r="L723" i="7"/>
  <c r="M723" i="7"/>
  <c r="N723" i="7"/>
  <c r="O723" i="7"/>
  <c r="P723" i="7"/>
  <c r="Q723" i="7"/>
  <c r="R723" i="7"/>
  <c r="S723" i="7"/>
  <c r="T723" i="7"/>
  <c r="U723" i="7"/>
  <c r="V723" i="7"/>
  <c r="W723" i="7"/>
  <c r="X723" i="7"/>
  <c r="Y723" i="7"/>
  <c r="Z723" i="7"/>
  <c r="AA723" i="7"/>
  <c r="AB723" i="7"/>
  <c r="E724" i="7"/>
  <c r="F724" i="7"/>
  <c r="G724" i="7"/>
  <c r="H724" i="7"/>
  <c r="I724" i="7"/>
  <c r="J724" i="7"/>
  <c r="K724" i="7"/>
  <c r="L724" i="7"/>
  <c r="M724" i="7"/>
  <c r="N724" i="7"/>
  <c r="O724" i="7"/>
  <c r="P724" i="7"/>
  <c r="Q724" i="7"/>
  <c r="R724" i="7"/>
  <c r="S724" i="7"/>
  <c r="T724" i="7"/>
  <c r="U724" i="7"/>
  <c r="V724" i="7"/>
  <c r="W724" i="7"/>
  <c r="X724" i="7"/>
  <c r="Y724" i="7"/>
  <c r="Z724" i="7"/>
  <c r="AA724" i="7"/>
  <c r="AB724" i="7"/>
  <c r="E725" i="7"/>
  <c r="F725" i="7"/>
  <c r="G725" i="7"/>
  <c r="H725" i="7"/>
  <c r="I725" i="7"/>
  <c r="J725" i="7"/>
  <c r="K725" i="7"/>
  <c r="L725" i="7"/>
  <c r="M725" i="7"/>
  <c r="N725" i="7"/>
  <c r="O725" i="7"/>
  <c r="P725" i="7"/>
  <c r="Q725" i="7"/>
  <c r="R725" i="7"/>
  <c r="S725" i="7"/>
  <c r="T725" i="7"/>
  <c r="U725" i="7"/>
  <c r="V725" i="7"/>
  <c r="W725" i="7"/>
  <c r="X725" i="7"/>
  <c r="Y725" i="7"/>
  <c r="Z725" i="7"/>
  <c r="AA725" i="7"/>
  <c r="AB725" i="7"/>
  <c r="E726" i="7"/>
  <c r="F726" i="7"/>
  <c r="G726" i="7"/>
  <c r="H726" i="7"/>
  <c r="I726" i="7"/>
  <c r="J726" i="7"/>
  <c r="K726" i="7"/>
  <c r="L726" i="7"/>
  <c r="M726" i="7"/>
  <c r="N726" i="7"/>
  <c r="O726" i="7"/>
  <c r="P726" i="7"/>
  <c r="Q726" i="7"/>
  <c r="R726" i="7"/>
  <c r="S726" i="7"/>
  <c r="T726" i="7"/>
  <c r="U726" i="7"/>
  <c r="V726" i="7"/>
  <c r="W726" i="7"/>
  <c r="X726" i="7"/>
  <c r="Y726" i="7"/>
  <c r="Z726" i="7"/>
  <c r="AA726" i="7"/>
  <c r="AB726" i="7"/>
  <c r="E727" i="7"/>
  <c r="F727" i="7"/>
  <c r="G727" i="7"/>
  <c r="H727" i="7"/>
  <c r="I727" i="7"/>
  <c r="J727" i="7"/>
  <c r="K727" i="7"/>
  <c r="L727" i="7"/>
  <c r="M727" i="7"/>
  <c r="N727" i="7"/>
  <c r="O727" i="7"/>
  <c r="P727" i="7"/>
  <c r="Q727" i="7"/>
  <c r="R727" i="7"/>
  <c r="S727" i="7"/>
  <c r="T727" i="7"/>
  <c r="U727" i="7"/>
  <c r="V727" i="7"/>
  <c r="W727" i="7"/>
  <c r="X727" i="7"/>
  <c r="Y727" i="7"/>
  <c r="Z727" i="7"/>
  <c r="AA727" i="7"/>
  <c r="AB727" i="7"/>
  <c r="E728" i="7"/>
  <c r="F728" i="7"/>
  <c r="G728" i="7"/>
  <c r="H728" i="7"/>
  <c r="I728" i="7"/>
  <c r="J728" i="7"/>
  <c r="K728" i="7"/>
  <c r="L728" i="7"/>
  <c r="M728" i="7"/>
  <c r="N728" i="7"/>
  <c r="O728" i="7"/>
  <c r="P728" i="7"/>
  <c r="Q728" i="7"/>
  <c r="R728" i="7"/>
  <c r="S728" i="7"/>
  <c r="T728" i="7"/>
  <c r="U728" i="7"/>
  <c r="V728" i="7"/>
  <c r="W728" i="7"/>
  <c r="X728" i="7"/>
  <c r="Y728" i="7"/>
  <c r="Z728" i="7"/>
  <c r="AA728" i="7"/>
  <c r="AB728" i="7"/>
  <c r="E729" i="7"/>
  <c r="F729" i="7"/>
  <c r="G729" i="7"/>
  <c r="H729" i="7"/>
  <c r="I729" i="7"/>
  <c r="J729" i="7"/>
  <c r="K729" i="7"/>
  <c r="L729" i="7"/>
  <c r="M729" i="7"/>
  <c r="N729" i="7"/>
  <c r="O729" i="7"/>
  <c r="P729" i="7"/>
  <c r="Q729" i="7"/>
  <c r="R729" i="7"/>
  <c r="S729" i="7"/>
  <c r="T729" i="7"/>
  <c r="U729" i="7"/>
  <c r="V729" i="7"/>
  <c r="W729" i="7"/>
  <c r="X729" i="7"/>
  <c r="Y729" i="7"/>
  <c r="Z729" i="7"/>
  <c r="AA729" i="7"/>
  <c r="AB729" i="7"/>
  <c r="E730" i="7"/>
  <c r="F730" i="7"/>
  <c r="G730" i="7"/>
  <c r="H730" i="7"/>
  <c r="I730" i="7"/>
  <c r="J730" i="7"/>
  <c r="K730" i="7"/>
  <c r="L730" i="7"/>
  <c r="M730" i="7"/>
  <c r="N730" i="7"/>
  <c r="O730" i="7"/>
  <c r="P730" i="7"/>
  <c r="Q730" i="7"/>
  <c r="R730" i="7"/>
  <c r="S730" i="7"/>
  <c r="T730" i="7"/>
  <c r="U730" i="7"/>
  <c r="V730" i="7"/>
  <c r="W730" i="7"/>
  <c r="X730" i="7"/>
  <c r="Y730" i="7"/>
  <c r="Z730" i="7"/>
  <c r="AA730" i="7"/>
  <c r="AB730" i="7"/>
  <c r="E731" i="7"/>
  <c r="F731" i="7"/>
  <c r="G731" i="7"/>
  <c r="H731" i="7"/>
  <c r="I731" i="7"/>
  <c r="J731" i="7"/>
  <c r="K731" i="7"/>
  <c r="L731" i="7"/>
  <c r="M731" i="7"/>
  <c r="N731" i="7"/>
  <c r="O731" i="7"/>
  <c r="P731" i="7"/>
  <c r="Q731" i="7"/>
  <c r="R731" i="7"/>
  <c r="S731" i="7"/>
  <c r="T731" i="7"/>
  <c r="U731" i="7"/>
  <c r="V731" i="7"/>
  <c r="W731" i="7"/>
  <c r="X731" i="7"/>
  <c r="Y731" i="7"/>
  <c r="Z731" i="7"/>
  <c r="AA731" i="7"/>
  <c r="AB731" i="7"/>
  <c r="E732" i="7"/>
  <c r="F732" i="7"/>
  <c r="G732" i="7"/>
  <c r="H732" i="7"/>
  <c r="I732" i="7"/>
  <c r="J732" i="7"/>
  <c r="K732" i="7"/>
  <c r="L732" i="7"/>
  <c r="M732" i="7"/>
  <c r="N732" i="7"/>
  <c r="O732" i="7"/>
  <c r="P732" i="7"/>
  <c r="Q732" i="7"/>
  <c r="R732" i="7"/>
  <c r="S732" i="7"/>
  <c r="T732" i="7"/>
  <c r="U732" i="7"/>
  <c r="V732" i="7"/>
  <c r="W732" i="7"/>
  <c r="X732" i="7"/>
  <c r="Y732" i="7"/>
  <c r="Z732" i="7"/>
  <c r="AA732" i="7"/>
  <c r="AB732" i="7"/>
  <c r="E733" i="7"/>
  <c r="F733" i="7"/>
  <c r="G733" i="7"/>
  <c r="H733" i="7"/>
  <c r="I733" i="7"/>
  <c r="J733" i="7"/>
  <c r="K733" i="7"/>
  <c r="L733" i="7"/>
  <c r="M733" i="7"/>
  <c r="N733" i="7"/>
  <c r="O733" i="7"/>
  <c r="P733" i="7"/>
  <c r="Q733" i="7"/>
  <c r="R733" i="7"/>
  <c r="S733" i="7"/>
  <c r="T733" i="7"/>
  <c r="U733" i="7"/>
  <c r="V733" i="7"/>
  <c r="W733" i="7"/>
  <c r="X733" i="7"/>
  <c r="Y733" i="7"/>
  <c r="Z733" i="7"/>
  <c r="AA733" i="7"/>
  <c r="AB733" i="7"/>
  <c r="E734" i="7"/>
  <c r="F734" i="7"/>
  <c r="G734" i="7"/>
  <c r="H734" i="7"/>
  <c r="I734" i="7"/>
  <c r="J734" i="7"/>
  <c r="K734" i="7"/>
  <c r="L734" i="7"/>
  <c r="M734" i="7"/>
  <c r="N734" i="7"/>
  <c r="O734" i="7"/>
  <c r="P734" i="7"/>
  <c r="Q734" i="7"/>
  <c r="R734" i="7"/>
  <c r="S734" i="7"/>
  <c r="T734" i="7"/>
  <c r="U734" i="7"/>
  <c r="V734" i="7"/>
  <c r="W734" i="7"/>
  <c r="X734" i="7"/>
  <c r="Y734" i="7"/>
  <c r="Z734" i="7"/>
  <c r="AA734" i="7"/>
  <c r="AB734" i="7"/>
  <c r="E735" i="7"/>
  <c r="F735" i="7"/>
  <c r="G735" i="7"/>
  <c r="H735" i="7"/>
  <c r="I735" i="7"/>
  <c r="J735" i="7"/>
  <c r="K735" i="7"/>
  <c r="L735" i="7"/>
  <c r="M735" i="7"/>
  <c r="N735" i="7"/>
  <c r="O735" i="7"/>
  <c r="P735" i="7"/>
  <c r="Q735" i="7"/>
  <c r="R735" i="7"/>
  <c r="S735" i="7"/>
  <c r="T735" i="7"/>
  <c r="U735" i="7"/>
  <c r="V735" i="7"/>
  <c r="W735" i="7"/>
  <c r="X735" i="7"/>
  <c r="Y735" i="7"/>
  <c r="Z735" i="7"/>
  <c r="AA735" i="7"/>
  <c r="AB735" i="7"/>
  <c r="E736" i="7"/>
  <c r="F736" i="7"/>
  <c r="G736" i="7"/>
  <c r="H736" i="7"/>
  <c r="I736" i="7"/>
  <c r="J736" i="7"/>
  <c r="K736" i="7"/>
  <c r="L736" i="7"/>
  <c r="M736" i="7"/>
  <c r="N736" i="7"/>
  <c r="O736" i="7"/>
  <c r="P736" i="7"/>
  <c r="Q736" i="7"/>
  <c r="R736" i="7"/>
  <c r="S736" i="7"/>
  <c r="T736" i="7"/>
  <c r="U736" i="7"/>
  <c r="V736" i="7"/>
  <c r="W736" i="7"/>
  <c r="X736" i="7"/>
  <c r="Y736" i="7"/>
  <c r="Z736" i="7"/>
  <c r="AA736" i="7"/>
  <c r="AB736" i="7"/>
  <c r="E737" i="7"/>
  <c r="F737" i="7"/>
  <c r="G737" i="7"/>
  <c r="H737" i="7"/>
  <c r="I737" i="7"/>
  <c r="J737" i="7"/>
  <c r="K737" i="7"/>
  <c r="L737" i="7"/>
  <c r="M737" i="7"/>
  <c r="N737" i="7"/>
  <c r="O737" i="7"/>
  <c r="P737" i="7"/>
  <c r="Q737" i="7"/>
  <c r="R737" i="7"/>
  <c r="S737" i="7"/>
  <c r="T737" i="7"/>
  <c r="U737" i="7"/>
  <c r="V737" i="7"/>
  <c r="W737" i="7"/>
  <c r="X737" i="7"/>
  <c r="Y737" i="7"/>
  <c r="Z737" i="7"/>
  <c r="AA737" i="7"/>
  <c r="AB737" i="7"/>
  <c r="E738" i="7"/>
  <c r="F738" i="7"/>
  <c r="G738" i="7"/>
  <c r="H738" i="7"/>
  <c r="I738" i="7"/>
  <c r="J738" i="7"/>
  <c r="K738" i="7"/>
  <c r="L738" i="7"/>
  <c r="M738" i="7"/>
  <c r="N738" i="7"/>
  <c r="O738" i="7"/>
  <c r="P738" i="7"/>
  <c r="Q738" i="7"/>
  <c r="R738" i="7"/>
  <c r="S738" i="7"/>
  <c r="T738" i="7"/>
  <c r="U738" i="7"/>
  <c r="V738" i="7"/>
  <c r="W738" i="7"/>
  <c r="X738" i="7"/>
  <c r="Y738" i="7"/>
  <c r="Z738" i="7"/>
  <c r="AA738" i="7"/>
  <c r="AB738" i="7"/>
  <c r="E739" i="7"/>
  <c r="F739" i="7"/>
  <c r="G739" i="7"/>
  <c r="H739" i="7"/>
  <c r="I739" i="7"/>
  <c r="J739" i="7"/>
  <c r="K739" i="7"/>
  <c r="L739" i="7"/>
  <c r="M739" i="7"/>
  <c r="N739" i="7"/>
  <c r="O739" i="7"/>
  <c r="P739" i="7"/>
  <c r="Q739" i="7"/>
  <c r="R739" i="7"/>
  <c r="S739" i="7"/>
  <c r="T739" i="7"/>
  <c r="U739" i="7"/>
  <c r="V739" i="7"/>
  <c r="W739" i="7"/>
  <c r="X739" i="7"/>
  <c r="Y739" i="7"/>
  <c r="Z739" i="7"/>
  <c r="AA739" i="7"/>
  <c r="AB739" i="7"/>
  <c r="E740" i="7"/>
  <c r="F740" i="7"/>
  <c r="G740" i="7"/>
  <c r="H740" i="7"/>
  <c r="I740" i="7"/>
  <c r="J740" i="7"/>
  <c r="K740" i="7"/>
  <c r="L740" i="7"/>
  <c r="M740" i="7"/>
  <c r="N740" i="7"/>
  <c r="O740" i="7"/>
  <c r="P740" i="7"/>
  <c r="Q740" i="7"/>
  <c r="R740" i="7"/>
  <c r="S740" i="7"/>
  <c r="T740" i="7"/>
  <c r="U740" i="7"/>
  <c r="V740" i="7"/>
  <c r="W740" i="7"/>
  <c r="X740" i="7"/>
  <c r="Y740" i="7"/>
  <c r="Z740" i="7"/>
  <c r="AA740" i="7"/>
  <c r="AB740" i="7"/>
  <c r="E741" i="7"/>
  <c r="F741" i="7"/>
  <c r="G741" i="7"/>
  <c r="H741" i="7"/>
  <c r="I741" i="7"/>
  <c r="J741" i="7"/>
  <c r="K741" i="7"/>
  <c r="L741" i="7"/>
  <c r="M741" i="7"/>
  <c r="N741" i="7"/>
  <c r="O741" i="7"/>
  <c r="P741" i="7"/>
  <c r="Q741" i="7"/>
  <c r="R741" i="7"/>
  <c r="S741" i="7"/>
  <c r="T741" i="7"/>
  <c r="U741" i="7"/>
  <c r="V741" i="7"/>
  <c r="W741" i="7"/>
  <c r="X741" i="7"/>
  <c r="Y741" i="7"/>
  <c r="Z741" i="7"/>
  <c r="AA741" i="7"/>
  <c r="AB741" i="7"/>
  <c r="E742" i="7"/>
  <c r="F742" i="7"/>
  <c r="G742" i="7"/>
  <c r="H742" i="7"/>
  <c r="I742" i="7"/>
  <c r="J742" i="7"/>
  <c r="K742" i="7"/>
  <c r="L742" i="7"/>
  <c r="M742" i="7"/>
  <c r="N742" i="7"/>
  <c r="O742" i="7"/>
  <c r="P742" i="7"/>
  <c r="Q742" i="7"/>
  <c r="R742" i="7"/>
  <c r="S742" i="7"/>
  <c r="T742" i="7"/>
  <c r="U742" i="7"/>
  <c r="V742" i="7"/>
  <c r="W742" i="7"/>
  <c r="X742" i="7"/>
  <c r="Y742" i="7"/>
  <c r="Z742" i="7"/>
  <c r="AA742" i="7"/>
  <c r="AB742" i="7"/>
  <c r="E743" i="7"/>
  <c r="F743" i="7"/>
  <c r="G743" i="7"/>
  <c r="H743" i="7"/>
  <c r="I743" i="7"/>
  <c r="J743" i="7"/>
  <c r="K743" i="7"/>
  <c r="L743" i="7"/>
  <c r="M743" i="7"/>
  <c r="N743" i="7"/>
  <c r="O743" i="7"/>
  <c r="P743" i="7"/>
  <c r="Q743" i="7"/>
  <c r="R743" i="7"/>
  <c r="S743" i="7"/>
  <c r="T743" i="7"/>
  <c r="U743" i="7"/>
  <c r="V743" i="7"/>
  <c r="W743" i="7"/>
  <c r="X743" i="7"/>
  <c r="Y743" i="7"/>
  <c r="Z743" i="7"/>
  <c r="AA743" i="7"/>
  <c r="AB743" i="7"/>
  <c r="E744" i="7"/>
  <c r="F744" i="7"/>
  <c r="G744" i="7"/>
  <c r="H744" i="7"/>
  <c r="I744" i="7"/>
  <c r="J744" i="7"/>
  <c r="K744" i="7"/>
  <c r="L744" i="7"/>
  <c r="M744" i="7"/>
  <c r="N744" i="7"/>
  <c r="O744" i="7"/>
  <c r="P744" i="7"/>
  <c r="Q744" i="7"/>
  <c r="R744" i="7"/>
  <c r="S744" i="7"/>
  <c r="T744" i="7"/>
  <c r="U744" i="7"/>
  <c r="V744" i="7"/>
  <c r="W744" i="7"/>
  <c r="X744" i="7"/>
  <c r="Y744" i="7"/>
  <c r="Z744" i="7"/>
  <c r="AA744" i="7"/>
  <c r="AB744" i="7"/>
  <c r="E745" i="7"/>
  <c r="F745" i="7"/>
  <c r="G745" i="7"/>
  <c r="H745" i="7"/>
  <c r="I745" i="7"/>
  <c r="J745" i="7"/>
  <c r="K745" i="7"/>
  <c r="L745" i="7"/>
  <c r="M745" i="7"/>
  <c r="N745" i="7"/>
  <c r="O745" i="7"/>
  <c r="P745" i="7"/>
  <c r="Q745" i="7"/>
  <c r="R745" i="7"/>
  <c r="S745" i="7"/>
  <c r="T745" i="7"/>
  <c r="U745" i="7"/>
  <c r="V745" i="7"/>
  <c r="W745" i="7"/>
  <c r="X745" i="7"/>
  <c r="Y745" i="7"/>
  <c r="Z745" i="7"/>
  <c r="AA745" i="7"/>
  <c r="AB745" i="7"/>
  <c r="E746" i="7"/>
  <c r="F746" i="7"/>
  <c r="G746" i="7"/>
  <c r="H746" i="7"/>
  <c r="I746" i="7"/>
  <c r="J746" i="7"/>
  <c r="K746" i="7"/>
  <c r="L746" i="7"/>
  <c r="M746" i="7"/>
  <c r="N746" i="7"/>
  <c r="O746" i="7"/>
  <c r="P746" i="7"/>
  <c r="Q746" i="7"/>
  <c r="R746" i="7"/>
  <c r="S746" i="7"/>
  <c r="T746" i="7"/>
  <c r="U746" i="7"/>
  <c r="V746" i="7"/>
  <c r="W746" i="7"/>
  <c r="X746" i="7"/>
  <c r="Y746" i="7"/>
  <c r="Z746" i="7"/>
  <c r="AA746" i="7"/>
  <c r="AB746" i="7"/>
  <c r="E747" i="7"/>
  <c r="F747" i="7"/>
  <c r="G747" i="7"/>
  <c r="H747" i="7"/>
  <c r="I747" i="7"/>
  <c r="J747" i="7"/>
  <c r="K747" i="7"/>
  <c r="L747" i="7"/>
  <c r="M747" i="7"/>
  <c r="N747" i="7"/>
  <c r="O747" i="7"/>
  <c r="P747" i="7"/>
  <c r="Q747" i="7"/>
  <c r="R747" i="7"/>
  <c r="S747" i="7"/>
  <c r="T747" i="7"/>
  <c r="U747" i="7"/>
  <c r="V747" i="7"/>
  <c r="W747" i="7"/>
  <c r="X747" i="7"/>
  <c r="Y747" i="7"/>
  <c r="Z747" i="7"/>
  <c r="AA747" i="7"/>
  <c r="AB747" i="7"/>
  <c r="E748" i="7"/>
  <c r="F748" i="7"/>
  <c r="G748" i="7"/>
  <c r="H748" i="7"/>
  <c r="I748" i="7"/>
  <c r="J748" i="7"/>
  <c r="K748" i="7"/>
  <c r="L748" i="7"/>
  <c r="M748" i="7"/>
  <c r="N748" i="7"/>
  <c r="O748" i="7"/>
  <c r="P748" i="7"/>
  <c r="Q748" i="7"/>
  <c r="R748" i="7"/>
  <c r="S748" i="7"/>
  <c r="T748" i="7"/>
  <c r="U748" i="7"/>
  <c r="V748" i="7"/>
  <c r="W748" i="7"/>
  <c r="X748" i="7"/>
  <c r="Y748" i="7"/>
  <c r="Z748" i="7"/>
  <c r="AA748" i="7"/>
  <c r="AB748" i="7"/>
  <c r="E749" i="7"/>
  <c r="F749" i="7"/>
  <c r="G749" i="7"/>
  <c r="H749" i="7"/>
  <c r="I749" i="7"/>
  <c r="J749" i="7"/>
  <c r="K749" i="7"/>
  <c r="L749" i="7"/>
  <c r="M749" i="7"/>
  <c r="N749" i="7"/>
  <c r="O749" i="7"/>
  <c r="P749" i="7"/>
  <c r="Q749" i="7"/>
  <c r="R749" i="7"/>
  <c r="S749" i="7"/>
  <c r="T749" i="7"/>
  <c r="U749" i="7"/>
  <c r="V749" i="7"/>
  <c r="W749" i="7"/>
  <c r="X749" i="7"/>
  <c r="Y749" i="7"/>
  <c r="Z749" i="7"/>
  <c r="AA749" i="7"/>
  <c r="AB749" i="7"/>
  <c r="E750" i="7"/>
  <c r="F750" i="7"/>
  <c r="G750" i="7"/>
  <c r="H750" i="7"/>
  <c r="I750" i="7"/>
  <c r="J750" i="7"/>
  <c r="K750" i="7"/>
  <c r="L750" i="7"/>
  <c r="M750" i="7"/>
  <c r="N750" i="7"/>
  <c r="O750" i="7"/>
  <c r="P750" i="7"/>
  <c r="Q750" i="7"/>
  <c r="R750" i="7"/>
  <c r="S750" i="7"/>
  <c r="T750" i="7"/>
  <c r="U750" i="7"/>
  <c r="V750" i="7"/>
  <c r="W750" i="7"/>
  <c r="X750" i="7"/>
  <c r="Y750" i="7"/>
  <c r="Z750" i="7"/>
  <c r="AA750" i="7"/>
  <c r="AB750" i="7"/>
  <c r="E751" i="7"/>
  <c r="F751" i="7"/>
  <c r="G751" i="7"/>
  <c r="H751" i="7"/>
  <c r="I751" i="7"/>
  <c r="J751" i="7"/>
  <c r="K751" i="7"/>
  <c r="L751" i="7"/>
  <c r="M751" i="7"/>
  <c r="N751" i="7"/>
  <c r="O751" i="7"/>
  <c r="P751" i="7"/>
  <c r="Q751" i="7"/>
  <c r="R751" i="7"/>
  <c r="S751" i="7"/>
  <c r="T751" i="7"/>
  <c r="U751" i="7"/>
  <c r="V751" i="7"/>
  <c r="W751" i="7"/>
  <c r="X751" i="7"/>
  <c r="Y751" i="7"/>
  <c r="Z751" i="7"/>
  <c r="AA751" i="7"/>
  <c r="AB751" i="7"/>
  <c r="E752" i="7"/>
  <c r="F752" i="7"/>
  <c r="G752" i="7"/>
  <c r="H752" i="7"/>
  <c r="I752" i="7"/>
  <c r="J752" i="7"/>
  <c r="K752" i="7"/>
  <c r="L752" i="7"/>
  <c r="M752" i="7"/>
  <c r="N752" i="7"/>
  <c r="O752" i="7"/>
  <c r="P752" i="7"/>
  <c r="Q752" i="7"/>
  <c r="R752" i="7"/>
  <c r="S752" i="7"/>
  <c r="T752" i="7"/>
  <c r="U752" i="7"/>
  <c r="V752" i="7"/>
  <c r="W752" i="7"/>
  <c r="X752" i="7"/>
  <c r="Y752" i="7"/>
  <c r="Z752" i="7"/>
  <c r="AA752" i="7"/>
  <c r="AB752" i="7"/>
  <c r="E753" i="7"/>
  <c r="F753" i="7"/>
  <c r="G753" i="7"/>
  <c r="H753" i="7"/>
  <c r="I753" i="7"/>
  <c r="J753" i="7"/>
  <c r="K753" i="7"/>
  <c r="L753" i="7"/>
  <c r="M753" i="7"/>
  <c r="N753" i="7"/>
  <c r="O753" i="7"/>
  <c r="P753" i="7"/>
  <c r="Q753" i="7"/>
  <c r="R753" i="7"/>
  <c r="S753" i="7"/>
  <c r="T753" i="7"/>
  <c r="U753" i="7"/>
  <c r="V753" i="7"/>
  <c r="W753" i="7"/>
  <c r="X753" i="7"/>
  <c r="Y753" i="7"/>
  <c r="Z753" i="7"/>
  <c r="AA753" i="7"/>
  <c r="AB753" i="7"/>
  <c r="E754" i="7"/>
  <c r="F754" i="7"/>
  <c r="G754" i="7"/>
  <c r="H754" i="7"/>
  <c r="I754" i="7"/>
  <c r="J754" i="7"/>
  <c r="K754" i="7"/>
  <c r="L754" i="7"/>
  <c r="M754" i="7"/>
  <c r="N754" i="7"/>
  <c r="O754" i="7"/>
  <c r="P754" i="7"/>
  <c r="Q754" i="7"/>
  <c r="R754" i="7"/>
  <c r="S754" i="7"/>
  <c r="T754" i="7"/>
  <c r="U754" i="7"/>
  <c r="V754" i="7"/>
  <c r="W754" i="7"/>
  <c r="X754" i="7"/>
  <c r="Y754" i="7"/>
  <c r="Z754" i="7"/>
  <c r="AA754" i="7"/>
  <c r="AB754" i="7"/>
  <c r="E755" i="7"/>
  <c r="F755" i="7"/>
  <c r="G755" i="7"/>
  <c r="H755" i="7"/>
  <c r="I755" i="7"/>
  <c r="J755" i="7"/>
  <c r="K755" i="7"/>
  <c r="L755" i="7"/>
  <c r="M755" i="7"/>
  <c r="N755" i="7"/>
  <c r="O755" i="7"/>
  <c r="P755" i="7"/>
  <c r="Q755" i="7"/>
  <c r="R755" i="7"/>
  <c r="S755" i="7"/>
  <c r="T755" i="7"/>
  <c r="U755" i="7"/>
  <c r="V755" i="7"/>
  <c r="W755" i="7"/>
  <c r="X755" i="7"/>
  <c r="Y755" i="7"/>
  <c r="Z755" i="7"/>
  <c r="AA755" i="7"/>
  <c r="AB755" i="7"/>
  <c r="E756" i="7"/>
  <c r="F756" i="7"/>
  <c r="G756" i="7"/>
  <c r="H756" i="7"/>
  <c r="I756" i="7"/>
  <c r="J756" i="7"/>
  <c r="K756" i="7"/>
  <c r="L756" i="7"/>
  <c r="M756" i="7"/>
  <c r="N756" i="7"/>
  <c r="O756" i="7"/>
  <c r="P756" i="7"/>
  <c r="Q756" i="7"/>
  <c r="R756" i="7"/>
  <c r="S756" i="7"/>
  <c r="T756" i="7"/>
  <c r="U756" i="7"/>
  <c r="V756" i="7"/>
  <c r="W756" i="7"/>
  <c r="X756" i="7"/>
  <c r="Y756" i="7"/>
  <c r="Z756" i="7"/>
  <c r="AA756" i="7"/>
  <c r="AB756" i="7"/>
  <c r="E757" i="7"/>
  <c r="F757" i="7"/>
  <c r="G757" i="7"/>
  <c r="H757" i="7"/>
  <c r="I757" i="7"/>
  <c r="J757" i="7"/>
  <c r="K757" i="7"/>
  <c r="L757" i="7"/>
  <c r="M757" i="7"/>
  <c r="N757" i="7"/>
  <c r="O757" i="7"/>
  <c r="P757" i="7"/>
  <c r="Q757" i="7"/>
  <c r="R757" i="7"/>
  <c r="S757" i="7"/>
  <c r="T757" i="7"/>
  <c r="U757" i="7"/>
  <c r="V757" i="7"/>
  <c r="W757" i="7"/>
  <c r="X757" i="7"/>
  <c r="Y757" i="7"/>
  <c r="Z757" i="7"/>
  <c r="AA757" i="7"/>
  <c r="AB757" i="7"/>
  <c r="E758" i="7"/>
  <c r="F758" i="7"/>
  <c r="G758" i="7"/>
  <c r="H758" i="7"/>
  <c r="I758" i="7"/>
  <c r="J758" i="7"/>
  <c r="K758" i="7"/>
  <c r="L758" i="7"/>
  <c r="M758" i="7"/>
  <c r="N758" i="7"/>
  <c r="O758" i="7"/>
  <c r="P758" i="7"/>
  <c r="Q758" i="7"/>
  <c r="R758" i="7"/>
  <c r="S758" i="7"/>
  <c r="T758" i="7"/>
  <c r="U758" i="7"/>
  <c r="V758" i="7"/>
  <c r="W758" i="7"/>
  <c r="X758" i="7"/>
  <c r="Y758" i="7"/>
  <c r="Z758" i="7"/>
  <c r="AA758" i="7"/>
  <c r="AB758" i="7"/>
  <c r="E759" i="7"/>
  <c r="F759" i="7"/>
  <c r="G759" i="7"/>
  <c r="H759" i="7"/>
  <c r="I759" i="7"/>
  <c r="J759" i="7"/>
  <c r="K759" i="7"/>
  <c r="L759" i="7"/>
  <c r="M759" i="7"/>
  <c r="N759" i="7"/>
  <c r="O759" i="7"/>
  <c r="P759" i="7"/>
  <c r="Q759" i="7"/>
  <c r="R759" i="7"/>
  <c r="S759" i="7"/>
  <c r="T759" i="7"/>
  <c r="U759" i="7"/>
  <c r="V759" i="7"/>
  <c r="W759" i="7"/>
  <c r="X759" i="7"/>
  <c r="Y759" i="7"/>
  <c r="Z759" i="7"/>
  <c r="AA759" i="7"/>
  <c r="AB759" i="7"/>
  <c r="E760" i="7"/>
  <c r="F760" i="7"/>
  <c r="G760" i="7"/>
  <c r="H760" i="7"/>
  <c r="I760" i="7"/>
  <c r="J760" i="7"/>
  <c r="K760" i="7"/>
  <c r="L760" i="7"/>
  <c r="M760" i="7"/>
  <c r="N760" i="7"/>
  <c r="O760" i="7"/>
  <c r="P760" i="7"/>
  <c r="Q760" i="7"/>
  <c r="R760" i="7"/>
  <c r="S760" i="7"/>
  <c r="T760" i="7"/>
  <c r="U760" i="7"/>
  <c r="V760" i="7"/>
  <c r="W760" i="7"/>
  <c r="X760" i="7"/>
  <c r="Y760" i="7"/>
  <c r="Z760" i="7"/>
  <c r="AA760" i="7"/>
  <c r="AB760" i="7"/>
  <c r="E761" i="7"/>
  <c r="F761" i="7"/>
  <c r="G761" i="7"/>
  <c r="H761" i="7"/>
  <c r="I761" i="7"/>
  <c r="J761" i="7"/>
  <c r="K761" i="7"/>
  <c r="L761" i="7"/>
  <c r="M761" i="7"/>
  <c r="N761" i="7"/>
  <c r="O761" i="7"/>
  <c r="P761" i="7"/>
  <c r="Q761" i="7"/>
  <c r="R761" i="7"/>
  <c r="S761" i="7"/>
  <c r="T761" i="7"/>
  <c r="U761" i="7"/>
  <c r="V761" i="7"/>
  <c r="W761" i="7"/>
  <c r="X761" i="7"/>
  <c r="Y761" i="7"/>
  <c r="Z761" i="7"/>
  <c r="AA761" i="7"/>
  <c r="AB761" i="7"/>
  <c r="E762" i="7"/>
  <c r="F762" i="7"/>
  <c r="G762" i="7"/>
  <c r="H762" i="7"/>
  <c r="I762" i="7"/>
  <c r="J762" i="7"/>
  <c r="K762" i="7"/>
  <c r="L762" i="7"/>
  <c r="M762" i="7"/>
  <c r="N762" i="7"/>
  <c r="O762" i="7"/>
  <c r="P762" i="7"/>
  <c r="Q762" i="7"/>
  <c r="R762" i="7"/>
  <c r="S762" i="7"/>
  <c r="T762" i="7"/>
  <c r="U762" i="7"/>
  <c r="V762" i="7"/>
  <c r="W762" i="7"/>
  <c r="X762" i="7"/>
  <c r="Y762" i="7"/>
  <c r="Z762" i="7"/>
  <c r="AA762" i="7"/>
  <c r="AB762" i="7"/>
  <c r="E763" i="7"/>
  <c r="F763" i="7"/>
  <c r="G763" i="7"/>
  <c r="H763" i="7"/>
  <c r="I763" i="7"/>
  <c r="J763" i="7"/>
  <c r="K763" i="7"/>
  <c r="L763" i="7"/>
  <c r="M763" i="7"/>
  <c r="N763" i="7"/>
  <c r="O763" i="7"/>
  <c r="P763" i="7"/>
  <c r="Q763" i="7"/>
  <c r="R763" i="7"/>
  <c r="S763" i="7"/>
  <c r="T763" i="7"/>
  <c r="U763" i="7"/>
  <c r="V763" i="7"/>
  <c r="W763" i="7"/>
  <c r="X763" i="7"/>
  <c r="Y763" i="7"/>
  <c r="Z763" i="7"/>
  <c r="AA763" i="7"/>
  <c r="AB763" i="7"/>
  <c r="E764" i="7"/>
  <c r="F764" i="7"/>
  <c r="G764" i="7"/>
  <c r="H764" i="7"/>
  <c r="I764" i="7"/>
  <c r="J764" i="7"/>
  <c r="K764" i="7"/>
  <c r="L764" i="7"/>
  <c r="M764" i="7"/>
  <c r="N764" i="7"/>
  <c r="O764" i="7"/>
  <c r="P764" i="7"/>
  <c r="Q764" i="7"/>
  <c r="R764" i="7"/>
  <c r="S764" i="7"/>
  <c r="T764" i="7"/>
  <c r="U764" i="7"/>
  <c r="V764" i="7"/>
  <c r="W764" i="7"/>
  <c r="X764" i="7"/>
  <c r="Y764" i="7"/>
  <c r="Z764" i="7"/>
  <c r="AA764" i="7"/>
  <c r="AB764" i="7"/>
  <c r="E765" i="7"/>
  <c r="F765" i="7"/>
  <c r="G765" i="7"/>
  <c r="H765" i="7"/>
  <c r="I765" i="7"/>
  <c r="J765" i="7"/>
  <c r="K765" i="7"/>
  <c r="L765" i="7"/>
  <c r="M765" i="7"/>
  <c r="N765" i="7"/>
  <c r="O765" i="7"/>
  <c r="P765" i="7"/>
  <c r="Q765" i="7"/>
  <c r="R765" i="7"/>
  <c r="S765" i="7"/>
  <c r="T765" i="7"/>
  <c r="U765" i="7"/>
  <c r="V765" i="7"/>
  <c r="W765" i="7"/>
  <c r="X765" i="7"/>
  <c r="Y765" i="7"/>
  <c r="Z765" i="7"/>
  <c r="AA765" i="7"/>
  <c r="AB765" i="7"/>
  <c r="E766" i="7"/>
  <c r="F766" i="7"/>
  <c r="G766" i="7"/>
  <c r="H766" i="7"/>
  <c r="I766" i="7"/>
  <c r="J766" i="7"/>
  <c r="K766" i="7"/>
  <c r="L766" i="7"/>
  <c r="M766" i="7"/>
  <c r="N766" i="7"/>
  <c r="O766" i="7"/>
  <c r="P766" i="7"/>
  <c r="Q766" i="7"/>
  <c r="R766" i="7"/>
  <c r="S766" i="7"/>
  <c r="T766" i="7"/>
  <c r="U766" i="7"/>
  <c r="V766" i="7"/>
  <c r="W766" i="7"/>
  <c r="X766" i="7"/>
  <c r="Y766" i="7"/>
  <c r="Z766" i="7"/>
  <c r="AA766" i="7"/>
  <c r="AB766" i="7"/>
  <c r="E767" i="7"/>
  <c r="F767" i="7"/>
  <c r="G767" i="7"/>
  <c r="H767" i="7"/>
  <c r="I767" i="7"/>
  <c r="J767" i="7"/>
  <c r="K767" i="7"/>
  <c r="L767" i="7"/>
  <c r="M767" i="7"/>
  <c r="N767" i="7"/>
  <c r="O767" i="7"/>
  <c r="P767" i="7"/>
  <c r="Q767" i="7"/>
  <c r="R767" i="7"/>
  <c r="S767" i="7"/>
  <c r="T767" i="7"/>
  <c r="U767" i="7"/>
  <c r="V767" i="7"/>
  <c r="W767" i="7"/>
  <c r="X767" i="7"/>
  <c r="Y767" i="7"/>
  <c r="Z767" i="7"/>
  <c r="AA767" i="7"/>
  <c r="AB767" i="7"/>
  <c r="E768" i="7"/>
  <c r="F768" i="7"/>
  <c r="G768" i="7"/>
  <c r="H768" i="7"/>
  <c r="I768" i="7"/>
  <c r="J768" i="7"/>
  <c r="K768" i="7"/>
  <c r="L768" i="7"/>
  <c r="M768" i="7"/>
  <c r="N768" i="7"/>
  <c r="O768" i="7"/>
  <c r="P768" i="7"/>
  <c r="Q768" i="7"/>
  <c r="R768" i="7"/>
  <c r="S768" i="7"/>
  <c r="T768" i="7"/>
  <c r="U768" i="7"/>
  <c r="V768" i="7"/>
  <c r="W768" i="7"/>
  <c r="X768" i="7"/>
  <c r="Y768" i="7"/>
  <c r="Z768" i="7"/>
  <c r="AA768" i="7"/>
  <c r="AB768" i="7"/>
  <c r="E769" i="7"/>
  <c r="F769" i="7"/>
  <c r="G769" i="7"/>
  <c r="H769" i="7"/>
  <c r="I769" i="7"/>
  <c r="J769" i="7"/>
  <c r="K769" i="7"/>
  <c r="L769" i="7"/>
  <c r="M769" i="7"/>
  <c r="N769" i="7"/>
  <c r="O769" i="7"/>
  <c r="P769" i="7"/>
  <c r="Q769" i="7"/>
  <c r="R769" i="7"/>
  <c r="S769" i="7"/>
  <c r="T769" i="7"/>
  <c r="U769" i="7"/>
  <c r="V769" i="7"/>
  <c r="W769" i="7"/>
  <c r="X769" i="7"/>
  <c r="Y769" i="7"/>
  <c r="Z769" i="7"/>
  <c r="AA769" i="7"/>
  <c r="AB769" i="7"/>
  <c r="E770" i="7"/>
  <c r="F770" i="7"/>
  <c r="G770" i="7"/>
  <c r="H770" i="7"/>
  <c r="I770" i="7"/>
  <c r="J770" i="7"/>
  <c r="K770" i="7"/>
  <c r="L770" i="7"/>
  <c r="M770" i="7"/>
  <c r="N770" i="7"/>
  <c r="O770" i="7"/>
  <c r="P770" i="7"/>
  <c r="Q770" i="7"/>
  <c r="R770" i="7"/>
  <c r="S770" i="7"/>
  <c r="T770" i="7"/>
  <c r="U770" i="7"/>
  <c r="V770" i="7"/>
  <c r="W770" i="7"/>
  <c r="X770" i="7"/>
  <c r="Y770" i="7"/>
  <c r="Z770" i="7"/>
  <c r="AA770" i="7"/>
  <c r="AB770" i="7"/>
  <c r="E771" i="7"/>
  <c r="F771" i="7"/>
  <c r="G771" i="7"/>
  <c r="H771" i="7"/>
  <c r="I771" i="7"/>
  <c r="J771" i="7"/>
  <c r="K771" i="7"/>
  <c r="L771" i="7"/>
  <c r="M771" i="7"/>
  <c r="N771" i="7"/>
  <c r="O771" i="7"/>
  <c r="P771" i="7"/>
  <c r="Q771" i="7"/>
  <c r="R771" i="7"/>
  <c r="S771" i="7"/>
  <c r="T771" i="7"/>
  <c r="U771" i="7"/>
  <c r="V771" i="7"/>
  <c r="W771" i="7"/>
  <c r="X771" i="7"/>
  <c r="Y771" i="7"/>
  <c r="Z771" i="7"/>
  <c r="AA771" i="7"/>
  <c r="AB771" i="7"/>
  <c r="E772" i="7"/>
  <c r="F772" i="7"/>
  <c r="G772" i="7"/>
  <c r="H772" i="7"/>
  <c r="I772" i="7"/>
  <c r="J772" i="7"/>
  <c r="K772" i="7"/>
  <c r="L772" i="7"/>
  <c r="M772" i="7"/>
  <c r="N772" i="7"/>
  <c r="O772" i="7"/>
  <c r="P772" i="7"/>
  <c r="Q772" i="7"/>
  <c r="R772" i="7"/>
  <c r="S772" i="7"/>
  <c r="T772" i="7"/>
  <c r="U772" i="7"/>
  <c r="V772" i="7"/>
  <c r="W772" i="7"/>
  <c r="X772" i="7"/>
  <c r="Y772" i="7"/>
  <c r="Z772" i="7"/>
  <c r="AA772" i="7"/>
  <c r="AB772" i="7"/>
  <c r="E773" i="7"/>
  <c r="F773" i="7"/>
  <c r="G773" i="7"/>
  <c r="H773" i="7"/>
  <c r="I773" i="7"/>
  <c r="J773" i="7"/>
  <c r="K773" i="7"/>
  <c r="L773" i="7"/>
  <c r="M773" i="7"/>
  <c r="N773" i="7"/>
  <c r="O773" i="7"/>
  <c r="P773" i="7"/>
  <c r="Q773" i="7"/>
  <c r="R773" i="7"/>
  <c r="S773" i="7"/>
  <c r="T773" i="7"/>
  <c r="U773" i="7"/>
  <c r="V773" i="7"/>
  <c r="W773" i="7"/>
  <c r="X773" i="7"/>
  <c r="Y773" i="7"/>
  <c r="Z773" i="7"/>
  <c r="AA773" i="7"/>
  <c r="AB773" i="7"/>
  <c r="E774" i="7"/>
  <c r="F774" i="7"/>
  <c r="G774" i="7"/>
  <c r="H774" i="7"/>
  <c r="I774" i="7"/>
  <c r="J774" i="7"/>
  <c r="K774" i="7"/>
  <c r="L774" i="7"/>
  <c r="M774" i="7"/>
  <c r="N774" i="7"/>
  <c r="O774" i="7"/>
  <c r="P774" i="7"/>
  <c r="Q774" i="7"/>
  <c r="R774" i="7"/>
  <c r="S774" i="7"/>
  <c r="T774" i="7"/>
  <c r="U774" i="7"/>
  <c r="V774" i="7"/>
  <c r="W774" i="7"/>
  <c r="X774" i="7"/>
  <c r="Y774" i="7"/>
  <c r="Z774" i="7"/>
  <c r="AA774" i="7"/>
  <c r="AB774" i="7"/>
  <c r="E775" i="7"/>
  <c r="F775" i="7"/>
  <c r="G775" i="7"/>
  <c r="H775" i="7"/>
  <c r="I775" i="7"/>
  <c r="J775" i="7"/>
  <c r="K775" i="7"/>
  <c r="L775" i="7"/>
  <c r="M775" i="7"/>
  <c r="N775" i="7"/>
  <c r="O775" i="7"/>
  <c r="P775" i="7"/>
  <c r="Q775" i="7"/>
  <c r="R775" i="7"/>
  <c r="S775" i="7"/>
  <c r="T775" i="7"/>
  <c r="U775" i="7"/>
  <c r="V775" i="7"/>
  <c r="W775" i="7"/>
  <c r="X775" i="7"/>
  <c r="Y775" i="7"/>
  <c r="Z775" i="7"/>
  <c r="AA775" i="7"/>
  <c r="AB775" i="7"/>
  <c r="E776" i="7"/>
  <c r="F776" i="7"/>
  <c r="G776" i="7"/>
  <c r="H776" i="7"/>
  <c r="I776" i="7"/>
  <c r="J776" i="7"/>
  <c r="K776" i="7"/>
  <c r="L776" i="7"/>
  <c r="M776" i="7"/>
  <c r="N776" i="7"/>
  <c r="O776" i="7"/>
  <c r="P776" i="7"/>
  <c r="Q776" i="7"/>
  <c r="R776" i="7"/>
  <c r="S776" i="7"/>
  <c r="T776" i="7"/>
  <c r="U776" i="7"/>
  <c r="V776" i="7"/>
  <c r="W776" i="7"/>
  <c r="X776" i="7"/>
  <c r="Y776" i="7"/>
  <c r="Z776" i="7"/>
  <c r="AA776" i="7"/>
  <c r="AB776" i="7"/>
  <c r="E777" i="7"/>
  <c r="F777" i="7"/>
  <c r="G777" i="7"/>
  <c r="H777" i="7"/>
  <c r="I777" i="7"/>
  <c r="J777" i="7"/>
  <c r="K777" i="7"/>
  <c r="L777" i="7"/>
  <c r="M777" i="7"/>
  <c r="N777" i="7"/>
  <c r="O777" i="7"/>
  <c r="P777" i="7"/>
  <c r="Q777" i="7"/>
  <c r="R777" i="7"/>
  <c r="S777" i="7"/>
  <c r="T777" i="7"/>
  <c r="U777" i="7"/>
  <c r="V777" i="7"/>
  <c r="W777" i="7"/>
  <c r="X777" i="7"/>
  <c r="Y777" i="7"/>
  <c r="Z777" i="7"/>
  <c r="AA777" i="7"/>
  <c r="AB777" i="7"/>
  <c r="E778" i="7"/>
  <c r="F778" i="7"/>
  <c r="G778" i="7"/>
  <c r="H778" i="7"/>
  <c r="I778" i="7"/>
  <c r="J778" i="7"/>
  <c r="K778" i="7"/>
  <c r="L778" i="7"/>
  <c r="M778" i="7"/>
  <c r="N778" i="7"/>
  <c r="O778" i="7"/>
  <c r="P778" i="7"/>
  <c r="Q778" i="7"/>
  <c r="R778" i="7"/>
  <c r="S778" i="7"/>
  <c r="T778" i="7"/>
  <c r="U778" i="7"/>
  <c r="V778" i="7"/>
  <c r="W778" i="7"/>
  <c r="X778" i="7"/>
  <c r="Y778" i="7"/>
  <c r="Z778" i="7"/>
  <c r="AA778" i="7"/>
  <c r="AB778" i="7"/>
  <c r="E779" i="7"/>
  <c r="F779" i="7"/>
  <c r="G779" i="7"/>
  <c r="H779" i="7"/>
  <c r="I779" i="7"/>
  <c r="J779" i="7"/>
  <c r="K779" i="7"/>
  <c r="L779" i="7"/>
  <c r="M779" i="7"/>
  <c r="N779" i="7"/>
  <c r="O779" i="7"/>
  <c r="P779" i="7"/>
  <c r="Q779" i="7"/>
  <c r="R779" i="7"/>
  <c r="S779" i="7"/>
  <c r="T779" i="7"/>
  <c r="U779" i="7"/>
  <c r="V779" i="7"/>
  <c r="W779" i="7"/>
  <c r="X779" i="7"/>
  <c r="Y779" i="7"/>
  <c r="Z779" i="7"/>
  <c r="AA779" i="7"/>
  <c r="AB779" i="7"/>
  <c r="E780" i="7"/>
  <c r="F780" i="7"/>
  <c r="G780" i="7"/>
  <c r="H780" i="7"/>
  <c r="I780" i="7"/>
  <c r="J780" i="7"/>
  <c r="K780" i="7"/>
  <c r="L780" i="7"/>
  <c r="M780" i="7"/>
  <c r="N780" i="7"/>
  <c r="O780" i="7"/>
  <c r="P780" i="7"/>
  <c r="Q780" i="7"/>
  <c r="R780" i="7"/>
  <c r="S780" i="7"/>
  <c r="T780" i="7"/>
  <c r="U780" i="7"/>
  <c r="V780" i="7"/>
  <c r="W780" i="7"/>
  <c r="X780" i="7"/>
  <c r="Y780" i="7"/>
  <c r="Z780" i="7"/>
  <c r="AA780" i="7"/>
  <c r="AB780" i="7"/>
  <c r="E781" i="7"/>
  <c r="F781" i="7"/>
  <c r="G781" i="7"/>
  <c r="H781" i="7"/>
  <c r="I781" i="7"/>
  <c r="J781" i="7"/>
  <c r="K781" i="7"/>
  <c r="L781" i="7"/>
  <c r="M781" i="7"/>
  <c r="N781" i="7"/>
  <c r="O781" i="7"/>
  <c r="P781" i="7"/>
  <c r="Q781" i="7"/>
  <c r="R781" i="7"/>
  <c r="S781" i="7"/>
  <c r="T781" i="7"/>
  <c r="U781" i="7"/>
  <c r="V781" i="7"/>
  <c r="W781" i="7"/>
  <c r="X781" i="7"/>
  <c r="Y781" i="7"/>
  <c r="Z781" i="7"/>
  <c r="AA781" i="7"/>
  <c r="AB781" i="7"/>
  <c r="E782" i="7"/>
  <c r="F782" i="7"/>
  <c r="G782" i="7"/>
  <c r="H782" i="7"/>
  <c r="I782" i="7"/>
  <c r="J782" i="7"/>
  <c r="K782" i="7"/>
  <c r="L782" i="7"/>
  <c r="M782" i="7"/>
  <c r="N782" i="7"/>
  <c r="O782" i="7"/>
  <c r="P782" i="7"/>
  <c r="Q782" i="7"/>
  <c r="R782" i="7"/>
  <c r="S782" i="7"/>
  <c r="T782" i="7"/>
  <c r="U782" i="7"/>
  <c r="V782" i="7"/>
  <c r="W782" i="7"/>
  <c r="X782" i="7"/>
  <c r="Y782" i="7"/>
  <c r="Z782" i="7"/>
  <c r="AA782" i="7"/>
  <c r="AB782" i="7"/>
  <c r="E783" i="7"/>
  <c r="F783" i="7"/>
  <c r="G783" i="7"/>
  <c r="H783" i="7"/>
  <c r="I783" i="7"/>
  <c r="J783" i="7"/>
  <c r="K783" i="7"/>
  <c r="L783" i="7"/>
  <c r="M783" i="7"/>
  <c r="N783" i="7"/>
  <c r="O783" i="7"/>
  <c r="P783" i="7"/>
  <c r="Q783" i="7"/>
  <c r="R783" i="7"/>
  <c r="S783" i="7"/>
  <c r="T783" i="7"/>
  <c r="U783" i="7"/>
  <c r="V783" i="7"/>
  <c r="W783" i="7"/>
  <c r="X783" i="7"/>
  <c r="Y783" i="7"/>
  <c r="Z783" i="7"/>
  <c r="AA783" i="7"/>
  <c r="AB783" i="7"/>
  <c r="E784" i="7"/>
  <c r="F784" i="7"/>
  <c r="G784" i="7"/>
  <c r="H784" i="7"/>
  <c r="I784" i="7"/>
  <c r="J784" i="7"/>
  <c r="K784" i="7"/>
  <c r="L784" i="7"/>
  <c r="M784" i="7"/>
  <c r="N784" i="7"/>
  <c r="O784" i="7"/>
  <c r="P784" i="7"/>
  <c r="Q784" i="7"/>
  <c r="R784" i="7"/>
  <c r="S784" i="7"/>
  <c r="T784" i="7"/>
  <c r="U784" i="7"/>
  <c r="V784" i="7"/>
  <c r="W784" i="7"/>
  <c r="X784" i="7"/>
  <c r="Y784" i="7"/>
  <c r="Z784" i="7"/>
  <c r="AA784" i="7"/>
  <c r="AB784" i="7"/>
  <c r="E785" i="7"/>
  <c r="F785" i="7"/>
  <c r="G785" i="7"/>
  <c r="H785" i="7"/>
  <c r="I785" i="7"/>
  <c r="J785" i="7"/>
  <c r="K785" i="7"/>
  <c r="L785" i="7"/>
  <c r="M785" i="7"/>
  <c r="N785" i="7"/>
  <c r="O785" i="7"/>
  <c r="P785" i="7"/>
  <c r="Q785" i="7"/>
  <c r="R785" i="7"/>
  <c r="S785" i="7"/>
  <c r="T785" i="7"/>
  <c r="U785" i="7"/>
  <c r="V785" i="7"/>
  <c r="W785" i="7"/>
  <c r="X785" i="7"/>
  <c r="Y785" i="7"/>
  <c r="Z785" i="7"/>
  <c r="AA785" i="7"/>
  <c r="AB785" i="7"/>
  <c r="E786" i="7"/>
  <c r="F786" i="7"/>
  <c r="G786" i="7"/>
  <c r="H786" i="7"/>
  <c r="I786" i="7"/>
  <c r="J786" i="7"/>
  <c r="K786" i="7"/>
  <c r="L786" i="7"/>
  <c r="M786" i="7"/>
  <c r="N786" i="7"/>
  <c r="O786" i="7"/>
  <c r="P786" i="7"/>
  <c r="Q786" i="7"/>
  <c r="R786" i="7"/>
  <c r="S786" i="7"/>
  <c r="T786" i="7"/>
  <c r="U786" i="7"/>
  <c r="V786" i="7"/>
  <c r="W786" i="7"/>
  <c r="X786" i="7"/>
  <c r="Y786" i="7"/>
  <c r="Z786" i="7"/>
  <c r="AA786" i="7"/>
  <c r="AB786" i="7"/>
  <c r="E787" i="7"/>
  <c r="F787" i="7"/>
  <c r="G787" i="7"/>
  <c r="H787" i="7"/>
  <c r="I787" i="7"/>
  <c r="J787" i="7"/>
  <c r="K787" i="7"/>
  <c r="L787" i="7"/>
  <c r="M787" i="7"/>
  <c r="N787" i="7"/>
  <c r="O787" i="7"/>
  <c r="P787" i="7"/>
  <c r="Q787" i="7"/>
  <c r="R787" i="7"/>
  <c r="S787" i="7"/>
  <c r="T787" i="7"/>
  <c r="U787" i="7"/>
  <c r="V787" i="7"/>
  <c r="W787" i="7"/>
  <c r="X787" i="7"/>
  <c r="Y787" i="7"/>
  <c r="Z787" i="7"/>
  <c r="AA787" i="7"/>
  <c r="AB787" i="7"/>
  <c r="E788" i="7"/>
  <c r="F788" i="7"/>
  <c r="G788" i="7"/>
  <c r="H788" i="7"/>
  <c r="I788" i="7"/>
  <c r="J788" i="7"/>
  <c r="K788" i="7"/>
  <c r="L788" i="7"/>
  <c r="M788" i="7"/>
  <c r="N788" i="7"/>
  <c r="O788" i="7"/>
  <c r="P788" i="7"/>
  <c r="Q788" i="7"/>
  <c r="R788" i="7"/>
  <c r="S788" i="7"/>
  <c r="T788" i="7"/>
  <c r="U788" i="7"/>
  <c r="V788" i="7"/>
  <c r="W788" i="7"/>
  <c r="X788" i="7"/>
  <c r="Y788" i="7"/>
  <c r="Z788" i="7"/>
  <c r="AA788" i="7"/>
  <c r="AB788" i="7"/>
  <c r="E789" i="7"/>
  <c r="F789" i="7"/>
  <c r="G789" i="7"/>
  <c r="H789" i="7"/>
  <c r="I789" i="7"/>
  <c r="J789" i="7"/>
  <c r="K789" i="7"/>
  <c r="L789" i="7"/>
  <c r="M789" i="7"/>
  <c r="N789" i="7"/>
  <c r="O789" i="7"/>
  <c r="P789" i="7"/>
  <c r="Q789" i="7"/>
  <c r="R789" i="7"/>
  <c r="S789" i="7"/>
  <c r="T789" i="7"/>
  <c r="U789" i="7"/>
  <c r="V789" i="7"/>
  <c r="W789" i="7"/>
  <c r="X789" i="7"/>
  <c r="Y789" i="7"/>
  <c r="Z789" i="7"/>
  <c r="AA789" i="7"/>
  <c r="AB789" i="7"/>
  <c r="E790" i="7"/>
  <c r="F790" i="7"/>
  <c r="G790" i="7"/>
  <c r="H790" i="7"/>
  <c r="I790" i="7"/>
  <c r="J790" i="7"/>
  <c r="K790" i="7"/>
  <c r="L790" i="7"/>
  <c r="M790" i="7"/>
  <c r="N790" i="7"/>
  <c r="O790" i="7"/>
  <c r="P790" i="7"/>
  <c r="Q790" i="7"/>
  <c r="R790" i="7"/>
  <c r="S790" i="7"/>
  <c r="T790" i="7"/>
  <c r="U790" i="7"/>
  <c r="V790" i="7"/>
  <c r="W790" i="7"/>
  <c r="X790" i="7"/>
  <c r="Y790" i="7"/>
  <c r="Z790" i="7"/>
  <c r="AA790" i="7"/>
  <c r="AB790" i="7"/>
  <c r="E791" i="7"/>
  <c r="F791" i="7"/>
  <c r="G791" i="7"/>
  <c r="H791" i="7"/>
  <c r="I791" i="7"/>
  <c r="J791" i="7"/>
  <c r="K791" i="7"/>
  <c r="L791" i="7"/>
  <c r="M791" i="7"/>
  <c r="N791" i="7"/>
  <c r="O791" i="7"/>
  <c r="P791" i="7"/>
  <c r="Q791" i="7"/>
  <c r="R791" i="7"/>
  <c r="S791" i="7"/>
  <c r="T791" i="7"/>
  <c r="U791" i="7"/>
  <c r="V791" i="7"/>
  <c r="W791" i="7"/>
  <c r="X791" i="7"/>
  <c r="Y791" i="7"/>
  <c r="Z791" i="7"/>
  <c r="AA791" i="7"/>
  <c r="AB791" i="7"/>
  <c r="E792" i="7"/>
  <c r="F792" i="7"/>
  <c r="G792" i="7"/>
  <c r="H792" i="7"/>
  <c r="I792" i="7"/>
  <c r="J792" i="7"/>
  <c r="K792" i="7"/>
  <c r="L792" i="7"/>
  <c r="M792" i="7"/>
  <c r="N792" i="7"/>
  <c r="O792" i="7"/>
  <c r="P792" i="7"/>
  <c r="Q792" i="7"/>
  <c r="R792" i="7"/>
  <c r="S792" i="7"/>
  <c r="T792" i="7"/>
  <c r="U792" i="7"/>
  <c r="V792" i="7"/>
  <c r="W792" i="7"/>
  <c r="X792" i="7"/>
  <c r="Y792" i="7"/>
  <c r="Z792" i="7"/>
  <c r="AA792" i="7"/>
  <c r="AB792" i="7"/>
  <c r="E793" i="7"/>
  <c r="F793" i="7"/>
  <c r="G793" i="7"/>
  <c r="H793" i="7"/>
  <c r="I793" i="7"/>
  <c r="J793" i="7"/>
  <c r="K793" i="7"/>
  <c r="L793" i="7"/>
  <c r="M793" i="7"/>
  <c r="N793" i="7"/>
  <c r="O793" i="7"/>
  <c r="P793" i="7"/>
  <c r="Q793" i="7"/>
  <c r="R793" i="7"/>
  <c r="S793" i="7"/>
  <c r="T793" i="7"/>
  <c r="U793" i="7"/>
  <c r="V793" i="7"/>
  <c r="W793" i="7"/>
  <c r="X793" i="7"/>
  <c r="Y793" i="7"/>
  <c r="Z793" i="7"/>
  <c r="AA793" i="7"/>
  <c r="AB793" i="7"/>
  <c r="E794" i="7"/>
  <c r="F794" i="7"/>
  <c r="G794" i="7"/>
  <c r="H794" i="7"/>
  <c r="I794" i="7"/>
  <c r="J794" i="7"/>
  <c r="K794" i="7"/>
  <c r="L794" i="7"/>
  <c r="M794" i="7"/>
  <c r="N794" i="7"/>
  <c r="O794" i="7"/>
  <c r="P794" i="7"/>
  <c r="Q794" i="7"/>
  <c r="R794" i="7"/>
  <c r="S794" i="7"/>
  <c r="T794" i="7"/>
  <c r="U794" i="7"/>
  <c r="V794" i="7"/>
  <c r="W794" i="7"/>
  <c r="X794" i="7"/>
  <c r="Y794" i="7"/>
  <c r="Z794" i="7"/>
  <c r="AA794" i="7"/>
  <c r="AB794" i="7"/>
  <c r="E795" i="7"/>
  <c r="F795" i="7"/>
  <c r="G795" i="7"/>
  <c r="H795" i="7"/>
  <c r="I795" i="7"/>
  <c r="J795" i="7"/>
  <c r="K795" i="7"/>
  <c r="L795" i="7"/>
  <c r="M795" i="7"/>
  <c r="N795" i="7"/>
  <c r="O795" i="7"/>
  <c r="P795" i="7"/>
  <c r="Q795" i="7"/>
  <c r="R795" i="7"/>
  <c r="S795" i="7"/>
  <c r="T795" i="7"/>
  <c r="U795" i="7"/>
  <c r="V795" i="7"/>
  <c r="W795" i="7"/>
  <c r="X795" i="7"/>
  <c r="Y795" i="7"/>
  <c r="Z795" i="7"/>
  <c r="AA795" i="7"/>
  <c r="AB795" i="7"/>
  <c r="E796" i="7"/>
  <c r="F796" i="7"/>
  <c r="G796" i="7"/>
  <c r="H796" i="7"/>
  <c r="I796" i="7"/>
  <c r="J796" i="7"/>
  <c r="K796" i="7"/>
  <c r="L796" i="7"/>
  <c r="M796" i="7"/>
  <c r="N796" i="7"/>
  <c r="O796" i="7"/>
  <c r="P796" i="7"/>
  <c r="Q796" i="7"/>
  <c r="R796" i="7"/>
  <c r="S796" i="7"/>
  <c r="T796" i="7"/>
  <c r="U796" i="7"/>
  <c r="V796" i="7"/>
  <c r="W796" i="7"/>
  <c r="X796" i="7"/>
  <c r="Y796" i="7"/>
  <c r="Z796" i="7"/>
  <c r="AA796" i="7"/>
  <c r="AB796" i="7"/>
  <c r="E797" i="7"/>
  <c r="F797" i="7"/>
  <c r="G797" i="7"/>
  <c r="H797" i="7"/>
  <c r="I797" i="7"/>
  <c r="J797" i="7"/>
  <c r="K797" i="7"/>
  <c r="L797" i="7"/>
  <c r="M797" i="7"/>
  <c r="N797" i="7"/>
  <c r="O797" i="7"/>
  <c r="P797" i="7"/>
  <c r="Q797" i="7"/>
  <c r="R797" i="7"/>
  <c r="S797" i="7"/>
  <c r="T797" i="7"/>
  <c r="U797" i="7"/>
  <c r="V797" i="7"/>
  <c r="W797" i="7"/>
  <c r="X797" i="7"/>
  <c r="Y797" i="7"/>
  <c r="Z797" i="7"/>
  <c r="AA797" i="7"/>
  <c r="AB797" i="7"/>
  <c r="E798" i="7"/>
  <c r="F798" i="7"/>
  <c r="G798" i="7"/>
  <c r="H798" i="7"/>
  <c r="I798" i="7"/>
  <c r="J798" i="7"/>
  <c r="K798" i="7"/>
  <c r="L798" i="7"/>
  <c r="M798" i="7"/>
  <c r="N798" i="7"/>
  <c r="O798" i="7"/>
  <c r="P798" i="7"/>
  <c r="Q798" i="7"/>
  <c r="R798" i="7"/>
  <c r="S798" i="7"/>
  <c r="T798" i="7"/>
  <c r="U798" i="7"/>
  <c r="V798" i="7"/>
  <c r="W798" i="7"/>
  <c r="X798" i="7"/>
  <c r="Y798" i="7"/>
  <c r="Z798" i="7"/>
  <c r="AA798" i="7"/>
  <c r="AB798" i="7"/>
  <c r="E799" i="7"/>
  <c r="F799" i="7"/>
  <c r="G799" i="7"/>
  <c r="H799" i="7"/>
  <c r="I799" i="7"/>
  <c r="J799" i="7"/>
  <c r="K799" i="7"/>
  <c r="L799" i="7"/>
  <c r="M799" i="7"/>
  <c r="N799" i="7"/>
  <c r="O799" i="7"/>
  <c r="P799" i="7"/>
  <c r="Q799" i="7"/>
  <c r="R799" i="7"/>
  <c r="S799" i="7"/>
  <c r="T799" i="7"/>
  <c r="U799" i="7"/>
  <c r="V799" i="7"/>
  <c r="W799" i="7"/>
  <c r="X799" i="7"/>
  <c r="Y799" i="7"/>
  <c r="Z799" i="7"/>
  <c r="AA799" i="7"/>
  <c r="AB799" i="7"/>
  <c r="E800" i="7"/>
  <c r="F800" i="7"/>
  <c r="G800" i="7"/>
  <c r="H800" i="7"/>
  <c r="I800" i="7"/>
  <c r="J800" i="7"/>
  <c r="K800" i="7"/>
  <c r="L800" i="7"/>
  <c r="M800" i="7"/>
  <c r="N800" i="7"/>
  <c r="O800" i="7"/>
  <c r="P800" i="7"/>
  <c r="Q800" i="7"/>
  <c r="R800" i="7"/>
  <c r="S800" i="7"/>
  <c r="T800" i="7"/>
  <c r="U800" i="7"/>
  <c r="V800" i="7"/>
  <c r="W800" i="7"/>
  <c r="X800" i="7"/>
  <c r="Y800" i="7"/>
  <c r="Z800" i="7"/>
  <c r="AA800" i="7"/>
  <c r="AB800" i="7"/>
  <c r="E801" i="7"/>
  <c r="F801" i="7"/>
  <c r="G801" i="7"/>
  <c r="H801" i="7"/>
  <c r="I801" i="7"/>
  <c r="J801" i="7"/>
  <c r="K801" i="7"/>
  <c r="L801" i="7"/>
  <c r="M801" i="7"/>
  <c r="N801" i="7"/>
  <c r="O801" i="7"/>
  <c r="P801" i="7"/>
  <c r="Q801" i="7"/>
  <c r="R801" i="7"/>
  <c r="S801" i="7"/>
  <c r="T801" i="7"/>
  <c r="U801" i="7"/>
  <c r="V801" i="7"/>
  <c r="W801" i="7"/>
  <c r="X801" i="7"/>
  <c r="Y801" i="7"/>
  <c r="Z801" i="7"/>
  <c r="AA801" i="7"/>
  <c r="AB801" i="7"/>
  <c r="E802" i="7"/>
  <c r="F802" i="7"/>
  <c r="G802" i="7"/>
  <c r="H802" i="7"/>
  <c r="I802" i="7"/>
  <c r="J802" i="7"/>
  <c r="K802" i="7"/>
  <c r="L802" i="7"/>
  <c r="M802" i="7"/>
  <c r="N802" i="7"/>
  <c r="O802" i="7"/>
  <c r="P802" i="7"/>
  <c r="Q802" i="7"/>
  <c r="R802" i="7"/>
  <c r="S802" i="7"/>
  <c r="T802" i="7"/>
  <c r="U802" i="7"/>
  <c r="V802" i="7"/>
  <c r="W802" i="7"/>
  <c r="X802" i="7"/>
  <c r="Y802" i="7"/>
  <c r="Z802" i="7"/>
  <c r="AA802" i="7"/>
  <c r="AB802" i="7"/>
  <c r="E803" i="7"/>
  <c r="F803" i="7"/>
  <c r="G803" i="7"/>
  <c r="H803" i="7"/>
  <c r="I803" i="7"/>
  <c r="J803" i="7"/>
  <c r="K803" i="7"/>
  <c r="L803" i="7"/>
  <c r="M803" i="7"/>
  <c r="N803" i="7"/>
  <c r="O803" i="7"/>
  <c r="P803" i="7"/>
  <c r="Q803" i="7"/>
  <c r="R803" i="7"/>
  <c r="S803" i="7"/>
  <c r="T803" i="7"/>
  <c r="U803" i="7"/>
  <c r="V803" i="7"/>
  <c r="W803" i="7"/>
  <c r="X803" i="7"/>
  <c r="Y803" i="7"/>
  <c r="Z803" i="7"/>
  <c r="AA803" i="7"/>
  <c r="AB803" i="7"/>
  <c r="E804" i="7"/>
  <c r="F804" i="7"/>
  <c r="G804" i="7"/>
  <c r="H804" i="7"/>
  <c r="I804" i="7"/>
  <c r="J804" i="7"/>
  <c r="K804" i="7"/>
  <c r="L804" i="7"/>
  <c r="M804" i="7"/>
  <c r="N804" i="7"/>
  <c r="O804" i="7"/>
  <c r="P804" i="7"/>
  <c r="Q804" i="7"/>
  <c r="R804" i="7"/>
  <c r="S804" i="7"/>
  <c r="T804" i="7"/>
  <c r="U804" i="7"/>
  <c r="V804" i="7"/>
  <c r="W804" i="7"/>
  <c r="X804" i="7"/>
  <c r="Y804" i="7"/>
  <c r="Z804" i="7"/>
  <c r="AA804" i="7"/>
  <c r="AB804" i="7"/>
  <c r="E805" i="7"/>
  <c r="F805" i="7"/>
  <c r="G805" i="7"/>
  <c r="H805" i="7"/>
  <c r="I805" i="7"/>
  <c r="J805" i="7"/>
  <c r="K805" i="7"/>
  <c r="L805" i="7"/>
  <c r="M805" i="7"/>
  <c r="N805" i="7"/>
  <c r="O805" i="7"/>
  <c r="P805" i="7"/>
  <c r="Q805" i="7"/>
  <c r="R805" i="7"/>
  <c r="S805" i="7"/>
  <c r="T805" i="7"/>
  <c r="U805" i="7"/>
  <c r="V805" i="7"/>
  <c r="W805" i="7"/>
  <c r="X805" i="7"/>
  <c r="Y805" i="7"/>
  <c r="Z805" i="7"/>
  <c r="AA805" i="7"/>
  <c r="AB805" i="7"/>
  <c r="E806" i="7"/>
  <c r="F806" i="7"/>
  <c r="G806" i="7"/>
  <c r="H806" i="7"/>
  <c r="I806" i="7"/>
  <c r="J806" i="7"/>
  <c r="K806" i="7"/>
  <c r="L806" i="7"/>
  <c r="M806" i="7"/>
  <c r="N806" i="7"/>
  <c r="O806" i="7"/>
  <c r="P806" i="7"/>
  <c r="Q806" i="7"/>
  <c r="R806" i="7"/>
  <c r="S806" i="7"/>
  <c r="T806" i="7"/>
  <c r="U806" i="7"/>
  <c r="V806" i="7"/>
  <c r="W806" i="7"/>
  <c r="X806" i="7"/>
  <c r="Y806" i="7"/>
  <c r="Z806" i="7"/>
  <c r="AA806" i="7"/>
  <c r="AB806" i="7"/>
  <c r="E807" i="7"/>
  <c r="F807" i="7"/>
  <c r="G807" i="7"/>
  <c r="H807" i="7"/>
  <c r="I807" i="7"/>
  <c r="J807" i="7"/>
  <c r="K807" i="7"/>
  <c r="L807" i="7"/>
  <c r="M807" i="7"/>
  <c r="N807" i="7"/>
  <c r="O807" i="7"/>
  <c r="P807" i="7"/>
  <c r="Q807" i="7"/>
  <c r="R807" i="7"/>
  <c r="S807" i="7"/>
  <c r="T807" i="7"/>
  <c r="U807" i="7"/>
  <c r="V807" i="7"/>
  <c r="W807" i="7"/>
  <c r="X807" i="7"/>
  <c r="Y807" i="7"/>
  <c r="Z807" i="7"/>
  <c r="AA807" i="7"/>
  <c r="AB807" i="7"/>
  <c r="E808" i="7"/>
  <c r="F808" i="7"/>
  <c r="G808" i="7"/>
  <c r="H808" i="7"/>
  <c r="I808" i="7"/>
  <c r="J808" i="7"/>
  <c r="K808" i="7"/>
  <c r="L808" i="7"/>
  <c r="M808" i="7"/>
  <c r="N808" i="7"/>
  <c r="O808" i="7"/>
  <c r="P808" i="7"/>
  <c r="Q808" i="7"/>
  <c r="R808" i="7"/>
  <c r="S808" i="7"/>
  <c r="T808" i="7"/>
  <c r="U808" i="7"/>
  <c r="V808" i="7"/>
  <c r="W808" i="7"/>
  <c r="X808" i="7"/>
  <c r="Y808" i="7"/>
  <c r="Z808" i="7"/>
  <c r="AA808" i="7"/>
  <c r="AB808" i="7"/>
  <c r="E809" i="7"/>
  <c r="F809" i="7"/>
  <c r="G809" i="7"/>
  <c r="H809" i="7"/>
  <c r="I809" i="7"/>
  <c r="J809" i="7"/>
  <c r="K809" i="7"/>
  <c r="L809" i="7"/>
  <c r="M809" i="7"/>
  <c r="N809" i="7"/>
  <c r="O809" i="7"/>
  <c r="P809" i="7"/>
  <c r="Q809" i="7"/>
  <c r="R809" i="7"/>
  <c r="S809" i="7"/>
  <c r="T809" i="7"/>
  <c r="U809" i="7"/>
  <c r="V809" i="7"/>
  <c r="W809" i="7"/>
  <c r="X809" i="7"/>
  <c r="Y809" i="7"/>
  <c r="Z809" i="7"/>
  <c r="AA809" i="7"/>
  <c r="AB809" i="7"/>
  <c r="E810" i="7"/>
  <c r="F810" i="7"/>
  <c r="G810" i="7"/>
  <c r="H810" i="7"/>
  <c r="I810" i="7"/>
  <c r="J810" i="7"/>
  <c r="K810" i="7"/>
  <c r="L810" i="7"/>
  <c r="M810" i="7"/>
  <c r="N810" i="7"/>
  <c r="O810" i="7"/>
  <c r="P810" i="7"/>
  <c r="Q810" i="7"/>
  <c r="R810" i="7"/>
  <c r="S810" i="7"/>
  <c r="T810" i="7"/>
  <c r="U810" i="7"/>
  <c r="V810" i="7"/>
  <c r="W810" i="7"/>
  <c r="X810" i="7"/>
  <c r="Y810" i="7"/>
  <c r="Z810" i="7"/>
  <c r="AA810" i="7"/>
  <c r="AB810" i="7"/>
  <c r="E811" i="7"/>
  <c r="F811" i="7"/>
  <c r="G811" i="7"/>
  <c r="H811" i="7"/>
  <c r="I811" i="7"/>
  <c r="J811" i="7"/>
  <c r="K811" i="7"/>
  <c r="L811" i="7"/>
  <c r="M811" i="7"/>
  <c r="N811" i="7"/>
  <c r="O811" i="7"/>
  <c r="P811" i="7"/>
  <c r="Q811" i="7"/>
  <c r="R811" i="7"/>
  <c r="S811" i="7"/>
  <c r="T811" i="7"/>
  <c r="U811" i="7"/>
  <c r="V811" i="7"/>
  <c r="W811" i="7"/>
  <c r="X811" i="7"/>
  <c r="Y811" i="7"/>
  <c r="Z811" i="7"/>
  <c r="AA811" i="7"/>
  <c r="AB811" i="7"/>
  <c r="E812" i="7"/>
  <c r="F812" i="7"/>
  <c r="G812" i="7"/>
  <c r="H812" i="7"/>
  <c r="I812" i="7"/>
  <c r="J812" i="7"/>
  <c r="K812" i="7"/>
  <c r="L812" i="7"/>
  <c r="M812" i="7"/>
  <c r="N812" i="7"/>
  <c r="O812" i="7"/>
  <c r="P812" i="7"/>
  <c r="Q812" i="7"/>
  <c r="R812" i="7"/>
  <c r="S812" i="7"/>
  <c r="T812" i="7"/>
  <c r="U812" i="7"/>
  <c r="V812" i="7"/>
  <c r="W812" i="7"/>
  <c r="X812" i="7"/>
  <c r="Y812" i="7"/>
  <c r="Z812" i="7"/>
  <c r="AA812" i="7"/>
  <c r="AB812" i="7"/>
  <c r="E813" i="7"/>
  <c r="F813" i="7"/>
  <c r="G813" i="7"/>
  <c r="H813" i="7"/>
  <c r="I813" i="7"/>
  <c r="J813" i="7"/>
  <c r="K813" i="7"/>
  <c r="L813" i="7"/>
  <c r="M813" i="7"/>
  <c r="N813" i="7"/>
  <c r="O813" i="7"/>
  <c r="P813" i="7"/>
  <c r="Q813" i="7"/>
  <c r="R813" i="7"/>
  <c r="S813" i="7"/>
  <c r="T813" i="7"/>
  <c r="U813" i="7"/>
  <c r="V813" i="7"/>
  <c r="W813" i="7"/>
  <c r="X813" i="7"/>
  <c r="Y813" i="7"/>
  <c r="Z813" i="7"/>
  <c r="AA813" i="7"/>
  <c r="AB813" i="7"/>
  <c r="E814" i="7"/>
  <c r="F814" i="7"/>
  <c r="G814" i="7"/>
  <c r="H814" i="7"/>
  <c r="I814" i="7"/>
  <c r="J814" i="7"/>
  <c r="K814" i="7"/>
  <c r="L814" i="7"/>
  <c r="M814" i="7"/>
  <c r="N814" i="7"/>
  <c r="O814" i="7"/>
  <c r="P814" i="7"/>
  <c r="Q814" i="7"/>
  <c r="R814" i="7"/>
  <c r="S814" i="7"/>
  <c r="T814" i="7"/>
  <c r="U814" i="7"/>
  <c r="V814" i="7"/>
  <c r="W814" i="7"/>
  <c r="X814" i="7"/>
  <c r="Y814" i="7"/>
  <c r="Z814" i="7"/>
  <c r="AA814" i="7"/>
  <c r="AB814" i="7"/>
  <c r="E815" i="7"/>
  <c r="F815" i="7"/>
  <c r="G815" i="7"/>
  <c r="H815" i="7"/>
  <c r="I815" i="7"/>
  <c r="J815" i="7"/>
  <c r="K815" i="7"/>
  <c r="L815" i="7"/>
  <c r="M815" i="7"/>
  <c r="N815" i="7"/>
  <c r="O815" i="7"/>
  <c r="P815" i="7"/>
  <c r="Q815" i="7"/>
  <c r="R815" i="7"/>
  <c r="S815" i="7"/>
  <c r="T815" i="7"/>
  <c r="U815" i="7"/>
  <c r="V815" i="7"/>
  <c r="W815" i="7"/>
  <c r="X815" i="7"/>
  <c r="Y815" i="7"/>
  <c r="Z815" i="7"/>
  <c r="AA815" i="7"/>
  <c r="AB815" i="7"/>
  <c r="E816" i="7"/>
  <c r="F816" i="7"/>
  <c r="G816" i="7"/>
  <c r="H816" i="7"/>
  <c r="I816" i="7"/>
  <c r="J816" i="7"/>
  <c r="K816" i="7"/>
  <c r="L816" i="7"/>
  <c r="M816" i="7"/>
  <c r="N816" i="7"/>
  <c r="O816" i="7"/>
  <c r="P816" i="7"/>
  <c r="Q816" i="7"/>
  <c r="R816" i="7"/>
  <c r="S816" i="7"/>
  <c r="T816" i="7"/>
  <c r="U816" i="7"/>
  <c r="V816" i="7"/>
  <c r="W816" i="7"/>
  <c r="X816" i="7"/>
  <c r="Y816" i="7"/>
  <c r="Z816" i="7"/>
  <c r="AA816" i="7"/>
  <c r="AB816" i="7"/>
  <c r="E817" i="7"/>
  <c r="F817" i="7"/>
  <c r="G817" i="7"/>
  <c r="H817" i="7"/>
  <c r="I817" i="7"/>
  <c r="J817" i="7"/>
  <c r="K817" i="7"/>
  <c r="L817" i="7"/>
  <c r="M817" i="7"/>
  <c r="N817" i="7"/>
  <c r="O817" i="7"/>
  <c r="P817" i="7"/>
  <c r="Q817" i="7"/>
  <c r="R817" i="7"/>
  <c r="S817" i="7"/>
  <c r="T817" i="7"/>
  <c r="U817" i="7"/>
  <c r="V817" i="7"/>
  <c r="W817" i="7"/>
  <c r="X817" i="7"/>
  <c r="Y817" i="7"/>
  <c r="Z817" i="7"/>
  <c r="AA817" i="7"/>
  <c r="AB817" i="7"/>
  <c r="E818" i="7"/>
  <c r="F818" i="7"/>
  <c r="G818" i="7"/>
  <c r="H818" i="7"/>
  <c r="I818" i="7"/>
  <c r="J818" i="7"/>
  <c r="K818" i="7"/>
  <c r="L818" i="7"/>
  <c r="M818" i="7"/>
  <c r="N818" i="7"/>
  <c r="O818" i="7"/>
  <c r="P818" i="7"/>
  <c r="Q818" i="7"/>
  <c r="R818" i="7"/>
  <c r="S818" i="7"/>
  <c r="T818" i="7"/>
  <c r="U818" i="7"/>
  <c r="V818" i="7"/>
  <c r="W818" i="7"/>
  <c r="X818" i="7"/>
  <c r="Y818" i="7"/>
  <c r="Z818" i="7"/>
  <c r="AA818" i="7"/>
  <c r="AB818" i="7"/>
  <c r="E819" i="7"/>
  <c r="F819" i="7"/>
  <c r="G819" i="7"/>
  <c r="H819" i="7"/>
  <c r="I819" i="7"/>
  <c r="J819" i="7"/>
  <c r="K819" i="7"/>
  <c r="L819" i="7"/>
  <c r="M819" i="7"/>
  <c r="N819" i="7"/>
  <c r="O819" i="7"/>
  <c r="P819" i="7"/>
  <c r="Q819" i="7"/>
  <c r="R819" i="7"/>
  <c r="S819" i="7"/>
  <c r="T819" i="7"/>
  <c r="U819" i="7"/>
  <c r="V819" i="7"/>
  <c r="W819" i="7"/>
  <c r="X819" i="7"/>
  <c r="Y819" i="7"/>
  <c r="Z819" i="7"/>
  <c r="AA819" i="7"/>
  <c r="AB819" i="7"/>
  <c r="E820" i="7"/>
  <c r="F820" i="7"/>
  <c r="G820" i="7"/>
  <c r="H820" i="7"/>
  <c r="I820" i="7"/>
  <c r="J820" i="7"/>
  <c r="K820" i="7"/>
  <c r="L820" i="7"/>
  <c r="M820" i="7"/>
  <c r="N820" i="7"/>
  <c r="O820" i="7"/>
  <c r="P820" i="7"/>
  <c r="Q820" i="7"/>
  <c r="R820" i="7"/>
  <c r="S820" i="7"/>
  <c r="T820" i="7"/>
  <c r="U820" i="7"/>
  <c r="V820" i="7"/>
  <c r="W820" i="7"/>
  <c r="X820" i="7"/>
  <c r="Y820" i="7"/>
  <c r="Z820" i="7"/>
  <c r="AA820" i="7"/>
  <c r="AB820" i="7"/>
  <c r="E821" i="7"/>
  <c r="F821" i="7"/>
  <c r="G821" i="7"/>
  <c r="H821" i="7"/>
  <c r="I821" i="7"/>
  <c r="J821" i="7"/>
  <c r="K821" i="7"/>
  <c r="L821" i="7"/>
  <c r="M821" i="7"/>
  <c r="N821" i="7"/>
  <c r="O821" i="7"/>
  <c r="P821" i="7"/>
  <c r="Q821" i="7"/>
  <c r="R821" i="7"/>
  <c r="S821" i="7"/>
  <c r="T821" i="7"/>
  <c r="U821" i="7"/>
  <c r="V821" i="7"/>
  <c r="W821" i="7"/>
  <c r="X821" i="7"/>
  <c r="Y821" i="7"/>
  <c r="Z821" i="7"/>
  <c r="AA821" i="7"/>
  <c r="AB821" i="7"/>
  <c r="E822" i="7"/>
  <c r="F822" i="7"/>
  <c r="G822" i="7"/>
  <c r="H822" i="7"/>
  <c r="I822" i="7"/>
  <c r="J822" i="7"/>
  <c r="K822" i="7"/>
  <c r="L822" i="7"/>
  <c r="M822" i="7"/>
  <c r="N822" i="7"/>
  <c r="O822" i="7"/>
  <c r="P822" i="7"/>
  <c r="Q822" i="7"/>
  <c r="R822" i="7"/>
  <c r="S822" i="7"/>
  <c r="T822" i="7"/>
  <c r="U822" i="7"/>
  <c r="V822" i="7"/>
  <c r="W822" i="7"/>
  <c r="X822" i="7"/>
  <c r="Y822" i="7"/>
  <c r="Z822" i="7"/>
  <c r="AA822" i="7"/>
  <c r="AB822" i="7"/>
  <c r="E823" i="7"/>
  <c r="F823" i="7"/>
  <c r="G823" i="7"/>
  <c r="H823" i="7"/>
  <c r="I823" i="7"/>
  <c r="J823" i="7"/>
  <c r="K823" i="7"/>
  <c r="L823" i="7"/>
  <c r="M823" i="7"/>
  <c r="N823" i="7"/>
  <c r="O823" i="7"/>
  <c r="P823" i="7"/>
  <c r="Q823" i="7"/>
  <c r="R823" i="7"/>
  <c r="S823" i="7"/>
  <c r="T823" i="7"/>
  <c r="U823" i="7"/>
  <c r="V823" i="7"/>
  <c r="W823" i="7"/>
  <c r="X823" i="7"/>
  <c r="Y823" i="7"/>
  <c r="Z823" i="7"/>
  <c r="AA823" i="7"/>
  <c r="AB823" i="7"/>
  <c r="E824" i="7"/>
  <c r="F824" i="7"/>
  <c r="G824" i="7"/>
  <c r="H824" i="7"/>
  <c r="I824" i="7"/>
  <c r="J824" i="7"/>
  <c r="K824" i="7"/>
  <c r="L824" i="7"/>
  <c r="M824" i="7"/>
  <c r="N824" i="7"/>
  <c r="O824" i="7"/>
  <c r="P824" i="7"/>
  <c r="Q824" i="7"/>
  <c r="R824" i="7"/>
  <c r="S824" i="7"/>
  <c r="T824" i="7"/>
  <c r="U824" i="7"/>
  <c r="V824" i="7"/>
  <c r="W824" i="7"/>
  <c r="X824" i="7"/>
  <c r="Y824" i="7"/>
  <c r="Z824" i="7"/>
  <c r="AA824" i="7"/>
  <c r="AB824" i="7"/>
  <c r="E825" i="7"/>
  <c r="F825" i="7"/>
  <c r="G825" i="7"/>
  <c r="H825" i="7"/>
  <c r="I825" i="7"/>
  <c r="J825" i="7"/>
  <c r="K825" i="7"/>
  <c r="L825" i="7"/>
  <c r="M825" i="7"/>
  <c r="N825" i="7"/>
  <c r="O825" i="7"/>
  <c r="P825" i="7"/>
  <c r="Q825" i="7"/>
  <c r="R825" i="7"/>
  <c r="S825" i="7"/>
  <c r="T825" i="7"/>
  <c r="U825" i="7"/>
  <c r="V825" i="7"/>
  <c r="W825" i="7"/>
  <c r="X825" i="7"/>
  <c r="Y825" i="7"/>
  <c r="Z825" i="7"/>
  <c r="AA825" i="7"/>
  <c r="AB825" i="7"/>
  <c r="E826" i="7"/>
  <c r="F826" i="7"/>
  <c r="G826" i="7"/>
  <c r="H826" i="7"/>
  <c r="I826" i="7"/>
  <c r="J826" i="7"/>
  <c r="K826" i="7"/>
  <c r="L826" i="7"/>
  <c r="M826" i="7"/>
  <c r="N826" i="7"/>
  <c r="O826" i="7"/>
  <c r="P826" i="7"/>
  <c r="Q826" i="7"/>
  <c r="R826" i="7"/>
  <c r="S826" i="7"/>
  <c r="T826" i="7"/>
  <c r="U826" i="7"/>
  <c r="V826" i="7"/>
  <c r="W826" i="7"/>
  <c r="X826" i="7"/>
  <c r="Y826" i="7"/>
  <c r="Z826" i="7"/>
  <c r="AA826" i="7"/>
  <c r="AB826" i="7"/>
  <c r="E827" i="7"/>
  <c r="F827" i="7"/>
  <c r="G827" i="7"/>
  <c r="H827" i="7"/>
  <c r="I827" i="7"/>
  <c r="J827" i="7"/>
  <c r="K827" i="7"/>
  <c r="L827" i="7"/>
  <c r="M827" i="7"/>
  <c r="N827" i="7"/>
  <c r="O827" i="7"/>
  <c r="P827" i="7"/>
  <c r="Q827" i="7"/>
  <c r="R827" i="7"/>
  <c r="S827" i="7"/>
  <c r="T827" i="7"/>
  <c r="U827" i="7"/>
  <c r="V827" i="7"/>
  <c r="W827" i="7"/>
  <c r="X827" i="7"/>
  <c r="Y827" i="7"/>
  <c r="Z827" i="7"/>
  <c r="AA827" i="7"/>
  <c r="AB827" i="7"/>
  <c r="E828" i="7"/>
  <c r="F828" i="7"/>
  <c r="G828" i="7"/>
  <c r="H828" i="7"/>
  <c r="I828" i="7"/>
  <c r="J828" i="7"/>
  <c r="K828" i="7"/>
  <c r="L828" i="7"/>
  <c r="M828" i="7"/>
  <c r="N828" i="7"/>
  <c r="O828" i="7"/>
  <c r="P828" i="7"/>
  <c r="Q828" i="7"/>
  <c r="R828" i="7"/>
  <c r="S828" i="7"/>
  <c r="T828" i="7"/>
  <c r="U828" i="7"/>
  <c r="V828" i="7"/>
  <c r="W828" i="7"/>
  <c r="X828" i="7"/>
  <c r="Y828" i="7"/>
  <c r="Z828" i="7"/>
  <c r="AA828" i="7"/>
  <c r="AB828" i="7"/>
  <c r="E829" i="7"/>
  <c r="F829" i="7"/>
  <c r="G829" i="7"/>
  <c r="H829" i="7"/>
  <c r="I829" i="7"/>
  <c r="J829" i="7"/>
  <c r="K829" i="7"/>
  <c r="L829" i="7"/>
  <c r="M829" i="7"/>
  <c r="N829" i="7"/>
  <c r="O829" i="7"/>
  <c r="P829" i="7"/>
  <c r="Q829" i="7"/>
  <c r="R829" i="7"/>
  <c r="S829" i="7"/>
  <c r="T829" i="7"/>
  <c r="U829" i="7"/>
  <c r="V829" i="7"/>
  <c r="W829" i="7"/>
  <c r="X829" i="7"/>
  <c r="Y829" i="7"/>
  <c r="Z829" i="7"/>
  <c r="AA829" i="7"/>
  <c r="AB829" i="7"/>
  <c r="E830" i="7"/>
  <c r="F830" i="7"/>
  <c r="G830" i="7"/>
  <c r="H830" i="7"/>
  <c r="I830" i="7"/>
  <c r="J830" i="7"/>
  <c r="K830" i="7"/>
  <c r="L830" i="7"/>
  <c r="M830" i="7"/>
  <c r="N830" i="7"/>
  <c r="O830" i="7"/>
  <c r="P830" i="7"/>
  <c r="Q830" i="7"/>
  <c r="R830" i="7"/>
  <c r="S830" i="7"/>
  <c r="T830" i="7"/>
  <c r="U830" i="7"/>
  <c r="V830" i="7"/>
  <c r="W830" i="7"/>
  <c r="X830" i="7"/>
  <c r="Y830" i="7"/>
  <c r="Z830" i="7"/>
  <c r="AA830" i="7"/>
  <c r="AB830" i="7"/>
  <c r="E831" i="7"/>
  <c r="F831" i="7"/>
  <c r="G831" i="7"/>
  <c r="H831" i="7"/>
  <c r="I831" i="7"/>
  <c r="J831" i="7"/>
  <c r="K831" i="7"/>
  <c r="L831" i="7"/>
  <c r="M831" i="7"/>
  <c r="N831" i="7"/>
  <c r="O831" i="7"/>
  <c r="P831" i="7"/>
  <c r="Q831" i="7"/>
  <c r="R831" i="7"/>
  <c r="S831" i="7"/>
  <c r="T831" i="7"/>
  <c r="U831" i="7"/>
  <c r="V831" i="7"/>
  <c r="W831" i="7"/>
  <c r="X831" i="7"/>
  <c r="Y831" i="7"/>
  <c r="Z831" i="7"/>
  <c r="AA831" i="7"/>
  <c r="AB831" i="7"/>
  <c r="E832" i="7"/>
  <c r="F832" i="7"/>
  <c r="G832" i="7"/>
  <c r="H832" i="7"/>
  <c r="I832" i="7"/>
  <c r="J832" i="7"/>
  <c r="K832" i="7"/>
  <c r="L832" i="7"/>
  <c r="M832" i="7"/>
  <c r="N832" i="7"/>
  <c r="O832" i="7"/>
  <c r="P832" i="7"/>
  <c r="Q832" i="7"/>
  <c r="R832" i="7"/>
  <c r="S832" i="7"/>
  <c r="T832" i="7"/>
  <c r="U832" i="7"/>
  <c r="V832" i="7"/>
  <c r="W832" i="7"/>
  <c r="X832" i="7"/>
  <c r="Y832" i="7"/>
  <c r="Z832" i="7"/>
  <c r="AA832" i="7"/>
  <c r="AB832" i="7"/>
  <c r="E833" i="7"/>
  <c r="F833" i="7"/>
  <c r="G833" i="7"/>
  <c r="H833" i="7"/>
  <c r="I833" i="7"/>
  <c r="J833" i="7"/>
  <c r="K833" i="7"/>
  <c r="L833" i="7"/>
  <c r="M833" i="7"/>
  <c r="N833" i="7"/>
  <c r="O833" i="7"/>
  <c r="P833" i="7"/>
  <c r="Q833" i="7"/>
  <c r="R833" i="7"/>
  <c r="S833" i="7"/>
  <c r="T833" i="7"/>
  <c r="U833" i="7"/>
  <c r="V833" i="7"/>
  <c r="W833" i="7"/>
  <c r="X833" i="7"/>
  <c r="Y833" i="7"/>
  <c r="Z833" i="7"/>
  <c r="AA833" i="7"/>
  <c r="AB833" i="7"/>
  <c r="E834" i="7"/>
  <c r="F834" i="7"/>
  <c r="G834" i="7"/>
  <c r="H834" i="7"/>
  <c r="I834" i="7"/>
  <c r="J834" i="7"/>
  <c r="K834" i="7"/>
  <c r="L834" i="7"/>
  <c r="M834" i="7"/>
  <c r="N834" i="7"/>
  <c r="O834" i="7"/>
  <c r="P834" i="7"/>
  <c r="Q834" i="7"/>
  <c r="R834" i="7"/>
  <c r="S834" i="7"/>
  <c r="T834" i="7"/>
  <c r="U834" i="7"/>
  <c r="V834" i="7"/>
  <c r="W834" i="7"/>
  <c r="X834" i="7"/>
  <c r="Y834" i="7"/>
  <c r="Z834" i="7"/>
  <c r="AA834" i="7"/>
  <c r="AB834" i="7"/>
  <c r="E835" i="7"/>
  <c r="F835" i="7"/>
  <c r="G835" i="7"/>
  <c r="H835" i="7"/>
  <c r="I835" i="7"/>
  <c r="J835" i="7"/>
  <c r="K835" i="7"/>
  <c r="L835" i="7"/>
  <c r="M835" i="7"/>
  <c r="N835" i="7"/>
  <c r="O835" i="7"/>
  <c r="P835" i="7"/>
  <c r="Q835" i="7"/>
  <c r="R835" i="7"/>
  <c r="S835" i="7"/>
  <c r="T835" i="7"/>
  <c r="U835" i="7"/>
  <c r="V835" i="7"/>
  <c r="W835" i="7"/>
  <c r="X835" i="7"/>
  <c r="Y835" i="7"/>
  <c r="Z835" i="7"/>
  <c r="AA835" i="7"/>
  <c r="AB835" i="7"/>
  <c r="E836" i="7"/>
  <c r="F836" i="7"/>
  <c r="G836" i="7"/>
  <c r="H836" i="7"/>
  <c r="I836" i="7"/>
  <c r="J836" i="7"/>
  <c r="K836" i="7"/>
  <c r="L836" i="7"/>
  <c r="M836" i="7"/>
  <c r="N836" i="7"/>
  <c r="O836" i="7"/>
  <c r="P836" i="7"/>
  <c r="Q836" i="7"/>
  <c r="R836" i="7"/>
  <c r="S836" i="7"/>
  <c r="T836" i="7"/>
  <c r="U836" i="7"/>
  <c r="V836" i="7"/>
  <c r="W836" i="7"/>
  <c r="X836" i="7"/>
  <c r="Y836" i="7"/>
  <c r="Z836" i="7"/>
  <c r="AA836" i="7"/>
  <c r="AB836" i="7"/>
  <c r="E837" i="7"/>
  <c r="F837" i="7"/>
  <c r="G837" i="7"/>
  <c r="H837" i="7"/>
  <c r="I837" i="7"/>
  <c r="J837" i="7"/>
  <c r="K837" i="7"/>
  <c r="L837" i="7"/>
  <c r="M837" i="7"/>
  <c r="N837" i="7"/>
  <c r="O837" i="7"/>
  <c r="P837" i="7"/>
  <c r="Q837" i="7"/>
  <c r="R837" i="7"/>
  <c r="S837" i="7"/>
  <c r="T837" i="7"/>
  <c r="U837" i="7"/>
  <c r="V837" i="7"/>
  <c r="W837" i="7"/>
  <c r="X837" i="7"/>
  <c r="Y837" i="7"/>
  <c r="Z837" i="7"/>
  <c r="AA837" i="7"/>
  <c r="AB837" i="7"/>
  <c r="E838" i="7"/>
  <c r="F838" i="7"/>
  <c r="G838" i="7"/>
  <c r="H838" i="7"/>
  <c r="I838" i="7"/>
  <c r="J838" i="7"/>
  <c r="K838" i="7"/>
  <c r="L838" i="7"/>
  <c r="M838" i="7"/>
  <c r="N838" i="7"/>
  <c r="O838" i="7"/>
  <c r="P838" i="7"/>
  <c r="Q838" i="7"/>
  <c r="R838" i="7"/>
  <c r="S838" i="7"/>
  <c r="T838" i="7"/>
  <c r="U838" i="7"/>
  <c r="V838" i="7"/>
  <c r="W838" i="7"/>
  <c r="X838" i="7"/>
  <c r="Y838" i="7"/>
  <c r="Z838" i="7"/>
  <c r="AA838" i="7"/>
  <c r="AB838" i="7"/>
  <c r="E839" i="7"/>
  <c r="F839" i="7"/>
  <c r="G839" i="7"/>
  <c r="H839" i="7"/>
  <c r="I839" i="7"/>
  <c r="J839" i="7"/>
  <c r="K839" i="7"/>
  <c r="L839" i="7"/>
  <c r="M839" i="7"/>
  <c r="N839" i="7"/>
  <c r="O839" i="7"/>
  <c r="P839" i="7"/>
  <c r="Q839" i="7"/>
  <c r="R839" i="7"/>
  <c r="S839" i="7"/>
  <c r="T839" i="7"/>
  <c r="U839" i="7"/>
  <c r="V839" i="7"/>
  <c r="W839" i="7"/>
  <c r="X839" i="7"/>
  <c r="Y839" i="7"/>
  <c r="Z839" i="7"/>
  <c r="AA839" i="7"/>
  <c r="AB839" i="7"/>
  <c r="E840" i="7"/>
  <c r="F840" i="7"/>
  <c r="G840" i="7"/>
  <c r="H840" i="7"/>
  <c r="I840" i="7"/>
  <c r="J840" i="7"/>
  <c r="K840" i="7"/>
  <c r="L840" i="7"/>
  <c r="M840" i="7"/>
  <c r="N840" i="7"/>
  <c r="O840" i="7"/>
  <c r="P840" i="7"/>
  <c r="Q840" i="7"/>
  <c r="R840" i="7"/>
  <c r="S840" i="7"/>
  <c r="T840" i="7"/>
  <c r="U840" i="7"/>
  <c r="V840" i="7"/>
  <c r="W840" i="7"/>
  <c r="X840" i="7"/>
  <c r="Y840" i="7"/>
  <c r="Z840" i="7"/>
  <c r="AA840" i="7"/>
  <c r="AB840" i="7"/>
  <c r="E841" i="7"/>
  <c r="F841" i="7"/>
  <c r="G841" i="7"/>
  <c r="H841" i="7"/>
  <c r="I841" i="7"/>
  <c r="J841" i="7"/>
  <c r="K841" i="7"/>
  <c r="L841" i="7"/>
  <c r="M841" i="7"/>
  <c r="N841" i="7"/>
  <c r="O841" i="7"/>
  <c r="P841" i="7"/>
  <c r="Q841" i="7"/>
  <c r="R841" i="7"/>
  <c r="S841" i="7"/>
  <c r="T841" i="7"/>
  <c r="U841" i="7"/>
  <c r="V841" i="7"/>
  <c r="W841" i="7"/>
  <c r="X841" i="7"/>
  <c r="Y841" i="7"/>
  <c r="Z841" i="7"/>
  <c r="AA841" i="7"/>
  <c r="AB841" i="7"/>
  <c r="E842" i="7"/>
  <c r="F842" i="7"/>
  <c r="G842" i="7"/>
  <c r="H842" i="7"/>
  <c r="I842" i="7"/>
  <c r="J842" i="7"/>
  <c r="K842" i="7"/>
  <c r="L842" i="7"/>
  <c r="M842" i="7"/>
  <c r="N842" i="7"/>
  <c r="O842" i="7"/>
  <c r="P842" i="7"/>
  <c r="Q842" i="7"/>
  <c r="R842" i="7"/>
  <c r="S842" i="7"/>
  <c r="T842" i="7"/>
  <c r="U842" i="7"/>
  <c r="V842" i="7"/>
  <c r="W842" i="7"/>
  <c r="X842" i="7"/>
  <c r="Y842" i="7"/>
  <c r="Z842" i="7"/>
  <c r="AA842" i="7"/>
  <c r="AB842" i="7"/>
  <c r="E843" i="7"/>
  <c r="F843" i="7"/>
  <c r="G843" i="7"/>
  <c r="H843" i="7"/>
  <c r="I843" i="7"/>
  <c r="J843" i="7"/>
  <c r="K843" i="7"/>
  <c r="L843" i="7"/>
  <c r="M843" i="7"/>
  <c r="N843" i="7"/>
  <c r="O843" i="7"/>
  <c r="P843" i="7"/>
  <c r="Q843" i="7"/>
  <c r="R843" i="7"/>
  <c r="S843" i="7"/>
  <c r="T843" i="7"/>
  <c r="U843" i="7"/>
  <c r="V843" i="7"/>
  <c r="W843" i="7"/>
  <c r="X843" i="7"/>
  <c r="Y843" i="7"/>
  <c r="Z843" i="7"/>
  <c r="AA843" i="7"/>
  <c r="AB843" i="7"/>
  <c r="E844" i="7"/>
  <c r="F844" i="7"/>
  <c r="G844" i="7"/>
  <c r="H844" i="7"/>
  <c r="I844" i="7"/>
  <c r="J844" i="7"/>
  <c r="K844" i="7"/>
  <c r="L844" i="7"/>
  <c r="M844" i="7"/>
  <c r="N844" i="7"/>
  <c r="O844" i="7"/>
  <c r="P844" i="7"/>
  <c r="Q844" i="7"/>
  <c r="R844" i="7"/>
  <c r="S844" i="7"/>
  <c r="T844" i="7"/>
  <c r="U844" i="7"/>
  <c r="V844" i="7"/>
  <c r="W844" i="7"/>
  <c r="X844" i="7"/>
  <c r="Y844" i="7"/>
  <c r="Z844" i="7"/>
  <c r="AA844" i="7"/>
  <c r="AB844" i="7"/>
  <c r="E845" i="7"/>
  <c r="F845" i="7"/>
  <c r="G845" i="7"/>
  <c r="H845" i="7"/>
  <c r="I845" i="7"/>
  <c r="J845" i="7"/>
  <c r="K845" i="7"/>
  <c r="L845" i="7"/>
  <c r="M845" i="7"/>
  <c r="N845" i="7"/>
  <c r="O845" i="7"/>
  <c r="P845" i="7"/>
  <c r="Q845" i="7"/>
  <c r="R845" i="7"/>
  <c r="S845" i="7"/>
  <c r="T845" i="7"/>
  <c r="U845" i="7"/>
  <c r="V845" i="7"/>
  <c r="W845" i="7"/>
  <c r="X845" i="7"/>
  <c r="Y845" i="7"/>
  <c r="Z845" i="7"/>
  <c r="AA845" i="7"/>
  <c r="AB845" i="7"/>
  <c r="E846" i="7"/>
  <c r="F846" i="7"/>
  <c r="G846" i="7"/>
  <c r="H846" i="7"/>
  <c r="I846" i="7"/>
  <c r="J846" i="7"/>
  <c r="K846" i="7"/>
  <c r="L846" i="7"/>
  <c r="M846" i="7"/>
  <c r="N846" i="7"/>
  <c r="O846" i="7"/>
  <c r="P846" i="7"/>
  <c r="Q846" i="7"/>
  <c r="R846" i="7"/>
  <c r="S846" i="7"/>
  <c r="T846" i="7"/>
  <c r="U846" i="7"/>
  <c r="V846" i="7"/>
  <c r="W846" i="7"/>
  <c r="X846" i="7"/>
  <c r="Y846" i="7"/>
  <c r="Z846" i="7"/>
  <c r="AA846" i="7"/>
  <c r="AB846" i="7"/>
  <c r="E847" i="7"/>
  <c r="F847" i="7"/>
  <c r="G847" i="7"/>
  <c r="H847" i="7"/>
  <c r="I847" i="7"/>
  <c r="J847" i="7"/>
  <c r="K847" i="7"/>
  <c r="L847" i="7"/>
  <c r="M847" i="7"/>
  <c r="N847" i="7"/>
  <c r="O847" i="7"/>
  <c r="P847" i="7"/>
  <c r="Q847" i="7"/>
  <c r="R847" i="7"/>
  <c r="S847" i="7"/>
  <c r="T847" i="7"/>
  <c r="U847" i="7"/>
  <c r="V847" i="7"/>
  <c r="W847" i="7"/>
  <c r="X847" i="7"/>
  <c r="Y847" i="7"/>
  <c r="Z847" i="7"/>
  <c r="AA847" i="7"/>
  <c r="AB847" i="7"/>
  <c r="E848" i="7"/>
  <c r="F848" i="7"/>
  <c r="G848" i="7"/>
  <c r="H848" i="7"/>
  <c r="I848" i="7"/>
  <c r="J848" i="7"/>
  <c r="K848" i="7"/>
  <c r="L848" i="7"/>
  <c r="M848" i="7"/>
  <c r="N848" i="7"/>
  <c r="O848" i="7"/>
  <c r="P848" i="7"/>
  <c r="Q848" i="7"/>
  <c r="R848" i="7"/>
  <c r="S848" i="7"/>
  <c r="T848" i="7"/>
  <c r="U848" i="7"/>
  <c r="V848" i="7"/>
  <c r="W848" i="7"/>
  <c r="X848" i="7"/>
  <c r="Y848" i="7"/>
  <c r="Z848" i="7"/>
  <c r="AA848" i="7"/>
  <c r="AB848" i="7"/>
  <c r="E849" i="7"/>
  <c r="F849" i="7"/>
  <c r="G849" i="7"/>
  <c r="H849" i="7"/>
  <c r="I849" i="7"/>
  <c r="J849" i="7"/>
  <c r="K849" i="7"/>
  <c r="L849" i="7"/>
  <c r="M849" i="7"/>
  <c r="N849" i="7"/>
  <c r="O849" i="7"/>
  <c r="P849" i="7"/>
  <c r="Q849" i="7"/>
  <c r="R849" i="7"/>
  <c r="S849" i="7"/>
  <c r="T849" i="7"/>
  <c r="U849" i="7"/>
  <c r="V849" i="7"/>
  <c r="W849" i="7"/>
  <c r="X849" i="7"/>
  <c r="Y849" i="7"/>
  <c r="Z849" i="7"/>
  <c r="AA849" i="7"/>
  <c r="AB849" i="7"/>
  <c r="E850" i="7"/>
  <c r="F850" i="7"/>
  <c r="G850" i="7"/>
  <c r="H850" i="7"/>
  <c r="I850" i="7"/>
  <c r="J850" i="7"/>
  <c r="K850" i="7"/>
  <c r="L850" i="7"/>
  <c r="M850" i="7"/>
  <c r="N850" i="7"/>
  <c r="O850" i="7"/>
  <c r="P850" i="7"/>
  <c r="Q850" i="7"/>
  <c r="R850" i="7"/>
  <c r="S850" i="7"/>
  <c r="T850" i="7"/>
  <c r="U850" i="7"/>
  <c r="V850" i="7"/>
  <c r="W850" i="7"/>
  <c r="X850" i="7"/>
  <c r="Y850" i="7"/>
  <c r="Z850" i="7"/>
  <c r="AA850" i="7"/>
  <c r="AB850" i="7"/>
  <c r="E851" i="7"/>
  <c r="F851" i="7"/>
  <c r="G851" i="7"/>
  <c r="H851" i="7"/>
  <c r="I851" i="7"/>
  <c r="J851" i="7"/>
  <c r="K851" i="7"/>
  <c r="L851" i="7"/>
  <c r="M851" i="7"/>
  <c r="N851" i="7"/>
  <c r="O851" i="7"/>
  <c r="P851" i="7"/>
  <c r="Q851" i="7"/>
  <c r="R851" i="7"/>
  <c r="S851" i="7"/>
  <c r="T851" i="7"/>
  <c r="U851" i="7"/>
  <c r="V851" i="7"/>
  <c r="W851" i="7"/>
  <c r="X851" i="7"/>
  <c r="Y851" i="7"/>
  <c r="Z851" i="7"/>
  <c r="AA851" i="7"/>
  <c r="AB851" i="7"/>
  <c r="E852" i="7"/>
  <c r="F852" i="7"/>
  <c r="G852" i="7"/>
  <c r="H852" i="7"/>
  <c r="I852" i="7"/>
  <c r="J852" i="7"/>
  <c r="K852" i="7"/>
  <c r="L852" i="7"/>
  <c r="M852" i="7"/>
  <c r="N852" i="7"/>
  <c r="O852" i="7"/>
  <c r="P852" i="7"/>
  <c r="Q852" i="7"/>
  <c r="R852" i="7"/>
  <c r="S852" i="7"/>
  <c r="T852" i="7"/>
  <c r="U852" i="7"/>
  <c r="V852" i="7"/>
  <c r="W852" i="7"/>
  <c r="X852" i="7"/>
  <c r="Y852" i="7"/>
  <c r="Z852" i="7"/>
  <c r="AA852" i="7"/>
  <c r="AB852" i="7"/>
  <c r="E853" i="7"/>
  <c r="F853" i="7"/>
  <c r="G853" i="7"/>
  <c r="H853" i="7"/>
  <c r="I853" i="7"/>
  <c r="J853" i="7"/>
  <c r="K853" i="7"/>
  <c r="L853" i="7"/>
  <c r="M853" i="7"/>
  <c r="N853" i="7"/>
  <c r="O853" i="7"/>
  <c r="P853" i="7"/>
  <c r="Q853" i="7"/>
  <c r="R853" i="7"/>
  <c r="S853" i="7"/>
  <c r="T853" i="7"/>
  <c r="U853" i="7"/>
  <c r="V853" i="7"/>
  <c r="W853" i="7"/>
  <c r="X853" i="7"/>
  <c r="Y853" i="7"/>
  <c r="Z853" i="7"/>
  <c r="AA853" i="7"/>
  <c r="AB853" i="7"/>
  <c r="E854" i="7"/>
  <c r="F854" i="7"/>
  <c r="G854" i="7"/>
  <c r="H854" i="7"/>
  <c r="I854" i="7"/>
  <c r="J854" i="7"/>
  <c r="K854" i="7"/>
  <c r="L854" i="7"/>
  <c r="M854" i="7"/>
  <c r="N854" i="7"/>
  <c r="O854" i="7"/>
  <c r="P854" i="7"/>
  <c r="Q854" i="7"/>
  <c r="R854" i="7"/>
  <c r="S854" i="7"/>
  <c r="T854" i="7"/>
  <c r="U854" i="7"/>
  <c r="V854" i="7"/>
  <c r="W854" i="7"/>
  <c r="X854" i="7"/>
  <c r="Y854" i="7"/>
  <c r="Z854" i="7"/>
  <c r="AA854" i="7"/>
  <c r="AB854" i="7"/>
  <c r="E855" i="7"/>
  <c r="F855" i="7"/>
  <c r="G855" i="7"/>
  <c r="H855" i="7"/>
  <c r="I855" i="7"/>
  <c r="J855" i="7"/>
  <c r="K855" i="7"/>
  <c r="L855" i="7"/>
  <c r="M855" i="7"/>
  <c r="N855" i="7"/>
  <c r="O855" i="7"/>
  <c r="P855" i="7"/>
  <c r="Q855" i="7"/>
  <c r="R855" i="7"/>
  <c r="S855" i="7"/>
  <c r="T855" i="7"/>
  <c r="U855" i="7"/>
  <c r="V855" i="7"/>
  <c r="W855" i="7"/>
  <c r="X855" i="7"/>
  <c r="Y855" i="7"/>
  <c r="Z855" i="7"/>
  <c r="AA855" i="7"/>
  <c r="AB855" i="7"/>
  <c r="E856" i="7"/>
  <c r="F856" i="7"/>
  <c r="G856" i="7"/>
  <c r="H856" i="7"/>
  <c r="I856" i="7"/>
  <c r="J856" i="7"/>
  <c r="K856" i="7"/>
  <c r="L856" i="7"/>
  <c r="M856" i="7"/>
  <c r="N856" i="7"/>
  <c r="O856" i="7"/>
  <c r="P856" i="7"/>
  <c r="Q856" i="7"/>
  <c r="R856" i="7"/>
  <c r="S856" i="7"/>
  <c r="T856" i="7"/>
  <c r="U856" i="7"/>
  <c r="V856" i="7"/>
  <c r="W856" i="7"/>
  <c r="X856" i="7"/>
  <c r="Y856" i="7"/>
  <c r="Z856" i="7"/>
  <c r="AA856" i="7"/>
  <c r="AB856" i="7"/>
  <c r="E857" i="7"/>
  <c r="F857" i="7"/>
  <c r="G857" i="7"/>
  <c r="H857" i="7"/>
  <c r="I857" i="7"/>
  <c r="J857" i="7"/>
  <c r="K857" i="7"/>
  <c r="L857" i="7"/>
  <c r="M857" i="7"/>
  <c r="N857" i="7"/>
  <c r="O857" i="7"/>
  <c r="P857" i="7"/>
  <c r="Q857" i="7"/>
  <c r="R857" i="7"/>
  <c r="S857" i="7"/>
  <c r="T857" i="7"/>
  <c r="U857" i="7"/>
  <c r="V857" i="7"/>
  <c r="W857" i="7"/>
  <c r="X857" i="7"/>
  <c r="Y857" i="7"/>
  <c r="Z857" i="7"/>
  <c r="AA857" i="7"/>
  <c r="AB857" i="7"/>
  <c r="E858" i="7"/>
  <c r="F858" i="7"/>
  <c r="G858" i="7"/>
  <c r="H858" i="7"/>
  <c r="I858" i="7"/>
  <c r="J858" i="7"/>
  <c r="K858" i="7"/>
  <c r="L858" i="7"/>
  <c r="M858" i="7"/>
  <c r="N858" i="7"/>
  <c r="O858" i="7"/>
  <c r="P858" i="7"/>
  <c r="Q858" i="7"/>
  <c r="R858" i="7"/>
  <c r="S858" i="7"/>
  <c r="T858" i="7"/>
  <c r="U858" i="7"/>
  <c r="V858" i="7"/>
  <c r="W858" i="7"/>
  <c r="X858" i="7"/>
  <c r="Y858" i="7"/>
  <c r="Z858" i="7"/>
  <c r="AA858" i="7"/>
  <c r="AB858" i="7"/>
  <c r="E859" i="7"/>
  <c r="F859" i="7"/>
  <c r="G859" i="7"/>
  <c r="H859" i="7"/>
  <c r="I859" i="7"/>
  <c r="J859" i="7"/>
  <c r="K859" i="7"/>
  <c r="L859" i="7"/>
  <c r="M859" i="7"/>
  <c r="N859" i="7"/>
  <c r="O859" i="7"/>
  <c r="P859" i="7"/>
  <c r="Q859" i="7"/>
  <c r="R859" i="7"/>
  <c r="S859" i="7"/>
  <c r="T859" i="7"/>
  <c r="U859" i="7"/>
  <c r="V859" i="7"/>
  <c r="W859" i="7"/>
  <c r="X859" i="7"/>
  <c r="Y859" i="7"/>
  <c r="Z859" i="7"/>
  <c r="AA859" i="7"/>
  <c r="AB859" i="7"/>
  <c r="E860" i="7"/>
  <c r="F860" i="7"/>
  <c r="G860" i="7"/>
  <c r="H860" i="7"/>
  <c r="I860" i="7"/>
  <c r="J860" i="7"/>
  <c r="K860" i="7"/>
  <c r="L860" i="7"/>
  <c r="M860" i="7"/>
  <c r="N860" i="7"/>
  <c r="O860" i="7"/>
  <c r="P860" i="7"/>
  <c r="Q860" i="7"/>
  <c r="R860" i="7"/>
  <c r="S860" i="7"/>
  <c r="T860" i="7"/>
  <c r="U860" i="7"/>
  <c r="V860" i="7"/>
  <c r="W860" i="7"/>
  <c r="X860" i="7"/>
  <c r="Y860" i="7"/>
  <c r="Z860" i="7"/>
  <c r="AA860" i="7"/>
  <c r="AB860" i="7"/>
  <c r="E861" i="7"/>
  <c r="F861" i="7"/>
  <c r="G861" i="7"/>
  <c r="H861" i="7"/>
  <c r="I861" i="7"/>
  <c r="J861" i="7"/>
  <c r="K861" i="7"/>
  <c r="L861" i="7"/>
  <c r="M861" i="7"/>
  <c r="N861" i="7"/>
  <c r="O861" i="7"/>
  <c r="P861" i="7"/>
  <c r="Q861" i="7"/>
  <c r="R861" i="7"/>
  <c r="S861" i="7"/>
  <c r="T861" i="7"/>
  <c r="U861" i="7"/>
  <c r="V861" i="7"/>
  <c r="W861" i="7"/>
  <c r="X861" i="7"/>
  <c r="Y861" i="7"/>
  <c r="Z861" i="7"/>
  <c r="AA861" i="7"/>
  <c r="AB861" i="7"/>
  <c r="E862" i="7"/>
  <c r="F862" i="7"/>
  <c r="G862" i="7"/>
  <c r="H862" i="7"/>
  <c r="I862" i="7"/>
  <c r="J862" i="7"/>
  <c r="K862" i="7"/>
  <c r="L862" i="7"/>
  <c r="M862" i="7"/>
  <c r="N862" i="7"/>
  <c r="O862" i="7"/>
  <c r="P862" i="7"/>
  <c r="Q862" i="7"/>
  <c r="R862" i="7"/>
  <c r="S862" i="7"/>
  <c r="T862" i="7"/>
  <c r="U862" i="7"/>
  <c r="V862" i="7"/>
  <c r="W862" i="7"/>
  <c r="X862" i="7"/>
  <c r="Y862" i="7"/>
  <c r="Z862" i="7"/>
  <c r="AA862" i="7"/>
  <c r="AB862" i="7"/>
  <c r="E863" i="7"/>
  <c r="F863" i="7"/>
  <c r="G863" i="7"/>
  <c r="H863" i="7"/>
  <c r="I863" i="7"/>
  <c r="J863" i="7"/>
  <c r="K863" i="7"/>
  <c r="L863" i="7"/>
  <c r="M863" i="7"/>
  <c r="N863" i="7"/>
  <c r="O863" i="7"/>
  <c r="P863" i="7"/>
  <c r="Q863" i="7"/>
  <c r="R863" i="7"/>
  <c r="S863" i="7"/>
  <c r="T863" i="7"/>
  <c r="U863" i="7"/>
  <c r="V863" i="7"/>
  <c r="W863" i="7"/>
  <c r="X863" i="7"/>
  <c r="Y863" i="7"/>
  <c r="Z863" i="7"/>
  <c r="AA863" i="7"/>
  <c r="AB863" i="7"/>
  <c r="E864" i="7"/>
  <c r="F864" i="7"/>
  <c r="G864" i="7"/>
  <c r="H864" i="7"/>
  <c r="I864" i="7"/>
  <c r="J864" i="7"/>
  <c r="K864" i="7"/>
  <c r="L864" i="7"/>
  <c r="M864" i="7"/>
  <c r="N864" i="7"/>
  <c r="O864" i="7"/>
  <c r="P864" i="7"/>
  <c r="Q864" i="7"/>
  <c r="R864" i="7"/>
  <c r="S864" i="7"/>
  <c r="T864" i="7"/>
  <c r="U864" i="7"/>
  <c r="V864" i="7"/>
  <c r="W864" i="7"/>
  <c r="X864" i="7"/>
  <c r="Y864" i="7"/>
  <c r="Z864" i="7"/>
  <c r="AA864" i="7"/>
  <c r="AB864" i="7"/>
  <c r="E865" i="7"/>
  <c r="F865" i="7"/>
  <c r="G865" i="7"/>
  <c r="H865" i="7"/>
  <c r="I865" i="7"/>
  <c r="J865" i="7"/>
  <c r="K865" i="7"/>
  <c r="L865" i="7"/>
  <c r="M865" i="7"/>
  <c r="N865" i="7"/>
  <c r="O865" i="7"/>
  <c r="P865" i="7"/>
  <c r="Q865" i="7"/>
  <c r="R865" i="7"/>
  <c r="S865" i="7"/>
  <c r="T865" i="7"/>
  <c r="U865" i="7"/>
  <c r="V865" i="7"/>
  <c r="W865" i="7"/>
  <c r="X865" i="7"/>
  <c r="Y865" i="7"/>
  <c r="Z865" i="7"/>
  <c r="AA865" i="7"/>
  <c r="AB865" i="7"/>
  <c r="E866" i="7"/>
  <c r="F866" i="7"/>
  <c r="G866" i="7"/>
  <c r="H866" i="7"/>
  <c r="I866" i="7"/>
  <c r="J866" i="7"/>
  <c r="K866" i="7"/>
  <c r="L866" i="7"/>
  <c r="M866" i="7"/>
  <c r="N866" i="7"/>
  <c r="O866" i="7"/>
  <c r="P866" i="7"/>
  <c r="Q866" i="7"/>
  <c r="R866" i="7"/>
  <c r="S866" i="7"/>
  <c r="T866" i="7"/>
  <c r="U866" i="7"/>
  <c r="V866" i="7"/>
  <c r="W866" i="7"/>
  <c r="X866" i="7"/>
  <c r="Y866" i="7"/>
  <c r="Z866" i="7"/>
  <c r="AA866" i="7"/>
  <c r="AB866" i="7"/>
  <c r="E867" i="7"/>
  <c r="F867" i="7"/>
  <c r="G867" i="7"/>
  <c r="H867" i="7"/>
  <c r="I867" i="7"/>
  <c r="J867" i="7"/>
  <c r="K867" i="7"/>
  <c r="L867" i="7"/>
  <c r="M867" i="7"/>
  <c r="N867" i="7"/>
  <c r="O867" i="7"/>
  <c r="P867" i="7"/>
  <c r="Q867" i="7"/>
  <c r="R867" i="7"/>
  <c r="S867" i="7"/>
  <c r="T867" i="7"/>
  <c r="U867" i="7"/>
  <c r="V867" i="7"/>
  <c r="W867" i="7"/>
  <c r="X867" i="7"/>
  <c r="Y867" i="7"/>
  <c r="Z867" i="7"/>
  <c r="AA867" i="7"/>
  <c r="AB867" i="7"/>
  <c r="E868" i="7"/>
  <c r="F868" i="7"/>
  <c r="G868" i="7"/>
  <c r="H868" i="7"/>
  <c r="I868" i="7"/>
  <c r="J868" i="7"/>
  <c r="K868" i="7"/>
  <c r="L868" i="7"/>
  <c r="M868" i="7"/>
  <c r="N868" i="7"/>
  <c r="O868" i="7"/>
  <c r="P868" i="7"/>
  <c r="Q868" i="7"/>
  <c r="R868" i="7"/>
  <c r="S868" i="7"/>
  <c r="T868" i="7"/>
  <c r="U868" i="7"/>
  <c r="V868" i="7"/>
  <c r="W868" i="7"/>
  <c r="X868" i="7"/>
  <c r="Y868" i="7"/>
  <c r="Z868" i="7"/>
  <c r="AA868" i="7"/>
  <c r="AB868" i="7"/>
  <c r="E869" i="7"/>
  <c r="F869" i="7"/>
  <c r="G869" i="7"/>
  <c r="H869" i="7"/>
  <c r="I869" i="7"/>
  <c r="J869" i="7"/>
  <c r="K869" i="7"/>
  <c r="L869" i="7"/>
  <c r="M869" i="7"/>
  <c r="N869" i="7"/>
  <c r="O869" i="7"/>
  <c r="P869" i="7"/>
  <c r="Q869" i="7"/>
  <c r="R869" i="7"/>
  <c r="S869" i="7"/>
  <c r="T869" i="7"/>
  <c r="U869" i="7"/>
  <c r="V869" i="7"/>
  <c r="W869" i="7"/>
  <c r="X869" i="7"/>
  <c r="Y869" i="7"/>
  <c r="Z869" i="7"/>
  <c r="AA869" i="7"/>
  <c r="AB869" i="7"/>
  <c r="E870" i="7"/>
  <c r="F870" i="7"/>
  <c r="G870" i="7"/>
  <c r="H870" i="7"/>
  <c r="I870" i="7"/>
  <c r="J870" i="7"/>
  <c r="K870" i="7"/>
  <c r="L870" i="7"/>
  <c r="M870" i="7"/>
  <c r="N870" i="7"/>
  <c r="O870" i="7"/>
  <c r="P870" i="7"/>
  <c r="Q870" i="7"/>
  <c r="R870" i="7"/>
  <c r="S870" i="7"/>
  <c r="T870" i="7"/>
  <c r="U870" i="7"/>
  <c r="V870" i="7"/>
  <c r="W870" i="7"/>
  <c r="X870" i="7"/>
  <c r="Y870" i="7"/>
  <c r="Z870" i="7"/>
  <c r="AA870" i="7"/>
  <c r="AB870" i="7"/>
  <c r="E871" i="7"/>
  <c r="F871" i="7"/>
  <c r="G871" i="7"/>
  <c r="H871" i="7"/>
  <c r="I871" i="7"/>
  <c r="J871" i="7"/>
  <c r="K871" i="7"/>
  <c r="L871" i="7"/>
  <c r="M871" i="7"/>
  <c r="N871" i="7"/>
  <c r="O871" i="7"/>
  <c r="P871" i="7"/>
  <c r="Q871" i="7"/>
  <c r="R871" i="7"/>
  <c r="S871" i="7"/>
  <c r="T871" i="7"/>
  <c r="U871" i="7"/>
  <c r="V871" i="7"/>
  <c r="W871" i="7"/>
  <c r="X871" i="7"/>
  <c r="Y871" i="7"/>
  <c r="Z871" i="7"/>
  <c r="AA871" i="7"/>
  <c r="AB871" i="7"/>
  <c r="E872" i="7"/>
  <c r="F872" i="7"/>
  <c r="G872" i="7"/>
  <c r="H872" i="7"/>
  <c r="I872" i="7"/>
  <c r="J872" i="7"/>
  <c r="K872" i="7"/>
  <c r="L872" i="7"/>
  <c r="M872" i="7"/>
  <c r="N872" i="7"/>
  <c r="O872" i="7"/>
  <c r="P872" i="7"/>
  <c r="Q872" i="7"/>
  <c r="R872" i="7"/>
  <c r="S872" i="7"/>
  <c r="T872" i="7"/>
  <c r="U872" i="7"/>
  <c r="V872" i="7"/>
  <c r="W872" i="7"/>
  <c r="X872" i="7"/>
  <c r="Y872" i="7"/>
  <c r="Z872" i="7"/>
  <c r="AA872" i="7"/>
  <c r="AB872" i="7"/>
  <c r="E873" i="7"/>
  <c r="F873" i="7"/>
  <c r="G873" i="7"/>
  <c r="H873" i="7"/>
  <c r="I873" i="7"/>
  <c r="J873" i="7"/>
  <c r="K873" i="7"/>
  <c r="L873" i="7"/>
  <c r="M873" i="7"/>
  <c r="N873" i="7"/>
  <c r="O873" i="7"/>
  <c r="P873" i="7"/>
  <c r="Q873" i="7"/>
  <c r="R873" i="7"/>
  <c r="S873" i="7"/>
  <c r="T873" i="7"/>
  <c r="U873" i="7"/>
  <c r="V873" i="7"/>
  <c r="W873" i="7"/>
  <c r="X873" i="7"/>
  <c r="Y873" i="7"/>
  <c r="Z873" i="7"/>
  <c r="AA873" i="7"/>
  <c r="AB873" i="7"/>
  <c r="E874" i="7"/>
  <c r="F874" i="7"/>
  <c r="G874" i="7"/>
  <c r="H874" i="7"/>
  <c r="I874" i="7"/>
  <c r="J874" i="7"/>
  <c r="K874" i="7"/>
  <c r="L874" i="7"/>
  <c r="M874" i="7"/>
  <c r="N874" i="7"/>
  <c r="O874" i="7"/>
  <c r="P874" i="7"/>
  <c r="Q874" i="7"/>
  <c r="R874" i="7"/>
  <c r="S874" i="7"/>
  <c r="T874" i="7"/>
  <c r="U874" i="7"/>
  <c r="V874" i="7"/>
  <c r="W874" i="7"/>
  <c r="X874" i="7"/>
  <c r="Y874" i="7"/>
  <c r="Z874" i="7"/>
  <c r="AA874" i="7"/>
  <c r="AB874" i="7"/>
  <c r="E875" i="7"/>
  <c r="F875" i="7"/>
  <c r="G875" i="7"/>
  <c r="H875" i="7"/>
  <c r="I875" i="7"/>
  <c r="J875" i="7"/>
  <c r="K875" i="7"/>
  <c r="L875" i="7"/>
  <c r="M875" i="7"/>
  <c r="N875" i="7"/>
  <c r="O875" i="7"/>
  <c r="P875" i="7"/>
  <c r="Q875" i="7"/>
  <c r="R875" i="7"/>
  <c r="S875" i="7"/>
  <c r="T875" i="7"/>
  <c r="U875" i="7"/>
  <c r="V875" i="7"/>
  <c r="W875" i="7"/>
  <c r="X875" i="7"/>
  <c r="Y875" i="7"/>
  <c r="Z875" i="7"/>
  <c r="AA875" i="7"/>
  <c r="AB875" i="7"/>
  <c r="E876" i="7"/>
  <c r="F876" i="7"/>
  <c r="G876" i="7"/>
  <c r="H876" i="7"/>
  <c r="I876" i="7"/>
  <c r="J876" i="7"/>
  <c r="K876" i="7"/>
  <c r="L876" i="7"/>
  <c r="M876" i="7"/>
  <c r="N876" i="7"/>
  <c r="O876" i="7"/>
  <c r="P876" i="7"/>
  <c r="Q876" i="7"/>
  <c r="R876" i="7"/>
  <c r="S876" i="7"/>
  <c r="T876" i="7"/>
  <c r="U876" i="7"/>
  <c r="V876" i="7"/>
  <c r="W876" i="7"/>
  <c r="X876" i="7"/>
  <c r="Y876" i="7"/>
  <c r="Z876" i="7"/>
  <c r="AA876" i="7"/>
  <c r="AB876" i="7"/>
  <c r="E877" i="7"/>
  <c r="F877" i="7"/>
  <c r="G877" i="7"/>
  <c r="H877" i="7"/>
  <c r="I877" i="7"/>
  <c r="J877" i="7"/>
  <c r="K877" i="7"/>
  <c r="L877" i="7"/>
  <c r="M877" i="7"/>
  <c r="N877" i="7"/>
  <c r="O877" i="7"/>
  <c r="P877" i="7"/>
  <c r="Q877" i="7"/>
  <c r="R877" i="7"/>
  <c r="S877" i="7"/>
  <c r="T877" i="7"/>
  <c r="U877" i="7"/>
  <c r="V877" i="7"/>
  <c r="W877" i="7"/>
  <c r="X877" i="7"/>
  <c r="Y877" i="7"/>
  <c r="Z877" i="7"/>
  <c r="AA877" i="7"/>
  <c r="AB877" i="7"/>
  <c r="E878" i="7"/>
  <c r="F878" i="7"/>
  <c r="G878" i="7"/>
  <c r="H878" i="7"/>
  <c r="I878" i="7"/>
  <c r="J878" i="7"/>
  <c r="K878" i="7"/>
  <c r="L878" i="7"/>
  <c r="M878" i="7"/>
  <c r="N878" i="7"/>
  <c r="O878" i="7"/>
  <c r="P878" i="7"/>
  <c r="Q878" i="7"/>
  <c r="R878" i="7"/>
  <c r="S878" i="7"/>
  <c r="T878" i="7"/>
  <c r="U878" i="7"/>
  <c r="V878" i="7"/>
  <c r="W878" i="7"/>
  <c r="X878" i="7"/>
  <c r="Y878" i="7"/>
  <c r="Z878" i="7"/>
  <c r="AA878" i="7"/>
  <c r="AB878" i="7"/>
  <c r="E879" i="7"/>
  <c r="F879" i="7"/>
  <c r="G879" i="7"/>
  <c r="H879" i="7"/>
  <c r="I879" i="7"/>
  <c r="J879" i="7"/>
  <c r="K879" i="7"/>
  <c r="L879" i="7"/>
  <c r="M879" i="7"/>
  <c r="N879" i="7"/>
  <c r="O879" i="7"/>
  <c r="P879" i="7"/>
  <c r="Q879" i="7"/>
  <c r="R879" i="7"/>
  <c r="S879" i="7"/>
  <c r="T879" i="7"/>
  <c r="U879" i="7"/>
  <c r="V879" i="7"/>
  <c r="W879" i="7"/>
  <c r="X879" i="7"/>
  <c r="Y879" i="7"/>
  <c r="Z879" i="7"/>
  <c r="AA879" i="7"/>
  <c r="AB879" i="7"/>
  <c r="E880" i="7"/>
  <c r="F880" i="7"/>
  <c r="G880" i="7"/>
  <c r="H880" i="7"/>
  <c r="I880" i="7"/>
  <c r="J880" i="7"/>
  <c r="K880" i="7"/>
  <c r="L880" i="7"/>
  <c r="M880" i="7"/>
  <c r="N880" i="7"/>
  <c r="O880" i="7"/>
  <c r="P880" i="7"/>
  <c r="Q880" i="7"/>
  <c r="R880" i="7"/>
  <c r="S880" i="7"/>
  <c r="T880" i="7"/>
  <c r="U880" i="7"/>
  <c r="V880" i="7"/>
  <c r="W880" i="7"/>
  <c r="X880" i="7"/>
  <c r="Y880" i="7"/>
  <c r="Z880" i="7"/>
  <c r="AA880" i="7"/>
  <c r="AB880" i="7"/>
  <c r="E881" i="7"/>
  <c r="F881" i="7"/>
  <c r="G881" i="7"/>
  <c r="H881" i="7"/>
  <c r="I881" i="7"/>
  <c r="J881" i="7"/>
  <c r="K881" i="7"/>
  <c r="L881" i="7"/>
  <c r="M881" i="7"/>
  <c r="N881" i="7"/>
  <c r="O881" i="7"/>
  <c r="P881" i="7"/>
  <c r="Q881" i="7"/>
  <c r="R881" i="7"/>
  <c r="S881" i="7"/>
  <c r="T881" i="7"/>
  <c r="U881" i="7"/>
  <c r="V881" i="7"/>
  <c r="W881" i="7"/>
  <c r="X881" i="7"/>
  <c r="Y881" i="7"/>
  <c r="Z881" i="7"/>
  <c r="AA881" i="7"/>
  <c r="AB881" i="7"/>
  <c r="E882" i="7"/>
  <c r="F882" i="7"/>
  <c r="G882" i="7"/>
  <c r="H882" i="7"/>
  <c r="I882" i="7"/>
  <c r="J882" i="7"/>
  <c r="K882" i="7"/>
  <c r="L882" i="7"/>
  <c r="M882" i="7"/>
  <c r="N882" i="7"/>
  <c r="O882" i="7"/>
  <c r="P882" i="7"/>
  <c r="Q882" i="7"/>
  <c r="R882" i="7"/>
  <c r="S882" i="7"/>
  <c r="T882" i="7"/>
  <c r="U882" i="7"/>
  <c r="V882" i="7"/>
  <c r="W882" i="7"/>
  <c r="X882" i="7"/>
  <c r="Y882" i="7"/>
  <c r="Z882" i="7"/>
  <c r="AA882" i="7"/>
  <c r="AB882" i="7"/>
  <c r="E883" i="7"/>
  <c r="F883" i="7"/>
  <c r="G883" i="7"/>
  <c r="H883" i="7"/>
  <c r="I883" i="7"/>
  <c r="J883" i="7"/>
  <c r="K883" i="7"/>
  <c r="L883" i="7"/>
  <c r="M883" i="7"/>
  <c r="N883" i="7"/>
  <c r="O883" i="7"/>
  <c r="P883" i="7"/>
  <c r="Q883" i="7"/>
  <c r="R883" i="7"/>
  <c r="S883" i="7"/>
  <c r="T883" i="7"/>
  <c r="U883" i="7"/>
  <c r="V883" i="7"/>
  <c r="W883" i="7"/>
  <c r="X883" i="7"/>
  <c r="Y883" i="7"/>
  <c r="Z883" i="7"/>
  <c r="AA883" i="7"/>
  <c r="AB883" i="7"/>
  <c r="E884" i="7"/>
  <c r="F884" i="7"/>
  <c r="G884" i="7"/>
  <c r="H884" i="7"/>
  <c r="I884" i="7"/>
  <c r="J884" i="7"/>
  <c r="K884" i="7"/>
  <c r="L884" i="7"/>
  <c r="M884" i="7"/>
  <c r="N884" i="7"/>
  <c r="O884" i="7"/>
  <c r="P884" i="7"/>
  <c r="Q884" i="7"/>
  <c r="R884" i="7"/>
  <c r="S884" i="7"/>
  <c r="T884" i="7"/>
  <c r="U884" i="7"/>
  <c r="V884" i="7"/>
  <c r="W884" i="7"/>
  <c r="X884" i="7"/>
  <c r="Y884" i="7"/>
  <c r="Z884" i="7"/>
  <c r="AA884" i="7"/>
  <c r="AB884" i="7"/>
  <c r="E885" i="7"/>
  <c r="F885" i="7"/>
  <c r="G885" i="7"/>
  <c r="H885" i="7"/>
  <c r="I885" i="7"/>
  <c r="J885" i="7"/>
  <c r="K885" i="7"/>
  <c r="L885" i="7"/>
  <c r="M885" i="7"/>
  <c r="N885" i="7"/>
  <c r="O885" i="7"/>
  <c r="P885" i="7"/>
  <c r="Q885" i="7"/>
  <c r="R885" i="7"/>
  <c r="S885" i="7"/>
  <c r="T885" i="7"/>
  <c r="U885" i="7"/>
  <c r="V885" i="7"/>
  <c r="W885" i="7"/>
  <c r="X885" i="7"/>
  <c r="Y885" i="7"/>
  <c r="Z885" i="7"/>
  <c r="AA885" i="7"/>
  <c r="AB885" i="7"/>
  <c r="E886" i="7"/>
  <c r="F886" i="7"/>
  <c r="G886" i="7"/>
  <c r="H886" i="7"/>
  <c r="I886" i="7"/>
  <c r="J886" i="7"/>
  <c r="K886" i="7"/>
  <c r="L886" i="7"/>
  <c r="M886" i="7"/>
  <c r="N886" i="7"/>
  <c r="O886" i="7"/>
  <c r="P886" i="7"/>
  <c r="Q886" i="7"/>
  <c r="R886" i="7"/>
  <c r="S886" i="7"/>
  <c r="T886" i="7"/>
  <c r="U886" i="7"/>
  <c r="V886" i="7"/>
  <c r="W886" i="7"/>
  <c r="X886" i="7"/>
  <c r="Y886" i="7"/>
  <c r="Z886" i="7"/>
  <c r="AA886" i="7"/>
  <c r="AB886" i="7"/>
  <c r="E887" i="7"/>
  <c r="F887" i="7"/>
  <c r="G887" i="7"/>
  <c r="H887" i="7"/>
  <c r="I887" i="7"/>
  <c r="J887" i="7"/>
  <c r="K887" i="7"/>
  <c r="L887" i="7"/>
  <c r="M887" i="7"/>
  <c r="N887" i="7"/>
  <c r="O887" i="7"/>
  <c r="P887" i="7"/>
  <c r="Q887" i="7"/>
  <c r="R887" i="7"/>
  <c r="S887" i="7"/>
  <c r="T887" i="7"/>
  <c r="U887" i="7"/>
  <c r="V887" i="7"/>
  <c r="W887" i="7"/>
  <c r="X887" i="7"/>
  <c r="Y887" i="7"/>
  <c r="Z887" i="7"/>
  <c r="AA887" i="7"/>
  <c r="AB887" i="7"/>
  <c r="E888" i="7"/>
  <c r="F888" i="7"/>
  <c r="G888" i="7"/>
  <c r="H888" i="7"/>
  <c r="I888" i="7"/>
  <c r="J888" i="7"/>
  <c r="K888" i="7"/>
  <c r="L888" i="7"/>
  <c r="M888" i="7"/>
  <c r="N888" i="7"/>
  <c r="O888" i="7"/>
  <c r="P888" i="7"/>
  <c r="Q888" i="7"/>
  <c r="R888" i="7"/>
  <c r="S888" i="7"/>
  <c r="T888" i="7"/>
  <c r="U888" i="7"/>
  <c r="V888" i="7"/>
  <c r="W888" i="7"/>
  <c r="X888" i="7"/>
  <c r="Y888" i="7"/>
  <c r="Z888" i="7"/>
  <c r="AA888" i="7"/>
  <c r="AB888" i="7"/>
  <c r="E889" i="7"/>
  <c r="F889" i="7"/>
  <c r="G889" i="7"/>
  <c r="H889" i="7"/>
  <c r="I889" i="7"/>
  <c r="J889" i="7"/>
  <c r="K889" i="7"/>
  <c r="L889" i="7"/>
  <c r="M889" i="7"/>
  <c r="N889" i="7"/>
  <c r="O889" i="7"/>
  <c r="P889" i="7"/>
  <c r="Q889" i="7"/>
  <c r="R889" i="7"/>
  <c r="S889" i="7"/>
  <c r="T889" i="7"/>
  <c r="U889" i="7"/>
  <c r="V889" i="7"/>
  <c r="W889" i="7"/>
  <c r="X889" i="7"/>
  <c r="Y889" i="7"/>
  <c r="Z889" i="7"/>
  <c r="AA889" i="7"/>
  <c r="AB889" i="7"/>
  <c r="E890" i="7"/>
  <c r="F890" i="7"/>
  <c r="G890" i="7"/>
  <c r="H890" i="7"/>
  <c r="I890" i="7"/>
  <c r="J890" i="7"/>
  <c r="K890" i="7"/>
  <c r="L890" i="7"/>
  <c r="M890" i="7"/>
  <c r="N890" i="7"/>
  <c r="O890" i="7"/>
  <c r="P890" i="7"/>
  <c r="Q890" i="7"/>
  <c r="R890" i="7"/>
  <c r="S890" i="7"/>
  <c r="T890" i="7"/>
  <c r="U890" i="7"/>
  <c r="V890" i="7"/>
  <c r="W890" i="7"/>
  <c r="X890" i="7"/>
  <c r="Y890" i="7"/>
  <c r="Z890" i="7"/>
  <c r="AA890" i="7"/>
  <c r="AB890" i="7"/>
  <c r="E891" i="7"/>
  <c r="F891" i="7"/>
  <c r="G891" i="7"/>
  <c r="H891" i="7"/>
  <c r="I891" i="7"/>
  <c r="J891" i="7"/>
  <c r="K891" i="7"/>
  <c r="L891" i="7"/>
  <c r="M891" i="7"/>
  <c r="N891" i="7"/>
  <c r="O891" i="7"/>
  <c r="P891" i="7"/>
  <c r="Q891" i="7"/>
  <c r="R891" i="7"/>
  <c r="S891" i="7"/>
  <c r="T891" i="7"/>
  <c r="U891" i="7"/>
  <c r="V891" i="7"/>
  <c r="W891" i="7"/>
  <c r="X891" i="7"/>
  <c r="Y891" i="7"/>
  <c r="Z891" i="7"/>
  <c r="AA891" i="7"/>
  <c r="AB891" i="7"/>
  <c r="E892" i="7"/>
  <c r="F892" i="7"/>
  <c r="G892" i="7"/>
  <c r="H892" i="7"/>
  <c r="I892" i="7"/>
  <c r="J892" i="7"/>
  <c r="K892" i="7"/>
  <c r="L892" i="7"/>
  <c r="M892" i="7"/>
  <c r="N892" i="7"/>
  <c r="O892" i="7"/>
  <c r="P892" i="7"/>
  <c r="Q892" i="7"/>
  <c r="R892" i="7"/>
  <c r="S892" i="7"/>
  <c r="T892" i="7"/>
  <c r="U892" i="7"/>
  <c r="V892" i="7"/>
  <c r="W892" i="7"/>
  <c r="X892" i="7"/>
  <c r="Y892" i="7"/>
  <c r="Z892" i="7"/>
  <c r="AA892" i="7"/>
  <c r="AB892" i="7"/>
  <c r="E893" i="7"/>
  <c r="F893" i="7"/>
  <c r="G893" i="7"/>
  <c r="H893" i="7"/>
  <c r="I893" i="7"/>
  <c r="J893" i="7"/>
  <c r="K893" i="7"/>
  <c r="L893" i="7"/>
  <c r="M893" i="7"/>
  <c r="N893" i="7"/>
  <c r="O893" i="7"/>
  <c r="P893" i="7"/>
  <c r="Q893" i="7"/>
  <c r="R893" i="7"/>
  <c r="S893" i="7"/>
  <c r="T893" i="7"/>
  <c r="U893" i="7"/>
  <c r="V893" i="7"/>
  <c r="W893" i="7"/>
  <c r="X893" i="7"/>
  <c r="Y893" i="7"/>
  <c r="Z893" i="7"/>
  <c r="AA893" i="7"/>
  <c r="AB893" i="7"/>
  <c r="E894" i="7"/>
  <c r="F894" i="7"/>
  <c r="G894" i="7"/>
  <c r="H894" i="7"/>
  <c r="I894" i="7"/>
  <c r="J894" i="7"/>
  <c r="K894" i="7"/>
  <c r="L894" i="7"/>
  <c r="M894" i="7"/>
  <c r="N894" i="7"/>
  <c r="O894" i="7"/>
  <c r="P894" i="7"/>
  <c r="Q894" i="7"/>
  <c r="R894" i="7"/>
  <c r="S894" i="7"/>
  <c r="T894" i="7"/>
  <c r="U894" i="7"/>
  <c r="V894" i="7"/>
  <c r="W894" i="7"/>
  <c r="X894" i="7"/>
  <c r="Y894" i="7"/>
  <c r="Z894" i="7"/>
  <c r="AA894" i="7"/>
  <c r="AB894" i="7"/>
  <c r="E895" i="7"/>
  <c r="F895" i="7"/>
  <c r="G895" i="7"/>
  <c r="H895" i="7"/>
  <c r="I895" i="7"/>
  <c r="J895" i="7"/>
  <c r="K895" i="7"/>
  <c r="L895" i="7"/>
  <c r="M895" i="7"/>
  <c r="N895" i="7"/>
  <c r="O895" i="7"/>
  <c r="P895" i="7"/>
  <c r="Q895" i="7"/>
  <c r="R895" i="7"/>
  <c r="S895" i="7"/>
  <c r="T895" i="7"/>
  <c r="U895" i="7"/>
  <c r="V895" i="7"/>
  <c r="W895" i="7"/>
  <c r="X895" i="7"/>
  <c r="Y895" i="7"/>
  <c r="Z895" i="7"/>
  <c r="AA895" i="7"/>
  <c r="AB895" i="7"/>
  <c r="E896" i="7"/>
  <c r="F896" i="7"/>
  <c r="G896" i="7"/>
  <c r="H896" i="7"/>
  <c r="I896" i="7"/>
  <c r="J896" i="7"/>
  <c r="K896" i="7"/>
  <c r="L896" i="7"/>
  <c r="M896" i="7"/>
  <c r="N896" i="7"/>
  <c r="O896" i="7"/>
  <c r="P896" i="7"/>
  <c r="Q896" i="7"/>
  <c r="R896" i="7"/>
  <c r="S896" i="7"/>
  <c r="T896" i="7"/>
  <c r="U896" i="7"/>
  <c r="V896" i="7"/>
  <c r="W896" i="7"/>
  <c r="X896" i="7"/>
  <c r="Y896" i="7"/>
  <c r="Z896" i="7"/>
  <c r="AA896" i="7"/>
  <c r="AB896" i="7"/>
  <c r="E897" i="7"/>
  <c r="F897" i="7"/>
  <c r="G897" i="7"/>
  <c r="H897" i="7"/>
  <c r="I897" i="7"/>
  <c r="J897" i="7"/>
  <c r="K897" i="7"/>
  <c r="L897" i="7"/>
  <c r="M897" i="7"/>
  <c r="N897" i="7"/>
  <c r="O897" i="7"/>
  <c r="P897" i="7"/>
  <c r="Q897" i="7"/>
  <c r="R897" i="7"/>
  <c r="S897" i="7"/>
  <c r="T897" i="7"/>
  <c r="U897" i="7"/>
  <c r="V897" i="7"/>
  <c r="W897" i="7"/>
  <c r="X897" i="7"/>
  <c r="Y897" i="7"/>
  <c r="Z897" i="7"/>
  <c r="AA897" i="7"/>
  <c r="AB897" i="7"/>
  <c r="E898" i="7"/>
  <c r="F898" i="7"/>
  <c r="G898" i="7"/>
  <c r="H898" i="7"/>
  <c r="I898" i="7"/>
  <c r="J898" i="7"/>
  <c r="K898" i="7"/>
  <c r="L898" i="7"/>
  <c r="M898" i="7"/>
  <c r="N898" i="7"/>
  <c r="O898" i="7"/>
  <c r="P898" i="7"/>
  <c r="Q898" i="7"/>
  <c r="R898" i="7"/>
  <c r="S898" i="7"/>
  <c r="T898" i="7"/>
  <c r="U898" i="7"/>
  <c r="V898" i="7"/>
  <c r="W898" i="7"/>
  <c r="X898" i="7"/>
  <c r="Y898" i="7"/>
  <c r="Z898" i="7"/>
  <c r="AA898" i="7"/>
  <c r="AB898" i="7"/>
  <c r="E899" i="7"/>
  <c r="F899" i="7"/>
  <c r="G899" i="7"/>
  <c r="H899" i="7"/>
  <c r="I899" i="7"/>
  <c r="J899" i="7"/>
  <c r="K899" i="7"/>
  <c r="L899" i="7"/>
  <c r="M899" i="7"/>
  <c r="N899" i="7"/>
  <c r="O899" i="7"/>
  <c r="P899" i="7"/>
  <c r="Q899" i="7"/>
  <c r="R899" i="7"/>
  <c r="S899" i="7"/>
  <c r="T899" i="7"/>
  <c r="U899" i="7"/>
  <c r="V899" i="7"/>
  <c r="W899" i="7"/>
  <c r="X899" i="7"/>
  <c r="Y899" i="7"/>
  <c r="Z899" i="7"/>
  <c r="AA899" i="7"/>
  <c r="AB899" i="7"/>
  <c r="E900" i="7"/>
  <c r="F900" i="7"/>
  <c r="G900" i="7"/>
  <c r="H900" i="7"/>
  <c r="I900" i="7"/>
  <c r="J900" i="7"/>
  <c r="K900" i="7"/>
  <c r="L900" i="7"/>
  <c r="M900" i="7"/>
  <c r="N900" i="7"/>
  <c r="O900" i="7"/>
  <c r="P900" i="7"/>
  <c r="Q900" i="7"/>
  <c r="R900" i="7"/>
  <c r="S900" i="7"/>
  <c r="T900" i="7"/>
  <c r="U900" i="7"/>
  <c r="V900" i="7"/>
  <c r="W900" i="7"/>
  <c r="X900" i="7"/>
  <c r="Y900" i="7"/>
  <c r="Z900" i="7"/>
  <c r="AA900" i="7"/>
  <c r="AB900" i="7"/>
  <c r="E901" i="7"/>
  <c r="F901" i="7"/>
  <c r="G901" i="7"/>
  <c r="H901" i="7"/>
  <c r="I901" i="7"/>
  <c r="J901" i="7"/>
  <c r="K901" i="7"/>
  <c r="L901" i="7"/>
  <c r="M901" i="7"/>
  <c r="N901" i="7"/>
  <c r="O901" i="7"/>
  <c r="P901" i="7"/>
  <c r="Q901" i="7"/>
  <c r="R901" i="7"/>
  <c r="S901" i="7"/>
  <c r="T901" i="7"/>
  <c r="U901" i="7"/>
  <c r="V901" i="7"/>
  <c r="W901" i="7"/>
  <c r="X901" i="7"/>
  <c r="Y901" i="7"/>
  <c r="Z901" i="7"/>
  <c r="AA901" i="7"/>
  <c r="AB901" i="7"/>
  <c r="E902" i="7"/>
  <c r="F902" i="7"/>
  <c r="G902" i="7"/>
  <c r="H902" i="7"/>
  <c r="I902" i="7"/>
  <c r="J902" i="7"/>
  <c r="K902" i="7"/>
  <c r="L902" i="7"/>
  <c r="M902" i="7"/>
  <c r="N902" i="7"/>
  <c r="O902" i="7"/>
  <c r="P902" i="7"/>
  <c r="Q902" i="7"/>
  <c r="R902" i="7"/>
  <c r="S902" i="7"/>
  <c r="T902" i="7"/>
  <c r="U902" i="7"/>
  <c r="V902" i="7"/>
  <c r="W902" i="7"/>
  <c r="X902" i="7"/>
  <c r="Y902" i="7"/>
  <c r="Z902" i="7"/>
  <c r="AA902" i="7"/>
  <c r="AB902" i="7"/>
  <c r="E903" i="7"/>
  <c r="F903" i="7"/>
  <c r="G903" i="7"/>
  <c r="H903" i="7"/>
  <c r="I903" i="7"/>
  <c r="J903" i="7"/>
  <c r="K903" i="7"/>
  <c r="L903" i="7"/>
  <c r="M903" i="7"/>
  <c r="N903" i="7"/>
  <c r="O903" i="7"/>
  <c r="P903" i="7"/>
  <c r="Q903" i="7"/>
  <c r="R903" i="7"/>
  <c r="S903" i="7"/>
  <c r="T903" i="7"/>
  <c r="U903" i="7"/>
  <c r="V903" i="7"/>
  <c r="W903" i="7"/>
  <c r="X903" i="7"/>
  <c r="Y903" i="7"/>
  <c r="Z903" i="7"/>
  <c r="AA903" i="7"/>
  <c r="AB903" i="7"/>
  <c r="E904" i="7"/>
  <c r="F904" i="7"/>
  <c r="G904" i="7"/>
  <c r="H904" i="7"/>
  <c r="I904" i="7"/>
  <c r="J904" i="7"/>
  <c r="K904" i="7"/>
  <c r="L904" i="7"/>
  <c r="M904" i="7"/>
  <c r="N904" i="7"/>
  <c r="O904" i="7"/>
  <c r="P904" i="7"/>
  <c r="Q904" i="7"/>
  <c r="R904" i="7"/>
  <c r="S904" i="7"/>
  <c r="T904" i="7"/>
  <c r="U904" i="7"/>
  <c r="V904" i="7"/>
  <c r="W904" i="7"/>
  <c r="X904" i="7"/>
  <c r="Y904" i="7"/>
  <c r="Z904" i="7"/>
  <c r="AA904" i="7"/>
  <c r="AB904" i="7"/>
  <c r="E905" i="7"/>
  <c r="F905" i="7"/>
  <c r="G905" i="7"/>
  <c r="H905" i="7"/>
  <c r="I905" i="7"/>
  <c r="J905" i="7"/>
  <c r="K905" i="7"/>
  <c r="L905" i="7"/>
  <c r="M905" i="7"/>
  <c r="N905" i="7"/>
  <c r="O905" i="7"/>
  <c r="P905" i="7"/>
  <c r="Q905" i="7"/>
  <c r="R905" i="7"/>
  <c r="S905" i="7"/>
  <c r="T905" i="7"/>
  <c r="U905" i="7"/>
  <c r="V905" i="7"/>
  <c r="W905" i="7"/>
  <c r="X905" i="7"/>
  <c r="Y905" i="7"/>
  <c r="Z905" i="7"/>
  <c r="AA905" i="7"/>
  <c r="AB905" i="7"/>
  <c r="E906" i="7"/>
  <c r="F906" i="7"/>
  <c r="G906" i="7"/>
  <c r="H906" i="7"/>
  <c r="I906" i="7"/>
  <c r="J906" i="7"/>
  <c r="K906" i="7"/>
  <c r="L906" i="7"/>
  <c r="M906" i="7"/>
  <c r="N906" i="7"/>
  <c r="O906" i="7"/>
  <c r="P906" i="7"/>
  <c r="Q906" i="7"/>
  <c r="R906" i="7"/>
  <c r="S906" i="7"/>
  <c r="T906" i="7"/>
  <c r="U906" i="7"/>
  <c r="V906" i="7"/>
  <c r="W906" i="7"/>
  <c r="X906" i="7"/>
  <c r="Y906" i="7"/>
  <c r="Z906" i="7"/>
  <c r="AA906" i="7"/>
  <c r="AB906" i="7"/>
  <c r="E907" i="7"/>
  <c r="F907" i="7"/>
  <c r="G907" i="7"/>
  <c r="H907" i="7"/>
  <c r="I907" i="7"/>
  <c r="J907" i="7"/>
  <c r="K907" i="7"/>
  <c r="L907" i="7"/>
  <c r="M907" i="7"/>
  <c r="N907" i="7"/>
  <c r="O907" i="7"/>
  <c r="P907" i="7"/>
  <c r="Q907" i="7"/>
  <c r="R907" i="7"/>
  <c r="S907" i="7"/>
  <c r="T907" i="7"/>
  <c r="U907" i="7"/>
  <c r="V907" i="7"/>
  <c r="W907" i="7"/>
  <c r="X907" i="7"/>
  <c r="Y907" i="7"/>
  <c r="Z907" i="7"/>
  <c r="AA907" i="7"/>
  <c r="AB907" i="7"/>
  <c r="E908" i="7"/>
  <c r="F908" i="7"/>
  <c r="G908" i="7"/>
  <c r="H908" i="7"/>
  <c r="I908" i="7"/>
  <c r="J908" i="7"/>
  <c r="K908" i="7"/>
  <c r="L908" i="7"/>
  <c r="M908" i="7"/>
  <c r="N908" i="7"/>
  <c r="O908" i="7"/>
  <c r="P908" i="7"/>
  <c r="Q908" i="7"/>
  <c r="R908" i="7"/>
  <c r="S908" i="7"/>
  <c r="T908" i="7"/>
  <c r="U908" i="7"/>
  <c r="V908" i="7"/>
  <c r="W908" i="7"/>
  <c r="X908" i="7"/>
  <c r="Y908" i="7"/>
  <c r="Z908" i="7"/>
  <c r="AA908" i="7"/>
  <c r="AB908" i="7"/>
  <c r="E909" i="7"/>
  <c r="F909" i="7"/>
  <c r="G909" i="7"/>
  <c r="H909" i="7"/>
  <c r="I909" i="7"/>
  <c r="J909" i="7"/>
  <c r="K909" i="7"/>
  <c r="L909" i="7"/>
  <c r="M909" i="7"/>
  <c r="N909" i="7"/>
  <c r="O909" i="7"/>
  <c r="P909" i="7"/>
  <c r="Q909" i="7"/>
  <c r="R909" i="7"/>
  <c r="S909" i="7"/>
  <c r="T909" i="7"/>
  <c r="U909" i="7"/>
  <c r="V909" i="7"/>
  <c r="W909" i="7"/>
  <c r="X909" i="7"/>
  <c r="Y909" i="7"/>
  <c r="Z909" i="7"/>
  <c r="AA909" i="7"/>
  <c r="AB909" i="7"/>
  <c r="E910" i="7"/>
  <c r="F910" i="7"/>
  <c r="G910" i="7"/>
  <c r="H910" i="7"/>
  <c r="I910" i="7"/>
  <c r="J910" i="7"/>
  <c r="K910" i="7"/>
  <c r="L910" i="7"/>
  <c r="M910" i="7"/>
  <c r="N910" i="7"/>
  <c r="O910" i="7"/>
  <c r="P910" i="7"/>
  <c r="Q910" i="7"/>
  <c r="R910" i="7"/>
  <c r="S910" i="7"/>
  <c r="T910" i="7"/>
  <c r="U910" i="7"/>
  <c r="V910" i="7"/>
  <c r="W910" i="7"/>
  <c r="X910" i="7"/>
  <c r="Y910" i="7"/>
  <c r="Z910" i="7"/>
  <c r="AA910" i="7"/>
  <c r="AB910" i="7"/>
  <c r="E911" i="7"/>
  <c r="F911" i="7"/>
  <c r="G911" i="7"/>
  <c r="H911" i="7"/>
  <c r="I911" i="7"/>
  <c r="J911" i="7"/>
  <c r="K911" i="7"/>
  <c r="L911" i="7"/>
  <c r="M911" i="7"/>
  <c r="N911" i="7"/>
  <c r="O911" i="7"/>
  <c r="P911" i="7"/>
  <c r="Q911" i="7"/>
  <c r="R911" i="7"/>
  <c r="S911" i="7"/>
  <c r="T911" i="7"/>
  <c r="U911" i="7"/>
  <c r="V911" i="7"/>
  <c r="W911" i="7"/>
  <c r="X911" i="7"/>
  <c r="Y911" i="7"/>
  <c r="Z911" i="7"/>
  <c r="AA911" i="7"/>
  <c r="AB911" i="7"/>
  <c r="E912" i="7"/>
  <c r="F912" i="7"/>
  <c r="G912" i="7"/>
  <c r="H912" i="7"/>
  <c r="I912" i="7"/>
  <c r="J912" i="7"/>
  <c r="K912" i="7"/>
  <c r="L912" i="7"/>
  <c r="M912" i="7"/>
  <c r="N912" i="7"/>
  <c r="O912" i="7"/>
  <c r="P912" i="7"/>
  <c r="Q912" i="7"/>
  <c r="R912" i="7"/>
  <c r="S912" i="7"/>
  <c r="T912" i="7"/>
  <c r="U912" i="7"/>
  <c r="V912" i="7"/>
  <c r="W912" i="7"/>
  <c r="X912" i="7"/>
  <c r="Y912" i="7"/>
  <c r="Z912" i="7"/>
  <c r="AA912" i="7"/>
  <c r="AB912" i="7"/>
  <c r="E913" i="7"/>
  <c r="F913" i="7"/>
  <c r="G913" i="7"/>
  <c r="H913" i="7"/>
  <c r="I913" i="7"/>
  <c r="J913" i="7"/>
  <c r="K913" i="7"/>
  <c r="L913" i="7"/>
  <c r="M913" i="7"/>
  <c r="N913" i="7"/>
  <c r="O913" i="7"/>
  <c r="P913" i="7"/>
  <c r="Q913" i="7"/>
  <c r="R913" i="7"/>
  <c r="S913" i="7"/>
  <c r="T913" i="7"/>
  <c r="U913" i="7"/>
  <c r="V913" i="7"/>
  <c r="W913" i="7"/>
  <c r="X913" i="7"/>
  <c r="Y913" i="7"/>
  <c r="Z913" i="7"/>
  <c r="AA913" i="7"/>
  <c r="AB913" i="7"/>
  <c r="E914" i="7"/>
  <c r="F914" i="7"/>
  <c r="G914" i="7"/>
  <c r="H914" i="7"/>
  <c r="I914" i="7"/>
  <c r="J914" i="7"/>
  <c r="K914" i="7"/>
  <c r="L914" i="7"/>
  <c r="M914" i="7"/>
  <c r="N914" i="7"/>
  <c r="O914" i="7"/>
  <c r="P914" i="7"/>
  <c r="Q914" i="7"/>
  <c r="R914" i="7"/>
  <c r="S914" i="7"/>
  <c r="T914" i="7"/>
  <c r="U914" i="7"/>
  <c r="V914" i="7"/>
  <c r="W914" i="7"/>
  <c r="X914" i="7"/>
  <c r="Y914" i="7"/>
  <c r="Z914" i="7"/>
  <c r="AA914" i="7"/>
  <c r="AB914" i="7"/>
  <c r="E915" i="7"/>
  <c r="F915" i="7"/>
  <c r="G915" i="7"/>
  <c r="H915" i="7"/>
  <c r="I915" i="7"/>
  <c r="J915" i="7"/>
  <c r="K915" i="7"/>
  <c r="L915" i="7"/>
  <c r="M915" i="7"/>
  <c r="N915" i="7"/>
  <c r="O915" i="7"/>
  <c r="P915" i="7"/>
  <c r="Q915" i="7"/>
  <c r="R915" i="7"/>
  <c r="S915" i="7"/>
  <c r="T915" i="7"/>
  <c r="U915" i="7"/>
  <c r="V915" i="7"/>
  <c r="W915" i="7"/>
  <c r="X915" i="7"/>
  <c r="Y915" i="7"/>
  <c r="Z915" i="7"/>
  <c r="AA915" i="7"/>
  <c r="AB915" i="7"/>
  <c r="E916" i="7"/>
  <c r="F916" i="7"/>
  <c r="G916" i="7"/>
  <c r="H916" i="7"/>
  <c r="I916" i="7"/>
  <c r="J916" i="7"/>
  <c r="K916" i="7"/>
  <c r="L916" i="7"/>
  <c r="M916" i="7"/>
  <c r="N916" i="7"/>
  <c r="O916" i="7"/>
  <c r="P916" i="7"/>
  <c r="Q916" i="7"/>
  <c r="R916" i="7"/>
  <c r="S916" i="7"/>
  <c r="T916" i="7"/>
  <c r="U916" i="7"/>
  <c r="V916" i="7"/>
  <c r="W916" i="7"/>
  <c r="X916" i="7"/>
  <c r="Y916" i="7"/>
  <c r="Z916" i="7"/>
  <c r="AA916" i="7"/>
  <c r="AB916" i="7"/>
  <c r="E917" i="7"/>
  <c r="F917" i="7"/>
  <c r="G917" i="7"/>
  <c r="H917" i="7"/>
  <c r="I917" i="7"/>
  <c r="J917" i="7"/>
  <c r="K917" i="7"/>
  <c r="L917" i="7"/>
  <c r="M917" i="7"/>
  <c r="N917" i="7"/>
  <c r="O917" i="7"/>
  <c r="P917" i="7"/>
  <c r="Q917" i="7"/>
  <c r="R917" i="7"/>
  <c r="S917" i="7"/>
  <c r="T917" i="7"/>
  <c r="U917" i="7"/>
  <c r="V917" i="7"/>
  <c r="W917" i="7"/>
  <c r="X917" i="7"/>
  <c r="Y917" i="7"/>
  <c r="Z917" i="7"/>
  <c r="AA917" i="7"/>
  <c r="AB917" i="7"/>
  <c r="E918" i="7"/>
  <c r="F918" i="7"/>
  <c r="G918" i="7"/>
  <c r="H918" i="7"/>
  <c r="I918" i="7"/>
  <c r="J918" i="7"/>
  <c r="K918" i="7"/>
  <c r="L918" i="7"/>
  <c r="M918" i="7"/>
  <c r="N918" i="7"/>
  <c r="O918" i="7"/>
  <c r="P918" i="7"/>
  <c r="Q918" i="7"/>
  <c r="R918" i="7"/>
  <c r="S918" i="7"/>
  <c r="T918" i="7"/>
  <c r="U918" i="7"/>
  <c r="V918" i="7"/>
  <c r="W918" i="7"/>
  <c r="X918" i="7"/>
  <c r="Y918" i="7"/>
  <c r="Z918" i="7"/>
  <c r="AA918" i="7"/>
  <c r="AB918" i="7"/>
  <c r="E919" i="7"/>
  <c r="F919" i="7"/>
  <c r="G919" i="7"/>
  <c r="H919" i="7"/>
  <c r="I919" i="7"/>
  <c r="J919" i="7"/>
  <c r="K919" i="7"/>
  <c r="L919" i="7"/>
  <c r="M919" i="7"/>
  <c r="N919" i="7"/>
  <c r="O919" i="7"/>
  <c r="P919" i="7"/>
  <c r="Q919" i="7"/>
  <c r="R919" i="7"/>
  <c r="S919" i="7"/>
  <c r="T919" i="7"/>
  <c r="U919" i="7"/>
  <c r="V919" i="7"/>
  <c r="W919" i="7"/>
  <c r="X919" i="7"/>
  <c r="Y919" i="7"/>
  <c r="Z919" i="7"/>
  <c r="AA919" i="7"/>
  <c r="AB919" i="7"/>
  <c r="E920" i="7"/>
  <c r="F920" i="7"/>
  <c r="G920" i="7"/>
  <c r="H920" i="7"/>
  <c r="I920" i="7"/>
  <c r="J920" i="7"/>
  <c r="K920" i="7"/>
  <c r="L920" i="7"/>
  <c r="M920" i="7"/>
  <c r="N920" i="7"/>
  <c r="O920" i="7"/>
  <c r="P920" i="7"/>
  <c r="Q920" i="7"/>
  <c r="R920" i="7"/>
  <c r="S920" i="7"/>
  <c r="T920" i="7"/>
  <c r="U920" i="7"/>
  <c r="V920" i="7"/>
  <c r="W920" i="7"/>
  <c r="X920" i="7"/>
  <c r="Y920" i="7"/>
  <c r="Z920" i="7"/>
  <c r="AA920" i="7"/>
  <c r="AB920" i="7"/>
  <c r="E921" i="7"/>
  <c r="F921" i="7"/>
  <c r="G921" i="7"/>
  <c r="H921" i="7"/>
  <c r="I921" i="7"/>
  <c r="J921" i="7"/>
  <c r="K921" i="7"/>
  <c r="L921" i="7"/>
  <c r="M921" i="7"/>
  <c r="N921" i="7"/>
  <c r="O921" i="7"/>
  <c r="P921" i="7"/>
  <c r="Q921" i="7"/>
  <c r="R921" i="7"/>
  <c r="S921" i="7"/>
  <c r="T921" i="7"/>
  <c r="U921" i="7"/>
  <c r="V921" i="7"/>
  <c r="W921" i="7"/>
  <c r="X921" i="7"/>
  <c r="Y921" i="7"/>
  <c r="Z921" i="7"/>
  <c r="AA921" i="7"/>
  <c r="AB921" i="7"/>
  <c r="E922" i="7"/>
  <c r="F922" i="7"/>
  <c r="G922" i="7"/>
  <c r="H922" i="7"/>
  <c r="I922" i="7"/>
  <c r="J922" i="7"/>
  <c r="K922" i="7"/>
  <c r="L922" i="7"/>
  <c r="M922" i="7"/>
  <c r="N922" i="7"/>
  <c r="O922" i="7"/>
  <c r="P922" i="7"/>
  <c r="Q922" i="7"/>
  <c r="R922" i="7"/>
  <c r="S922" i="7"/>
  <c r="T922" i="7"/>
  <c r="U922" i="7"/>
  <c r="V922" i="7"/>
  <c r="W922" i="7"/>
  <c r="X922" i="7"/>
  <c r="Y922" i="7"/>
  <c r="Z922" i="7"/>
  <c r="AA922" i="7"/>
  <c r="AB922" i="7"/>
  <c r="E923" i="7"/>
  <c r="F923" i="7"/>
  <c r="G923" i="7"/>
  <c r="H923" i="7"/>
  <c r="I923" i="7"/>
  <c r="J923" i="7"/>
  <c r="K923" i="7"/>
  <c r="L923" i="7"/>
  <c r="M923" i="7"/>
  <c r="N923" i="7"/>
  <c r="O923" i="7"/>
  <c r="P923" i="7"/>
  <c r="Q923" i="7"/>
  <c r="R923" i="7"/>
  <c r="S923" i="7"/>
  <c r="T923" i="7"/>
  <c r="U923" i="7"/>
  <c r="V923" i="7"/>
  <c r="W923" i="7"/>
  <c r="X923" i="7"/>
  <c r="Y923" i="7"/>
  <c r="Z923" i="7"/>
  <c r="AA923" i="7"/>
  <c r="AB923" i="7"/>
  <c r="E924" i="7"/>
  <c r="F924" i="7"/>
  <c r="G924" i="7"/>
  <c r="H924" i="7"/>
  <c r="I924" i="7"/>
  <c r="J924" i="7"/>
  <c r="K924" i="7"/>
  <c r="L924" i="7"/>
  <c r="M924" i="7"/>
  <c r="N924" i="7"/>
  <c r="O924" i="7"/>
  <c r="P924" i="7"/>
  <c r="Q924" i="7"/>
  <c r="R924" i="7"/>
  <c r="S924" i="7"/>
  <c r="T924" i="7"/>
  <c r="U924" i="7"/>
  <c r="V924" i="7"/>
  <c r="W924" i="7"/>
  <c r="X924" i="7"/>
  <c r="Y924" i="7"/>
  <c r="Z924" i="7"/>
  <c r="AA924" i="7"/>
  <c r="AB924" i="7"/>
  <c r="E925" i="7"/>
  <c r="F925" i="7"/>
  <c r="G925" i="7"/>
  <c r="H925" i="7"/>
  <c r="I925" i="7"/>
  <c r="J925" i="7"/>
  <c r="K925" i="7"/>
  <c r="L925" i="7"/>
  <c r="M925" i="7"/>
  <c r="N925" i="7"/>
  <c r="O925" i="7"/>
  <c r="P925" i="7"/>
  <c r="Q925" i="7"/>
  <c r="R925" i="7"/>
  <c r="S925" i="7"/>
  <c r="T925" i="7"/>
  <c r="U925" i="7"/>
  <c r="V925" i="7"/>
  <c r="W925" i="7"/>
  <c r="X925" i="7"/>
  <c r="Y925" i="7"/>
  <c r="Z925" i="7"/>
  <c r="AA925" i="7"/>
  <c r="AB925" i="7"/>
  <c r="E926" i="7"/>
  <c r="F926" i="7"/>
  <c r="G926" i="7"/>
  <c r="H926" i="7"/>
  <c r="I926" i="7"/>
  <c r="J926" i="7"/>
  <c r="K926" i="7"/>
  <c r="L926" i="7"/>
  <c r="M926" i="7"/>
  <c r="N926" i="7"/>
  <c r="O926" i="7"/>
  <c r="P926" i="7"/>
  <c r="Q926" i="7"/>
  <c r="R926" i="7"/>
  <c r="S926" i="7"/>
  <c r="T926" i="7"/>
  <c r="U926" i="7"/>
  <c r="V926" i="7"/>
  <c r="W926" i="7"/>
  <c r="X926" i="7"/>
  <c r="Y926" i="7"/>
  <c r="Z926" i="7"/>
  <c r="AA926" i="7"/>
  <c r="AB926" i="7"/>
  <c r="E927" i="7"/>
  <c r="F927" i="7"/>
  <c r="G927" i="7"/>
  <c r="H927" i="7"/>
  <c r="I927" i="7"/>
  <c r="J927" i="7"/>
  <c r="K927" i="7"/>
  <c r="L927" i="7"/>
  <c r="M927" i="7"/>
  <c r="N927" i="7"/>
  <c r="O927" i="7"/>
  <c r="P927" i="7"/>
  <c r="Q927" i="7"/>
  <c r="R927" i="7"/>
  <c r="S927" i="7"/>
  <c r="T927" i="7"/>
  <c r="U927" i="7"/>
  <c r="V927" i="7"/>
  <c r="W927" i="7"/>
  <c r="X927" i="7"/>
  <c r="Y927" i="7"/>
  <c r="Z927" i="7"/>
  <c r="AA927" i="7"/>
  <c r="AB927" i="7"/>
  <c r="E928" i="7"/>
  <c r="F928" i="7"/>
  <c r="G928" i="7"/>
  <c r="H928" i="7"/>
  <c r="I928" i="7"/>
  <c r="J928" i="7"/>
  <c r="K928" i="7"/>
  <c r="L928" i="7"/>
  <c r="M928" i="7"/>
  <c r="N928" i="7"/>
  <c r="O928" i="7"/>
  <c r="P928" i="7"/>
  <c r="Q928" i="7"/>
  <c r="R928" i="7"/>
  <c r="S928" i="7"/>
  <c r="T928" i="7"/>
  <c r="U928" i="7"/>
  <c r="V928" i="7"/>
  <c r="W928" i="7"/>
  <c r="X928" i="7"/>
  <c r="Y928" i="7"/>
  <c r="Z928" i="7"/>
  <c r="AA928" i="7"/>
  <c r="AB928" i="7"/>
  <c r="E929" i="7"/>
  <c r="F929" i="7"/>
  <c r="G929" i="7"/>
  <c r="H929" i="7"/>
  <c r="I929" i="7"/>
  <c r="J929" i="7"/>
  <c r="K929" i="7"/>
  <c r="L929" i="7"/>
  <c r="M929" i="7"/>
  <c r="N929" i="7"/>
  <c r="O929" i="7"/>
  <c r="P929" i="7"/>
  <c r="Q929" i="7"/>
  <c r="R929" i="7"/>
  <c r="S929" i="7"/>
  <c r="T929" i="7"/>
  <c r="U929" i="7"/>
  <c r="V929" i="7"/>
  <c r="W929" i="7"/>
  <c r="X929" i="7"/>
  <c r="Y929" i="7"/>
  <c r="Z929" i="7"/>
  <c r="AA929" i="7"/>
  <c r="AB929" i="7"/>
  <c r="E930" i="7"/>
  <c r="F930" i="7"/>
  <c r="G930" i="7"/>
  <c r="H930" i="7"/>
  <c r="I930" i="7"/>
  <c r="J930" i="7"/>
  <c r="K930" i="7"/>
  <c r="L930" i="7"/>
  <c r="M930" i="7"/>
  <c r="N930" i="7"/>
  <c r="O930" i="7"/>
  <c r="P930" i="7"/>
  <c r="Q930" i="7"/>
  <c r="R930" i="7"/>
  <c r="S930" i="7"/>
  <c r="T930" i="7"/>
  <c r="U930" i="7"/>
  <c r="V930" i="7"/>
  <c r="W930" i="7"/>
  <c r="X930" i="7"/>
  <c r="Y930" i="7"/>
  <c r="Z930" i="7"/>
  <c r="AA930" i="7"/>
  <c r="AB930" i="7"/>
  <c r="E931" i="7"/>
  <c r="F931" i="7"/>
  <c r="G931" i="7"/>
  <c r="H931" i="7"/>
  <c r="I931" i="7"/>
  <c r="J931" i="7"/>
  <c r="K931" i="7"/>
  <c r="L931" i="7"/>
  <c r="M931" i="7"/>
  <c r="N931" i="7"/>
  <c r="O931" i="7"/>
  <c r="P931" i="7"/>
  <c r="Q931" i="7"/>
  <c r="R931" i="7"/>
  <c r="S931" i="7"/>
  <c r="T931" i="7"/>
  <c r="U931" i="7"/>
  <c r="V931" i="7"/>
  <c r="W931" i="7"/>
  <c r="X931" i="7"/>
  <c r="Y931" i="7"/>
  <c r="Z931" i="7"/>
  <c r="AA931" i="7"/>
  <c r="AB931" i="7"/>
  <c r="E932" i="7"/>
  <c r="F932" i="7"/>
  <c r="G932" i="7"/>
  <c r="H932" i="7"/>
  <c r="I932" i="7"/>
  <c r="J932" i="7"/>
  <c r="K932" i="7"/>
  <c r="L932" i="7"/>
  <c r="M932" i="7"/>
  <c r="N932" i="7"/>
  <c r="O932" i="7"/>
  <c r="P932" i="7"/>
  <c r="Q932" i="7"/>
  <c r="R932" i="7"/>
  <c r="S932" i="7"/>
  <c r="T932" i="7"/>
  <c r="U932" i="7"/>
  <c r="V932" i="7"/>
  <c r="W932" i="7"/>
  <c r="X932" i="7"/>
  <c r="Y932" i="7"/>
  <c r="Z932" i="7"/>
  <c r="AA932" i="7"/>
  <c r="AB932" i="7"/>
  <c r="E933" i="7"/>
  <c r="F933" i="7"/>
  <c r="G933" i="7"/>
  <c r="H933" i="7"/>
  <c r="I933" i="7"/>
  <c r="J933" i="7"/>
  <c r="K933" i="7"/>
  <c r="L933" i="7"/>
  <c r="M933" i="7"/>
  <c r="N933" i="7"/>
  <c r="O933" i="7"/>
  <c r="P933" i="7"/>
  <c r="Q933" i="7"/>
  <c r="R933" i="7"/>
  <c r="S933" i="7"/>
  <c r="T933" i="7"/>
  <c r="U933" i="7"/>
  <c r="V933" i="7"/>
  <c r="W933" i="7"/>
  <c r="X933" i="7"/>
  <c r="Y933" i="7"/>
  <c r="Z933" i="7"/>
  <c r="AA933" i="7"/>
  <c r="AB933" i="7"/>
  <c r="E934" i="7"/>
  <c r="F934" i="7"/>
  <c r="G934" i="7"/>
  <c r="H934" i="7"/>
  <c r="I934" i="7"/>
  <c r="J934" i="7"/>
  <c r="K934" i="7"/>
  <c r="L934" i="7"/>
  <c r="M934" i="7"/>
  <c r="N934" i="7"/>
  <c r="O934" i="7"/>
  <c r="P934" i="7"/>
  <c r="Q934" i="7"/>
  <c r="R934" i="7"/>
  <c r="S934" i="7"/>
  <c r="T934" i="7"/>
  <c r="U934" i="7"/>
  <c r="V934" i="7"/>
  <c r="W934" i="7"/>
  <c r="X934" i="7"/>
  <c r="Y934" i="7"/>
  <c r="Z934" i="7"/>
  <c r="AA934" i="7"/>
  <c r="AB934" i="7"/>
  <c r="E935" i="7"/>
  <c r="F935" i="7"/>
  <c r="G935" i="7"/>
  <c r="H935" i="7"/>
  <c r="I935" i="7"/>
  <c r="J935" i="7"/>
  <c r="K935" i="7"/>
  <c r="L935" i="7"/>
  <c r="M935" i="7"/>
  <c r="N935" i="7"/>
  <c r="O935" i="7"/>
  <c r="P935" i="7"/>
  <c r="Q935" i="7"/>
  <c r="R935" i="7"/>
  <c r="S935" i="7"/>
  <c r="T935" i="7"/>
  <c r="U935" i="7"/>
  <c r="V935" i="7"/>
  <c r="W935" i="7"/>
  <c r="X935" i="7"/>
  <c r="Y935" i="7"/>
  <c r="Z935" i="7"/>
  <c r="AA935" i="7"/>
  <c r="AB935" i="7"/>
  <c r="E936" i="7"/>
  <c r="F936" i="7"/>
  <c r="G936" i="7"/>
  <c r="H936" i="7"/>
  <c r="I936" i="7"/>
  <c r="J936" i="7"/>
  <c r="K936" i="7"/>
  <c r="L936" i="7"/>
  <c r="M936" i="7"/>
  <c r="N936" i="7"/>
  <c r="O936" i="7"/>
  <c r="P936" i="7"/>
  <c r="Q936" i="7"/>
  <c r="R936" i="7"/>
  <c r="S936" i="7"/>
  <c r="T936" i="7"/>
  <c r="U936" i="7"/>
  <c r="V936" i="7"/>
  <c r="W936" i="7"/>
  <c r="X936" i="7"/>
  <c r="Y936" i="7"/>
  <c r="Z936" i="7"/>
  <c r="AA936" i="7"/>
  <c r="AB936" i="7"/>
  <c r="E937" i="7"/>
  <c r="F937" i="7"/>
  <c r="G937" i="7"/>
  <c r="H937" i="7"/>
  <c r="I937" i="7"/>
  <c r="J937" i="7"/>
  <c r="K937" i="7"/>
  <c r="L937" i="7"/>
  <c r="M937" i="7"/>
  <c r="N937" i="7"/>
  <c r="O937" i="7"/>
  <c r="P937" i="7"/>
  <c r="Q937" i="7"/>
  <c r="R937" i="7"/>
  <c r="S937" i="7"/>
  <c r="T937" i="7"/>
  <c r="U937" i="7"/>
  <c r="V937" i="7"/>
  <c r="W937" i="7"/>
  <c r="X937" i="7"/>
  <c r="Y937" i="7"/>
  <c r="Z937" i="7"/>
  <c r="AA937" i="7"/>
  <c r="AB937" i="7"/>
  <c r="E938" i="7"/>
  <c r="F938" i="7"/>
  <c r="G938" i="7"/>
  <c r="H938" i="7"/>
  <c r="I938" i="7"/>
  <c r="J938" i="7"/>
  <c r="K938" i="7"/>
  <c r="L938" i="7"/>
  <c r="M938" i="7"/>
  <c r="N938" i="7"/>
  <c r="O938" i="7"/>
  <c r="P938" i="7"/>
  <c r="Q938" i="7"/>
  <c r="R938" i="7"/>
  <c r="S938" i="7"/>
  <c r="T938" i="7"/>
  <c r="U938" i="7"/>
  <c r="V938" i="7"/>
  <c r="W938" i="7"/>
  <c r="X938" i="7"/>
  <c r="Y938" i="7"/>
  <c r="Z938" i="7"/>
  <c r="AA938" i="7"/>
  <c r="AB938" i="7"/>
  <c r="E939" i="7"/>
  <c r="F939" i="7"/>
  <c r="G939" i="7"/>
  <c r="H939" i="7"/>
  <c r="I939" i="7"/>
  <c r="J939" i="7"/>
  <c r="K939" i="7"/>
  <c r="L939" i="7"/>
  <c r="M939" i="7"/>
  <c r="N939" i="7"/>
  <c r="O939" i="7"/>
  <c r="P939" i="7"/>
  <c r="Q939" i="7"/>
  <c r="R939" i="7"/>
  <c r="S939" i="7"/>
  <c r="T939" i="7"/>
  <c r="U939" i="7"/>
  <c r="V939" i="7"/>
  <c r="W939" i="7"/>
  <c r="X939" i="7"/>
  <c r="Y939" i="7"/>
  <c r="Z939" i="7"/>
  <c r="AA939" i="7"/>
  <c r="AB939" i="7"/>
  <c r="E940" i="7"/>
  <c r="F940" i="7"/>
  <c r="G940" i="7"/>
  <c r="H940" i="7"/>
  <c r="I940" i="7"/>
  <c r="J940" i="7"/>
  <c r="K940" i="7"/>
  <c r="L940" i="7"/>
  <c r="M940" i="7"/>
  <c r="N940" i="7"/>
  <c r="O940" i="7"/>
  <c r="P940" i="7"/>
  <c r="Q940" i="7"/>
  <c r="R940" i="7"/>
  <c r="S940" i="7"/>
  <c r="T940" i="7"/>
  <c r="U940" i="7"/>
  <c r="V940" i="7"/>
  <c r="W940" i="7"/>
  <c r="X940" i="7"/>
  <c r="Y940" i="7"/>
  <c r="Z940" i="7"/>
  <c r="AA940" i="7"/>
  <c r="AB940" i="7"/>
  <c r="E941" i="7"/>
  <c r="F941" i="7"/>
  <c r="G941" i="7"/>
  <c r="H941" i="7"/>
  <c r="I941" i="7"/>
  <c r="J941" i="7"/>
  <c r="K941" i="7"/>
  <c r="L941" i="7"/>
  <c r="M941" i="7"/>
  <c r="N941" i="7"/>
  <c r="O941" i="7"/>
  <c r="P941" i="7"/>
  <c r="Q941" i="7"/>
  <c r="R941" i="7"/>
  <c r="S941" i="7"/>
  <c r="T941" i="7"/>
  <c r="U941" i="7"/>
  <c r="V941" i="7"/>
  <c r="W941" i="7"/>
  <c r="X941" i="7"/>
  <c r="Y941" i="7"/>
  <c r="Z941" i="7"/>
  <c r="AA941" i="7"/>
  <c r="AB941" i="7"/>
  <c r="E942" i="7"/>
  <c r="F942" i="7"/>
  <c r="G942" i="7"/>
  <c r="H942" i="7"/>
  <c r="I942" i="7"/>
  <c r="J942" i="7"/>
  <c r="K942" i="7"/>
  <c r="L942" i="7"/>
  <c r="M942" i="7"/>
  <c r="N942" i="7"/>
  <c r="O942" i="7"/>
  <c r="P942" i="7"/>
  <c r="Q942" i="7"/>
  <c r="R942" i="7"/>
  <c r="S942" i="7"/>
  <c r="T942" i="7"/>
  <c r="U942" i="7"/>
  <c r="V942" i="7"/>
  <c r="W942" i="7"/>
  <c r="X942" i="7"/>
  <c r="Y942" i="7"/>
  <c r="Z942" i="7"/>
  <c r="AA942" i="7"/>
  <c r="AB942" i="7"/>
  <c r="E943" i="7"/>
  <c r="F943" i="7"/>
  <c r="G943" i="7"/>
  <c r="H943" i="7"/>
  <c r="I943" i="7"/>
  <c r="J943" i="7"/>
  <c r="K943" i="7"/>
  <c r="L943" i="7"/>
  <c r="M943" i="7"/>
  <c r="N943" i="7"/>
  <c r="O943" i="7"/>
  <c r="P943" i="7"/>
  <c r="Q943" i="7"/>
  <c r="R943" i="7"/>
  <c r="S943" i="7"/>
  <c r="T943" i="7"/>
  <c r="U943" i="7"/>
  <c r="V943" i="7"/>
  <c r="W943" i="7"/>
  <c r="X943" i="7"/>
  <c r="Y943" i="7"/>
  <c r="Z943" i="7"/>
  <c r="AA943" i="7"/>
  <c r="AB943" i="7"/>
  <c r="E944" i="7"/>
  <c r="F944" i="7"/>
  <c r="G944" i="7"/>
  <c r="H944" i="7"/>
  <c r="I944" i="7"/>
  <c r="J944" i="7"/>
  <c r="K944" i="7"/>
  <c r="L944" i="7"/>
  <c r="M944" i="7"/>
  <c r="N944" i="7"/>
  <c r="O944" i="7"/>
  <c r="P944" i="7"/>
  <c r="Q944" i="7"/>
  <c r="R944" i="7"/>
  <c r="S944" i="7"/>
  <c r="T944" i="7"/>
  <c r="U944" i="7"/>
  <c r="V944" i="7"/>
  <c r="W944" i="7"/>
  <c r="X944" i="7"/>
  <c r="Y944" i="7"/>
  <c r="Z944" i="7"/>
  <c r="AA944" i="7"/>
  <c r="AB944" i="7"/>
  <c r="E945" i="7"/>
  <c r="F945" i="7"/>
  <c r="G945" i="7"/>
  <c r="H945" i="7"/>
  <c r="I945" i="7"/>
  <c r="J945" i="7"/>
  <c r="K945" i="7"/>
  <c r="L945" i="7"/>
  <c r="M945" i="7"/>
  <c r="N945" i="7"/>
  <c r="O945" i="7"/>
  <c r="P945" i="7"/>
  <c r="Q945" i="7"/>
  <c r="R945" i="7"/>
  <c r="S945" i="7"/>
  <c r="T945" i="7"/>
  <c r="U945" i="7"/>
  <c r="V945" i="7"/>
  <c r="W945" i="7"/>
  <c r="X945" i="7"/>
  <c r="Y945" i="7"/>
  <c r="Z945" i="7"/>
  <c r="AA945" i="7"/>
  <c r="AB945" i="7"/>
  <c r="E946" i="7"/>
  <c r="F946" i="7"/>
  <c r="G946" i="7"/>
  <c r="H946" i="7"/>
  <c r="I946" i="7"/>
  <c r="J946" i="7"/>
  <c r="K946" i="7"/>
  <c r="L946" i="7"/>
  <c r="M946" i="7"/>
  <c r="N946" i="7"/>
  <c r="O946" i="7"/>
  <c r="P946" i="7"/>
  <c r="Q946" i="7"/>
  <c r="R946" i="7"/>
  <c r="S946" i="7"/>
  <c r="T946" i="7"/>
  <c r="U946" i="7"/>
  <c r="V946" i="7"/>
  <c r="W946" i="7"/>
  <c r="X946" i="7"/>
  <c r="Y946" i="7"/>
  <c r="Z946" i="7"/>
  <c r="AA946" i="7"/>
  <c r="AB946" i="7"/>
  <c r="E947" i="7"/>
  <c r="F947" i="7"/>
  <c r="G947" i="7"/>
  <c r="H947" i="7"/>
  <c r="I947" i="7"/>
  <c r="J947" i="7"/>
  <c r="K947" i="7"/>
  <c r="L947" i="7"/>
  <c r="M947" i="7"/>
  <c r="N947" i="7"/>
  <c r="O947" i="7"/>
  <c r="P947" i="7"/>
  <c r="Q947" i="7"/>
  <c r="R947" i="7"/>
  <c r="S947" i="7"/>
  <c r="T947" i="7"/>
  <c r="U947" i="7"/>
  <c r="V947" i="7"/>
  <c r="W947" i="7"/>
  <c r="X947" i="7"/>
  <c r="Y947" i="7"/>
  <c r="Z947" i="7"/>
  <c r="AA947" i="7"/>
  <c r="AB947" i="7"/>
  <c r="E948" i="7"/>
  <c r="F948" i="7"/>
  <c r="G948" i="7"/>
  <c r="H948" i="7"/>
  <c r="I948" i="7"/>
  <c r="J948" i="7"/>
  <c r="K948" i="7"/>
  <c r="L948" i="7"/>
  <c r="M948" i="7"/>
  <c r="N948" i="7"/>
  <c r="O948" i="7"/>
  <c r="P948" i="7"/>
  <c r="Q948" i="7"/>
  <c r="R948" i="7"/>
  <c r="S948" i="7"/>
  <c r="T948" i="7"/>
  <c r="U948" i="7"/>
  <c r="V948" i="7"/>
  <c r="W948" i="7"/>
  <c r="X948" i="7"/>
  <c r="Y948" i="7"/>
  <c r="Z948" i="7"/>
  <c r="AA948" i="7"/>
  <c r="AB948" i="7"/>
  <c r="E949" i="7"/>
  <c r="F949" i="7"/>
  <c r="G949" i="7"/>
  <c r="H949" i="7"/>
  <c r="I949" i="7"/>
  <c r="J949" i="7"/>
  <c r="K949" i="7"/>
  <c r="L949" i="7"/>
  <c r="M949" i="7"/>
  <c r="N949" i="7"/>
  <c r="O949" i="7"/>
  <c r="P949" i="7"/>
  <c r="Q949" i="7"/>
  <c r="R949" i="7"/>
  <c r="S949" i="7"/>
  <c r="T949" i="7"/>
  <c r="U949" i="7"/>
  <c r="V949" i="7"/>
  <c r="W949" i="7"/>
  <c r="X949" i="7"/>
  <c r="Y949" i="7"/>
  <c r="Z949" i="7"/>
  <c r="AA949" i="7"/>
  <c r="AB949" i="7"/>
  <c r="E950" i="7"/>
  <c r="F950" i="7"/>
  <c r="G950" i="7"/>
  <c r="H950" i="7"/>
  <c r="I950" i="7"/>
  <c r="J950" i="7"/>
  <c r="K950" i="7"/>
  <c r="L950" i="7"/>
  <c r="M950" i="7"/>
  <c r="N950" i="7"/>
  <c r="O950" i="7"/>
  <c r="P950" i="7"/>
  <c r="Q950" i="7"/>
  <c r="R950" i="7"/>
  <c r="S950" i="7"/>
  <c r="T950" i="7"/>
  <c r="U950" i="7"/>
  <c r="V950" i="7"/>
  <c r="W950" i="7"/>
  <c r="X950" i="7"/>
  <c r="Y950" i="7"/>
  <c r="Z950" i="7"/>
  <c r="AA950" i="7"/>
  <c r="AB950" i="7"/>
  <c r="E951" i="7"/>
  <c r="F951" i="7"/>
  <c r="G951" i="7"/>
  <c r="H951" i="7"/>
  <c r="I951" i="7"/>
  <c r="J951" i="7"/>
  <c r="K951" i="7"/>
  <c r="L951" i="7"/>
  <c r="M951" i="7"/>
  <c r="N951" i="7"/>
  <c r="O951" i="7"/>
  <c r="P951" i="7"/>
  <c r="Q951" i="7"/>
  <c r="R951" i="7"/>
  <c r="S951" i="7"/>
  <c r="T951" i="7"/>
  <c r="U951" i="7"/>
  <c r="V951" i="7"/>
  <c r="W951" i="7"/>
  <c r="X951" i="7"/>
  <c r="Y951" i="7"/>
  <c r="Z951" i="7"/>
  <c r="AA951" i="7"/>
  <c r="AB951" i="7"/>
  <c r="E952" i="7"/>
  <c r="F952" i="7"/>
  <c r="G952" i="7"/>
  <c r="H952" i="7"/>
  <c r="I952" i="7"/>
  <c r="J952" i="7"/>
  <c r="K952" i="7"/>
  <c r="L952" i="7"/>
  <c r="M952" i="7"/>
  <c r="N952" i="7"/>
  <c r="O952" i="7"/>
  <c r="P952" i="7"/>
  <c r="Q952" i="7"/>
  <c r="R952" i="7"/>
  <c r="S952" i="7"/>
  <c r="T952" i="7"/>
  <c r="U952" i="7"/>
  <c r="V952" i="7"/>
  <c r="W952" i="7"/>
  <c r="X952" i="7"/>
  <c r="Y952" i="7"/>
  <c r="Z952" i="7"/>
  <c r="AA952" i="7"/>
  <c r="AB952" i="7"/>
  <c r="E953" i="7"/>
  <c r="F953" i="7"/>
  <c r="G953" i="7"/>
  <c r="H953" i="7"/>
  <c r="I953" i="7"/>
  <c r="J953" i="7"/>
  <c r="K953" i="7"/>
  <c r="L953" i="7"/>
  <c r="M953" i="7"/>
  <c r="N953" i="7"/>
  <c r="O953" i="7"/>
  <c r="P953" i="7"/>
  <c r="Q953" i="7"/>
  <c r="R953" i="7"/>
  <c r="S953" i="7"/>
  <c r="T953" i="7"/>
  <c r="U953" i="7"/>
  <c r="V953" i="7"/>
  <c r="W953" i="7"/>
  <c r="X953" i="7"/>
  <c r="Y953" i="7"/>
  <c r="Z953" i="7"/>
  <c r="AA953" i="7"/>
  <c r="AB953" i="7"/>
  <c r="E954" i="7"/>
  <c r="F954" i="7"/>
  <c r="G954" i="7"/>
  <c r="H954" i="7"/>
  <c r="I954" i="7"/>
  <c r="J954" i="7"/>
  <c r="K954" i="7"/>
  <c r="L954" i="7"/>
  <c r="M954" i="7"/>
  <c r="N954" i="7"/>
  <c r="O954" i="7"/>
  <c r="P954" i="7"/>
  <c r="Q954" i="7"/>
  <c r="R954" i="7"/>
  <c r="S954" i="7"/>
  <c r="T954" i="7"/>
  <c r="U954" i="7"/>
  <c r="V954" i="7"/>
  <c r="W954" i="7"/>
  <c r="X954" i="7"/>
  <c r="Y954" i="7"/>
  <c r="Z954" i="7"/>
  <c r="AA954" i="7"/>
  <c r="AB954" i="7"/>
  <c r="E955" i="7"/>
  <c r="F955" i="7"/>
  <c r="G955" i="7"/>
  <c r="H955" i="7"/>
  <c r="I955" i="7"/>
  <c r="J955" i="7"/>
  <c r="K955" i="7"/>
  <c r="L955" i="7"/>
  <c r="M955" i="7"/>
  <c r="N955" i="7"/>
  <c r="O955" i="7"/>
  <c r="P955" i="7"/>
  <c r="Q955" i="7"/>
  <c r="R955" i="7"/>
  <c r="S955" i="7"/>
  <c r="T955" i="7"/>
  <c r="U955" i="7"/>
  <c r="V955" i="7"/>
  <c r="W955" i="7"/>
  <c r="X955" i="7"/>
  <c r="Y955" i="7"/>
  <c r="Z955" i="7"/>
  <c r="AA955" i="7"/>
  <c r="AB955" i="7"/>
  <c r="E956" i="7"/>
  <c r="F956" i="7"/>
  <c r="G956" i="7"/>
  <c r="H956" i="7"/>
  <c r="I956" i="7"/>
  <c r="J956" i="7"/>
  <c r="K956" i="7"/>
  <c r="L956" i="7"/>
  <c r="M956" i="7"/>
  <c r="N956" i="7"/>
  <c r="O956" i="7"/>
  <c r="P956" i="7"/>
  <c r="Q956" i="7"/>
  <c r="R956" i="7"/>
  <c r="S956" i="7"/>
  <c r="T956" i="7"/>
  <c r="U956" i="7"/>
  <c r="V956" i="7"/>
  <c r="W956" i="7"/>
  <c r="X956" i="7"/>
  <c r="Y956" i="7"/>
  <c r="Z956" i="7"/>
  <c r="AA956" i="7"/>
  <c r="AB956" i="7"/>
  <c r="E957" i="7"/>
  <c r="F957" i="7"/>
  <c r="G957" i="7"/>
  <c r="H957" i="7"/>
  <c r="I957" i="7"/>
  <c r="J957" i="7"/>
  <c r="K957" i="7"/>
  <c r="L957" i="7"/>
  <c r="M957" i="7"/>
  <c r="N957" i="7"/>
  <c r="O957" i="7"/>
  <c r="P957" i="7"/>
  <c r="Q957" i="7"/>
  <c r="R957" i="7"/>
  <c r="S957" i="7"/>
  <c r="T957" i="7"/>
  <c r="U957" i="7"/>
  <c r="V957" i="7"/>
  <c r="W957" i="7"/>
  <c r="X957" i="7"/>
  <c r="Y957" i="7"/>
  <c r="Z957" i="7"/>
  <c r="AA957" i="7"/>
  <c r="AB957" i="7"/>
  <c r="E958" i="7"/>
  <c r="F958" i="7"/>
  <c r="G958" i="7"/>
  <c r="H958" i="7"/>
  <c r="I958" i="7"/>
  <c r="J958" i="7"/>
  <c r="K958" i="7"/>
  <c r="L958" i="7"/>
  <c r="M958" i="7"/>
  <c r="N958" i="7"/>
  <c r="O958" i="7"/>
  <c r="P958" i="7"/>
  <c r="Q958" i="7"/>
  <c r="R958" i="7"/>
  <c r="S958" i="7"/>
  <c r="T958" i="7"/>
  <c r="U958" i="7"/>
  <c r="V958" i="7"/>
  <c r="W958" i="7"/>
  <c r="X958" i="7"/>
  <c r="Y958" i="7"/>
  <c r="Z958" i="7"/>
  <c r="AA958" i="7"/>
  <c r="AB958" i="7"/>
  <c r="E959" i="7"/>
  <c r="F959" i="7"/>
  <c r="G959" i="7"/>
  <c r="H959" i="7"/>
  <c r="I959" i="7"/>
  <c r="J959" i="7"/>
  <c r="K959" i="7"/>
  <c r="L959" i="7"/>
  <c r="M959" i="7"/>
  <c r="N959" i="7"/>
  <c r="O959" i="7"/>
  <c r="P959" i="7"/>
  <c r="Q959" i="7"/>
  <c r="R959" i="7"/>
  <c r="S959" i="7"/>
  <c r="T959" i="7"/>
  <c r="U959" i="7"/>
  <c r="V959" i="7"/>
  <c r="W959" i="7"/>
  <c r="X959" i="7"/>
  <c r="Y959" i="7"/>
  <c r="Z959" i="7"/>
  <c r="AA959" i="7"/>
  <c r="AB959" i="7"/>
  <c r="E960" i="7"/>
  <c r="F960" i="7"/>
  <c r="G960" i="7"/>
  <c r="H960" i="7"/>
  <c r="I960" i="7"/>
  <c r="J960" i="7"/>
  <c r="K960" i="7"/>
  <c r="L960" i="7"/>
  <c r="M960" i="7"/>
  <c r="N960" i="7"/>
  <c r="O960" i="7"/>
  <c r="P960" i="7"/>
  <c r="Q960" i="7"/>
  <c r="R960" i="7"/>
  <c r="S960" i="7"/>
  <c r="T960" i="7"/>
  <c r="U960" i="7"/>
  <c r="V960" i="7"/>
  <c r="W960" i="7"/>
  <c r="X960" i="7"/>
  <c r="Y960" i="7"/>
  <c r="Z960" i="7"/>
  <c r="AA960" i="7"/>
  <c r="AB960" i="7"/>
  <c r="E961" i="7"/>
  <c r="F961" i="7"/>
  <c r="G961" i="7"/>
  <c r="H961" i="7"/>
  <c r="I961" i="7"/>
  <c r="J961" i="7"/>
  <c r="K961" i="7"/>
  <c r="L961" i="7"/>
  <c r="M961" i="7"/>
  <c r="N961" i="7"/>
  <c r="O961" i="7"/>
  <c r="P961" i="7"/>
  <c r="Q961" i="7"/>
  <c r="R961" i="7"/>
  <c r="S961" i="7"/>
  <c r="T961" i="7"/>
  <c r="U961" i="7"/>
  <c r="V961" i="7"/>
  <c r="W961" i="7"/>
  <c r="X961" i="7"/>
  <c r="Y961" i="7"/>
  <c r="Z961" i="7"/>
  <c r="AA961" i="7"/>
  <c r="AB961" i="7"/>
  <c r="E962" i="7"/>
  <c r="F962" i="7"/>
  <c r="G962" i="7"/>
  <c r="H962" i="7"/>
  <c r="I962" i="7"/>
  <c r="J962" i="7"/>
  <c r="K962" i="7"/>
  <c r="L962" i="7"/>
  <c r="M962" i="7"/>
  <c r="N962" i="7"/>
  <c r="O962" i="7"/>
  <c r="P962" i="7"/>
  <c r="Q962" i="7"/>
  <c r="R962" i="7"/>
  <c r="S962" i="7"/>
  <c r="T962" i="7"/>
  <c r="U962" i="7"/>
  <c r="V962" i="7"/>
  <c r="W962" i="7"/>
  <c r="X962" i="7"/>
  <c r="Y962" i="7"/>
  <c r="Z962" i="7"/>
  <c r="AA962" i="7"/>
  <c r="AB962" i="7"/>
  <c r="E963" i="7"/>
  <c r="F963" i="7"/>
  <c r="G963" i="7"/>
  <c r="H963" i="7"/>
  <c r="I963" i="7"/>
  <c r="J963" i="7"/>
  <c r="K963" i="7"/>
  <c r="L963" i="7"/>
  <c r="M963" i="7"/>
  <c r="N963" i="7"/>
  <c r="O963" i="7"/>
  <c r="P963" i="7"/>
  <c r="Q963" i="7"/>
  <c r="R963" i="7"/>
  <c r="S963" i="7"/>
  <c r="T963" i="7"/>
  <c r="U963" i="7"/>
  <c r="V963" i="7"/>
  <c r="W963" i="7"/>
  <c r="X963" i="7"/>
  <c r="Y963" i="7"/>
  <c r="Z963" i="7"/>
  <c r="AA963" i="7"/>
  <c r="AB963" i="7"/>
  <c r="E964" i="7"/>
  <c r="F964" i="7"/>
  <c r="G964" i="7"/>
  <c r="H964" i="7"/>
  <c r="I964" i="7"/>
  <c r="J964" i="7"/>
  <c r="K964" i="7"/>
  <c r="L964" i="7"/>
  <c r="M964" i="7"/>
  <c r="N964" i="7"/>
  <c r="O964" i="7"/>
  <c r="P964" i="7"/>
  <c r="Q964" i="7"/>
  <c r="R964" i="7"/>
  <c r="S964" i="7"/>
  <c r="T964" i="7"/>
  <c r="U964" i="7"/>
  <c r="V964" i="7"/>
  <c r="W964" i="7"/>
  <c r="X964" i="7"/>
  <c r="Y964" i="7"/>
  <c r="Z964" i="7"/>
  <c r="AA964" i="7"/>
  <c r="AB964" i="7"/>
  <c r="E965" i="7"/>
  <c r="F965" i="7"/>
  <c r="G965" i="7"/>
  <c r="H965" i="7"/>
  <c r="I965" i="7"/>
  <c r="J965" i="7"/>
  <c r="K965" i="7"/>
  <c r="L965" i="7"/>
  <c r="M965" i="7"/>
  <c r="N965" i="7"/>
  <c r="O965" i="7"/>
  <c r="P965" i="7"/>
  <c r="Q965" i="7"/>
  <c r="R965" i="7"/>
  <c r="S965" i="7"/>
  <c r="T965" i="7"/>
  <c r="U965" i="7"/>
  <c r="V965" i="7"/>
  <c r="W965" i="7"/>
  <c r="X965" i="7"/>
  <c r="Y965" i="7"/>
  <c r="Z965" i="7"/>
  <c r="AA965" i="7"/>
  <c r="AB965" i="7"/>
  <c r="E966" i="7"/>
  <c r="F966" i="7"/>
  <c r="G966" i="7"/>
  <c r="H966" i="7"/>
  <c r="I966" i="7"/>
  <c r="J966" i="7"/>
  <c r="K966" i="7"/>
  <c r="L966" i="7"/>
  <c r="M966" i="7"/>
  <c r="N966" i="7"/>
  <c r="O966" i="7"/>
  <c r="P966" i="7"/>
  <c r="Q966" i="7"/>
  <c r="R966" i="7"/>
  <c r="S966" i="7"/>
  <c r="T966" i="7"/>
  <c r="U966" i="7"/>
  <c r="V966" i="7"/>
  <c r="W966" i="7"/>
  <c r="X966" i="7"/>
  <c r="Y966" i="7"/>
  <c r="Z966" i="7"/>
  <c r="AA966" i="7"/>
  <c r="AB966" i="7"/>
  <c r="E967" i="7"/>
  <c r="F967" i="7"/>
  <c r="G967" i="7"/>
  <c r="H967" i="7"/>
  <c r="I967" i="7"/>
  <c r="J967" i="7"/>
  <c r="K967" i="7"/>
  <c r="L967" i="7"/>
  <c r="M967" i="7"/>
  <c r="N967" i="7"/>
  <c r="O967" i="7"/>
  <c r="P967" i="7"/>
  <c r="Q967" i="7"/>
  <c r="R967" i="7"/>
  <c r="S967" i="7"/>
  <c r="T967" i="7"/>
  <c r="U967" i="7"/>
  <c r="V967" i="7"/>
  <c r="W967" i="7"/>
  <c r="X967" i="7"/>
  <c r="Y967" i="7"/>
  <c r="Z967" i="7"/>
  <c r="AA967" i="7"/>
  <c r="AB967" i="7"/>
  <c r="E968" i="7"/>
  <c r="F968" i="7"/>
  <c r="G968" i="7"/>
  <c r="H968" i="7"/>
  <c r="I968" i="7"/>
  <c r="J968" i="7"/>
  <c r="K968" i="7"/>
  <c r="L968" i="7"/>
  <c r="M968" i="7"/>
  <c r="N968" i="7"/>
  <c r="O968" i="7"/>
  <c r="P968" i="7"/>
  <c r="Q968" i="7"/>
  <c r="R968" i="7"/>
  <c r="S968" i="7"/>
  <c r="T968" i="7"/>
  <c r="U968" i="7"/>
  <c r="V968" i="7"/>
  <c r="W968" i="7"/>
  <c r="X968" i="7"/>
  <c r="Y968" i="7"/>
  <c r="Z968" i="7"/>
  <c r="AA968" i="7"/>
  <c r="AB968" i="7"/>
  <c r="E969" i="7"/>
  <c r="F969" i="7"/>
  <c r="G969" i="7"/>
  <c r="H969" i="7"/>
  <c r="I969" i="7"/>
  <c r="J969" i="7"/>
  <c r="K969" i="7"/>
  <c r="L969" i="7"/>
  <c r="M969" i="7"/>
  <c r="N969" i="7"/>
  <c r="O969" i="7"/>
  <c r="P969" i="7"/>
  <c r="Q969" i="7"/>
  <c r="R969" i="7"/>
  <c r="S969" i="7"/>
  <c r="T969" i="7"/>
  <c r="U969" i="7"/>
  <c r="V969" i="7"/>
  <c r="W969" i="7"/>
  <c r="X969" i="7"/>
  <c r="Y969" i="7"/>
  <c r="Z969" i="7"/>
  <c r="AA969" i="7"/>
  <c r="AB969" i="7"/>
  <c r="E970" i="7"/>
  <c r="F970" i="7"/>
  <c r="G970" i="7"/>
  <c r="H970" i="7"/>
  <c r="I970" i="7"/>
  <c r="J970" i="7"/>
  <c r="K970" i="7"/>
  <c r="L970" i="7"/>
  <c r="M970" i="7"/>
  <c r="N970" i="7"/>
  <c r="O970" i="7"/>
  <c r="P970" i="7"/>
  <c r="Q970" i="7"/>
  <c r="R970" i="7"/>
  <c r="S970" i="7"/>
  <c r="T970" i="7"/>
  <c r="U970" i="7"/>
  <c r="V970" i="7"/>
  <c r="W970" i="7"/>
  <c r="X970" i="7"/>
  <c r="Y970" i="7"/>
  <c r="Z970" i="7"/>
  <c r="AA970" i="7"/>
  <c r="AB970" i="7"/>
  <c r="E971" i="7"/>
  <c r="F971" i="7"/>
  <c r="G971" i="7"/>
  <c r="H971" i="7"/>
  <c r="I971" i="7"/>
  <c r="J971" i="7"/>
  <c r="K971" i="7"/>
  <c r="L971" i="7"/>
  <c r="M971" i="7"/>
  <c r="N971" i="7"/>
  <c r="O971" i="7"/>
  <c r="P971" i="7"/>
  <c r="Q971" i="7"/>
  <c r="R971" i="7"/>
  <c r="S971" i="7"/>
  <c r="T971" i="7"/>
  <c r="U971" i="7"/>
  <c r="V971" i="7"/>
  <c r="W971" i="7"/>
  <c r="X971" i="7"/>
  <c r="Y971" i="7"/>
  <c r="Z971" i="7"/>
  <c r="AA971" i="7"/>
  <c r="AB971" i="7"/>
  <c r="E972" i="7"/>
  <c r="F972" i="7"/>
  <c r="G972" i="7"/>
  <c r="H972" i="7"/>
  <c r="I972" i="7"/>
  <c r="J972" i="7"/>
  <c r="K972" i="7"/>
  <c r="L972" i="7"/>
  <c r="M972" i="7"/>
  <c r="N972" i="7"/>
  <c r="O972" i="7"/>
  <c r="P972" i="7"/>
  <c r="Q972" i="7"/>
  <c r="R972" i="7"/>
  <c r="S972" i="7"/>
  <c r="T972" i="7"/>
  <c r="U972" i="7"/>
  <c r="V972" i="7"/>
  <c r="W972" i="7"/>
  <c r="X972" i="7"/>
  <c r="Y972" i="7"/>
  <c r="Z972" i="7"/>
  <c r="AA972" i="7"/>
  <c r="AB972" i="7"/>
  <c r="E973" i="7"/>
  <c r="F973" i="7"/>
  <c r="G973" i="7"/>
  <c r="H973" i="7"/>
  <c r="I973" i="7"/>
  <c r="J973" i="7"/>
  <c r="K973" i="7"/>
  <c r="L973" i="7"/>
  <c r="M973" i="7"/>
  <c r="N973" i="7"/>
  <c r="O973" i="7"/>
  <c r="P973" i="7"/>
  <c r="Q973" i="7"/>
  <c r="R973" i="7"/>
  <c r="S973" i="7"/>
  <c r="T973" i="7"/>
  <c r="U973" i="7"/>
  <c r="V973" i="7"/>
  <c r="W973" i="7"/>
  <c r="X973" i="7"/>
  <c r="Y973" i="7"/>
  <c r="Z973" i="7"/>
  <c r="AA973" i="7"/>
  <c r="AB973" i="7"/>
  <c r="E974" i="7"/>
  <c r="F974" i="7"/>
  <c r="G974" i="7"/>
  <c r="H974" i="7"/>
  <c r="I974" i="7"/>
  <c r="J974" i="7"/>
  <c r="K974" i="7"/>
  <c r="L974" i="7"/>
  <c r="M974" i="7"/>
  <c r="N974" i="7"/>
  <c r="O974" i="7"/>
  <c r="P974" i="7"/>
  <c r="Q974" i="7"/>
  <c r="R974" i="7"/>
  <c r="S974" i="7"/>
  <c r="T974" i="7"/>
  <c r="U974" i="7"/>
  <c r="V974" i="7"/>
  <c r="W974" i="7"/>
  <c r="X974" i="7"/>
  <c r="Y974" i="7"/>
  <c r="Z974" i="7"/>
  <c r="AA974" i="7"/>
  <c r="AB974" i="7"/>
  <c r="E975" i="7"/>
  <c r="F975" i="7"/>
  <c r="G975" i="7"/>
  <c r="H975" i="7"/>
  <c r="I975" i="7"/>
  <c r="J975" i="7"/>
  <c r="K975" i="7"/>
  <c r="L975" i="7"/>
  <c r="M975" i="7"/>
  <c r="N975" i="7"/>
  <c r="O975" i="7"/>
  <c r="P975" i="7"/>
  <c r="Q975" i="7"/>
  <c r="R975" i="7"/>
  <c r="S975" i="7"/>
  <c r="T975" i="7"/>
  <c r="U975" i="7"/>
  <c r="V975" i="7"/>
  <c r="W975" i="7"/>
  <c r="X975" i="7"/>
  <c r="Y975" i="7"/>
  <c r="Z975" i="7"/>
  <c r="AA975" i="7"/>
  <c r="AB975" i="7"/>
  <c r="E976" i="7"/>
  <c r="F976" i="7"/>
  <c r="G976" i="7"/>
  <c r="H976" i="7"/>
  <c r="I976" i="7"/>
  <c r="J976" i="7"/>
  <c r="K976" i="7"/>
  <c r="L976" i="7"/>
  <c r="M976" i="7"/>
  <c r="N976" i="7"/>
  <c r="O976" i="7"/>
  <c r="P976" i="7"/>
  <c r="Q976" i="7"/>
  <c r="R976" i="7"/>
  <c r="S976" i="7"/>
  <c r="T976" i="7"/>
  <c r="U976" i="7"/>
  <c r="V976" i="7"/>
  <c r="W976" i="7"/>
  <c r="X976" i="7"/>
  <c r="Y976" i="7"/>
  <c r="Z976" i="7"/>
  <c r="AA976" i="7"/>
  <c r="AB976" i="7"/>
  <c r="E977" i="7"/>
  <c r="F977" i="7"/>
  <c r="G977" i="7"/>
  <c r="H977" i="7"/>
  <c r="I977" i="7"/>
  <c r="J977" i="7"/>
  <c r="K977" i="7"/>
  <c r="L977" i="7"/>
  <c r="M977" i="7"/>
  <c r="N977" i="7"/>
  <c r="O977" i="7"/>
  <c r="P977" i="7"/>
  <c r="Q977" i="7"/>
  <c r="R977" i="7"/>
  <c r="S977" i="7"/>
  <c r="T977" i="7"/>
  <c r="U977" i="7"/>
  <c r="V977" i="7"/>
  <c r="W977" i="7"/>
  <c r="X977" i="7"/>
  <c r="Y977" i="7"/>
  <c r="Z977" i="7"/>
  <c r="AA977" i="7"/>
  <c r="AB977" i="7"/>
  <c r="E978" i="7"/>
  <c r="F978" i="7"/>
  <c r="G978" i="7"/>
  <c r="H978" i="7"/>
  <c r="I978" i="7"/>
  <c r="J978" i="7"/>
  <c r="K978" i="7"/>
  <c r="L978" i="7"/>
  <c r="M978" i="7"/>
  <c r="N978" i="7"/>
  <c r="O978" i="7"/>
  <c r="P978" i="7"/>
  <c r="Q978" i="7"/>
  <c r="R978" i="7"/>
  <c r="S978" i="7"/>
  <c r="T978" i="7"/>
  <c r="U978" i="7"/>
  <c r="V978" i="7"/>
  <c r="W978" i="7"/>
  <c r="X978" i="7"/>
  <c r="Y978" i="7"/>
  <c r="Z978" i="7"/>
  <c r="AA978" i="7"/>
  <c r="AB978" i="7"/>
  <c r="E979" i="7"/>
  <c r="F979" i="7"/>
  <c r="G979" i="7"/>
  <c r="H979" i="7"/>
  <c r="I979" i="7"/>
  <c r="J979" i="7"/>
  <c r="K979" i="7"/>
  <c r="L979" i="7"/>
  <c r="M979" i="7"/>
  <c r="N979" i="7"/>
  <c r="O979" i="7"/>
  <c r="P979" i="7"/>
  <c r="Q979" i="7"/>
  <c r="R979" i="7"/>
  <c r="S979" i="7"/>
  <c r="T979" i="7"/>
  <c r="U979" i="7"/>
  <c r="V979" i="7"/>
  <c r="W979" i="7"/>
  <c r="X979" i="7"/>
  <c r="Y979" i="7"/>
  <c r="Z979" i="7"/>
  <c r="AA979" i="7"/>
  <c r="AB979" i="7"/>
  <c r="E980" i="7"/>
  <c r="F980" i="7"/>
  <c r="G980" i="7"/>
  <c r="H980" i="7"/>
  <c r="I980" i="7"/>
  <c r="J980" i="7"/>
  <c r="K980" i="7"/>
  <c r="L980" i="7"/>
  <c r="M980" i="7"/>
  <c r="N980" i="7"/>
  <c r="O980" i="7"/>
  <c r="P980" i="7"/>
  <c r="Q980" i="7"/>
  <c r="R980" i="7"/>
  <c r="S980" i="7"/>
  <c r="T980" i="7"/>
  <c r="U980" i="7"/>
  <c r="V980" i="7"/>
  <c r="W980" i="7"/>
  <c r="X980" i="7"/>
  <c r="Y980" i="7"/>
  <c r="Z980" i="7"/>
  <c r="AA980" i="7"/>
  <c r="AB980" i="7"/>
  <c r="E981" i="7"/>
  <c r="F981" i="7"/>
  <c r="G981" i="7"/>
  <c r="H981" i="7"/>
  <c r="I981" i="7"/>
  <c r="J981" i="7"/>
  <c r="K981" i="7"/>
  <c r="L981" i="7"/>
  <c r="M981" i="7"/>
  <c r="N981" i="7"/>
  <c r="O981" i="7"/>
  <c r="P981" i="7"/>
  <c r="Q981" i="7"/>
  <c r="R981" i="7"/>
  <c r="S981" i="7"/>
  <c r="T981" i="7"/>
  <c r="U981" i="7"/>
  <c r="V981" i="7"/>
  <c r="W981" i="7"/>
  <c r="X981" i="7"/>
  <c r="Y981" i="7"/>
  <c r="Z981" i="7"/>
  <c r="AA981" i="7"/>
  <c r="AB981" i="7"/>
  <c r="E982" i="7"/>
  <c r="F982" i="7"/>
  <c r="G982" i="7"/>
  <c r="H982" i="7"/>
  <c r="I982" i="7"/>
  <c r="J982" i="7"/>
  <c r="K982" i="7"/>
  <c r="L982" i="7"/>
  <c r="M982" i="7"/>
  <c r="N982" i="7"/>
  <c r="O982" i="7"/>
  <c r="P982" i="7"/>
  <c r="Q982" i="7"/>
  <c r="R982" i="7"/>
  <c r="S982" i="7"/>
  <c r="T982" i="7"/>
  <c r="U982" i="7"/>
  <c r="V982" i="7"/>
  <c r="W982" i="7"/>
  <c r="X982" i="7"/>
  <c r="Y982" i="7"/>
  <c r="Z982" i="7"/>
  <c r="AA982" i="7"/>
  <c r="AB982" i="7"/>
  <c r="E983" i="7"/>
  <c r="F983" i="7"/>
  <c r="G983" i="7"/>
  <c r="H983" i="7"/>
  <c r="I983" i="7"/>
  <c r="J983" i="7"/>
  <c r="K983" i="7"/>
  <c r="L983" i="7"/>
  <c r="M983" i="7"/>
  <c r="N983" i="7"/>
  <c r="O983" i="7"/>
  <c r="P983" i="7"/>
  <c r="Q983" i="7"/>
  <c r="R983" i="7"/>
  <c r="S983" i="7"/>
  <c r="T983" i="7"/>
  <c r="U983" i="7"/>
  <c r="V983" i="7"/>
  <c r="W983" i="7"/>
  <c r="X983" i="7"/>
  <c r="Y983" i="7"/>
  <c r="Z983" i="7"/>
  <c r="AA983" i="7"/>
  <c r="AB983" i="7"/>
  <c r="E984" i="7"/>
  <c r="F984" i="7"/>
  <c r="G984" i="7"/>
  <c r="H984" i="7"/>
  <c r="I984" i="7"/>
  <c r="J984" i="7"/>
  <c r="K984" i="7"/>
  <c r="L984" i="7"/>
  <c r="M984" i="7"/>
  <c r="N984" i="7"/>
  <c r="O984" i="7"/>
  <c r="P984" i="7"/>
  <c r="Q984" i="7"/>
  <c r="R984" i="7"/>
  <c r="S984" i="7"/>
  <c r="T984" i="7"/>
  <c r="U984" i="7"/>
  <c r="V984" i="7"/>
  <c r="W984" i="7"/>
  <c r="X984" i="7"/>
  <c r="Y984" i="7"/>
  <c r="Z984" i="7"/>
  <c r="AA984" i="7"/>
  <c r="AB984" i="7"/>
  <c r="E985" i="7"/>
  <c r="F985" i="7"/>
  <c r="G985" i="7"/>
  <c r="H985" i="7"/>
  <c r="I985" i="7"/>
  <c r="J985" i="7"/>
  <c r="K985" i="7"/>
  <c r="L985" i="7"/>
  <c r="M985" i="7"/>
  <c r="N985" i="7"/>
  <c r="O985" i="7"/>
  <c r="P985" i="7"/>
  <c r="Q985" i="7"/>
  <c r="R985" i="7"/>
  <c r="S985" i="7"/>
  <c r="T985" i="7"/>
  <c r="U985" i="7"/>
  <c r="V985" i="7"/>
  <c r="W985" i="7"/>
  <c r="X985" i="7"/>
  <c r="Y985" i="7"/>
  <c r="Z985" i="7"/>
  <c r="AA985" i="7"/>
  <c r="AB985" i="7"/>
  <c r="E986" i="7"/>
  <c r="F986" i="7"/>
  <c r="G986" i="7"/>
  <c r="H986" i="7"/>
  <c r="I986" i="7"/>
  <c r="J986" i="7"/>
  <c r="K986" i="7"/>
  <c r="L986" i="7"/>
  <c r="M986" i="7"/>
  <c r="N986" i="7"/>
  <c r="O986" i="7"/>
  <c r="P986" i="7"/>
  <c r="Q986" i="7"/>
  <c r="R986" i="7"/>
  <c r="S986" i="7"/>
  <c r="T986" i="7"/>
  <c r="U986" i="7"/>
  <c r="V986" i="7"/>
  <c r="W986" i="7"/>
  <c r="X986" i="7"/>
  <c r="Y986" i="7"/>
  <c r="Z986" i="7"/>
  <c r="AA986" i="7"/>
  <c r="AB986" i="7"/>
  <c r="E987" i="7"/>
  <c r="F987" i="7"/>
  <c r="G987" i="7"/>
  <c r="H987" i="7"/>
  <c r="I987" i="7"/>
  <c r="J987" i="7"/>
  <c r="K987" i="7"/>
  <c r="L987" i="7"/>
  <c r="M987" i="7"/>
  <c r="N987" i="7"/>
  <c r="O987" i="7"/>
  <c r="P987" i="7"/>
  <c r="Q987" i="7"/>
  <c r="R987" i="7"/>
  <c r="S987" i="7"/>
  <c r="T987" i="7"/>
  <c r="U987" i="7"/>
  <c r="V987" i="7"/>
  <c r="W987" i="7"/>
  <c r="X987" i="7"/>
  <c r="Y987" i="7"/>
  <c r="Z987" i="7"/>
  <c r="AA987" i="7"/>
  <c r="AB987" i="7"/>
  <c r="E988" i="7"/>
  <c r="F988" i="7"/>
  <c r="G988" i="7"/>
  <c r="H988" i="7"/>
  <c r="I988" i="7"/>
  <c r="J988" i="7"/>
  <c r="K988" i="7"/>
  <c r="L988" i="7"/>
  <c r="M988" i="7"/>
  <c r="N988" i="7"/>
  <c r="O988" i="7"/>
  <c r="P988" i="7"/>
  <c r="Q988" i="7"/>
  <c r="R988" i="7"/>
  <c r="S988" i="7"/>
  <c r="T988" i="7"/>
  <c r="U988" i="7"/>
  <c r="V988" i="7"/>
  <c r="W988" i="7"/>
  <c r="X988" i="7"/>
  <c r="Y988" i="7"/>
  <c r="Z988" i="7"/>
  <c r="AA988" i="7"/>
  <c r="AB988" i="7"/>
  <c r="E989" i="7"/>
  <c r="F989" i="7"/>
  <c r="G989" i="7"/>
  <c r="H989" i="7"/>
  <c r="I989" i="7"/>
  <c r="J989" i="7"/>
  <c r="K989" i="7"/>
  <c r="L989" i="7"/>
  <c r="M989" i="7"/>
  <c r="N989" i="7"/>
  <c r="O989" i="7"/>
  <c r="P989" i="7"/>
  <c r="Q989" i="7"/>
  <c r="R989" i="7"/>
  <c r="S989" i="7"/>
  <c r="T989" i="7"/>
  <c r="U989" i="7"/>
  <c r="V989" i="7"/>
  <c r="W989" i="7"/>
  <c r="X989" i="7"/>
  <c r="Y989" i="7"/>
  <c r="Z989" i="7"/>
  <c r="AA989" i="7"/>
  <c r="AB989" i="7"/>
  <c r="E990" i="7"/>
  <c r="F990" i="7"/>
  <c r="G990" i="7"/>
  <c r="H990" i="7"/>
  <c r="I990" i="7"/>
  <c r="J990" i="7"/>
  <c r="K990" i="7"/>
  <c r="L990" i="7"/>
  <c r="M990" i="7"/>
  <c r="N990" i="7"/>
  <c r="O990" i="7"/>
  <c r="P990" i="7"/>
  <c r="Q990" i="7"/>
  <c r="R990" i="7"/>
  <c r="S990" i="7"/>
  <c r="T990" i="7"/>
  <c r="U990" i="7"/>
  <c r="V990" i="7"/>
  <c r="W990" i="7"/>
  <c r="X990" i="7"/>
  <c r="Y990" i="7"/>
  <c r="Z990" i="7"/>
  <c r="AA990" i="7"/>
  <c r="AB990" i="7"/>
  <c r="E991" i="7"/>
  <c r="F991" i="7"/>
  <c r="G991" i="7"/>
  <c r="H991" i="7"/>
  <c r="I991" i="7"/>
  <c r="J991" i="7"/>
  <c r="K991" i="7"/>
  <c r="L991" i="7"/>
  <c r="M991" i="7"/>
  <c r="N991" i="7"/>
  <c r="O991" i="7"/>
  <c r="P991" i="7"/>
  <c r="Q991" i="7"/>
  <c r="R991" i="7"/>
  <c r="S991" i="7"/>
  <c r="T991" i="7"/>
  <c r="U991" i="7"/>
  <c r="V991" i="7"/>
  <c r="W991" i="7"/>
  <c r="X991" i="7"/>
  <c r="Y991" i="7"/>
  <c r="Z991" i="7"/>
  <c r="AA991" i="7"/>
  <c r="AB991" i="7"/>
  <c r="E992" i="7"/>
  <c r="F992" i="7"/>
  <c r="G992" i="7"/>
  <c r="H992" i="7"/>
  <c r="I992" i="7"/>
  <c r="J992" i="7"/>
  <c r="K992" i="7"/>
  <c r="L992" i="7"/>
  <c r="M992" i="7"/>
  <c r="N992" i="7"/>
  <c r="O992" i="7"/>
  <c r="P992" i="7"/>
  <c r="Q992" i="7"/>
  <c r="R992" i="7"/>
  <c r="S992" i="7"/>
  <c r="T992" i="7"/>
  <c r="U992" i="7"/>
  <c r="V992" i="7"/>
  <c r="W992" i="7"/>
  <c r="X992" i="7"/>
  <c r="Y992" i="7"/>
  <c r="Z992" i="7"/>
  <c r="AA992" i="7"/>
  <c r="AB992" i="7"/>
  <c r="E993" i="7"/>
  <c r="F993" i="7"/>
  <c r="G993" i="7"/>
  <c r="H993" i="7"/>
  <c r="I993" i="7"/>
  <c r="J993" i="7"/>
  <c r="K993" i="7"/>
  <c r="L993" i="7"/>
  <c r="M993" i="7"/>
  <c r="N993" i="7"/>
  <c r="O993" i="7"/>
  <c r="P993" i="7"/>
  <c r="Q993" i="7"/>
  <c r="R993" i="7"/>
  <c r="S993" i="7"/>
  <c r="T993" i="7"/>
  <c r="U993" i="7"/>
  <c r="V993" i="7"/>
  <c r="W993" i="7"/>
  <c r="X993" i="7"/>
  <c r="Y993" i="7"/>
  <c r="Z993" i="7"/>
  <c r="AA993" i="7"/>
  <c r="AB993" i="7"/>
  <c r="E994" i="7"/>
  <c r="F994" i="7"/>
  <c r="G994" i="7"/>
  <c r="H994" i="7"/>
  <c r="I994" i="7"/>
  <c r="J994" i="7"/>
  <c r="K994" i="7"/>
  <c r="L994" i="7"/>
  <c r="M994" i="7"/>
  <c r="N994" i="7"/>
  <c r="O994" i="7"/>
  <c r="P994" i="7"/>
  <c r="Q994" i="7"/>
  <c r="R994" i="7"/>
  <c r="S994" i="7"/>
  <c r="T994" i="7"/>
  <c r="U994" i="7"/>
  <c r="V994" i="7"/>
  <c r="W994" i="7"/>
  <c r="X994" i="7"/>
  <c r="Y994" i="7"/>
  <c r="Z994" i="7"/>
  <c r="AA994" i="7"/>
  <c r="AB994" i="7"/>
  <c r="E995" i="7"/>
  <c r="F995" i="7"/>
  <c r="G995" i="7"/>
  <c r="H995" i="7"/>
  <c r="I995" i="7"/>
  <c r="J995" i="7"/>
  <c r="K995" i="7"/>
  <c r="L995" i="7"/>
  <c r="M995" i="7"/>
  <c r="N995" i="7"/>
  <c r="O995" i="7"/>
  <c r="P995" i="7"/>
  <c r="Q995" i="7"/>
  <c r="R995" i="7"/>
  <c r="S995" i="7"/>
  <c r="T995" i="7"/>
  <c r="U995" i="7"/>
  <c r="V995" i="7"/>
  <c r="W995" i="7"/>
  <c r="X995" i="7"/>
  <c r="Y995" i="7"/>
  <c r="Z995" i="7"/>
  <c r="AA995" i="7"/>
  <c r="AB995" i="7"/>
  <c r="E996" i="7"/>
  <c r="F996" i="7"/>
  <c r="G996" i="7"/>
  <c r="H996" i="7"/>
  <c r="I996" i="7"/>
  <c r="J996" i="7"/>
  <c r="K996" i="7"/>
  <c r="L996" i="7"/>
  <c r="M996" i="7"/>
  <c r="N996" i="7"/>
  <c r="O996" i="7"/>
  <c r="P996" i="7"/>
  <c r="Q996" i="7"/>
  <c r="R996" i="7"/>
  <c r="S996" i="7"/>
  <c r="T996" i="7"/>
  <c r="U996" i="7"/>
  <c r="V996" i="7"/>
  <c r="W996" i="7"/>
  <c r="X996" i="7"/>
  <c r="Y996" i="7"/>
  <c r="Z996" i="7"/>
  <c r="AA996" i="7"/>
  <c r="AB996" i="7"/>
  <c r="E997" i="7"/>
  <c r="F997" i="7"/>
  <c r="G997" i="7"/>
  <c r="H997" i="7"/>
  <c r="I997" i="7"/>
  <c r="J997" i="7"/>
  <c r="K997" i="7"/>
  <c r="L997" i="7"/>
  <c r="M997" i="7"/>
  <c r="N997" i="7"/>
  <c r="O997" i="7"/>
  <c r="P997" i="7"/>
  <c r="Q997" i="7"/>
  <c r="R997" i="7"/>
  <c r="S997" i="7"/>
  <c r="T997" i="7"/>
  <c r="U997" i="7"/>
  <c r="V997" i="7"/>
  <c r="W997" i="7"/>
  <c r="X997" i="7"/>
  <c r="Y997" i="7"/>
  <c r="Z997" i="7"/>
  <c r="AA997" i="7"/>
  <c r="AB997" i="7"/>
  <c r="E998" i="7"/>
  <c r="F998" i="7"/>
  <c r="G998" i="7"/>
  <c r="H998" i="7"/>
  <c r="I998" i="7"/>
  <c r="J998" i="7"/>
  <c r="K998" i="7"/>
  <c r="L998" i="7"/>
  <c r="M998" i="7"/>
  <c r="N998" i="7"/>
  <c r="O998" i="7"/>
  <c r="P998" i="7"/>
  <c r="Q998" i="7"/>
  <c r="R998" i="7"/>
  <c r="S998" i="7"/>
  <c r="T998" i="7"/>
  <c r="U998" i="7"/>
  <c r="V998" i="7"/>
  <c r="W998" i="7"/>
  <c r="X998" i="7"/>
  <c r="Y998" i="7"/>
  <c r="Z998" i="7"/>
  <c r="AA998" i="7"/>
  <c r="AB998" i="7"/>
  <c r="E999" i="7"/>
  <c r="F999" i="7"/>
  <c r="G999" i="7"/>
  <c r="H999" i="7"/>
  <c r="I999" i="7"/>
  <c r="J999" i="7"/>
  <c r="K999" i="7"/>
  <c r="L999" i="7"/>
  <c r="M999" i="7"/>
  <c r="N999" i="7"/>
  <c r="O999" i="7"/>
  <c r="P999" i="7"/>
  <c r="Q999" i="7"/>
  <c r="R999" i="7"/>
  <c r="S999" i="7"/>
  <c r="T999" i="7"/>
  <c r="U999" i="7"/>
  <c r="V999" i="7"/>
  <c r="W999" i="7"/>
  <c r="X999" i="7"/>
  <c r="Y999" i="7"/>
  <c r="Z999" i="7"/>
  <c r="AA999" i="7"/>
  <c r="AB999" i="7"/>
  <c r="E1000" i="7"/>
  <c r="F1000" i="7"/>
  <c r="G1000" i="7"/>
  <c r="H1000" i="7"/>
  <c r="I1000" i="7"/>
  <c r="J1000" i="7"/>
  <c r="K1000" i="7"/>
  <c r="L1000" i="7"/>
  <c r="M1000" i="7"/>
  <c r="N1000" i="7"/>
  <c r="O1000" i="7"/>
  <c r="P1000" i="7"/>
  <c r="Q1000" i="7"/>
  <c r="R1000" i="7"/>
  <c r="S1000" i="7"/>
  <c r="T1000" i="7"/>
  <c r="U1000" i="7"/>
  <c r="V1000" i="7"/>
  <c r="W1000" i="7"/>
  <c r="X1000" i="7"/>
  <c r="Y1000" i="7"/>
  <c r="Z1000" i="7"/>
  <c r="AA1000" i="7"/>
  <c r="AB1000" i="7"/>
  <c r="E1001" i="7"/>
  <c r="F1001" i="7"/>
  <c r="G1001" i="7"/>
  <c r="H1001" i="7"/>
  <c r="I1001" i="7"/>
  <c r="J1001" i="7"/>
  <c r="K1001" i="7"/>
  <c r="L1001" i="7"/>
  <c r="M1001" i="7"/>
  <c r="N1001" i="7"/>
  <c r="O1001" i="7"/>
  <c r="P1001" i="7"/>
  <c r="Q1001" i="7"/>
  <c r="R1001" i="7"/>
  <c r="S1001" i="7"/>
  <c r="T1001" i="7"/>
  <c r="U1001" i="7"/>
  <c r="V1001" i="7"/>
  <c r="W1001" i="7"/>
  <c r="X1001" i="7"/>
  <c r="Y1001" i="7"/>
  <c r="Z1001" i="7"/>
  <c r="AA1001" i="7"/>
  <c r="AB1001" i="7"/>
  <c r="E1002" i="7"/>
  <c r="F1002" i="7"/>
  <c r="G1002" i="7"/>
  <c r="H1002" i="7"/>
  <c r="I1002" i="7"/>
  <c r="J1002" i="7"/>
  <c r="K1002" i="7"/>
  <c r="L1002" i="7"/>
  <c r="M1002" i="7"/>
  <c r="N1002" i="7"/>
  <c r="O1002" i="7"/>
  <c r="P1002" i="7"/>
  <c r="Q1002" i="7"/>
  <c r="R1002" i="7"/>
  <c r="S1002" i="7"/>
  <c r="T1002" i="7"/>
  <c r="U1002" i="7"/>
  <c r="V1002" i="7"/>
  <c r="W1002" i="7"/>
  <c r="X1002" i="7"/>
  <c r="Y1002" i="7"/>
  <c r="Z1002" i="7"/>
  <c r="AA1002" i="7"/>
  <c r="AB1002" i="7"/>
  <c r="E1003" i="7"/>
  <c r="F1003" i="7"/>
  <c r="G1003" i="7"/>
  <c r="H1003" i="7"/>
  <c r="I1003" i="7"/>
  <c r="J1003" i="7"/>
  <c r="K1003" i="7"/>
  <c r="L1003" i="7"/>
  <c r="M1003" i="7"/>
  <c r="N1003" i="7"/>
  <c r="O1003" i="7"/>
  <c r="P1003" i="7"/>
  <c r="Q1003" i="7"/>
  <c r="R1003" i="7"/>
  <c r="S1003" i="7"/>
  <c r="T1003" i="7"/>
  <c r="U1003" i="7"/>
  <c r="V1003" i="7"/>
  <c r="W1003" i="7"/>
  <c r="X1003" i="7"/>
  <c r="Y1003" i="7"/>
  <c r="Z1003" i="7"/>
  <c r="AA1003" i="7"/>
  <c r="AB1003" i="7"/>
  <c r="E1004" i="7"/>
  <c r="F1004" i="7"/>
  <c r="G1004" i="7"/>
  <c r="H1004" i="7"/>
  <c r="I1004" i="7"/>
  <c r="J1004" i="7"/>
  <c r="K1004" i="7"/>
  <c r="L1004" i="7"/>
  <c r="M1004" i="7"/>
  <c r="N1004" i="7"/>
  <c r="O1004" i="7"/>
  <c r="P1004" i="7"/>
  <c r="Q1004" i="7"/>
  <c r="R1004" i="7"/>
  <c r="S1004" i="7"/>
  <c r="T1004" i="7"/>
  <c r="U1004" i="7"/>
  <c r="V1004" i="7"/>
  <c r="W1004" i="7"/>
  <c r="X1004" i="7"/>
  <c r="Y1004" i="7"/>
  <c r="Z1004" i="7"/>
  <c r="AA1004" i="7"/>
  <c r="AB1004" i="7"/>
  <c r="E1005" i="7"/>
  <c r="F1005" i="7"/>
  <c r="G1005" i="7"/>
  <c r="H1005" i="7"/>
  <c r="I1005" i="7"/>
  <c r="J1005" i="7"/>
  <c r="K1005" i="7"/>
  <c r="L1005" i="7"/>
  <c r="M1005" i="7"/>
  <c r="N1005" i="7"/>
  <c r="O1005" i="7"/>
  <c r="P1005" i="7"/>
  <c r="Q1005" i="7"/>
  <c r="R1005" i="7"/>
  <c r="S1005" i="7"/>
  <c r="T1005" i="7"/>
  <c r="U1005" i="7"/>
  <c r="V1005" i="7"/>
  <c r="W1005" i="7"/>
  <c r="X1005" i="7"/>
  <c r="Y1005" i="7"/>
  <c r="Z1005" i="7"/>
  <c r="AA1005" i="7"/>
  <c r="AB1005" i="7"/>
  <c r="E1006" i="7"/>
  <c r="F1006" i="7"/>
  <c r="G1006" i="7"/>
  <c r="H1006" i="7"/>
  <c r="I1006" i="7"/>
  <c r="J1006" i="7"/>
  <c r="K1006" i="7"/>
  <c r="L1006" i="7"/>
  <c r="M1006" i="7"/>
  <c r="N1006" i="7"/>
  <c r="O1006" i="7"/>
  <c r="P1006" i="7"/>
  <c r="Q1006" i="7"/>
  <c r="R1006" i="7"/>
  <c r="S1006" i="7"/>
  <c r="T1006" i="7"/>
  <c r="U1006" i="7"/>
  <c r="V1006" i="7"/>
  <c r="W1006" i="7"/>
  <c r="X1006" i="7"/>
  <c r="Y1006" i="7"/>
  <c r="Z1006" i="7"/>
  <c r="AA1006" i="7"/>
  <c r="AB1006" i="7"/>
  <c r="E1007" i="7"/>
  <c r="F1007" i="7"/>
  <c r="G1007" i="7"/>
  <c r="H1007" i="7"/>
  <c r="I1007" i="7"/>
  <c r="J1007" i="7"/>
  <c r="K1007" i="7"/>
  <c r="L1007" i="7"/>
  <c r="M1007" i="7"/>
  <c r="N1007" i="7"/>
  <c r="O1007" i="7"/>
  <c r="P1007" i="7"/>
  <c r="Q1007" i="7"/>
  <c r="R1007" i="7"/>
  <c r="S1007" i="7"/>
  <c r="T1007" i="7"/>
  <c r="U1007" i="7"/>
  <c r="V1007" i="7"/>
  <c r="W1007" i="7"/>
  <c r="X1007" i="7"/>
  <c r="Y1007" i="7"/>
  <c r="Z1007" i="7"/>
  <c r="AA1007" i="7"/>
  <c r="AB1007" i="7"/>
  <c r="E1008" i="7"/>
  <c r="F1008" i="7"/>
  <c r="G1008" i="7"/>
  <c r="H1008" i="7"/>
  <c r="I1008" i="7"/>
  <c r="J1008" i="7"/>
  <c r="K1008" i="7"/>
  <c r="L1008" i="7"/>
  <c r="M1008" i="7"/>
  <c r="N1008" i="7"/>
  <c r="O1008" i="7"/>
  <c r="P1008" i="7"/>
  <c r="Q1008" i="7"/>
  <c r="R1008" i="7"/>
  <c r="S1008" i="7"/>
  <c r="T1008" i="7"/>
  <c r="U1008" i="7"/>
  <c r="V1008" i="7"/>
  <c r="W1008" i="7"/>
  <c r="X1008" i="7"/>
  <c r="Y1008" i="7"/>
  <c r="Z1008" i="7"/>
  <c r="AA1008" i="7"/>
  <c r="AB1008" i="7"/>
  <c r="E1009" i="7"/>
  <c r="F1009" i="7"/>
  <c r="G1009" i="7"/>
  <c r="H1009" i="7"/>
  <c r="I1009" i="7"/>
  <c r="J1009" i="7"/>
  <c r="K1009" i="7"/>
  <c r="L1009" i="7"/>
  <c r="M1009" i="7"/>
  <c r="N1009" i="7"/>
  <c r="O1009" i="7"/>
  <c r="P1009" i="7"/>
  <c r="Q1009" i="7"/>
  <c r="R1009" i="7"/>
  <c r="S1009" i="7"/>
  <c r="T1009" i="7"/>
  <c r="U1009" i="7"/>
  <c r="V1009" i="7"/>
  <c r="W1009" i="7"/>
  <c r="X1009" i="7"/>
  <c r="Y1009" i="7"/>
  <c r="Z1009" i="7"/>
  <c r="AA1009" i="7"/>
  <c r="AB1009" i="7"/>
  <c r="E1010" i="7"/>
  <c r="F1010" i="7"/>
  <c r="G1010" i="7"/>
  <c r="H1010" i="7"/>
  <c r="I1010" i="7"/>
  <c r="J1010" i="7"/>
  <c r="K1010" i="7"/>
  <c r="L1010" i="7"/>
  <c r="M1010" i="7"/>
  <c r="N1010" i="7"/>
  <c r="O1010" i="7"/>
  <c r="P1010" i="7"/>
  <c r="Q1010" i="7"/>
  <c r="R1010" i="7"/>
  <c r="S1010" i="7"/>
  <c r="T1010" i="7"/>
  <c r="U1010" i="7"/>
  <c r="V1010" i="7"/>
  <c r="W1010" i="7"/>
  <c r="X1010" i="7"/>
  <c r="Y1010" i="7"/>
  <c r="Z1010" i="7"/>
  <c r="AA1010" i="7"/>
  <c r="AB1010" i="7"/>
  <c r="E1011" i="7"/>
  <c r="F1011" i="7"/>
  <c r="G1011" i="7"/>
  <c r="H1011" i="7"/>
  <c r="I1011" i="7"/>
  <c r="J1011" i="7"/>
  <c r="K1011" i="7"/>
  <c r="L1011" i="7"/>
  <c r="M1011" i="7"/>
  <c r="N1011" i="7"/>
  <c r="O1011" i="7"/>
  <c r="P1011" i="7"/>
  <c r="Q1011" i="7"/>
  <c r="R1011" i="7"/>
  <c r="S1011" i="7"/>
  <c r="T1011" i="7"/>
  <c r="U1011" i="7"/>
  <c r="V1011" i="7"/>
  <c r="W1011" i="7"/>
  <c r="X1011" i="7"/>
  <c r="Y1011" i="7"/>
  <c r="Z1011" i="7"/>
  <c r="AA1011" i="7"/>
  <c r="AB1011" i="7"/>
  <c r="E1012" i="7"/>
  <c r="F1012" i="7"/>
  <c r="G1012" i="7"/>
  <c r="H1012" i="7"/>
  <c r="I1012" i="7"/>
  <c r="J1012" i="7"/>
  <c r="K1012" i="7"/>
  <c r="L1012" i="7"/>
  <c r="M1012" i="7"/>
  <c r="N1012" i="7"/>
  <c r="O1012" i="7"/>
  <c r="P1012" i="7"/>
  <c r="Q1012" i="7"/>
  <c r="R1012" i="7"/>
  <c r="S1012" i="7"/>
  <c r="T1012" i="7"/>
  <c r="U1012" i="7"/>
  <c r="V1012" i="7"/>
  <c r="W1012" i="7"/>
  <c r="X1012" i="7"/>
  <c r="Y1012" i="7"/>
  <c r="Z1012" i="7"/>
  <c r="AA1012" i="7"/>
  <c r="AB1012" i="7"/>
  <c r="E1013" i="7"/>
  <c r="F1013" i="7"/>
  <c r="G1013" i="7"/>
  <c r="H1013" i="7"/>
  <c r="I1013" i="7"/>
  <c r="J1013" i="7"/>
  <c r="K1013" i="7"/>
  <c r="L1013" i="7"/>
  <c r="M1013" i="7"/>
  <c r="N1013" i="7"/>
  <c r="O1013" i="7"/>
  <c r="P1013" i="7"/>
  <c r="Q1013" i="7"/>
  <c r="R1013" i="7"/>
  <c r="S1013" i="7"/>
  <c r="T1013" i="7"/>
  <c r="U1013" i="7"/>
  <c r="V1013" i="7"/>
  <c r="W1013" i="7"/>
  <c r="X1013" i="7"/>
  <c r="Y1013" i="7"/>
  <c r="Z1013" i="7"/>
  <c r="AA1013" i="7"/>
  <c r="AB1013" i="7"/>
  <c r="E1014" i="7"/>
  <c r="F1014" i="7"/>
  <c r="G1014" i="7"/>
  <c r="H1014" i="7"/>
  <c r="I1014" i="7"/>
  <c r="J1014" i="7"/>
  <c r="K1014" i="7"/>
  <c r="L1014" i="7"/>
  <c r="M1014" i="7"/>
  <c r="N1014" i="7"/>
  <c r="O1014" i="7"/>
  <c r="P1014" i="7"/>
  <c r="Q1014" i="7"/>
  <c r="R1014" i="7"/>
  <c r="S1014" i="7"/>
  <c r="T1014" i="7"/>
  <c r="U1014" i="7"/>
  <c r="V1014" i="7"/>
  <c r="W1014" i="7"/>
  <c r="X1014" i="7"/>
  <c r="Y1014" i="7"/>
  <c r="Z1014" i="7"/>
  <c r="AA1014" i="7"/>
  <c r="AB1014" i="7"/>
  <c r="E1015" i="7"/>
  <c r="F1015" i="7"/>
  <c r="G1015" i="7"/>
  <c r="H1015" i="7"/>
  <c r="I1015" i="7"/>
  <c r="J1015" i="7"/>
  <c r="K1015" i="7"/>
  <c r="L1015" i="7"/>
  <c r="M1015" i="7"/>
  <c r="N1015" i="7"/>
  <c r="O1015" i="7"/>
  <c r="P1015" i="7"/>
  <c r="Q1015" i="7"/>
  <c r="R1015" i="7"/>
  <c r="S1015" i="7"/>
  <c r="T1015" i="7"/>
  <c r="U1015" i="7"/>
  <c r="V1015" i="7"/>
  <c r="W1015" i="7"/>
  <c r="X1015" i="7"/>
  <c r="Y1015" i="7"/>
  <c r="Z1015" i="7"/>
  <c r="AA1015" i="7"/>
  <c r="AB1015" i="7"/>
  <c r="E1016" i="7"/>
  <c r="F1016" i="7"/>
  <c r="G1016" i="7"/>
  <c r="H1016" i="7"/>
  <c r="I1016" i="7"/>
  <c r="J1016" i="7"/>
  <c r="K1016" i="7"/>
  <c r="L1016" i="7"/>
  <c r="M1016" i="7"/>
  <c r="N1016" i="7"/>
  <c r="O1016" i="7"/>
  <c r="P1016" i="7"/>
  <c r="Q1016" i="7"/>
  <c r="R1016" i="7"/>
  <c r="S1016" i="7"/>
  <c r="T1016" i="7"/>
  <c r="U1016" i="7"/>
  <c r="V1016" i="7"/>
  <c r="W1016" i="7"/>
  <c r="X1016" i="7"/>
  <c r="Y1016" i="7"/>
  <c r="Z1016" i="7"/>
  <c r="AA1016" i="7"/>
  <c r="AB1016" i="7"/>
  <c r="E1017" i="7"/>
  <c r="F1017" i="7"/>
  <c r="G1017" i="7"/>
  <c r="H1017" i="7"/>
  <c r="I1017" i="7"/>
  <c r="J1017" i="7"/>
  <c r="K1017" i="7"/>
  <c r="L1017" i="7"/>
  <c r="M1017" i="7"/>
  <c r="N1017" i="7"/>
  <c r="O1017" i="7"/>
  <c r="P1017" i="7"/>
  <c r="Q1017" i="7"/>
  <c r="R1017" i="7"/>
  <c r="S1017" i="7"/>
  <c r="T1017" i="7"/>
  <c r="U1017" i="7"/>
  <c r="V1017" i="7"/>
  <c r="W1017" i="7"/>
  <c r="X1017" i="7"/>
  <c r="Y1017" i="7"/>
  <c r="Z1017" i="7"/>
  <c r="AA1017" i="7"/>
  <c r="AB1017" i="7"/>
  <c r="E1018" i="7"/>
  <c r="F1018" i="7"/>
  <c r="G1018" i="7"/>
  <c r="H1018" i="7"/>
  <c r="I1018" i="7"/>
  <c r="J1018" i="7"/>
  <c r="K1018" i="7"/>
  <c r="L1018" i="7"/>
  <c r="M1018" i="7"/>
  <c r="N1018" i="7"/>
  <c r="O1018" i="7"/>
  <c r="P1018" i="7"/>
  <c r="Q1018" i="7"/>
  <c r="R1018" i="7"/>
  <c r="S1018" i="7"/>
  <c r="T1018" i="7"/>
  <c r="U1018" i="7"/>
  <c r="V1018" i="7"/>
  <c r="W1018" i="7"/>
  <c r="X1018" i="7"/>
  <c r="Y1018" i="7"/>
  <c r="Z1018" i="7"/>
  <c r="AA1018" i="7"/>
  <c r="AB1018" i="7"/>
  <c r="E1019" i="7"/>
  <c r="F1019" i="7"/>
  <c r="G1019" i="7"/>
  <c r="H1019" i="7"/>
  <c r="I1019" i="7"/>
  <c r="J1019" i="7"/>
  <c r="K1019" i="7"/>
  <c r="L1019" i="7"/>
  <c r="M1019" i="7"/>
  <c r="N1019" i="7"/>
  <c r="O1019" i="7"/>
  <c r="P1019" i="7"/>
  <c r="Q1019" i="7"/>
  <c r="R1019" i="7"/>
  <c r="S1019" i="7"/>
  <c r="T1019" i="7"/>
  <c r="U1019" i="7"/>
  <c r="V1019" i="7"/>
  <c r="W1019" i="7"/>
  <c r="X1019" i="7"/>
  <c r="Y1019" i="7"/>
  <c r="Z1019" i="7"/>
  <c r="AA1019" i="7"/>
  <c r="AB1019" i="7"/>
  <c r="E1020" i="7"/>
  <c r="F1020" i="7"/>
  <c r="G1020" i="7"/>
  <c r="H1020" i="7"/>
  <c r="I1020" i="7"/>
  <c r="J1020" i="7"/>
  <c r="K1020" i="7"/>
  <c r="L1020" i="7"/>
  <c r="M1020" i="7"/>
  <c r="N1020" i="7"/>
  <c r="O1020" i="7"/>
  <c r="P1020" i="7"/>
  <c r="Q1020" i="7"/>
  <c r="R1020" i="7"/>
  <c r="S1020" i="7"/>
  <c r="T1020" i="7"/>
  <c r="U1020" i="7"/>
  <c r="V1020" i="7"/>
  <c r="W1020" i="7"/>
  <c r="X1020" i="7"/>
  <c r="Y1020" i="7"/>
  <c r="Z1020" i="7"/>
  <c r="AA1020" i="7"/>
  <c r="AB1020" i="7"/>
  <c r="E1021" i="7"/>
  <c r="F1021" i="7"/>
  <c r="G1021" i="7"/>
  <c r="H1021" i="7"/>
  <c r="I1021" i="7"/>
  <c r="J1021" i="7"/>
  <c r="K1021" i="7"/>
  <c r="L1021" i="7"/>
  <c r="M1021" i="7"/>
  <c r="N1021" i="7"/>
  <c r="O1021" i="7"/>
  <c r="P1021" i="7"/>
  <c r="Q1021" i="7"/>
  <c r="R1021" i="7"/>
  <c r="S1021" i="7"/>
  <c r="T1021" i="7"/>
  <c r="U1021" i="7"/>
  <c r="V1021" i="7"/>
  <c r="W1021" i="7"/>
  <c r="X1021" i="7"/>
  <c r="Y1021" i="7"/>
  <c r="Z1021" i="7"/>
  <c r="AA1021" i="7"/>
  <c r="AB1021" i="7"/>
  <c r="E1022" i="7"/>
  <c r="F1022" i="7"/>
  <c r="G1022" i="7"/>
  <c r="H1022" i="7"/>
  <c r="I1022" i="7"/>
  <c r="J1022" i="7"/>
  <c r="K1022" i="7"/>
  <c r="L1022" i="7"/>
  <c r="M1022" i="7"/>
  <c r="N1022" i="7"/>
  <c r="O1022" i="7"/>
  <c r="P1022" i="7"/>
  <c r="Q1022" i="7"/>
  <c r="R1022" i="7"/>
  <c r="S1022" i="7"/>
  <c r="T1022" i="7"/>
  <c r="U1022" i="7"/>
  <c r="V1022" i="7"/>
  <c r="W1022" i="7"/>
  <c r="X1022" i="7"/>
  <c r="Y1022" i="7"/>
  <c r="Z1022" i="7"/>
  <c r="AA1022" i="7"/>
  <c r="AB1022" i="7"/>
  <c r="E1023" i="7"/>
  <c r="F1023" i="7"/>
  <c r="G1023" i="7"/>
  <c r="H1023" i="7"/>
  <c r="I1023" i="7"/>
  <c r="J1023" i="7"/>
  <c r="K1023" i="7"/>
  <c r="L1023" i="7"/>
  <c r="M1023" i="7"/>
  <c r="N1023" i="7"/>
  <c r="O1023" i="7"/>
  <c r="P1023" i="7"/>
  <c r="Q1023" i="7"/>
  <c r="R1023" i="7"/>
  <c r="S1023" i="7"/>
  <c r="T1023" i="7"/>
  <c r="U1023" i="7"/>
  <c r="V1023" i="7"/>
  <c r="W1023" i="7"/>
  <c r="X1023" i="7"/>
  <c r="Y1023" i="7"/>
  <c r="Z1023" i="7"/>
  <c r="AA1023" i="7"/>
  <c r="AB1023" i="7"/>
  <c r="E1024" i="7"/>
  <c r="F1024" i="7"/>
  <c r="G1024" i="7"/>
  <c r="H1024" i="7"/>
  <c r="I1024" i="7"/>
  <c r="J1024" i="7"/>
  <c r="K1024" i="7"/>
  <c r="L1024" i="7"/>
  <c r="M1024" i="7"/>
  <c r="N1024" i="7"/>
  <c r="O1024" i="7"/>
  <c r="P1024" i="7"/>
  <c r="Q1024" i="7"/>
  <c r="R1024" i="7"/>
  <c r="S1024" i="7"/>
  <c r="T1024" i="7"/>
  <c r="U1024" i="7"/>
  <c r="V1024" i="7"/>
  <c r="W1024" i="7"/>
  <c r="X1024" i="7"/>
  <c r="Y1024" i="7"/>
  <c r="Z1024" i="7"/>
  <c r="AA1024" i="7"/>
  <c r="AB1024" i="7"/>
  <c r="E1025" i="7"/>
  <c r="F1025" i="7"/>
  <c r="G1025" i="7"/>
  <c r="H1025" i="7"/>
  <c r="I1025" i="7"/>
  <c r="J1025" i="7"/>
  <c r="K1025" i="7"/>
  <c r="L1025" i="7"/>
  <c r="M1025" i="7"/>
  <c r="N1025" i="7"/>
  <c r="O1025" i="7"/>
  <c r="P1025" i="7"/>
  <c r="Q1025" i="7"/>
  <c r="R1025" i="7"/>
  <c r="S1025" i="7"/>
  <c r="T1025" i="7"/>
  <c r="U1025" i="7"/>
  <c r="V1025" i="7"/>
  <c r="W1025" i="7"/>
  <c r="X1025" i="7"/>
  <c r="Y1025" i="7"/>
  <c r="Z1025" i="7"/>
  <c r="AA1025" i="7"/>
  <c r="AB1025" i="7"/>
  <c r="E1026" i="7"/>
  <c r="F1026" i="7"/>
  <c r="G1026" i="7"/>
  <c r="H1026" i="7"/>
  <c r="I1026" i="7"/>
  <c r="J1026" i="7"/>
  <c r="K1026" i="7"/>
  <c r="L1026" i="7"/>
  <c r="M1026" i="7"/>
  <c r="N1026" i="7"/>
  <c r="O1026" i="7"/>
  <c r="P1026" i="7"/>
  <c r="Q1026" i="7"/>
  <c r="R1026" i="7"/>
  <c r="S1026" i="7"/>
  <c r="T1026" i="7"/>
  <c r="U1026" i="7"/>
  <c r="V1026" i="7"/>
  <c r="W1026" i="7"/>
  <c r="X1026" i="7"/>
  <c r="Y1026" i="7"/>
  <c r="Z1026" i="7"/>
  <c r="AA1026" i="7"/>
  <c r="AB1026" i="7"/>
  <c r="E1027" i="7"/>
  <c r="F1027" i="7"/>
  <c r="G1027" i="7"/>
  <c r="H1027" i="7"/>
  <c r="I1027" i="7"/>
  <c r="J1027" i="7"/>
  <c r="K1027" i="7"/>
  <c r="L1027" i="7"/>
  <c r="M1027" i="7"/>
  <c r="N1027" i="7"/>
  <c r="O1027" i="7"/>
  <c r="P1027" i="7"/>
  <c r="Q1027" i="7"/>
  <c r="R1027" i="7"/>
  <c r="S1027" i="7"/>
  <c r="T1027" i="7"/>
  <c r="U1027" i="7"/>
  <c r="V1027" i="7"/>
  <c r="W1027" i="7"/>
  <c r="X1027" i="7"/>
  <c r="Y1027" i="7"/>
  <c r="Z1027" i="7"/>
  <c r="AA1027" i="7"/>
  <c r="AB1027" i="7"/>
  <c r="E1028" i="7"/>
  <c r="F1028" i="7"/>
  <c r="G1028" i="7"/>
  <c r="H1028" i="7"/>
  <c r="I1028" i="7"/>
  <c r="J1028" i="7"/>
  <c r="K1028" i="7"/>
  <c r="L1028" i="7"/>
  <c r="M1028" i="7"/>
  <c r="N1028" i="7"/>
  <c r="O1028" i="7"/>
  <c r="P1028" i="7"/>
  <c r="Q1028" i="7"/>
  <c r="R1028" i="7"/>
  <c r="S1028" i="7"/>
  <c r="T1028" i="7"/>
  <c r="U1028" i="7"/>
  <c r="V1028" i="7"/>
  <c r="W1028" i="7"/>
  <c r="X1028" i="7"/>
  <c r="Y1028" i="7"/>
  <c r="Z1028" i="7"/>
  <c r="AA1028" i="7"/>
  <c r="AB1028" i="7"/>
  <c r="E1029" i="7"/>
  <c r="F1029" i="7"/>
  <c r="G1029" i="7"/>
  <c r="H1029" i="7"/>
  <c r="I1029" i="7"/>
  <c r="J1029" i="7"/>
  <c r="K1029" i="7"/>
  <c r="L1029" i="7"/>
  <c r="M1029" i="7"/>
  <c r="N1029" i="7"/>
  <c r="O1029" i="7"/>
  <c r="P1029" i="7"/>
  <c r="Q1029" i="7"/>
  <c r="R1029" i="7"/>
  <c r="S1029" i="7"/>
  <c r="T1029" i="7"/>
  <c r="U1029" i="7"/>
  <c r="V1029" i="7"/>
  <c r="W1029" i="7"/>
  <c r="X1029" i="7"/>
  <c r="Y1029" i="7"/>
  <c r="Z1029" i="7"/>
  <c r="AA1029" i="7"/>
  <c r="AB1029" i="7"/>
  <c r="E1030" i="7"/>
  <c r="F1030" i="7"/>
  <c r="G1030" i="7"/>
  <c r="H1030" i="7"/>
  <c r="I1030" i="7"/>
  <c r="J1030" i="7"/>
  <c r="K1030" i="7"/>
  <c r="L1030" i="7"/>
  <c r="M1030" i="7"/>
  <c r="N1030" i="7"/>
  <c r="O1030" i="7"/>
  <c r="P1030" i="7"/>
  <c r="Q1030" i="7"/>
  <c r="R1030" i="7"/>
  <c r="S1030" i="7"/>
  <c r="T1030" i="7"/>
  <c r="U1030" i="7"/>
  <c r="V1030" i="7"/>
  <c r="W1030" i="7"/>
  <c r="X1030" i="7"/>
  <c r="Y1030" i="7"/>
  <c r="Z1030" i="7"/>
  <c r="AA1030" i="7"/>
  <c r="AB1030" i="7"/>
  <c r="E1031" i="7"/>
  <c r="F1031" i="7"/>
  <c r="G1031" i="7"/>
  <c r="H1031" i="7"/>
  <c r="I1031" i="7"/>
  <c r="J1031" i="7"/>
  <c r="K1031" i="7"/>
  <c r="L1031" i="7"/>
  <c r="M1031" i="7"/>
  <c r="N1031" i="7"/>
  <c r="O1031" i="7"/>
  <c r="P1031" i="7"/>
  <c r="Q1031" i="7"/>
  <c r="R1031" i="7"/>
  <c r="S1031" i="7"/>
  <c r="T1031" i="7"/>
  <c r="U1031" i="7"/>
  <c r="V1031" i="7"/>
  <c r="W1031" i="7"/>
  <c r="X1031" i="7"/>
  <c r="Y1031" i="7"/>
  <c r="Z1031" i="7"/>
  <c r="AA1031" i="7"/>
  <c r="AB1031" i="7"/>
  <c r="E1032" i="7"/>
  <c r="F1032" i="7"/>
  <c r="G1032" i="7"/>
  <c r="H1032" i="7"/>
  <c r="I1032" i="7"/>
  <c r="J1032" i="7"/>
  <c r="K1032" i="7"/>
  <c r="L1032" i="7"/>
  <c r="M1032" i="7"/>
  <c r="N1032" i="7"/>
  <c r="O1032" i="7"/>
  <c r="P1032" i="7"/>
  <c r="Q1032" i="7"/>
  <c r="R1032" i="7"/>
  <c r="S1032" i="7"/>
  <c r="T1032" i="7"/>
  <c r="U1032" i="7"/>
  <c r="V1032" i="7"/>
  <c r="W1032" i="7"/>
  <c r="X1032" i="7"/>
  <c r="Y1032" i="7"/>
  <c r="Z1032" i="7"/>
  <c r="AA1032" i="7"/>
  <c r="AB1032" i="7"/>
  <c r="E1033" i="7"/>
  <c r="F1033" i="7"/>
  <c r="G1033" i="7"/>
  <c r="H1033" i="7"/>
  <c r="I1033" i="7"/>
  <c r="J1033" i="7"/>
  <c r="K1033" i="7"/>
  <c r="L1033" i="7"/>
  <c r="M1033" i="7"/>
  <c r="N1033" i="7"/>
  <c r="O1033" i="7"/>
  <c r="P1033" i="7"/>
  <c r="Q1033" i="7"/>
  <c r="R1033" i="7"/>
  <c r="S1033" i="7"/>
  <c r="T1033" i="7"/>
  <c r="U1033" i="7"/>
  <c r="V1033" i="7"/>
  <c r="W1033" i="7"/>
  <c r="X1033" i="7"/>
  <c r="Y1033" i="7"/>
  <c r="Z1033" i="7"/>
  <c r="AA1033" i="7"/>
  <c r="AB1033" i="7"/>
  <c r="E1034" i="7"/>
  <c r="F1034" i="7"/>
  <c r="G1034" i="7"/>
  <c r="H1034" i="7"/>
  <c r="I1034" i="7"/>
  <c r="J1034" i="7"/>
  <c r="K1034" i="7"/>
  <c r="L1034" i="7"/>
  <c r="M1034" i="7"/>
  <c r="N1034" i="7"/>
  <c r="O1034" i="7"/>
  <c r="P1034" i="7"/>
  <c r="Q1034" i="7"/>
  <c r="R1034" i="7"/>
  <c r="S1034" i="7"/>
  <c r="T1034" i="7"/>
  <c r="U1034" i="7"/>
  <c r="V1034" i="7"/>
  <c r="W1034" i="7"/>
  <c r="X1034" i="7"/>
  <c r="Y1034" i="7"/>
  <c r="Z1034" i="7"/>
  <c r="AA1034" i="7"/>
  <c r="AB1034" i="7"/>
  <c r="E1035" i="7"/>
  <c r="F1035" i="7"/>
  <c r="G1035" i="7"/>
  <c r="H1035" i="7"/>
  <c r="I1035" i="7"/>
  <c r="J1035" i="7"/>
  <c r="K1035" i="7"/>
  <c r="L1035" i="7"/>
  <c r="M1035" i="7"/>
  <c r="N1035" i="7"/>
  <c r="O1035" i="7"/>
  <c r="P1035" i="7"/>
  <c r="Q1035" i="7"/>
  <c r="R1035" i="7"/>
  <c r="S1035" i="7"/>
  <c r="T1035" i="7"/>
  <c r="U1035" i="7"/>
  <c r="V1035" i="7"/>
  <c r="W1035" i="7"/>
  <c r="X1035" i="7"/>
  <c r="Y1035" i="7"/>
  <c r="Z1035" i="7"/>
  <c r="AA1035" i="7"/>
  <c r="AB1035" i="7"/>
  <c r="E1036" i="7"/>
  <c r="F1036" i="7"/>
  <c r="G1036" i="7"/>
  <c r="H1036" i="7"/>
  <c r="I1036" i="7"/>
  <c r="J1036" i="7"/>
  <c r="K1036" i="7"/>
  <c r="L1036" i="7"/>
  <c r="M1036" i="7"/>
  <c r="N1036" i="7"/>
  <c r="O1036" i="7"/>
  <c r="P1036" i="7"/>
  <c r="Q1036" i="7"/>
  <c r="R1036" i="7"/>
  <c r="S1036" i="7"/>
  <c r="T1036" i="7"/>
  <c r="U1036" i="7"/>
  <c r="V1036" i="7"/>
  <c r="W1036" i="7"/>
  <c r="X1036" i="7"/>
  <c r="Y1036" i="7"/>
  <c r="Z1036" i="7"/>
  <c r="AA1036" i="7"/>
  <c r="AB1036" i="7"/>
  <c r="E1037" i="7"/>
  <c r="F1037" i="7"/>
  <c r="G1037" i="7"/>
  <c r="H1037" i="7"/>
  <c r="I1037" i="7"/>
  <c r="J1037" i="7"/>
  <c r="K1037" i="7"/>
  <c r="L1037" i="7"/>
  <c r="M1037" i="7"/>
  <c r="N1037" i="7"/>
  <c r="O1037" i="7"/>
  <c r="P1037" i="7"/>
  <c r="Q1037" i="7"/>
  <c r="R1037" i="7"/>
  <c r="S1037" i="7"/>
  <c r="T1037" i="7"/>
  <c r="U1037" i="7"/>
  <c r="V1037" i="7"/>
  <c r="W1037" i="7"/>
  <c r="X1037" i="7"/>
  <c r="Y1037" i="7"/>
  <c r="Z1037" i="7"/>
  <c r="AA1037" i="7"/>
  <c r="AB1037" i="7"/>
  <c r="E1038" i="7"/>
  <c r="F1038" i="7"/>
  <c r="G1038" i="7"/>
  <c r="H1038" i="7"/>
  <c r="I1038" i="7"/>
  <c r="J1038" i="7"/>
  <c r="K1038" i="7"/>
  <c r="L1038" i="7"/>
  <c r="M1038" i="7"/>
  <c r="N1038" i="7"/>
  <c r="O1038" i="7"/>
  <c r="P1038" i="7"/>
  <c r="Q1038" i="7"/>
  <c r="R1038" i="7"/>
  <c r="S1038" i="7"/>
  <c r="T1038" i="7"/>
  <c r="U1038" i="7"/>
  <c r="V1038" i="7"/>
  <c r="W1038" i="7"/>
  <c r="X1038" i="7"/>
  <c r="Y1038" i="7"/>
  <c r="Z1038" i="7"/>
  <c r="AA1038" i="7"/>
  <c r="AB1038" i="7"/>
  <c r="E1039" i="7"/>
  <c r="F1039" i="7"/>
  <c r="G1039" i="7"/>
  <c r="H1039" i="7"/>
  <c r="I1039" i="7"/>
  <c r="J1039" i="7"/>
  <c r="K1039" i="7"/>
  <c r="L1039" i="7"/>
  <c r="M1039" i="7"/>
  <c r="N1039" i="7"/>
  <c r="O1039" i="7"/>
  <c r="P1039" i="7"/>
  <c r="Q1039" i="7"/>
  <c r="R1039" i="7"/>
  <c r="S1039" i="7"/>
  <c r="T1039" i="7"/>
  <c r="U1039" i="7"/>
  <c r="V1039" i="7"/>
  <c r="W1039" i="7"/>
  <c r="X1039" i="7"/>
  <c r="Y1039" i="7"/>
  <c r="Z1039" i="7"/>
  <c r="AA1039" i="7"/>
  <c r="AB1039" i="7"/>
  <c r="E1040" i="7"/>
  <c r="F1040" i="7"/>
  <c r="G1040" i="7"/>
  <c r="H1040" i="7"/>
  <c r="I1040" i="7"/>
  <c r="J1040" i="7"/>
  <c r="K1040" i="7"/>
  <c r="L1040" i="7"/>
  <c r="M1040" i="7"/>
  <c r="N1040" i="7"/>
  <c r="O1040" i="7"/>
  <c r="P1040" i="7"/>
  <c r="Q1040" i="7"/>
  <c r="R1040" i="7"/>
  <c r="S1040" i="7"/>
  <c r="T1040" i="7"/>
  <c r="U1040" i="7"/>
  <c r="V1040" i="7"/>
  <c r="W1040" i="7"/>
  <c r="X1040" i="7"/>
  <c r="Y1040" i="7"/>
  <c r="Z1040" i="7"/>
  <c r="AA1040" i="7"/>
  <c r="AB1040" i="7"/>
  <c r="E1041" i="7"/>
  <c r="F1041" i="7"/>
  <c r="G1041" i="7"/>
  <c r="H1041" i="7"/>
  <c r="I1041" i="7"/>
  <c r="J1041" i="7"/>
  <c r="K1041" i="7"/>
  <c r="L1041" i="7"/>
  <c r="M1041" i="7"/>
  <c r="N1041" i="7"/>
  <c r="O1041" i="7"/>
  <c r="P1041" i="7"/>
  <c r="Q1041" i="7"/>
  <c r="R1041" i="7"/>
  <c r="S1041" i="7"/>
  <c r="T1041" i="7"/>
  <c r="U1041" i="7"/>
  <c r="V1041" i="7"/>
  <c r="W1041" i="7"/>
  <c r="X1041" i="7"/>
  <c r="Y1041" i="7"/>
  <c r="Z1041" i="7"/>
  <c r="AA1041" i="7"/>
  <c r="AB1041" i="7"/>
  <c r="U2" i="7"/>
  <c r="V2" i="7"/>
  <c r="W2" i="7"/>
  <c r="X2" i="7"/>
  <c r="Y2" i="7"/>
  <c r="Z2" i="7"/>
  <c r="AA2" i="7"/>
  <c r="AB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ff_factors" type="6" refreshedVersion="5" background="1" saveData="1">
    <textPr codePage="437" sourceFile="Z:\ff_factors.txt" tab="0" delimiter="|">
      <textFields count="7">
        <textField/>
        <textField/>
        <textField/>
        <textField/>
        <textField/>
        <textField/>
        <textField/>
      </textFields>
    </textPr>
  </connection>
  <connection id="2" xr16:uid="{00000000-0015-0000-FFFF-FFFF01000000}" name="ff_factors_desc" type="6" refreshedVersion="5" background="1" saveData="1">
    <textPr codePage="437" sourceFile="Z:\ff_factors_desc.txt" tab="0" delimiter="|">
      <textFields count="2">
        <textField/>
        <textField/>
      </textFields>
    </textPr>
  </connection>
  <connection id="3" xr16:uid="{00000000-0015-0000-FFFF-FFFF02000000}" name="ff_portfolios25" type="6" refreshedVersion="5" background="1" saveData="1">
    <textPr codePage="437" sourceFile="Z:\ff_portfolios25.txt" tab="0" delimiter="|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ff_portfolios25_desc" type="6" refreshedVersion="5" background="1" saveData="1">
    <textPr codePage="437" sourceFile="Z:\ff_portfolios25_desc.txt" tab="0" delimiter="|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<sst xmlns="http://schemas.openxmlformats.org/spreadsheetml/2006/main" count="195" uniqueCount="73">
  <si>
    <t>date</t>
  </si>
  <si>
    <t>year</t>
  </si>
  <si>
    <t>month</t>
  </si>
  <si>
    <t>mktrf</t>
  </si>
  <si>
    <t>rf</t>
  </si>
  <si>
    <t>smb</t>
  </si>
  <si>
    <t>hml</t>
  </si>
  <si>
    <t>s1b1_vwret</t>
  </si>
  <si>
    <t>s1b2_vwret</t>
  </si>
  <si>
    <t>s1b3_vwret</t>
  </si>
  <si>
    <t>s1b4_vwret</t>
  </si>
  <si>
    <t>s1b5_vwret</t>
  </si>
  <si>
    <t>s2b1_vwret</t>
  </si>
  <si>
    <t>s2b2_vwret</t>
  </si>
  <si>
    <t>s2b3_vwret</t>
  </si>
  <si>
    <t>s2b4_vwret</t>
  </si>
  <si>
    <t>s2b5_vwret</t>
  </si>
  <si>
    <t>s3b1_vwret</t>
  </si>
  <si>
    <t>s3b2_vwret</t>
  </si>
  <si>
    <t>s3b3_vwret</t>
  </si>
  <si>
    <t>s3b4_vwret</t>
  </si>
  <si>
    <t>s3b5_vwret</t>
  </si>
  <si>
    <t>s4b1_vwret</t>
  </si>
  <si>
    <t>s4b2_vwret</t>
  </si>
  <si>
    <t>s4b3_vwret</t>
  </si>
  <si>
    <t>s4b4_vwret</t>
  </si>
  <si>
    <t>s4b5_vwret</t>
  </si>
  <si>
    <t>s5b1_vwret</t>
  </si>
  <si>
    <t>s5b2_vwret</t>
  </si>
  <si>
    <t>s5b3_vwret</t>
  </si>
  <si>
    <t>s5b4_vwret</t>
  </si>
  <si>
    <t>s5b5_vwret</t>
  </si>
  <si>
    <t>NAME</t>
  </si>
  <si>
    <t>LABEL</t>
  </si>
  <si>
    <t>High-Minus-Low Return</t>
  </si>
  <si>
    <t>Excess Return on the Market</t>
  </si>
  <si>
    <t>Month</t>
  </si>
  <si>
    <t>Risk-Free Return Rate (One Month Treasury Bill Rate)</t>
  </si>
  <si>
    <t>Small-Minus-Big Return</t>
  </si>
  <si>
    <t>Year</t>
  </si>
  <si>
    <t>Value-Weighted Return for the size 1 ME 1 BM Portfolio</t>
  </si>
  <si>
    <t>Value-Weighted Return for the size 1 ME 2 BM Portfolio</t>
  </si>
  <si>
    <t>Value-Weighted Return for the size 1 ME 3 BM Portfolio</t>
  </si>
  <si>
    <t>Value-Weighted Return for the size 1 ME 4 BM Portfolio</t>
  </si>
  <si>
    <t>Value-Weighted Return for the size 1 ME 5 BM Portfolio</t>
  </si>
  <si>
    <t>Value-Weighted Return for the size 2 ME 1 BM Portfolio</t>
  </si>
  <si>
    <t>Value-Weighted Return for the size 2 ME 2 BM Portfolio</t>
  </si>
  <si>
    <t>Value-Weighted Return for the size 2 ME 3 BM Portfolio</t>
  </si>
  <si>
    <t>Value-Weighted Return for the size 2 ME 4 BM Portfolio</t>
  </si>
  <si>
    <t>Value-Weighted Return for the size 2 ME 5 BM Portfolio</t>
  </si>
  <si>
    <t>Value-Weighted Return for the size 3 ME 1 BM Portfolio</t>
  </si>
  <si>
    <t>Value-Weighted Return for the size 3 ME 2 BM Portfolio</t>
  </si>
  <si>
    <t>Value-Weighted Return for the size 3 ME 3 BM Portfolio</t>
  </si>
  <si>
    <t>Value-Weighted Return for the size 3 ME 4 BM Portfolio</t>
  </si>
  <si>
    <t>Value-Weighted Return for the size 3 ME 5 BM Portfolio</t>
  </si>
  <si>
    <t>Value-Weighted Return for the size 4 ME 1 BM Portfolio</t>
  </si>
  <si>
    <t>Value-Weighted Return for the size 4 ME 2 BM Portfolio</t>
  </si>
  <si>
    <t>Value-Weighted Return for the size 4 ME 3 BM Portfolio</t>
  </si>
  <si>
    <t>Value-Weighted Return for the size 4 ME 4 BM Portfolio</t>
  </si>
  <si>
    <t>Value-Weighted Return for the size 4 ME 5 BM Portfolio</t>
  </si>
  <si>
    <t>Value-Weighted Return for the size 5 ME 1 BM Portfolio</t>
  </si>
  <si>
    <t>Value-Weighted Return for the size 5 ME 2 BM Portfolio</t>
  </si>
  <si>
    <t>Value-Weighted Return for the size 5 ME 3 BM Portfolio</t>
  </si>
  <si>
    <t>Value-Weighted Return for the size 5 ME 4 BM Portfolio</t>
  </si>
  <si>
    <t>Value-Weighted Return for the size 5 ME 5 BM Portfolio</t>
  </si>
  <si>
    <t>portofolio</t>
  </si>
  <si>
    <t>beta</t>
  </si>
  <si>
    <t>alpha (monthly)</t>
  </si>
  <si>
    <t>alpha (annual %)</t>
  </si>
  <si>
    <t>average er</t>
  </si>
  <si>
    <t>avg mktrf (annual %)</t>
  </si>
  <si>
    <t>CAPM predicted (annual %)</t>
  </si>
  <si>
    <t>Average excess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</si>
</sst>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5" formatCode="0.0000"/>
    <numFmt numFmtId="178" formatCode="0.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175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2" fontId="0" fillId="6" borderId="0" xfId="0" applyNumberFormat="1" applyFill="1"/>
    <xf numFmtId="178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CAPM predicted</a:t>
            </a:r>
            <a:r>
              <a:rPr lang="es-MX" b="1" baseline="0"/>
              <a:t> vs actual average excess returns</a:t>
            </a:r>
            <a:endParaRPr lang="es-MX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Hoja5!$A$2</c:f>
              <c:strCache>
                <c:ptCount val="1"/>
                <c:pt idx="0">
                  <c:v>Average excess returns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Hoja5!$B$3:$Z$3</c:f>
              <c:numCache>
                <c:formatCode>General</c:formatCode>
                <c:ptCount val="25"/>
                <c:pt idx="0">
                  <c:v>14.629365920382385</c:v>
                </c:pt>
                <c:pt idx="1">
                  <c:v>12.828979358358206</c:v>
                </c:pt>
                <c:pt idx="2">
                  <c:v>12.400930302433363</c:v>
                </c:pt>
                <c:pt idx="3">
                  <c:v>11.299237332976611</c:v>
                </c:pt>
                <c:pt idx="4">
                  <c:v>12.37618903487912</c:v>
                </c:pt>
                <c:pt idx="5">
                  <c:v>11.614902523622765</c:v>
                </c:pt>
                <c:pt idx="6">
                  <c:v>11.221774053315357</c:v>
                </c:pt>
                <c:pt idx="7">
                  <c:v>10.90718076230195</c:v>
                </c:pt>
                <c:pt idx="8">
                  <c:v>10.99207051049296</c:v>
                </c:pt>
                <c:pt idx="9">
                  <c:v>12.397639903611767</c:v>
                </c:pt>
                <c:pt idx="10">
                  <c:v>11.39255029062244</c:v>
                </c:pt>
                <c:pt idx="11">
                  <c:v>10.039791133304966</c:v>
                </c:pt>
                <c:pt idx="12">
                  <c:v>10.197740244799602</c:v>
                </c:pt>
                <c:pt idx="13">
                  <c:v>10.463147514321744</c:v>
                </c:pt>
                <c:pt idx="14">
                  <c:v>12.307461688085116</c:v>
                </c:pt>
                <c:pt idx="15">
                  <c:v>9.6888727059069097</c:v>
                </c:pt>
                <c:pt idx="16">
                  <c:v>9.6931037475165702</c:v>
                </c:pt>
                <c:pt idx="17">
                  <c:v>10.076331037297782</c:v>
                </c:pt>
                <c:pt idx="18">
                  <c:v>10.279264689307388</c:v>
                </c:pt>
                <c:pt idx="19">
                  <c:v>12.713484836773862</c:v>
                </c:pt>
                <c:pt idx="20">
                  <c:v>8.4161442039391154</c:v>
                </c:pt>
                <c:pt idx="21">
                  <c:v>8.3977474164041244</c:v>
                </c:pt>
                <c:pt idx="22">
                  <c:v>8.5403487995025049</c:v>
                </c:pt>
                <c:pt idx="23">
                  <c:v>9.875522356738724</c:v>
                </c:pt>
                <c:pt idx="24">
                  <c:v>11.331762131949009</c:v>
                </c:pt>
              </c:numCache>
            </c:numRef>
          </c:xVal>
          <c:yVal>
            <c:numRef>
              <c:f>Hoja5!$B$2:$Z$2</c:f>
              <c:numCache>
                <c:formatCode>General</c:formatCode>
                <c:ptCount val="25"/>
                <c:pt idx="0">
                  <c:v>9.7517480769230911</c:v>
                </c:pt>
                <c:pt idx="1">
                  <c:v>11.205656538461531</c:v>
                </c:pt>
                <c:pt idx="2">
                  <c:v>14.320083461538472</c:v>
                </c:pt>
                <c:pt idx="3">
                  <c:v>16.43697807692309</c:v>
                </c:pt>
                <c:pt idx="4">
                  <c:v>18.286485000000003</c:v>
                </c:pt>
                <c:pt idx="5">
                  <c:v>9.6343534615384669</c:v>
                </c:pt>
                <c:pt idx="6">
                  <c:v>12.928151538461519</c:v>
                </c:pt>
                <c:pt idx="7">
                  <c:v>13.48677461538462</c:v>
                </c:pt>
                <c:pt idx="8">
                  <c:v>14.878041923076918</c:v>
                </c:pt>
                <c:pt idx="9">
                  <c:v>16.57315384615384</c:v>
                </c:pt>
                <c:pt idx="10">
                  <c:v>10.219973076923083</c:v>
                </c:pt>
                <c:pt idx="11">
                  <c:v>12.236506153846157</c:v>
                </c:pt>
                <c:pt idx="12">
                  <c:v>12.321261923076932</c:v>
                </c:pt>
                <c:pt idx="13">
                  <c:v>13.917853846153822</c:v>
                </c:pt>
                <c:pt idx="14">
                  <c:v>15.424034999999989</c:v>
                </c:pt>
                <c:pt idx="15">
                  <c:v>9.7584276923076843</c:v>
                </c:pt>
                <c:pt idx="16">
                  <c:v>10.370188846153857</c:v>
                </c:pt>
                <c:pt idx="17">
                  <c:v>11.931773076923074</c:v>
                </c:pt>
                <c:pt idx="18">
                  <c:v>13.179737307692314</c:v>
                </c:pt>
                <c:pt idx="19">
                  <c:v>13.884620769230782</c:v>
                </c:pt>
                <c:pt idx="20">
                  <c:v>8.2551807692307531</c:v>
                </c:pt>
                <c:pt idx="21">
                  <c:v>8.2911519230769226</c:v>
                </c:pt>
                <c:pt idx="22">
                  <c:v>9.9270680769230761</c:v>
                </c:pt>
                <c:pt idx="23">
                  <c:v>9.3598684615384613</c:v>
                </c:pt>
                <c:pt idx="24">
                  <c:v>12.90948000000002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A3-104E-8BA0-87281F66DA2C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Hoja5!$C$9:$C$10</c:f>
              <c:numCache>
                <c:formatCode>0.0000</c:formatCode>
                <c:ptCount val="2"/>
                <c:pt idx="0">
                  <c:v>8.2551807692307531</c:v>
                </c:pt>
                <c:pt idx="1">
                  <c:v>18.286485000000003</c:v>
                </c:pt>
              </c:numCache>
            </c:numRef>
          </c:xVal>
          <c:yVal>
            <c:numRef>
              <c:f>Hoja5!$C$9:$C$10</c:f>
              <c:numCache>
                <c:formatCode>0.0000</c:formatCode>
                <c:ptCount val="2"/>
                <c:pt idx="0">
                  <c:v>8.2551807692307531</c:v>
                </c:pt>
                <c:pt idx="1">
                  <c:v>18.286485000000003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7A3-104E-8BA0-87281F66D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765504"/>
        <c:axId val="1430670400"/>
      </c:scatterChart>
      <c:valAx>
        <c:axId val="137276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0670400"/>
        <c:crosses val="autoZero"/>
        <c:crossBetween val="midCat"/>
      </c:valAx>
      <c:valAx>
        <c:axId val="1430670400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7276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431800</xdr:colOff>
      <xdr:row>16</xdr:row>
      <xdr:rowOff>101600</xdr:rowOff>
    </xdr:from>
    <xdr:to>
      <xdr:col>14</xdr:col>
      <xdr:colOff>419100</xdr:colOff>
      <xdr:row>42</xdr:row>
      <xdr:rowOff>139700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6E74C57-E31D-CE2B-DAD7-985F6C2F1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f_factors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f_portfolios25" connectionId="3" xr16:uid="{00000000-0016-0000-01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f_factors_desc" connectionId="2" xr16:uid="{00000000-0016-0000-0200-000002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f_portfolios25_desc" connectionId="4" xr16:uid="{00000000-0016-0000-0300-000003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538A3A-3151-7F45-96A1-7BDA13EDB657}">
  <we:reference id="11d7cf85-ae5a-43b8-bc58-1e1a151cce24" version="1.0.0.1" store="EXCatalog" storeType="EXCatalog"/>
  <we:alternateReferences>
    <we:reference id="WA200010725" version="1.0.0.1" store="es-MX" storeType="OMEX"/>
  </we:alternateReferences>
  <we:properties>
    <we:property name="claude.fileId" value="&quot;624eb70e-faed-4bc1-8288-4ecd8d0a36cf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4ED1-7109-8C4A-9833-9BC8A963F938}">
  <dimension ref="A1:AB1045"/>
  <sheetViews>
    <sheetView topLeftCell="A901" zoomScale="143" zoomScaleNormal="200" workbookViewId="0">
      <selection activeCell="D926" sqref="D926"/>
    </sheetView>
  </sheetViews>
  <sheetFormatPr baseColWidth="10"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</row>
    <row r="2" spans="1:28" x14ac:dyDescent="0.2">
      <c r="A2">
        <v>19320130</v>
      </c>
      <c r="B2">
        <v>1932</v>
      </c>
      <c r="C2">
        <v>1</v>
      </c>
      <c r="D2" s="2">
        <f>ff_portfolios25!D2-ff_factors!$E2</f>
        <v>5.3226999999999997E-2</v>
      </c>
      <c r="E2" s="2">
        <f>ff_portfolios25!E2-ff_factors!$E2</f>
        <v>-6.2206999999999998E-2</v>
      </c>
      <c r="F2" s="2">
        <f>ff_portfolios25!F2-ff_factors!$E2</f>
        <v>8.0763000000000001E-2</v>
      </c>
      <c r="G2" s="2">
        <f>ff_portfolios25!G2-ff_factors!$E2</f>
        <v>0.145728</v>
      </c>
      <c r="H2" s="2">
        <f>ff_portfolios25!H2-ff_factors!$E2</f>
        <v>5.8729000000000003E-2</v>
      </c>
      <c r="I2" s="2">
        <f>ff_portfolios25!I2-ff_factors!$E2</f>
        <v>-5.3439999999999998E-3</v>
      </c>
      <c r="J2" s="2">
        <f>ff_portfolios25!J2-ff_factors!$E2</f>
        <v>-1.5781999999999997E-2</v>
      </c>
      <c r="K2" s="2">
        <f>ff_portfolios25!K2-ff_factors!$E2</f>
        <v>5.2495E-2</v>
      </c>
      <c r="L2" s="2">
        <f>ff_portfolios25!L2-ff_factors!$E2</f>
        <v>0.14166900000000002</v>
      </c>
      <c r="M2" s="2">
        <f>ff_portfolios25!M2-ff_factors!$E2</f>
        <v>0.18146200000000001</v>
      </c>
      <c r="N2" s="2">
        <f>ff_portfolios25!N2-ff_factors!$E2</f>
        <v>9.6410000000000003E-3</v>
      </c>
      <c r="O2" s="2">
        <f>ff_portfolios25!O2-ff_factors!$E2</f>
        <v>3.5007999999999997E-2</v>
      </c>
      <c r="P2" s="2">
        <f>ff_portfolios25!P2-ff_factors!$E2</f>
        <v>2.5128000000000001E-2</v>
      </c>
      <c r="Q2" s="2">
        <f>ff_portfolios25!Q2-ff_factors!$E2</f>
        <v>-1.9191E-2</v>
      </c>
      <c r="R2" s="2">
        <f>ff_portfolios25!R2-ff_factors!$E2</f>
        <v>5.2839999999999998E-2</v>
      </c>
      <c r="S2" s="2">
        <f>ff_portfolios25!S2-ff_factors!$E2</f>
        <v>-3.8256999999999999E-2</v>
      </c>
      <c r="T2" s="2">
        <f>ff_portfolios25!T2-ff_factors!$E2</f>
        <v>-6.2560000000000003E-3</v>
      </c>
      <c r="U2" s="2">
        <f>ff_portfolios25!U2-ff_factors!$E2</f>
        <v>-7.8790000000000006E-3</v>
      </c>
      <c r="V2" s="2">
        <f>ff_portfolios25!V2-ff_factors!$E2</f>
        <v>3.6207000000000003E-2</v>
      </c>
      <c r="W2" s="2">
        <f>ff_portfolios25!W2-ff_factors!$E2</f>
        <v>1.7108999999999999E-2</v>
      </c>
      <c r="X2" s="2">
        <f>ff_portfolios25!X2-ff_factors!$E2</f>
        <v>-3.9229E-2</v>
      </c>
      <c r="Y2" s="2">
        <f>ff_portfolios25!Y2-ff_factors!$E2</f>
        <v>-1.9799000000000001E-2</v>
      </c>
      <c r="Z2" s="2">
        <f>ff_portfolios25!Z2-ff_factors!$E2</f>
        <v>3.0913E-2</v>
      </c>
      <c r="AA2" s="2">
        <f>ff_portfolios25!AA2-ff_factors!$E2</f>
        <v>0.106891</v>
      </c>
      <c r="AB2" s="2">
        <f>ff_portfolios25!AB2-ff_factors!$E2</f>
        <v>7.6647000000000007E-2</v>
      </c>
    </row>
    <row r="3" spans="1:28" x14ac:dyDescent="0.2">
      <c r="A3">
        <v>19320229</v>
      </c>
      <c r="B3">
        <v>1932</v>
      </c>
      <c r="C3">
        <v>2</v>
      </c>
      <c r="D3" s="2">
        <f>ff_portfolios25!D3-ff_factors!$E3</f>
        <v>-0.13019600000000001</v>
      </c>
      <c r="E3" s="2">
        <f>ff_portfolios25!E3-ff_factors!$E3</f>
        <v>-2.454E-3</v>
      </c>
      <c r="F3" s="2">
        <f>ff_portfolios25!F3-ff_factors!$E3</f>
        <v>5.6510000000000005E-2</v>
      </c>
      <c r="G3" s="2">
        <f>ff_portfolios25!G3-ff_factors!$E3</f>
        <v>-2.5534000000000001E-2</v>
      </c>
      <c r="H3" s="2">
        <f>ff_portfolios25!H3-ff_factors!$E3</f>
        <v>3.3426999999999998E-2</v>
      </c>
      <c r="I3" s="2">
        <f>ff_portfolios25!I3-ff_factors!$E3</f>
        <v>-5.6418999999999997E-2</v>
      </c>
      <c r="J3" s="2">
        <f>ff_portfolios25!J3-ff_factors!$E3</f>
        <v>3.0608E-2</v>
      </c>
      <c r="K3" s="2">
        <f>ff_portfolios25!K3-ff_factors!$E3</f>
        <v>-2.5520999999999999E-2</v>
      </c>
      <c r="L3" s="2">
        <f>ff_portfolios25!L3-ff_factors!$E3</f>
        <v>-4.8116000000000006E-2</v>
      </c>
      <c r="M3" s="2">
        <f>ff_portfolios25!M3-ff_factors!$E3</f>
        <v>-1.3653E-2</v>
      </c>
      <c r="N3" s="2">
        <f>ff_portfolios25!N3-ff_factors!$E3</f>
        <v>2.235E-3</v>
      </c>
      <c r="O3" s="2">
        <f>ff_portfolios25!O3-ff_factors!$E3</f>
        <v>2.9813000000000003E-2</v>
      </c>
      <c r="P3" s="2">
        <f>ff_portfolios25!P3-ff_factors!$E3</f>
        <v>2.1579000000000001E-2</v>
      </c>
      <c r="Q3" s="2">
        <f>ff_portfolios25!Q3-ff_factors!$E3</f>
        <v>-1.4999999999999823E-5</v>
      </c>
      <c r="R3" s="2">
        <f>ff_portfolios25!R3-ff_factors!$E3</f>
        <v>-1.7158E-2</v>
      </c>
      <c r="S3" s="2">
        <f>ff_portfolios25!S3-ff_factors!$E3</f>
        <v>3.1992999999999994E-2</v>
      </c>
      <c r="T3" s="2">
        <f>ff_portfolios25!T3-ff_factors!$E3</f>
        <v>4.9787999999999999E-2</v>
      </c>
      <c r="U3" s="2">
        <f>ff_portfolios25!U3-ff_factors!$E3</f>
        <v>-1.6296999999999999E-2</v>
      </c>
      <c r="V3" s="2">
        <f>ff_portfolios25!V3-ff_factors!$E3</f>
        <v>1.0311000000000001E-2</v>
      </c>
      <c r="W3" s="2">
        <f>ff_portfolios25!W3-ff_factors!$E3</f>
        <v>3.5300999999999999E-2</v>
      </c>
      <c r="X3" s="2">
        <f>ff_portfolios25!X3-ff_factors!$E3</f>
        <v>7.0292000000000007E-2</v>
      </c>
      <c r="Y3" s="2">
        <f>ff_portfolios25!Y3-ff_factors!$E3</f>
        <v>5.4300000000000001E-2</v>
      </c>
      <c r="Z3" s="2">
        <f>ff_portfolios25!Z3-ff_factors!$E3</f>
        <v>3.0297000000000001E-2</v>
      </c>
      <c r="AA3" s="2">
        <f>ff_portfolios25!AA3-ff_factors!$E3</f>
        <v>-3.5470000000000002E-2</v>
      </c>
      <c r="AB3" s="2">
        <f>ff_portfolios25!AB3-ff_factors!$E3</f>
        <v>0.144041</v>
      </c>
    </row>
    <row r="4" spans="1:28" x14ac:dyDescent="0.2">
      <c r="A4">
        <v>19320331</v>
      </c>
      <c r="B4">
        <v>1932</v>
      </c>
      <c r="C4">
        <v>3</v>
      </c>
      <c r="D4" s="2">
        <f>ff_portfolios25!D4-ff_factors!$E4</f>
        <v>-0.23181599999999999</v>
      </c>
      <c r="E4" s="2">
        <f>ff_portfolios25!E4-ff_factors!$E4</f>
        <v>-4.0655999999999998E-2</v>
      </c>
      <c r="F4" s="2">
        <f>ff_portfolios25!F4-ff_factors!$E4</f>
        <v>-3.4084999999999997E-2</v>
      </c>
      <c r="G4" s="2">
        <f>ff_portfolios25!G4-ff_factors!$E4</f>
        <v>-0.104504</v>
      </c>
      <c r="H4" s="2">
        <f>ff_portfolios25!H4-ff_factors!$E4</f>
        <v>-0.12570000000000001</v>
      </c>
      <c r="I4" s="2">
        <f>ff_portfolios25!I4-ff_factors!$E4</f>
        <v>-5.0521999999999997E-2</v>
      </c>
      <c r="J4" s="2">
        <f>ff_portfolios25!J4-ff_factors!$E4</f>
        <v>-0.142955</v>
      </c>
      <c r="K4" s="2">
        <f>ff_portfolios25!K4-ff_factors!$E4</f>
        <v>-0.11579300000000001</v>
      </c>
      <c r="L4" s="2">
        <f>ff_portfolios25!L4-ff_factors!$E4</f>
        <v>-4.4635999999999995E-2</v>
      </c>
      <c r="M4" s="2">
        <f>ff_portfolios25!M4-ff_factors!$E4</f>
        <v>-0.134022</v>
      </c>
      <c r="N4" s="2">
        <f>ff_portfolios25!N4-ff_factors!$E4</f>
        <v>-8.8436000000000001E-2</v>
      </c>
      <c r="O4" s="2">
        <f>ff_portfolios25!O4-ff_factors!$E4</f>
        <v>-0.145844</v>
      </c>
      <c r="P4" s="2">
        <f>ff_portfolios25!P4-ff_factors!$E4</f>
        <v>-0.11713</v>
      </c>
      <c r="Q4" s="2">
        <f>ff_portfolios25!Q4-ff_factors!$E4</f>
        <v>-0.13544199999999998</v>
      </c>
      <c r="R4" s="2">
        <f>ff_portfolios25!R4-ff_factors!$E4</f>
        <v>-0.111556</v>
      </c>
      <c r="S4" s="2">
        <f>ff_portfolios25!S4-ff_factors!$E4</f>
        <v>-0.108574</v>
      </c>
      <c r="T4" s="2">
        <f>ff_portfolios25!T4-ff_factors!$E4</f>
        <v>-0.11113100000000001</v>
      </c>
      <c r="U4" s="2">
        <f>ff_portfolios25!U4-ff_factors!$E4</f>
        <v>-0.114953</v>
      </c>
      <c r="V4" s="2">
        <f>ff_portfolios25!V4-ff_factors!$E4</f>
        <v>-0.12554499999999999</v>
      </c>
      <c r="W4" s="2">
        <f>ff_portfolios25!W4-ff_factors!$E4</f>
        <v>-0.103078</v>
      </c>
      <c r="X4" s="2">
        <f>ff_portfolios25!X4-ff_factors!$E4</f>
        <v>-0.11131000000000001</v>
      </c>
      <c r="Y4" s="2">
        <f>ff_portfolios25!Y4-ff_factors!$E4</f>
        <v>-0.104575</v>
      </c>
      <c r="Z4" s="2">
        <f>ff_portfolios25!Z4-ff_factors!$E4</f>
        <v>-0.144673</v>
      </c>
      <c r="AA4" s="2">
        <f>ff_portfolios25!AA4-ff_factors!$E4</f>
        <v>-0.233623</v>
      </c>
      <c r="AB4" s="2">
        <f>ff_portfolios25!AB4-ff_factors!$E4</f>
        <v>1.9677E-2</v>
      </c>
    </row>
    <row r="5" spans="1:28" x14ac:dyDescent="0.2">
      <c r="A5">
        <v>19320430</v>
      </c>
      <c r="B5">
        <v>1932</v>
      </c>
      <c r="C5">
        <v>4</v>
      </c>
      <c r="D5" s="2">
        <f>ff_portfolios25!D5-ff_factors!$E5</f>
        <v>-0.40871999999999997</v>
      </c>
      <c r="E5" s="2">
        <f>ff_portfolios25!E5-ff_factors!$E5</f>
        <v>-0.16939299999999999</v>
      </c>
      <c r="F5" s="2">
        <f>ff_portfolios25!F5-ff_factors!$E5</f>
        <v>-0.25925900000000002</v>
      </c>
      <c r="G5" s="2">
        <f>ff_portfolios25!G5-ff_factors!$E5</f>
        <v>-0.20128599999999999</v>
      </c>
      <c r="H5" s="2">
        <f>ff_portfolios25!H5-ff_factors!$E5</f>
        <v>-0.17984899999999998</v>
      </c>
      <c r="I5" s="2">
        <f>ff_portfolios25!I5-ff_factors!$E5</f>
        <v>-0.200293</v>
      </c>
      <c r="J5" s="2">
        <f>ff_portfolios25!J5-ff_factors!$E5</f>
        <v>-8.2514000000000004E-2</v>
      </c>
      <c r="K5" s="2">
        <f>ff_portfolios25!K5-ff_factors!$E5</f>
        <v>-0.14515</v>
      </c>
      <c r="L5" s="2">
        <f>ff_portfolios25!L5-ff_factors!$E5</f>
        <v>-0.17562999999999998</v>
      </c>
      <c r="M5" s="2">
        <f>ff_portfolios25!M5-ff_factors!$E5</f>
        <v>-0.14483599999999999</v>
      </c>
      <c r="N5" s="2">
        <f>ff_portfolios25!N5-ff_factors!$E5</f>
        <v>-0.18055299999999999</v>
      </c>
      <c r="O5" s="2">
        <f>ff_portfolios25!O5-ff_factors!$E5</f>
        <v>-0.13675899999999999</v>
      </c>
      <c r="P5" s="2">
        <f>ff_portfolios25!P5-ff_factors!$E5</f>
        <v>-0.151616</v>
      </c>
      <c r="Q5" s="2">
        <f>ff_portfolios25!Q5-ff_factors!$E5</f>
        <v>-0.16506499999999999</v>
      </c>
      <c r="R5" s="2">
        <f>ff_portfolios25!R5-ff_factors!$E5</f>
        <v>-0.22459799999999999</v>
      </c>
      <c r="S5" s="2">
        <f>ff_portfolios25!S5-ff_factors!$E5</f>
        <v>-0.152255</v>
      </c>
      <c r="T5" s="2">
        <f>ff_portfolios25!T5-ff_factors!$E5</f>
        <v>-0.15737599999999999</v>
      </c>
      <c r="U5" s="2">
        <f>ff_portfolios25!U5-ff_factors!$E5</f>
        <v>-0.175625</v>
      </c>
      <c r="V5" s="2">
        <f>ff_portfolios25!V5-ff_factors!$E5</f>
        <v>-0.14344099999999999</v>
      </c>
      <c r="W5" s="2">
        <f>ff_portfolios25!W5-ff_factors!$E5</f>
        <v>-0.15313499999999999</v>
      </c>
      <c r="X5" s="2">
        <f>ff_portfolios25!X5-ff_factors!$E5</f>
        <v>-0.182867</v>
      </c>
      <c r="Y5" s="2">
        <f>ff_portfolios25!Y5-ff_factors!$E5</f>
        <v>-0.207095</v>
      </c>
      <c r="Z5" s="2">
        <f>ff_portfolios25!Z5-ff_factors!$E5</f>
        <v>-0.194441</v>
      </c>
      <c r="AA5" s="2">
        <f>ff_portfolios25!AA5-ff_factors!$E5</f>
        <v>-0.22274099999999999</v>
      </c>
      <c r="AB5" s="2">
        <f>ff_portfolios25!AB5-ff_factors!$E5</f>
        <v>-0.230267</v>
      </c>
    </row>
    <row r="6" spans="1:28" x14ac:dyDescent="0.2">
      <c r="A6">
        <v>19320531</v>
      </c>
      <c r="B6">
        <v>1932</v>
      </c>
      <c r="C6">
        <v>5</v>
      </c>
      <c r="D6" s="2">
        <f>ff_portfolios25!D6-ff_factors!$E6</f>
        <v>-0.12924099999999999</v>
      </c>
      <c r="E6" s="2">
        <f>ff_portfolios25!E6-ff_factors!$E6</f>
        <v>-0.35297200000000001</v>
      </c>
      <c r="F6" s="2">
        <f>ff_portfolios25!F6-ff_factors!$E6</f>
        <v>-5.9522000000000005E-2</v>
      </c>
      <c r="G6" s="2">
        <f>ff_portfolios25!G6-ff_factors!$E6</f>
        <v>-9.2380000000000004E-2</v>
      </c>
      <c r="H6" s="2">
        <f>ff_portfolios25!H6-ff_factors!$E6</f>
        <v>-8.8516999999999998E-2</v>
      </c>
      <c r="I6" s="2">
        <f>ff_portfolios25!I6-ff_factors!$E6</f>
        <v>-0.120478</v>
      </c>
      <c r="J6" s="2">
        <f>ff_portfolios25!J6-ff_factors!$E6</f>
        <v>-0.21810099999999999</v>
      </c>
      <c r="K6" s="2">
        <f>ff_portfolios25!K6-ff_factors!$E6</f>
        <v>-0.220995</v>
      </c>
      <c r="L6" s="2">
        <f>ff_portfolios25!L6-ff_factors!$E6</f>
        <v>-0.18905999999999998</v>
      </c>
      <c r="M6" s="2">
        <f>ff_portfolios25!M6-ff_factors!$E6</f>
        <v>-0.205372</v>
      </c>
      <c r="N6" s="2">
        <f>ff_portfolios25!N6-ff_factors!$E6</f>
        <v>-0.238373</v>
      </c>
      <c r="O6" s="2">
        <f>ff_portfolios25!O6-ff_factors!$E6</f>
        <v>-0.23622099999999999</v>
      </c>
      <c r="P6" s="2">
        <f>ff_portfolios25!P6-ff_factors!$E6</f>
        <v>-0.27058399999999999</v>
      </c>
      <c r="Q6" s="2">
        <f>ff_portfolios25!Q6-ff_factors!$E6</f>
        <v>-0.241455</v>
      </c>
      <c r="R6" s="2">
        <f>ff_portfolios25!R6-ff_factors!$E6</f>
        <v>-0.26504299999999997</v>
      </c>
      <c r="S6" s="2">
        <f>ff_portfolios25!S6-ff_factors!$E6</f>
        <v>-0.21026799999999998</v>
      </c>
      <c r="T6" s="2">
        <f>ff_portfolios25!T6-ff_factors!$E6</f>
        <v>-0.20225099999999999</v>
      </c>
      <c r="U6" s="2">
        <f>ff_portfolios25!U6-ff_factors!$E6</f>
        <v>-0.18177199999999999</v>
      </c>
      <c r="V6" s="2">
        <f>ff_portfolios25!V6-ff_factors!$E6</f>
        <v>-0.18639</v>
      </c>
      <c r="W6" s="2">
        <f>ff_portfolios25!W6-ff_factors!$E6</f>
        <v>-0.280005</v>
      </c>
      <c r="X6" s="2">
        <f>ff_portfolios25!X6-ff_factors!$E6</f>
        <v>-0.20477599999999999</v>
      </c>
      <c r="Y6" s="2">
        <f>ff_portfolios25!Y6-ff_factors!$E6</f>
        <v>-0.168792</v>
      </c>
      <c r="Z6" s="2">
        <f>ff_portfolios25!Z6-ff_factors!$E6</f>
        <v>-0.31556200000000001</v>
      </c>
      <c r="AA6" s="2">
        <f>ff_portfolios25!AA6-ff_factors!$E6</f>
        <v>-0.36773600000000001</v>
      </c>
      <c r="AB6" s="2">
        <f>ff_portfolios25!AB6-ff_factors!$E6</f>
        <v>-0.108708</v>
      </c>
    </row>
    <row r="7" spans="1:28" x14ac:dyDescent="0.2">
      <c r="A7">
        <v>19320630</v>
      </c>
      <c r="B7">
        <v>1932</v>
      </c>
      <c r="C7">
        <v>6</v>
      </c>
      <c r="D7" s="2">
        <f>ff_portfolios25!D7-ff_factors!$E7</f>
        <v>0.35773900000000003</v>
      </c>
      <c r="E7" s="2">
        <f>ff_portfolios25!E7-ff_factors!$E7</f>
        <v>-0.17014799999999999</v>
      </c>
      <c r="F7" s="2">
        <f>ff_portfolios25!F7-ff_factors!$E7</f>
        <v>5.2818000000000004E-2</v>
      </c>
      <c r="G7" s="2">
        <f>ff_portfolios25!G7-ff_factors!$E7</f>
        <v>-5.5645E-2</v>
      </c>
      <c r="H7" s="2">
        <f>ff_portfolios25!H7-ff_factors!$E7</f>
        <v>-3.6824999999999997E-2</v>
      </c>
      <c r="I7" s="2">
        <f>ff_portfolios25!I7-ff_factors!$E7</f>
        <v>-8.636400000000001E-2</v>
      </c>
      <c r="J7" s="2">
        <f>ff_portfolios25!J7-ff_factors!$E7</f>
        <v>-4.8136999999999999E-2</v>
      </c>
      <c r="K7" s="2">
        <f>ff_portfolios25!K7-ff_factors!$E7</f>
        <v>-5.1664000000000002E-2</v>
      </c>
      <c r="L7" s="2">
        <f>ff_portfolios25!L7-ff_factors!$E7</f>
        <v>0.124191</v>
      </c>
      <c r="M7" s="2">
        <f>ff_portfolios25!M7-ff_factors!$E7</f>
        <v>6.5100999999999992E-2</v>
      </c>
      <c r="N7" s="2">
        <f>ff_portfolios25!N7-ff_factors!$E7</f>
        <v>6.3758999999999996E-2</v>
      </c>
      <c r="O7" s="2">
        <f>ff_portfolios25!O7-ff_factors!$E7</f>
        <v>4.5648000000000001E-2</v>
      </c>
      <c r="P7" s="2">
        <f>ff_portfolios25!P7-ff_factors!$E7</f>
        <v>7.2574E-2</v>
      </c>
      <c r="Q7" s="2">
        <f>ff_portfolios25!Q7-ff_factors!$E7</f>
        <v>5.2116000000000003E-2</v>
      </c>
      <c r="R7" s="2">
        <f>ff_portfolios25!R7-ff_factors!$E7</f>
        <v>9.1719999999999996E-3</v>
      </c>
      <c r="S7" s="2">
        <f>ff_portfolios25!S7-ff_factors!$E7</f>
        <v>1.7282000000000002E-2</v>
      </c>
      <c r="T7" s="2">
        <f>ff_portfolios25!T7-ff_factors!$E7</f>
        <v>3.4005000000000001E-2</v>
      </c>
      <c r="U7" s="2">
        <f>ff_portfolios25!U7-ff_factors!$E7</f>
        <v>-4.7507000000000001E-2</v>
      </c>
      <c r="V7" s="2">
        <f>ff_portfolios25!V7-ff_factors!$E7</f>
        <v>9.3576999999999994E-2</v>
      </c>
      <c r="W7" s="2">
        <f>ff_portfolios25!W7-ff_factors!$E7</f>
        <v>4.5920000000000006E-3</v>
      </c>
      <c r="X7" s="2">
        <f>ff_portfolios25!X7-ff_factors!$E7</f>
        <v>-3.1454999999999997E-2</v>
      </c>
      <c r="Y7" s="2">
        <f>ff_portfolios25!Y7-ff_factors!$E7</f>
        <v>-3.4150000000000001E-3</v>
      </c>
      <c r="Z7" s="2">
        <f>ff_portfolios25!Z7-ff_factors!$E7</f>
        <v>5.0703999999999999E-2</v>
      </c>
      <c r="AA7" s="2">
        <f>ff_portfolios25!AA7-ff_factors!$E7</f>
        <v>9.1428999999999996E-2</v>
      </c>
      <c r="AB7" s="2">
        <f>ff_portfolios25!AB7-ff_factors!$E7</f>
        <v>0.211921</v>
      </c>
    </row>
    <row r="8" spans="1:28" x14ac:dyDescent="0.2">
      <c r="A8">
        <v>19320730</v>
      </c>
      <c r="B8">
        <v>1932</v>
      </c>
      <c r="C8">
        <v>7</v>
      </c>
      <c r="D8" s="2">
        <f>ff_portfolios25!D8-ff_factors!$E8</f>
        <v>1.4747000000000001</v>
      </c>
      <c r="E8" s="2">
        <f>ff_portfolios25!E8-ff_factors!$E8</f>
        <v>0.142931</v>
      </c>
      <c r="F8" s="2">
        <f>ff_portfolios25!F8-ff_factors!$E8</f>
        <v>0.41696999999999995</v>
      </c>
      <c r="G8" s="2">
        <f>ff_portfolios25!G8-ff_factors!$E8</f>
        <v>0.38256599999999996</v>
      </c>
      <c r="H8" s="2">
        <f>ff_portfolios25!H8-ff_factors!$E8</f>
        <v>0.54749500000000006</v>
      </c>
      <c r="I8" s="2">
        <f>ff_portfolios25!I8-ff_factors!$E8</f>
        <v>0.37547399999999997</v>
      </c>
      <c r="J8" s="2">
        <f>ff_portfolios25!J8-ff_factors!$E8</f>
        <v>0.27635799999999999</v>
      </c>
      <c r="K8" s="2">
        <f>ff_portfolios25!K8-ff_factors!$E8</f>
        <v>0.41536699999999999</v>
      </c>
      <c r="L8" s="2">
        <f>ff_portfolios25!L8-ff_factors!$E8</f>
        <v>0.525447</v>
      </c>
      <c r="M8" s="2">
        <f>ff_portfolios25!M8-ff_factors!$E8</f>
        <v>0.69485200000000003</v>
      </c>
      <c r="N8" s="2">
        <f>ff_portfolios25!N8-ff_factors!$E8</f>
        <v>0.27446899999999996</v>
      </c>
      <c r="O8" s="2">
        <f>ff_portfolios25!O8-ff_factors!$E8</f>
        <v>0.303593</v>
      </c>
      <c r="P8" s="2">
        <f>ff_portfolios25!P8-ff_factors!$E8</f>
        <v>0.39590499999999995</v>
      </c>
      <c r="Q8" s="2">
        <f>ff_portfolios25!Q8-ff_factors!$E8</f>
        <v>0.54310500000000006</v>
      </c>
      <c r="R8" s="2">
        <f>ff_portfolios25!R8-ff_factors!$E8</f>
        <v>0.68691100000000005</v>
      </c>
      <c r="S8" s="2">
        <f>ff_portfolios25!S8-ff_factors!$E8</f>
        <v>0.30726199999999998</v>
      </c>
      <c r="T8" s="2">
        <f>ff_portfolios25!T8-ff_factors!$E8</f>
        <v>0.31303699999999995</v>
      </c>
      <c r="U8" s="2">
        <f>ff_portfolios25!U8-ff_factors!$E8</f>
        <v>0.400177</v>
      </c>
      <c r="V8" s="2">
        <f>ff_portfolios25!V8-ff_factors!$E8</f>
        <v>0.68857299999999999</v>
      </c>
      <c r="W8" s="2">
        <f>ff_portfolios25!W8-ff_factors!$E8</f>
        <v>0.80005800000000005</v>
      </c>
      <c r="X8" s="2">
        <f>ff_portfolios25!X8-ff_factors!$E8</f>
        <v>0.26505899999999999</v>
      </c>
      <c r="Y8" s="2">
        <f>ff_portfolios25!Y8-ff_factors!$E8</f>
        <v>0.37175899999999995</v>
      </c>
      <c r="Z8" s="2">
        <f>ff_portfolios25!Z8-ff_factors!$E8</f>
        <v>0.50225900000000001</v>
      </c>
      <c r="AA8" s="2">
        <f>ff_portfolios25!AA8-ff_factors!$E8</f>
        <v>0.56937000000000004</v>
      </c>
      <c r="AB8" s="2">
        <f>ff_portfolios25!AB8-ff_factors!$E8</f>
        <v>0.98009200000000007</v>
      </c>
    </row>
    <row r="9" spans="1:28" x14ac:dyDescent="0.2">
      <c r="A9">
        <v>19320831</v>
      </c>
      <c r="B9">
        <v>1932</v>
      </c>
      <c r="C9">
        <v>8</v>
      </c>
      <c r="D9" s="2">
        <f>ff_portfolios25!D9-ff_factors!$E9</f>
        <v>0.49464999999999998</v>
      </c>
      <c r="E9" s="2">
        <f>ff_portfolios25!E9-ff_factors!$E9</f>
        <v>0.94594100000000003</v>
      </c>
      <c r="F9" s="2">
        <f>ff_portfolios25!F9-ff_factors!$E9</f>
        <v>0.82852500000000007</v>
      </c>
      <c r="G9" s="2">
        <f>ff_portfolios25!G9-ff_factors!$E9</f>
        <v>0.83809400000000001</v>
      </c>
      <c r="H9" s="2">
        <f>ff_portfolios25!H9-ff_factors!$E9</f>
        <v>1.0034730000000001</v>
      </c>
      <c r="I9" s="2">
        <f>ff_portfolios25!I9-ff_factors!$E9</f>
        <v>0.34354899999999999</v>
      </c>
      <c r="J9" s="2">
        <f>ff_portfolios25!J9-ff_factors!$E9</f>
        <v>0.66986600000000007</v>
      </c>
      <c r="K9" s="2">
        <f>ff_portfolios25!K9-ff_factors!$E9</f>
        <v>0.56414700000000007</v>
      </c>
      <c r="L9" s="2">
        <f>ff_portfolios25!L9-ff_factors!$E9</f>
        <v>0.59372000000000003</v>
      </c>
      <c r="M9" s="2">
        <f>ff_portfolios25!M9-ff_factors!$E9</f>
        <v>0.899424</v>
      </c>
      <c r="N9" s="2">
        <f>ff_portfolios25!N9-ff_factors!$E9</f>
        <v>0.54629500000000009</v>
      </c>
      <c r="O9" s="2">
        <f>ff_portfolios25!O9-ff_factors!$E9</f>
        <v>0.39673599999999998</v>
      </c>
      <c r="P9" s="2">
        <f>ff_portfolios25!P9-ff_factors!$E9</f>
        <v>0.468416</v>
      </c>
      <c r="Q9" s="2">
        <f>ff_portfolios25!Q9-ff_factors!$E9</f>
        <v>0.69375300000000006</v>
      </c>
      <c r="R9" s="2">
        <f>ff_portfolios25!R9-ff_factors!$E9</f>
        <v>0.74349200000000004</v>
      </c>
      <c r="S9" s="2">
        <f>ff_portfolios25!S9-ff_factors!$E9</f>
        <v>0.29200099999999996</v>
      </c>
      <c r="T9" s="2">
        <f>ff_portfolios25!T9-ff_factors!$E9</f>
        <v>0.43676599999999999</v>
      </c>
      <c r="U9" s="2">
        <f>ff_portfolios25!U9-ff_factors!$E9</f>
        <v>0.65847800000000001</v>
      </c>
      <c r="V9" s="2">
        <f>ff_portfolios25!V9-ff_factors!$E9</f>
        <v>0.63532300000000008</v>
      </c>
      <c r="W9" s="2">
        <f>ff_portfolios25!W9-ff_factors!$E9</f>
        <v>0.86574000000000007</v>
      </c>
      <c r="X9" s="2">
        <f>ff_portfolios25!X9-ff_factors!$E9</f>
        <v>0.308921</v>
      </c>
      <c r="Y9" s="2">
        <f>ff_portfolios25!Y9-ff_factors!$E9</f>
        <v>0.35154099999999999</v>
      </c>
      <c r="Z9" s="2">
        <f>ff_portfolios25!Z9-ff_factors!$E9</f>
        <v>0.47419599999999995</v>
      </c>
      <c r="AA9" s="2">
        <f>ff_portfolios25!AA9-ff_factors!$E9</f>
        <v>0.52013500000000001</v>
      </c>
      <c r="AB9" s="2">
        <f>ff_portfolios25!AB9-ff_factors!$E9</f>
        <v>0.653165</v>
      </c>
    </row>
    <row r="10" spans="1:28" x14ac:dyDescent="0.2">
      <c r="A10">
        <v>19320930</v>
      </c>
      <c r="B10">
        <v>1932</v>
      </c>
      <c r="C10">
        <v>9</v>
      </c>
      <c r="D10" s="2">
        <f>ff_portfolios25!D10-ff_factors!$E10</f>
        <v>-0.27057000000000003</v>
      </c>
      <c r="E10" s="2">
        <f>ff_portfolios25!E10-ff_factors!$E10</f>
        <v>-0.110903</v>
      </c>
      <c r="F10" s="2">
        <f>ff_portfolios25!F10-ff_factors!$E10</f>
        <v>-0.163493</v>
      </c>
      <c r="G10" s="2">
        <f>ff_portfolios25!G10-ff_factors!$E10</f>
        <v>-4.5848E-2</v>
      </c>
      <c r="H10" s="2">
        <f>ff_portfolios25!H10-ff_factors!$E10</f>
        <v>-0.171656</v>
      </c>
      <c r="I10" s="2">
        <f>ff_portfolios25!I10-ff_factors!$E10</f>
        <v>-7.4739999999999997E-3</v>
      </c>
      <c r="J10" s="2">
        <f>ff_portfolios25!J10-ff_factors!$E10</f>
        <v>-6.3991999999999993E-2</v>
      </c>
      <c r="K10" s="2">
        <f>ff_portfolios25!K10-ff_factors!$E10</f>
        <v>-5.5213999999999999E-2</v>
      </c>
      <c r="L10" s="2">
        <f>ff_portfolios25!L10-ff_factors!$E10</f>
        <v>-8.2632999999999998E-2</v>
      </c>
      <c r="M10" s="2">
        <f>ff_portfolios25!M10-ff_factors!$E10</f>
        <v>-0.12626599999999999</v>
      </c>
      <c r="N10" s="2">
        <f>ff_portfolios25!N10-ff_factors!$E10</f>
        <v>-5.2701000000000005E-2</v>
      </c>
      <c r="O10" s="2">
        <f>ff_portfolios25!O10-ff_factors!$E10</f>
        <v>-7.8391999999999989E-2</v>
      </c>
      <c r="P10" s="2">
        <f>ff_portfolios25!P10-ff_factors!$E10</f>
        <v>-2.7572000000000003E-2</v>
      </c>
      <c r="Q10" s="2">
        <f>ff_portfolios25!Q10-ff_factors!$E10</f>
        <v>-0.118834</v>
      </c>
      <c r="R10" s="2">
        <f>ff_portfolios25!R10-ff_factors!$E10</f>
        <v>-9.4362000000000001E-2</v>
      </c>
      <c r="S10" s="2">
        <f>ff_portfolios25!S10-ff_factors!$E10</f>
        <v>6.2760000000000003E-3</v>
      </c>
      <c r="T10" s="2">
        <f>ff_portfolios25!T10-ff_factors!$E10</f>
        <v>-4.4590000000000005E-2</v>
      </c>
      <c r="U10" s="2">
        <f>ff_portfolios25!U10-ff_factors!$E10</f>
        <v>-8.4716E-2</v>
      </c>
      <c r="V10" s="2">
        <f>ff_portfolios25!V10-ff_factors!$E10</f>
        <v>-6.9557999999999995E-2</v>
      </c>
      <c r="W10" s="2">
        <f>ff_portfolios25!W10-ff_factors!$E10</f>
        <v>-8.9343999999999993E-2</v>
      </c>
      <c r="X10" s="2">
        <f>ff_portfolios25!X10-ff_factors!$E10</f>
        <v>4.8009999999999997E-3</v>
      </c>
      <c r="Y10" s="2">
        <f>ff_portfolios25!Y10-ff_factors!$E10</f>
        <v>-6.5165999999999988E-2</v>
      </c>
      <c r="Z10" s="2">
        <f>ff_portfolios25!Z10-ff_factors!$E10</f>
        <v>-8.4767999999999996E-2</v>
      </c>
      <c r="AA10" s="2">
        <f>ff_portfolios25!AA10-ff_factors!$E10</f>
        <v>-2.8522000000000002E-2</v>
      </c>
      <c r="AB10" s="2">
        <f>ff_portfolios25!AB10-ff_factors!$E10</f>
        <v>0.155389</v>
      </c>
    </row>
    <row r="11" spans="1:28" x14ac:dyDescent="0.2">
      <c r="A11">
        <v>19321031</v>
      </c>
      <c r="B11">
        <v>1932</v>
      </c>
      <c r="C11">
        <v>10</v>
      </c>
      <c r="D11" s="2">
        <f>ff_portfolios25!D11-ff_factors!$E11</f>
        <v>-9.2793E-2</v>
      </c>
      <c r="E11" s="2">
        <f>ff_portfolios25!E11-ff_factors!$E11</f>
        <v>-0.13197900000000001</v>
      </c>
      <c r="F11" s="2">
        <f>ff_portfolios25!F11-ff_factors!$E11</f>
        <v>-0.26454499999999997</v>
      </c>
      <c r="G11" s="2">
        <f>ff_portfolios25!G11-ff_factors!$E11</f>
        <v>-0.20381000000000002</v>
      </c>
      <c r="H11" s="2">
        <f>ff_portfolios25!H11-ff_factors!$E11</f>
        <v>-0.19811500000000001</v>
      </c>
      <c r="I11" s="2">
        <f>ff_portfolios25!I11-ff_factors!$E11</f>
        <v>-0.124639</v>
      </c>
      <c r="J11" s="2">
        <f>ff_portfolios25!J11-ff_factors!$E11</f>
        <v>-0.22000800000000001</v>
      </c>
      <c r="K11" s="2">
        <f>ff_portfolios25!K11-ff_factors!$E11</f>
        <v>-0.17347300000000002</v>
      </c>
      <c r="L11" s="2">
        <f>ff_portfolios25!L11-ff_factors!$E11</f>
        <v>-0.245088</v>
      </c>
      <c r="M11" s="2">
        <f>ff_portfolios25!M11-ff_factors!$E11</f>
        <v>-0.22520800000000002</v>
      </c>
      <c r="N11" s="2">
        <f>ff_portfolios25!N11-ff_factors!$E11</f>
        <v>-0.14807200000000001</v>
      </c>
      <c r="O11" s="2">
        <f>ff_portfolios25!O11-ff_factors!$E11</f>
        <v>-0.159112</v>
      </c>
      <c r="P11" s="2">
        <f>ff_portfolios25!P11-ff_factors!$E11</f>
        <v>-0.21391200000000002</v>
      </c>
      <c r="Q11" s="2">
        <f>ff_portfolios25!Q11-ff_factors!$E11</f>
        <v>-0.23646</v>
      </c>
      <c r="R11" s="2">
        <f>ff_portfolios25!R11-ff_factors!$E11</f>
        <v>-0.257189</v>
      </c>
      <c r="S11" s="2">
        <f>ff_portfolios25!S11-ff_factors!$E11</f>
        <v>-0.11117300000000001</v>
      </c>
      <c r="T11" s="2">
        <f>ff_portfolios25!T11-ff_factors!$E11</f>
        <v>-0.17888200000000001</v>
      </c>
      <c r="U11" s="2">
        <f>ff_portfolios25!U11-ff_factors!$E11</f>
        <v>-0.19228800000000001</v>
      </c>
      <c r="V11" s="2">
        <f>ff_portfolios25!V11-ff_factors!$E11</f>
        <v>-0.203655</v>
      </c>
      <c r="W11" s="2">
        <f>ff_portfolios25!W11-ff_factors!$E11</f>
        <v>-0.25711699999999998</v>
      </c>
      <c r="X11" s="2">
        <f>ff_portfolios25!X11-ff_factors!$E11</f>
        <v>-0.11353100000000001</v>
      </c>
      <c r="Y11" s="2">
        <f>ff_portfolios25!Y11-ff_factors!$E11</f>
        <v>-9.819E-2</v>
      </c>
      <c r="Z11" s="2">
        <f>ff_portfolios25!Z11-ff_factors!$E11</f>
        <v>-0.15354600000000002</v>
      </c>
      <c r="AA11" s="2">
        <f>ff_portfolios25!AA11-ff_factors!$E11</f>
        <v>-0.19409300000000002</v>
      </c>
      <c r="AB11" s="2">
        <f>ff_portfolios25!AB11-ff_factors!$E11</f>
        <v>-0.30071799999999999</v>
      </c>
    </row>
    <row r="12" spans="1:28" x14ac:dyDescent="0.2">
      <c r="A12">
        <v>19321130</v>
      </c>
      <c r="B12">
        <v>1932</v>
      </c>
      <c r="C12">
        <v>11</v>
      </c>
      <c r="D12" s="2">
        <f>ff_portfolios25!D12-ff_factors!$E12</f>
        <v>-0.26550599999999996</v>
      </c>
      <c r="E12" s="2">
        <f>ff_portfolios25!E12-ff_factors!$E12</f>
        <v>-0.133158</v>
      </c>
      <c r="F12" s="2">
        <f>ff_portfolios25!F12-ff_factors!$E12</f>
        <v>-8.3068000000000003E-2</v>
      </c>
      <c r="G12" s="2">
        <f>ff_portfolios25!G12-ff_factors!$E12</f>
        <v>-0.10813400000000001</v>
      </c>
      <c r="H12" s="2">
        <f>ff_portfolios25!H12-ff_factors!$E12</f>
        <v>-7.332000000000001E-2</v>
      </c>
      <c r="I12" s="2">
        <f>ff_portfolios25!I12-ff_factors!$E12</f>
        <v>-3.9926999999999997E-2</v>
      </c>
      <c r="J12" s="2">
        <f>ff_portfolios25!J12-ff_factors!$E12</f>
        <v>-7.5972999999999999E-2</v>
      </c>
      <c r="K12" s="2">
        <f>ff_portfolios25!K12-ff_factors!$E12</f>
        <v>-8.5218000000000002E-2</v>
      </c>
      <c r="L12" s="2">
        <f>ff_portfolios25!L12-ff_factors!$E12</f>
        <v>-7.9344999999999999E-2</v>
      </c>
      <c r="M12" s="2">
        <f>ff_portfolios25!M12-ff_factors!$E12</f>
        <v>-0.17458000000000001</v>
      </c>
      <c r="N12" s="2">
        <f>ff_portfolios25!N12-ff_factors!$E12</f>
        <v>-3.7895999999999999E-2</v>
      </c>
      <c r="O12" s="2">
        <f>ff_portfolios25!O12-ff_factors!$E12</f>
        <v>-1.1463000000000001E-2</v>
      </c>
      <c r="P12" s="2">
        <f>ff_portfolios25!P12-ff_factors!$E12</f>
        <v>-8.6384000000000002E-2</v>
      </c>
      <c r="Q12" s="2">
        <f>ff_portfolios25!Q12-ff_factors!$E12</f>
        <v>-0.111444</v>
      </c>
      <c r="R12" s="2">
        <f>ff_portfolios25!R12-ff_factors!$E12</f>
        <v>-0.151252</v>
      </c>
      <c r="S12" s="2">
        <f>ff_portfolios25!S12-ff_factors!$E12</f>
        <v>2.4840000000000001E-2</v>
      </c>
      <c r="T12" s="2">
        <f>ff_portfolios25!T12-ff_factors!$E12</f>
        <v>-5.1021999999999998E-2</v>
      </c>
      <c r="U12" s="2">
        <f>ff_portfolios25!U12-ff_factors!$E12</f>
        <v>-9.2555999999999999E-2</v>
      </c>
      <c r="V12" s="2">
        <f>ff_portfolios25!V12-ff_factors!$E12</f>
        <v>-0.15321699999999999</v>
      </c>
      <c r="W12" s="2">
        <f>ff_portfolios25!W12-ff_factors!$E12</f>
        <v>-0.20003000000000001</v>
      </c>
      <c r="X12" s="2">
        <f>ff_portfolios25!X12-ff_factors!$E12</f>
        <v>-3.2795999999999999E-2</v>
      </c>
      <c r="Y12" s="2">
        <f>ff_portfolios25!Y12-ff_factors!$E12</f>
        <v>-1.8792999999999997E-2</v>
      </c>
      <c r="Z12" s="2">
        <f>ff_portfolios25!Z12-ff_factors!$E12</f>
        <v>-0.10381800000000001</v>
      </c>
      <c r="AA12" s="2">
        <f>ff_portfolios25!AA12-ff_factors!$E12</f>
        <v>-8.5086000000000009E-2</v>
      </c>
      <c r="AB12" s="2">
        <f>ff_portfolios25!AB12-ff_factors!$E12</f>
        <v>-0.311311</v>
      </c>
    </row>
    <row r="13" spans="1:28" x14ac:dyDescent="0.2">
      <c r="A13">
        <v>19321231</v>
      </c>
      <c r="B13">
        <v>1932</v>
      </c>
      <c r="C13">
        <v>12</v>
      </c>
      <c r="D13" s="2">
        <f>ff_portfolios25!D13-ff_factors!$E13</f>
        <v>6.9344000000000003E-2</v>
      </c>
      <c r="E13" s="2">
        <f>ff_portfolios25!E13-ff_factors!$E13</f>
        <v>-0.118995</v>
      </c>
      <c r="F13" s="2">
        <f>ff_portfolios25!F13-ff_factors!$E13</f>
        <v>-2.5748E-2</v>
      </c>
      <c r="G13" s="2">
        <f>ff_portfolios25!G13-ff_factors!$E13</f>
        <v>-0.12615399999999999</v>
      </c>
      <c r="H13" s="2">
        <f>ff_portfolios25!H13-ff_factors!$E13</f>
        <v>-0.16303899999999999</v>
      </c>
      <c r="I13" s="2">
        <f>ff_portfolios25!I13-ff_factors!$E13</f>
        <v>-0.18741099999999999</v>
      </c>
      <c r="J13" s="2">
        <f>ff_portfolios25!J13-ff_factors!$E13</f>
        <v>-0.16292099999999998</v>
      </c>
      <c r="K13" s="2">
        <f>ff_portfolios25!K13-ff_factors!$E13</f>
        <v>-2.7639E-2</v>
      </c>
      <c r="L13" s="2">
        <f>ff_portfolios25!L13-ff_factors!$E13</f>
        <v>-0.117636</v>
      </c>
      <c r="M13" s="2">
        <f>ff_portfolios25!M13-ff_factors!$E13</f>
        <v>-7.6007000000000005E-2</v>
      </c>
      <c r="N13" s="2">
        <f>ff_portfolios25!N13-ff_factors!$E13</f>
        <v>-2.2214000000000001E-2</v>
      </c>
      <c r="O13" s="2">
        <f>ff_portfolios25!O13-ff_factors!$E13</f>
        <v>3.1619999999999995E-2</v>
      </c>
      <c r="P13" s="2">
        <f>ff_portfolios25!P13-ff_factors!$E13</f>
        <v>1.1764E-2</v>
      </c>
      <c r="Q13" s="2">
        <f>ff_portfolios25!Q13-ff_factors!$E13</f>
        <v>-4.7787000000000003E-2</v>
      </c>
      <c r="R13" s="2">
        <f>ff_portfolios25!R13-ff_factors!$E13</f>
        <v>-6.6253000000000006E-2</v>
      </c>
      <c r="S13" s="2">
        <f>ff_portfolios25!S13-ff_factors!$E13</f>
        <v>3.9919999999999997E-2</v>
      </c>
      <c r="T13" s="2">
        <f>ff_portfolios25!T13-ff_factors!$E13</f>
        <v>1.485E-3</v>
      </c>
      <c r="U13" s="2">
        <f>ff_portfolios25!U13-ff_factors!$E13</f>
        <v>1.2577000000000001E-2</v>
      </c>
      <c r="V13" s="2">
        <f>ff_portfolios25!V13-ff_factors!$E13</f>
        <v>5.2509999999999996E-3</v>
      </c>
      <c r="W13" s="2">
        <f>ff_portfolios25!W13-ff_factors!$E13</f>
        <v>-9.9436999999999998E-2</v>
      </c>
      <c r="X13" s="2">
        <f>ff_portfolios25!X13-ff_factors!$E13</f>
        <v>7.2292999999999996E-2</v>
      </c>
      <c r="Y13" s="2">
        <f>ff_portfolios25!Y13-ff_factors!$E13</f>
        <v>7.3571999999999999E-2</v>
      </c>
      <c r="Z13" s="2">
        <f>ff_portfolios25!Z13-ff_factors!$E13</f>
        <v>1.5465000000000001E-2</v>
      </c>
      <c r="AA13" s="2">
        <f>ff_portfolios25!AA13-ff_factors!$E13</f>
        <v>-7.5596999999999998E-2</v>
      </c>
      <c r="AB13" s="2">
        <f>ff_portfolios25!AB13-ff_factors!$E13</f>
        <v>0.15043800000000002</v>
      </c>
    </row>
    <row r="14" spans="1:28" x14ac:dyDescent="0.2">
      <c r="A14">
        <v>19330131</v>
      </c>
      <c r="B14">
        <v>1933</v>
      </c>
      <c r="C14">
        <v>1</v>
      </c>
      <c r="D14" s="2">
        <f>ff_portfolios25!D14-ff_factors!$E14</f>
        <v>0.57132899999999998</v>
      </c>
      <c r="E14" s="2">
        <f>ff_portfolios25!E14-ff_factors!$E14</f>
        <v>-9.5560000000000003E-3</v>
      </c>
      <c r="F14" s="2">
        <f>ff_portfolios25!F14-ff_factors!$E14</f>
        <v>1.5103E-2</v>
      </c>
      <c r="G14" s="2">
        <f>ff_portfolios25!G14-ff_factors!$E14</f>
        <v>-7.1421999999999999E-2</v>
      </c>
      <c r="H14" s="2">
        <f>ff_portfolios25!H14-ff_factors!$E14</f>
        <v>3.6880999999999997E-2</v>
      </c>
      <c r="I14" s="2">
        <f>ff_portfolios25!I14-ff_factors!$E14</f>
        <v>7.533999999999999E-2</v>
      </c>
      <c r="J14" s="2">
        <f>ff_portfolios25!J14-ff_factors!$E14</f>
        <v>6.0049999999999999E-2</v>
      </c>
      <c r="K14" s="2">
        <f>ff_portfolios25!K14-ff_factors!$E14</f>
        <v>3.5822999999999994E-2</v>
      </c>
      <c r="L14" s="2">
        <f>ff_portfolios25!L14-ff_factors!$E14</f>
        <v>5.4988999999999996E-2</v>
      </c>
      <c r="M14" s="2">
        <f>ff_portfolios25!M14-ff_factors!$E14</f>
        <v>7.6162999999999995E-2</v>
      </c>
      <c r="N14" s="2">
        <f>ff_portfolios25!N14-ff_factors!$E14</f>
        <v>1.502E-2</v>
      </c>
      <c r="O14" s="2">
        <f>ff_portfolios25!O14-ff_factors!$E14</f>
        <v>6.8241999999999997E-2</v>
      </c>
      <c r="P14" s="2">
        <f>ff_portfolios25!P14-ff_factors!$E14</f>
        <v>2.2187999999999999E-2</v>
      </c>
      <c r="Q14" s="2">
        <f>ff_portfolios25!Q14-ff_factors!$E14</f>
        <v>3.4629999999999994E-2</v>
      </c>
      <c r="R14" s="2">
        <f>ff_portfolios25!R14-ff_factors!$E14</f>
        <v>0.128054</v>
      </c>
      <c r="S14" s="2">
        <f>ff_portfolios25!S14-ff_factors!$E14</f>
        <v>2.3869000000000001E-2</v>
      </c>
      <c r="T14" s="2">
        <f>ff_portfolios25!T14-ff_factors!$E14</f>
        <v>3.4446999999999998E-2</v>
      </c>
      <c r="U14" s="2">
        <f>ff_portfolios25!U14-ff_factors!$E14</f>
        <v>4.5010999999999995E-2</v>
      </c>
      <c r="V14" s="2">
        <f>ff_portfolios25!V14-ff_factors!$E14</f>
        <v>5.9906999999999995E-2</v>
      </c>
      <c r="W14" s="2">
        <f>ff_portfolios25!W14-ff_factors!$E14</f>
        <v>0.165215</v>
      </c>
      <c r="X14" s="2">
        <f>ff_portfolios25!X14-ff_factors!$E14</f>
        <v>-3.2229999999999997E-3</v>
      </c>
      <c r="Y14" s="2">
        <f>ff_portfolios25!Y14-ff_factors!$E14</f>
        <v>-4.5170000000000002E-3</v>
      </c>
      <c r="Z14" s="2">
        <f>ff_portfolios25!Z14-ff_factors!$E14</f>
        <v>4.7467999999999996E-2</v>
      </c>
      <c r="AA14" s="2">
        <f>ff_portfolios25!AA14-ff_factors!$E14</f>
        <v>3.9017999999999997E-2</v>
      </c>
      <c r="AB14" s="2">
        <f>ff_portfolios25!AB14-ff_factors!$E14</f>
        <v>0.14943300000000001</v>
      </c>
    </row>
    <row r="15" spans="1:28" x14ac:dyDescent="0.2">
      <c r="A15">
        <v>19330228</v>
      </c>
      <c r="B15">
        <v>1933</v>
      </c>
      <c r="C15">
        <v>2</v>
      </c>
      <c r="D15" s="2">
        <f>ff_portfolios25!D15-ff_factors!$E15</f>
        <v>-0.44598099999999996</v>
      </c>
      <c r="E15" s="2">
        <f>ff_portfolios25!E15-ff_factors!$E15</f>
        <v>-0.18801999999999999</v>
      </c>
      <c r="F15" s="2">
        <f>ff_portfolios25!F15-ff_factors!$E15</f>
        <v>-0.17959700000000001</v>
      </c>
      <c r="G15" s="2">
        <f>ff_portfolios25!G15-ff_factors!$E15</f>
        <v>-0.14496500000000001</v>
      </c>
      <c r="H15" s="2">
        <f>ff_portfolios25!H15-ff_factors!$E15</f>
        <v>-0.15873400000000001</v>
      </c>
      <c r="I15" s="2">
        <f>ff_portfolios25!I15-ff_factors!$E15</f>
        <v>-0.26743999999999996</v>
      </c>
      <c r="J15" s="2">
        <f>ff_portfolios25!J15-ff_factors!$E15</f>
        <v>-0.26645599999999997</v>
      </c>
      <c r="K15" s="2">
        <f>ff_portfolios25!K15-ff_factors!$E15</f>
        <v>-0.20094000000000001</v>
      </c>
      <c r="L15" s="2">
        <f>ff_portfolios25!L15-ff_factors!$E15</f>
        <v>-0.20119100000000001</v>
      </c>
      <c r="M15" s="2">
        <f>ff_portfolios25!M15-ff_factors!$E15</f>
        <v>-0.210449</v>
      </c>
      <c r="N15" s="2">
        <f>ff_portfolios25!N15-ff_factors!$E15</f>
        <v>-0.16501100000000002</v>
      </c>
      <c r="O15" s="2">
        <f>ff_portfolios25!O15-ff_factors!$E15</f>
        <v>-0.175844</v>
      </c>
      <c r="P15" s="2">
        <f>ff_portfolios25!P15-ff_factors!$E15</f>
        <v>-0.18392600000000001</v>
      </c>
      <c r="Q15" s="2">
        <f>ff_portfolios25!Q15-ff_factors!$E15</f>
        <v>-0.19633100000000001</v>
      </c>
      <c r="R15" s="2">
        <f>ff_portfolios25!R15-ff_factors!$E15</f>
        <v>-0.19759200000000002</v>
      </c>
      <c r="S15" s="2">
        <f>ff_portfolios25!S15-ff_factors!$E15</f>
        <v>-0.13345200000000002</v>
      </c>
      <c r="T15" s="2">
        <f>ff_portfolios25!T15-ff_factors!$E15</f>
        <v>-0.162658</v>
      </c>
      <c r="U15" s="2">
        <f>ff_portfolios25!U15-ff_factors!$E15</f>
        <v>-0.13763700000000001</v>
      </c>
      <c r="V15" s="2">
        <f>ff_portfolios25!V15-ff_factors!$E15</f>
        <v>-0.12435400000000001</v>
      </c>
      <c r="W15" s="2">
        <f>ff_portfolios25!W15-ff_factors!$E15</f>
        <v>-0.22942600000000002</v>
      </c>
      <c r="X15" s="2">
        <f>ff_portfolios25!X15-ff_factors!$E15</f>
        <v>-0.14655799999999999</v>
      </c>
      <c r="Y15" s="2">
        <f>ff_portfolios25!Y15-ff_factors!$E15</f>
        <v>-0.171765</v>
      </c>
      <c r="Z15" s="2">
        <f>ff_portfolios25!Z15-ff_factors!$E15</f>
        <v>-0.152392</v>
      </c>
      <c r="AA15" s="2">
        <f>ff_portfolios25!AA15-ff_factors!$E15</f>
        <v>-0.17504</v>
      </c>
      <c r="AB15" s="2">
        <f>ff_portfolios25!AB15-ff_factors!$E15</f>
        <v>-0.24360200000000001</v>
      </c>
    </row>
    <row r="16" spans="1:28" x14ac:dyDescent="0.2">
      <c r="A16">
        <v>19330331</v>
      </c>
      <c r="B16">
        <v>1933</v>
      </c>
      <c r="C16">
        <v>3</v>
      </c>
      <c r="D16" s="2">
        <f>ff_portfolios25!D16-ff_factors!$E16</f>
        <v>-0.164579</v>
      </c>
      <c r="E16" s="2">
        <f>ff_portfolios25!E16-ff_factors!$E16</f>
        <v>7.1389000000000008E-2</v>
      </c>
      <c r="F16" s="2">
        <f>ff_portfolios25!F16-ff_factors!$E16</f>
        <v>-4.8868999999999996E-2</v>
      </c>
      <c r="G16" s="2">
        <f>ff_portfolios25!G16-ff_factors!$E16</f>
        <v>5.6142000000000004E-2</v>
      </c>
      <c r="H16" s="2">
        <f>ff_portfolios25!H16-ff_factors!$E16</f>
        <v>0.18462499999999998</v>
      </c>
      <c r="I16" s="2">
        <f>ff_portfolios25!I16-ff_factors!$E16</f>
        <v>0.14211199999999999</v>
      </c>
      <c r="J16" s="2">
        <f>ff_portfolios25!J16-ff_factors!$E16</f>
        <v>0.101534</v>
      </c>
      <c r="K16" s="2">
        <f>ff_portfolios25!K16-ff_factors!$E16</f>
        <v>3.1718000000000003E-2</v>
      </c>
      <c r="L16" s="2">
        <f>ff_portfolios25!L16-ff_factors!$E16</f>
        <v>0.13033999999999998</v>
      </c>
      <c r="M16" s="2">
        <f>ff_portfolios25!M16-ff_factors!$E16</f>
        <v>0.219414</v>
      </c>
      <c r="N16" s="2">
        <f>ff_portfolios25!N16-ff_factors!$E16</f>
        <v>-1.4400000000000003E-4</v>
      </c>
      <c r="O16" s="2">
        <f>ff_portfolios25!O16-ff_factors!$E16</f>
        <v>0.102008</v>
      </c>
      <c r="P16" s="2">
        <f>ff_portfolios25!P16-ff_factors!$E16</f>
        <v>6.1290000000000004E-2</v>
      </c>
      <c r="Q16" s="2">
        <f>ff_portfolios25!Q16-ff_factors!$E16</f>
        <v>0.147531</v>
      </c>
      <c r="R16" s="2">
        <f>ff_portfolios25!R16-ff_factors!$E16</f>
        <v>8.6835999999999997E-2</v>
      </c>
      <c r="S16" s="2">
        <f>ff_portfolios25!S16-ff_factors!$E16</f>
        <v>0.103675</v>
      </c>
      <c r="T16" s="2">
        <f>ff_portfolios25!T16-ff_factors!$E16</f>
        <v>0.11779300000000001</v>
      </c>
      <c r="U16" s="2">
        <f>ff_portfolios25!U16-ff_factors!$E16</f>
        <v>0.15833899999999998</v>
      </c>
      <c r="V16" s="2">
        <f>ff_portfolios25!V16-ff_factors!$E16</f>
        <v>0.100885</v>
      </c>
      <c r="W16" s="2">
        <f>ff_portfolios25!W16-ff_factors!$E16</f>
        <v>7.9510999999999998E-2</v>
      </c>
      <c r="X16" s="2">
        <f>ff_portfolios25!X16-ff_factors!$E16</f>
        <v>-1.9070000000000001E-3</v>
      </c>
      <c r="Y16" s="2">
        <f>ff_portfolios25!Y16-ff_factors!$E16</f>
        <v>5.2979999999999999E-2</v>
      </c>
      <c r="Z16" s="2">
        <f>ff_portfolios25!Z16-ff_factors!$E16</f>
        <v>6.4049999999999996E-2</v>
      </c>
      <c r="AA16" s="2">
        <f>ff_portfolios25!AA16-ff_factors!$E16</f>
        <v>7.596E-2</v>
      </c>
      <c r="AB16" s="2">
        <f>ff_portfolios25!AB16-ff_factors!$E16</f>
        <v>7.4869000000000005E-2</v>
      </c>
    </row>
    <row r="17" spans="1:28" x14ac:dyDescent="0.2">
      <c r="A17">
        <v>19330429</v>
      </c>
      <c r="B17">
        <v>1933</v>
      </c>
      <c r="C17">
        <v>4</v>
      </c>
      <c r="D17" s="2">
        <f>ff_portfolios25!D17-ff_factors!$E17</f>
        <v>7.0429000000000005E-2</v>
      </c>
      <c r="E17" s="2">
        <f>ff_portfolios25!E17-ff_factors!$E17</f>
        <v>0.50431599999999999</v>
      </c>
      <c r="F17" s="2">
        <f>ff_portfolios25!F17-ff_factors!$E17</f>
        <v>0.78424700000000003</v>
      </c>
      <c r="G17" s="2">
        <f>ff_portfolios25!G17-ff_factors!$E17</f>
        <v>0.483433</v>
      </c>
      <c r="H17" s="2">
        <f>ff_portfolios25!H17-ff_factors!$E17</f>
        <v>0.48138700000000001</v>
      </c>
      <c r="I17" s="2">
        <f>ff_portfolios25!I17-ff_factors!$E17</f>
        <v>0.28134500000000001</v>
      </c>
      <c r="J17" s="2">
        <f>ff_portfolios25!J17-ff_factors!$E17</f>
        <v>0.46198499999999998</v>
      </c>
      <c r="K17" s="2">
        <f>ff_portfolios25!K17-ff_factors!$E17</f>
        <v>0.62337399999999998</v>
      </c>
      <c r="L17" s="2">
        <f>ff_portfolios25!L17-ff_factors!$E17</f>
        <v>0.63747900000000002</v>
      </c>
      <c r="M17" s="2">
        <f>ff_portfolios25!M17-ff_factors!$E17</f>
        <v>0.53149400000000002</v>
      </c>
      <c r="N17" s="2">
        <f>ff_portfolios25!N17-ff_factors!$E17</f>
        <v>0.47075499999999998</v>
      </c>
      <c r="O17" s="2">
        <f>ff_portfolios25!O17-ff_factors!$E17</f>
        <v>0.398642</v>
      </c>
      <c r="P17" s="2">
        <f>ff_portfolios25!P17-ff_factors!$E17</f>
        <v>0.60793200000000003</v>
      </c>
      <c r="Q17" s="2">
        <f>ff_portfolios25!Q17-ff_factors!$E17</f>
        <v>0.53762900000000002</v>
      </c>
      <c r="R17" s="2">
        <f>ff_portfolios25!R17-ff_factors!$E17</f>
        <v>0.63846499999999995</v>
      </c>
      <c r="S17" s="2">
        <f>ff_portfolios25!S17-ff_factors!$E17</f>
        <v>0.35135499999999997</v>
      </c>
      <c r="T17" s="2">
        <f>ff_portfolios25!T17-ff_factors!$E17</f>
        <v>0.53483800000000004</v>
      </c>
      <c r="U17" s="2">
        <f>ff_portfolios25!U17-ff_factors!$E17</f>
        <v>0.55362299999999998</v>
      </c>
      <c r="V17" s="2">
        <f>ff_portfolios25!V17-ff_factors!$E17</f>
        <v>0.44256699999999999</v>
      </c>
      <c r="W17" s="2">
        <f>ff_portfolios25!W17-ff_factors!$E17</f>
        <v>0.74351800000000001</v>
      </c>
      <c r="X17" s="2">
        <f>ff_portfolios25!X17-ff_factors!$E17</f>
        <v>0.32459500000000002</v>
      </c>
      <c r="Y17" s="2">
        <f>ff_portfolios25!Y17-ff_factors!$E17</f>
        <v>0.39250200000000002</v>
      </c>
      <c r="Z17" s="2">
        <f>ff_portfolios25!Z17-ff_factors!$E17</f>
        <v>0.46881099999999998</v>
      </c>
      <c r="AA17" s="2">
        <f>ff_portfolios25!AA17-ff_factors!$E17</f>
        <v>0.60634299999999997</v>
      </c>
      <c r="AB17" s="2">
        <f>ff_portfolios25!AB17-ff_factors!$E17</f>
        <v>0.51900000000000002</v>
      </c>
    </row>
    <row r="18" spans="1:28" x14ac:dyDescent="0.2">
      <c r="A18">
        <v>19330531</v>
      </c>
      <c r="B18">
        <v>1933</v>
      </c>
      <c r="C18">
        <v>5</v>
      </c>
      <c r="D18" s="2">
        <f>ff_portfolios25!D18-ff_factors!$E18</f>
        <v>0.73293300000000006</v>
      </c>
      <c r="E18" s="2">
        <f>ff_portfolios25!E18-ff_factors!$E18</f>
        <v>1.260068</v>
      </c>
      <c r="F18" s="2">
        <f>ff_portfolios25!F18-ff_factors!$E18</f>
        <v>0.69096800000000003</v>
      </c>
      <c r="G18" s="2">
        <f>ff_portfolios25!G18-ff_factors!$E18</f>
        <v>1.031555</v>
      </c>
      <c r="H18" s="2">
        <f>ff_portfolios25!H18-ff_factors!$E18</f>
        <v>1.0046490000000001</v>
      </c>
      <c r="I18" s="2">
        <f>ff_portfolios25!I18-ff_factors!$E18</f>
        <v>0.76456200000000007</v>
      </c>
      <c r="J18" s="2">
        <f>ff_portfolios25!J18-ff_factors!$E18</f>
        <v>0.780779</v>
      </c>
      <c r="K18" s="2">
        <f>ff_portfolios25!K18-ff_factors!$E18</f>
        <v>0.75472400000000006</v>
      </c>
      <c r="L18" s="2">
        <f>ff_portfolios25!L18-ff_factors!$E18</f>
        <v>0.80279100000000003</v>
      </c>
      <c r="M18" s="2">
        <f>ff_portfolios25!M18-ff_factors!$E18</f>
        <v>0.58095200000000002</v>
      </c>
      <c r="N18" s="2">
        <f>ff_portfolios25!N18-ff_factors!$E18</f>
        <v>0.56931300000000007</v>
      </c>
      <c r="O18" s="2">
        <f>ff_portfolios25!O18-ff_factors!$E18</f>
        <v>0.388764</v>
      </c>
      <c r="P18" s="2">
        <f>ff_portfolios25!P18-ff_factors!$E18</f>
        <v>0.43210199999999999</v>
      </c>
      <c r="Q18" s="2">
        <f>ff_portfolios25!Q18-ff_factors!$E18</f>
        <v>0.58470900000000003</v>
      </c>
      <c r="R18" s="2">
        <f>ff_portfolios25!R18-ff_factors!$E18</f>
        <v>0.5113930000000001</v>
      </c>
      <c r="S18" s="2">
        <f>ff_portfolios25!S18-ff_factors!$E18</f>
        <v>0.227599</v>
      </c>
      <c r="T18" s="2">
        <f>ff_portfolios25!T18-ff_factors!$E18</f>
        <v>0.32352399999999998</v>
      </c>
      <c r="U18" s="2">
        <f>ff_portfolios25!U18-ff_factors!$E18</f>
        <v>0.33209899999999998</v>
      </c>
      <c r="V18" s="2">
        <f>ff_portfolios25!V18-ff_factors!$E18</f>
        <v>0.40152599999999999</v>
      </c>
      <c r="W18" s="2">
        <f>ff_portfolios25!W18-ff_factors!$E18</f>
        <v>0.62802200000000008</v>
      </c>
      <c r="X18" s="2">
        <f>ff_portfolios25!X18-ff_factors!$E18</f>
        <v>0.172287</v>
      </c>
      <c r="Y18" s="2">
        <f>ff_portfolios25!Y18-ff_factors!$E18</f>
        <v>0.14355199999999999</v>
      </c>
      <c r="Z18" s="2">
        <f>ff_portfolios25!Z18-ff_factors!$E18</f>
        <v>0.212115</v>
      </c>
      <c r="AA18" s="2">
        <f>ff_portfolios25!AA18-ff_factors!$E18</f>
        <v>0.32777899999999999</v>
      </c>
      <c r="AB18" s="2">
        <f>ff_portfolios25!AB18-ff_factors!$E18</f>
        <v>0.24959999999999999</v>
      </c>
    </row>
    <row r="19" spans="1:28" x14ac:dyDescent="0.2">
      <c r="A19">
        <v>19330630</v>
      </c>
      <c r="B19">
        <v>1933</v>
      </c>
      <c r="C19">
        <v>6</v>
      </c>
      <c r="D19" s="2">
        <f>ff_portfolios25!D19-ff_factors!$E19</f>
        <v>0.73056900000000002</v>
      </c>
      <c r="E19" s="2">
        <f>ff_portfolios25!E19-ff_factors!$E19</f>
        <v>0.60294199999999998</v>
      </c>
      <c r="F19" s="2">
        <f>ff_portfolios25!F19-ff_factors!$E19</f>
        <v>0.42457400000000001</v>
      </c>
      <c r="G19" s="2">
        <f>ff_portfolios25!G19-ff_factors!$E19</f>
        <v>0.27254300000000004</v>
      </c>
      <c r="H19" s="2">
        <f>ff_portfolios25!H19-ff_factors!$E19</f>
        <v>0.24307099999999998</v>
      </c>
      <c r="I19" s="2">
        <f>ff_portfolios25!I19-ff_factors!$E19</f>
        <v>0.23507400000000001</v>
      </c>
      <c r="J19" s="2">
        <f>ff_portfolios25!J19-ff_factors!$E19</f>
        <v>0.15370400000000001</v>
      </c>
      <c r="K19" s="2">
        <f>ff_portfolios25!K19-ff_factors!$E19</f>
        <v>0.222113</v>
      </c>
      <c r="L19" s="2">
        <f>ff_portfolios25!L19-ff_factors!$E19</f>
        <v>0.198272</v>
      </c>
      <c r="M19" s="2">
        <f>ff_portfolios25!M19-ff_factors!$E19</f>
        <v>0.18959799999999999</v>
      </c>
      <c r="N19" s="2">
        <f>ff_portfolios25!N19-ff_factors!$E19</f>
        <v>0.29037100000000005</v>
      </c>
      <c r="O19" s="2">
        <f>ff_portfolios25!O19-ff_factors!$E19</f>
        <v>0.13581699999999999</v>
      </c>
      <c r="P19" s="2">
        <f>ff_portfolios25!P19-ff_factors!$E19</f>
        <v>0.14894399999999999</v>
      </c>
      <c r="Q19" s="2">
        <f>ff_portfolios25!Q19-ff_factors!$E19</f>
        <v>0.17368</v>
      </c>
      <c r="R19" s="2">
        <f>ff_portfolios25!R19-ff_factors!$E19</f>
        <v>0.33262600000000003</v>
      </c>
      <c r="S19" s="2">
        <f>ff_portfolios25!S19-ff_factors!$E19</f>
        <v>0.123847</v>
      </c>
      <c r="T19" s="2">
        <f>ff_portfolios25!T19-ff_factors!$E19</f>
        <v>0.12586899999999998</v>
      </c>
      <c r="U19" s="2">
        <f>ff_portfolios25!U19-ff_factors!$E19</f>
        <v>0.14426800000000001</v>
      </c>
      <c r="V19" s="2">
        <f>ff_portfolios25!V19-ff_factors!$E19</f>
        <v>0.17611299999999999</v>
      </c>
      <c r="W19" s="2">
        <f>ff_portfolios25!W19-ff_factors!$E19</f>
        <v>0.14813699999999999</v>
      </c>
      <c r="X19" s="2">
        <f>ff_portfolios25!X19-ff_factors!$E19</f>
        <v>0.111286</v>
      </c>
      <c r="Y19" s="2">
        <f>ff_portfolios25!Y19-ff_factors!$E19</f>
        <v>0.13183</v>
      </c>
      <c r="Z19" s="2">
        <f>ff_portfolios25!Z19-ff_factors!$E19</f>
        <v>0.14782299999999998</v>
      </c>
      <c r="AA19" s="2">
        <f>ff_portfolios25!AA19-ff_factors!$E19</f>
        <v>0.207061</v>
      </c>
      <c r="AB19" s="2">
        <f>ff_portfolios25!AB19-ff_factors!$E19</f>
        <v>4.7168000000000002E-2</v>
      </c>
    </row>
    <row r="20" spans="1:28" x14ac:dyDescent="0.2">
      <c r="A20">
        <v>19330731</v>
      </c>
      <c r="B20">
        <v>1933</v>
      </c>
      <c r="C20">
        <v>7</v>
      </c>
      <c r="D20" s="2">
        <f>ff_portfolios25!D20-ff_factors!$E20</f>
        <v>-3.2458000000000001E-2</v>
      </c>
      <c r="E20" s="2">
        <f>ff_portfolios25!E20-ff_factors!$E20</f>
        <v>-0.11958500000000001</v>
      </c>
      <c r="F20" s="2">
        <f>ff_portfolios25!F20-ff_factors!$E20</f>
        <v>-8.1292000000000003E-2</v>
      </c>
      <c r="G20" s="2">
        <f>ff_portfolios25!G20-ff_factors!$E20</f>
        <v>-1.4508E-2</v>
      </c>
      <c r="H20" s="2">
        <f>ff_portfolios25!H20-ff_factors!$E20</f>
        <v>-6.3730000000000009E-2</v>
      </c>
      <c r="I20" s="2">
        <f>ff_portfolios25!I20-ff_factors!$E20</f>
        <v>-9.7125000000000003E-2</v>
      </c>
      <c r="J20" s="2">
        <f>ff_portfolios25!J20-ff_factors!$E20</f>
        <v>-0.156526</v>
      </c>
      <c r="K20" s="2">
        <f>ff_portfolios25!K20-ff_factors!$E20</f>
        <v>-9.6633000000000011E-2</v>
      </c>
      <c r="L20" s="2">
        <f>ff_portfolios25!L20-ff_factors!$E20</f>
        <v>-0.116757</v>
      </c>
      <c r="M20" s="2">
        <f>ff_portfolios25!M20-ff_factors!$E20</f>
        <v>1.1816E-2</v>
      </c>
      <c r="N20" s="2">
        <f>ff_portfolios25!N20-ff_factors!$E20</f>
        <v>-9.4251000000000001E-2</v>
      </c>
      <c r="O20" s="2">
        <f>ff_portfolios25!O20-ff_factors!$E20</f>
        <v>-0.14555899999999999</v>
      </c>
      <c r="P20" s="2">
        <f>ff_portfolios25!P20-ff_factors!$E20</f>
        <v>-0.13732800000000001</v>
      </c>
      <c r="Q20" s="2">
        <f>ff_portfolios25!Q20-ff_factors!$E20</f>
        <v>-0.16725900000000002</v>
      </c>
      <c r="R20" s="2">
        <f>ff_portfolios25!R20-ff_factors!$E20</f>
        <v>-0.18024899999999999</v>
      </c>
      <c r="S20" s="2">
        <f>ff_portfolios25!S20-ff_factors!$E20</f>
        <v>-0.102104</v>
      </c>
      <c r="T20" s="2">
        <f>ff_portfolios25!T20-ff_factors!$E20</f>
        <v>-9.5487000000000002E-2</v>
      </c>
      <c r="U20" s="2">
        <f>ff_portfolios25!U20-ff_factors!$E20</f>
        <v>-0.14744499999999999</v>
      </c>
      <c r="V20" s="2">
        <f>ff_portfolios25!V20-ff_factors!$E20</f>
        <v>-0.117634</v>
      </c>
      <c r="W20" s="2">
        <f>ff_portfolios25!W20-ff_factors!$E20</f>
        <v>-6.5647000000000011E-2</v>
      </c>
      <c r="X20" s="2">
        <f>ff_portfolios25!X20-ff_factors!$E20</f>
        <v>-8.4445000000000006E-2</v>
      </c>
      <c r="Y20" s="2">
        <f>ff_portfolios25!Y20-ff_factors!$E20</f>
        <v>-0.11511400000000001</v>
      </c>
      <c r="Z20" s="2">
        <f>ff_portfolios25!Z20-ff_factors!$E20</f>
        <v>-0.12141500000000001</v>
      </c>
      <c r="AA20" s="2">
        <f>ff_portfolios25!AA20-ff_factors!$E20</f>
        <v>-0.101714</v>
      </c>
      <c r="AB20" s="2">
        <f>ff_portfolios25!AB20-ff_factors!$E20</f>
        <v>-7.6076000000000005E-2</v>
      </c>
    </row>
    <row r="21" spans="1:28" x14ac:dyDescent="0.2">
      <c r="A21">
        <v>19330831</v>
      </c>
      <c r="B21">
        <v>1933</v>
      </c>
      <c r="C21">
        <v>8</v>
      </c>
      <c r="D21" s="2">
        <f>ff_portfolios25!D21-ff_factors!$E21</f>
        <v>-2.9999999999999997E-4</v>
      </c>
      <c r="E21" s="2">
        <f>ff_portfolios25!E21-ff_factors!$E21</f>
        <v>7.3404000000000011E-2</v>
      </c>
      <c r="F21" s="2">
        <f>ff_portfolios25!F21-ff_factors!$E21</f>
        <v>4.7688000000000001E-2</v>
      </c>
      <c r="G21" s="2">
        <f>ff_portfolios25!G21-ff_factors!$E21</f>
        <v>5.7685E-2</v>
      </c>
      <c r="H21" s="2">
        <f>ff_portfolios25!H21-ff_factors!$E21</f>
        <v>1.5206000000000001E-2</v>
      </c>
      <c r="I21" s="2">
        <f>ff_portfolios25!I21-ff_factors!$E21</f>
        <v>6.0714999999999998E-2</v>
      </c>
      <c r="J21" s="2">
        <f>ff_portfolios25!J21-ff_factors!$E21</f>
        <v>8.6682000000000009E-2</v>
      </c>
      <c r="K21" s="2">
        <f>ff_portfolios25!K21-ff_factors!$E21</f>
        <v>0.10044600000000001</v>
      </c>
      <c r="L21" s="2">
        <f>ff_portfolios25!L21-ff_factors!$E21</f>
        <v>7.3390000000000011E-2</v>
      </c>
      <c r="M21" s="2">
        <f>ff_portfolios25!M21-ff_factors!$E21</f>
        <v>6.4216000000000009E-2</v>
      </c>
      <c r="N21" s="2">
        <f>ff_portfolios25!N21-ff_factors!$E21</f>
        <v>0.125358</v>
      </c>
      <c r="O21" s="2">
        <f>ff_portfolios25!O21-ff_factors!$E21</f>
        <v>0.19379399999999999</v>
      </c>
      <c r="P21" s="2">
        <f>ff_portfolios25!P21-ff_factors!$E21</f>
        <v>0.14524100000000001</v>
      </c>
      <c r="Q21" s="2">
        <f>ff_portfolios25!Q21-ff_factors!$E21</f>
        <v>0.126386</v>
      </c>
      <c r="R21" s="2">
        <f>ff_portfolios25!R21-ff_factors!$E21</f>
        <v>0.16325600000000001</v>
      </c>
      <c r="S21" s="2">
        <f>ff_portfolios25!S21-ff_factors!$E21</f>
        <v>0.148058</v>
      </c>
      <c r="T21" s="2">
        <f>ff_portfolios25!T21-ff_factors!$E21</f>
        <v>0.167406</v>
      </c>
      <c r="U21" s="2">
        <f>ff_portfolios25!U21-ff_factors!$E21</f>
        <v>0.144785</v>
      </c>
      <c r="V21" s="2">
        <f>ff_portfolios25!V21-ff_factors!$E21</f>
        <v>0.1744</v>
      </c>
      <c r="W21" s="2">
        <f>ff_portfolios25!W21-ff_factors!$E21</f>
        <v>0.21298600000000001</v>
      </c>
      <c r="X21" s="2">
        <f>ff_portfolios25!X21-ff_factors!$E21</f>
        <v>8.7906999999999999E-2</v>
      </c>
      <c r="Y21" s="2">
        <f>ff_portfolios25!Y21-ff_factors!$E21</f>
        <v>0.163969</v>
      </c>
      <c r="Z21" s="2">
        <f>ff_portfolios25!Z21-ff_factors!$E21</f>
        <v>0.157337</v>
      </c>
      <c r="AA21" s="2">
        <f>ff_portfolios25!AA21-ff_factors!$E21</f>
        <v>0.136714</v>
      </c>
      <c r="AB21" s="2">
        <f>ff_portfolios25!AB21-ff_factors!$E21</f>
        <v>0.23625000000000002</v>
      </c>
    </row>
    <row r="22" spans="1:28" x14ac:dyDescent="0.2">
      <c r="A22">
        <v>19330930</v>
      </c>
      <c r="B22">
        <v>1933</v>
      </c>
      <c r="C22">
        <v>9</v>
      </c>
      <c r="D22" s="2">
        <f>ff_portfolios25!D22-ff_factors!$E22</f>
        <v>-0.16686700000000002</v>
      </c>
      <c r="E22" s="2">
        <f>ff_portfolios25!E22-ff_factors!$E22</f>
        <v>-0.13106300000000001</v>
      </c>
      <c r="F22" s="2">
        <f>ff_portfolios25!F22-ff_factors!$E22</f>
        <v>-0.19909000000000002</v>
      </c>
      <c r="G22" s="2">
        <f>ff_portfolios25!G22-ff_factors!$E22</f>
        <v>-0.168958</v>
      </c>
      <c r="H22" s="2">
        <f>ff_portfolios25!H22-ff_factors!$E22</f>
        <v>-0.17058100000000001</v>
      </c>
      <c r="I22" s="2">
        <f>ff_portfolios25!I22-ff_factors!$E22</f>
        <v>-3.1109999999999999E-2</v>
      </c>
      <c r="J22" s="2">
        <f>ff_portfolios25!J22-ff_factors!$E22</f>
        <v>-0.11311900000000001</v>
      </c>
      <c r="K22" s="2">
        <f>ff_portfolios25!K22-ff_factors!$E22</f>
        <v>-0.172074</v>
      </c>
      <c r="L22" s="2">
        <f>ff_portfolios25!L22-ff_factors!$E22</f>
        <v>-0.12828400000000001</v>
      </c>
      <c r="M22" s="2">
        <f>ff_portfolios25!M22-ff_factors!$E22</f>
        <v>-0.26188599999999995</v>
      </c>
      <c r="N22" s="2">
        <f>ff_portfolios25!N22-ff_factors!$E22</f>
        <v>-0.13553100000000001</v>
      </c>
      <c r="O22" s="2">
        <f>ff_portfolios25!O22-ff_factors!$E22</f>
        <v>-8.6321000000000009E-2</v>
      </c>
      <c r="P22" s="2">
        <f>ff_portfolios25!P22-ff_factors!$E22</f>
        <v>-0.137547</v>
      </c>
      <c r="Q22" s="2">
        <f>ff_portfolios25!Q22-ff_factors!$E22</f>
        <v>-0.15488199999999999</v>
      </c>
      <c r="R22" s="2">
        <f>ff_portfolios25!R22-ff_factors!$E22</f>
        <v>-0.25695499999999999</v>
      </c>
      <c r="S22" s="2">
        <f>ff_portfolios25!S22-ff_factors!$E22</f>
        <v>-6.4991000000000007E-2</v>
      </c>
      <c r="T22" s="2">
        <f>ff_portfolios25!T22-ff_factors!$E22</f>
        <v>-0.11142400000000001</v>
      </c>
      <c r="U22" s="2">
        <f>ff_portfolios25!U22-ff_factors!$E22</f>
        <v>-0.178204</v>
      </c>
      <c r="V22" s="2">
        <f>ff_portfolios25!V22-ff_factors!$E22</f>
        <v>-9.9478000000000011E-2</v>
      </c>
      <c r="W22" s="2">
        <f>ff_portfolios25!W22-ff_factors!$E22</f>
        <v>-0.22107100000000002</v>
      </c>
      <c r="X22" s="2">
        <f>ff_portfolios25!X22-ff_factors!$E22</f>
        <v>-9.9122000000000002E-2</v>
      </c>
      <c r="Y22" s="2">
        <f>ff_portfolios25!Y22-ff_factors!$E22</f>
        <v>-7.1056000000000008E-2</v>
      </c>
      <c r="Z22" s="2">
        <f>ff_portfolios25!Z22-ff_factors!$E22</f>
        <v>-0.115609</v>
      </c>
      <c r="AA22" s="2">
        <f>ff_portfolios25!AA22-ff_factors!$E22</f>
        <v>-0.17393500000000001</v>
      </c>
      <c r="AB22" s="2">
        <f>ff_portfolios25!AB22-ff_factors!$E22</f>
        <v>-0.27279599999999998</v>
      </c>
    </row>
    <row r="23" spans="1:28" x14ac:dyDescent="0.2">
      <c r="A23">
        <v>19331031</v>
      </c>
      <c r="B23">
        <v>1933</v>
      </c>
      <c r="C23">
        <v>10</v>
      </c>
      <c r="D23" s="2">
        <f>ff_portfolios25!D23-ff_factors!$E23</f>
        <v>-0.1201</v>
      </c>
      <c r="E23" s="2">
        <f>ff_portfolios25!E23-ff_factors!$E23</f>
        <v>-0.15566099999999999</v>
      </c>
      <c r="F23" s="2">
        <f>ff_portfolios25!F23-ff_factors!$E23</f>
        <v>-6.0983000000000002E-2</v>
      </c>
      <c r="G23" s="2">
        <f>ff_portfolios25!G23-ff_factors!$E23</f>
        <v>-0.101965</v>
      </c>
      <c r="H23" s="2">
        <f>ff_portfolios25!H23-ff_factors!$E23</f>
        <v>-0.16103199999999998</v>
      </c>
      <c r="I23" s="2">
        <f>ff_portfolios25!I23-ff_factors!$E23</f>
        <v>-0.123568</v>
      </c>
      <c r="J23" s="2">
        <f>ff_portfolios25!J23-ff_factors!$E23</f>
        <v>-9.778400000000001E-2</v>
      </c>
      <c r="K23" s="2">
        <f>ff_portfolios25!K23-ff_factors!$E23</f>
        <v>-0.13539099999999998</v>
      </c>
      <c r="L23" s="2">
        <f>ff_portfolios25!L23-ff_factors!$E23</f>
        <v>-0.13132199999999999</v>
      </c>
      <c r="M23" s="2">
        <f>ff_portfolios25!M23-ff_factors!$E23</f>
        <v>-8.9847999999999997E-2</v>
      </c>
      <c r="N23" s="2">
        <f>ff_portfolios25!N23-ff_factors!$E23</f>
        <v>-7.1721000000000007E-2</v>
      </c>
      <c r="O23" s="2">
        <f>ff_portfolios25!O23-ff_factors!$E23</f>
        <v>-8.9085999999999999E-2</v>
      </c>
      <c r="P23" s="2">
        <f>ff_portfolios25!P23-ff_factors!$E23</f>
        <v>-0.12740699999999999</v>
      </c>
      <c r="Q23" s="2">
        <f>ff_portfolios25!Q23-ff_factors!$E23</f>
        <v>-0.15062099999999998</v>
      </c>
      <c r="R23" s="2">
        <f>ff_portfolios25!R23-ff_factors!$E23</f>
        <v>-0.14674899999999999</v>
      </c>
      <c r="S23" s="2">
        <f>ff_portfolios25!S23-ff_factors!$E23</f>
        <v>-4.6465000000000006E-2</v>
      </c>
      <c r="T23" s="2">
        <f>ff_portfolios25!T23-ff_factors!$E23</f>
        <v>-7.7031000000000002E-2</v>
      </c>
      <c r="U23" s="2">
        <f>ff_portfolios25!U23-ff_factors!$E23</f>
        <v>-0.102284</v>
      </c>
      <c r="V23" s="2">
        <f>ff_portfolios25!V23-ff_factors!$E23</f>
        <v>-0.14592999999999998</v>
      </c>
      <c r="W23" s="2">
        <f>ff_portfolios25!W23-ff_factors!$E23</f>
        <v>-0.19209699999999999</v>
      </c>
      <c r="X23" s="2">
        <f>ff_portfolios25!X23-ff_factors!$E23</f>
        <v>-6.8024000000000001E-2</v>
      </c>
      <c r="Y23" s="2">
        <f>ff_portfolios25!Y23-ff_factors!$E23</f>
        <v>-4.6971000000000006E-2</v>
      </c>
      <c r="Z23" s="2">
        <f>ff_portfolios25!Z23-ff_factors!$E23</f>
        <v>-0.107998</v>
      </c>
      <c r="AA23" s="2">
        <f>ff_portfolios25!AA23-ff_factors!$E23</f>
        <v>-0.17438999999999999</v>
      </c>
      <c r="AB23" s="2">
        <f>ff_portfolios25!AB23-ff_factors!$E23</f>
        <v>-0.19162399999999999</v>
      </c>
    </row>
    <row r="24" spans="1:28" x14ac:dyDescent="0.2">
      <c r="A24">
        <v>19331129</v>
      </c>
      <c r="B24">
        <v>1933</v>
      </c>
      <c r="C24">
        <v>11</v>
      </c>
      <c r="D24" s="2">
        <f>ff_portfolios25!D24-ff_factors!$E24</f>
        <v>-2.0000000000000001E-4</v>
      </c>
      <c r="E24" s="2">
        <f>ff_portfolios25!E24-ff_factors!$E24</f>
        <v>3.1401999999999999E-2</v>
      </c>
      <c r="F24" s="2">
        <f>ff_portfolios25!F24-ff_factors!$E24</f>
        <v>-1.4731000000000001E-2</v>
      </c>
      <c r="G24" s="2">
        <f>ff_portfolios25!G24-ff_factors!$E24</f>
        <v>0.12139399999999999</v>
      </c>
      <c r="H24" s="2">
        <f>ff_portfolios25!H24-ff_factors!$E24</f>
        <v>8.6886999999999992E-2</v>
      </c>
      <c r="I24" s="2">
        <f>ff_portfolios25!I24-ff_factors!$E24</f>
        <v>2.7274E-2</v>
      </c>
      <c r="J24" s="2">
        <f>ff_portfolios25!J24-ff_factors!$E24</f>
        <v>7.0866999999999999E-2</v>
      </c>
      <c r="K24" s="2">
        <f>ff_portfolios25!K24-ff_factors!$E24</f>
        <v>3.9525999999999999E-2</v>
      </c>
      <c r="L24" s="2">
        <f>ff_portfolios25!L24-ff_factors!$E24</f>
        <v>7.6169000000000001E-2</v>
      </c>
      <c r="M24" s="2">
        <f>ff_portfolios25!M24-ff_factors!$E24</f>
        <v>-2.1050000000000001E-3</v>
      </c>
      <c r="N24" s="2">
        <f>ff_portfolios25!N24-ff_factors!$E24</f>
        <v>6.9144999999999998E-2</v>
      </c>
      <c r="O24" s="2">
        <f>ff_portfolios25!O24-ff_factors!$E24</f>
        <v>4.9898999999999999E-2</v>
      </c>
      <c r="P24" s="2">
        <f>ff_portfolios25!P24-ff_factors!$E24</f>
        <v>7.9187999999999995E-2</v>
      </c>
      <c r="Q24" s="2">
        <f>ff_portfolios25!Q24-ff_factors!$E24</f>
        <v>4.3185000000000001E-2</v>
      </c>
      <c r="R24" s="2">
        <f>ff_portfolios25!R24-ff_factors!$E24</f>
        <v>0.10059299999999999</v>
      </c>
      <c r="S24" s="2">
        <f>ff_portfolios25!S24-ff_factors!$E24</f>
        <v>5.2975000000000001E-2</v>
      </c>
      <c r="T24" s="2">
        <f>ff_portfolios25!T24-ff_factors!$E24</f>
        <v>0.11428099999999999</v>
      </c>
      <c r="U24" s="2">
        <f>ff_portfolios25!U24-ff_factors!$E24</f>
        <v>7.3611999999999997E-2</v>
      </c>
      <c r="V24" s="2">
        <f>ff_portfolios25!V24-ff_factors!$E24</f>
        <v>9.1171999999999989E-2</v>
      </c>
      <c r="W24" s="2">
        <f>ff_portfolios25!W24-ff_factors!$E24</f>
        <v>0.10949299999999999</v>
      </c>
      <c r="X24" s="2">
        <f>ff_portfolios25!X24-ff_factors!$E24</f>
        <v>9.9467E-2</v>
      </c>
      <c r="Y24" s="2">
        <f>ff_portfolios25!Y24-ff_factors!$E24</f>
        <v>0.100438</v>
      </c>
      <c r="Z24" s="2">
        <f>ff_portfolios25!Z24-ff_factors!$E24</f>
        <v>0.142258</v>
      </c>
      <c r="AA24" s="2">
        <f>ff_portfolios25!AA24-ff_factors!$E24</f>
        <v>0.15310499999999999</v>
      </c>
      <c r="AB24" s="2">
        <f>ff_portfolios25!AB24-ff_factors!$E24</f>
        <v>9.1353999999999991E-2</v>
      </c>
    </row>
    <row r="25" spans="1:28" x14ac:dyDescent="0.2">
      <c r="A25">
        <v>19331230</v>
      </c>
      <c r="B25">
        <v>1933</v>
      </c>
      <c r="C25">
        <v>12</v>
      </c>
      <c r="D25" s="2">
        <f>ff_portfolios25!D25-ff_factors!$E25</f>
        <v>-0.36383599999999999</v>
      </c>
      <c r="E25" s="2">
        <f>ff_portfolios25!E25-ff_factors!$E25</f>
        <v>-3.0147E-2</v>
      </c>
      <c r="F25" s="2">
        <f>ff_portfolios25!F25-ff_factors!$E25</f>
        <v>-7.6641000000000001E-2</v>
      </c>
      <c r="G25" s="2">
        <f>ff_portfolios25!G25-ff_factors!$E25</f>
        <v>-1.6767999999999998E-2</v>
      </c>
      <c r="H25" s="2">
        <f>ff_portfolios25!H25-ff_factors!$E25</f>
        <v>2.6171E-2</v>
      </c>
      <c r="I25" s="2">
        <f>ff_portfolios25!I25-ff_factors!$E25</f>
        <v>0.105917</v>
      </c>
      <c r="J25" s="2">
        <f>ff_portfolios25!J25-ff_factors!$E25</f>
        <v>7.6197000000000001E-2</v>
      </c>
      <c r="K25" s="2">
        <f>ff_portfolios25!K25-ff_factors!$E25</f>
        <v>7.4931999999999999E-2</v>
      </c>
      <c r="L25" s="2">
        <f>ff_portfolios25!L25-ff_factors!$E25</f>
        <v>-2.1342E-2</v>
      </c>
      <c r="M25" s="2">
        <f>ff_portfolios25!M25-ff_factors!$E25</f>
        <v>-1.0489E-2</v>
      </c>
      <c r="N25" s="2">
        <f>ff_portfolios25!N25-ff_factors!$E25</f>
        <v>-6.888E-3</v>
      </c>
      <c r="O25" s="2">
        <f>ff_portfolios25!O25-ff_factors!$E25</f>
        <v>3.2094000000000004E-2</v>
      </c>
      <c r="P25" s="2">
        <f>ff_portfolios25!P25-ff_factors!$E25</f>
        <v>6.9990999999999998E-2</v>
      </c>
      <c r="Q25" s="2">
        <f>ff_portfolios25!Q25-ff_factors!$E25</f>
        <v>3.6129000000000001E-2</v>
      </c>
      <c r="R25" s="2">
        <f>ff_portfolios25!R25-ff_factors!$E25</f>
        <v>5.3074000000000003E-2</v>
      </c>
      <c r="S25" s="2">
        <f>ff_portfolios25!S25-ff_factors!$E25</f>
        <v>2.9529999999999999E-3</v>
      </c>
      <c r="T25" s="2">
        <f>ff_portfolios25!T25-ff_factors!$E25</f>
        <v>1.6466000000000001E-2</v>
      </c>
      <c r="U25" s="2">
        <f>ff_portfolios25!U25-ff_factors!$E25</f>
        <v>8.3754999999999996E-2</v>
      </c>
      <c r="V25" s="2">
        <f>ff_portfolios25!V25-ff_factors!$E25</f>
        <v>-1.2611000000000001E-2</v>
      </c>
      <c r="W25" s="2">
        <f>ff_portfolios25!W25-ff_factors!$E25</f>
        <v>7.6261999999999996E-2</v>
      </c>
      <c r="X25" s="2">
        <f>ff_portfolios25!X25-ff_factors!$E25</f>
        <v>1.8735000000000002E-2</v>
      </c>
      <c r="Y25" s="2">
        <f>ff_portfolios25!Y25-ff_factors!$E25</f>
        <v>1.8334E-2</v>
      </c>
      <c r="Z25" s="2">
        <f>ff_portfolios25!Z25-ff_factors!$E25</f>
        <v>6.2380000000000005E-3</v>
      </c>
      <c r="AA25" s="2">
        <f>ff_portfolios25!AA25-ff_factors!$E25</f>
        <v>5.4288000000000003E-2</v>
      </c>
      <c r="AB25" s="2">
        <f>ff_portfolios25!AB25-ff_factors!$E25</f>
        <v>7.900299999999999E-2</v>
      </c>
    </row>
    <row r="26" spans="1:28" x14ac:dyDescent="0.2">
      <c r="A26">
        <v>19340131</v>
      </c>
      <c r="B26">
        <v>1934</v>
      </c>
      <c r="C26">
        <v>1</v>
      </c>
      <c r="D26" s="2">
        <f>ff_portfolios25!D26-ff_factors!$E26</f>
        <v>0.99950000000000006</v>
      </c>
      <c r="E26" s="2">
        <f>ff_portfolios25!E26-ff_factors!$E26</f>
        <v>0.44765700000000003</v>
      </c>
      <c r="F26" s="2">
        <f>ff_portfolios25!F26-ff_factors!$E26</f>
        <v>0.46107599999999999</v>
      </c>
      <c r="G26" s="2">
        <f>ff_portfolios25!G26-ff_factors!$E26</f>
        <v>0.40141399999999999</v>
      </c>
      <c r="H26" s="2">
        <f>ff_portfolios25!H26-ff_factors!$E26</f>
        <v>0.40891699999999997</v>
      </c>
      <c r="I26" s="2">
        <f>ff_portfolios25!I26-ff_factors!$E26</f>
        <v>0.24668699999999999</v>
      </c>
      <c r="J26" s="2">
        <f>ff_portfolios25!J26-ff_factors!$E26</f>
        <v>0.198073</v>
      </c>
      <c r="K26" s="2">
        <f>ff_portfolios25!K26-ff_factors!$E26</f>
        <v>0.317135</v>
      </c>
      <c r="L26" s="2">
        <f>ff_portfolios25!L26-ff_factors!$E26</f>
        <v>0.31812400000000002</v>
      </c>
      <c r="M26" s="2">
        <f>ff_portfolios25!M26-ff_factors!$E26</f>
        <v>0.5000770000000001</v>
      </c>
      <c r="N26" s="2">
        <f>ff_portfolios25!N26-ff_factors!$E26</f>
        <v>0.45628600000000002</v>
      </c>
      <c r="O26" s="2">
        <f>ff_portfolios25!O26-ff_factors!$E26</f>
        <v>0.200465</v>
      </c>
      <c r="P26" s="2">
        <f>ff_portfolios25!P26-ff_factors!$E26</f>
        <v>0.256102</v>
      </c>
      <c r="Q26" s="2">
        <f>ff_portfolios25!Q26-ff_factors!$E26</f>
        <v>0.25250499999999998</v>
      </c>
      <c r="R26" s="2">
        <f>ff_portfolios25!R26-ff_factors!$E26</f>
        <v>0.32228000000000001</v>
      </c>
      <c r="S26" s="2">
        <f>ff_portfolios25!S26-ff_factors!$E26</f>
        <v>0.115311</v>
      </c>
      <c r="T26" s="2">
        <f>ff_portfolios25!T26-ff_factors!$E26</f>
        <v>0.13991300000000001</v>
      </c>
      <c r="U26" s="2">
        <f>ff_portfolios25!U26-ff_factors!$E26</f>
        <v>0.25501400000000002</v>
      </c>
      <c r="V26" s="2">
        <f>ff_portfolios25!V26-ff_factors!$E26</f>
        <v>0.202929</v>
      </c>
      <c r="W26" s="2">
        <f>ff_portfolios25!W26-ff_factors!$E26</f>
        <v>0.28814099999999998</v>
      </c>
      <c r="X26" s="2">
        <f>ff_portfolios25!X26-ff_factors!$E26</f>
        <v>9.7099000000000005E-2</v>
      </c>
      <c r="Y26" s="2">
        <f>ff_portfolios25!Y26-ff_factors!$E26</f>
        <v>9.4186999999999993E-2</v>
      </c>
      <c r="Z26" s="2">
        <f>ff_portfolios25!Z26-ff_factors!$E26</f>
        <v>0.160082</v>
      </c>
      <c r="AA26" s="2">
        <f>ff_portfolios25!AA26-ff_factors!$E26</f>
        <v>0.17141999999999999</v>
      </c>
      <c r="AB26" s="2">
        <f>ff_portfolios25!AB26-ff_factors!$E26</f>
        <v>0.37863000000000002</v>
      </c>
    </row>
    <row r="27" spans="1:28" x14ac:dyDescent="0.2">
      <c r="A27">
        <v>19340228</v>
      </c>
      <c r="B27">
        <v>1934</v>
      </c>
      <c r="C27">
        <v>2</v>
      </c>
      <c r="D27" s="2">
        <f>ff_portfolios25!D27-ff_factors!$E27</f>
        <v>-0.14305700000000002</v>
      </c>
      <c r="E27" s="2">
        <f>ff_portfolios25!E27-ff_factors!$E27</f>
        <v>0.12057499999999999</v>
      </c>
      <c r="F27" s="2">
        <f>ff_portfolios25!F27-ff_factors!$E27</f>
        <v>3.8273000000000001E-2</v>
      </c>
      <c r="G27" s="2">
        <f>ff_portfolios25!G27-ff_factors!$E27</f>
        <v>0.12106599999999999</v>
      </c>
      <c r="H27" s="2">
        <f>ff_portfolios25!H27-ff_factors!$E27</f>
        <v>6.2122000000000004E-2</v>
      </c>
      <c r="I27" s="2">
        <f>ff_portfolios25!I27-ff_factors!$E27</f>
        <v>2.4642000000000001E-2</v>
      </c>
      <c r="J27" s="2">
        <f>ff_portfolios25!J27-ff_factors!$E27</f>
        <v>1.0822999999999999E-2</v>
      </c>
      <c r="K27" s="2">
        <f>ff_portfolios25!K27-ff_factors!$E27</f>
        <v>3.0286E-2</v>
      </c>
      <c r="L27" s="2">
        <f>ff_portfolios25!L27-ff_factors!$E27</f>
        <v>-1.2287000000000001E-2</v>
      </c>
      <c r="M27" s="2">
        <f>ff_portfolios25!M27-ff_factors!$E27</f>
        <v>9.3231999999999995E-2</v>
      </c>
      <c r="N27" s="2">
        <f>ff_portfolios25!N27-ff_factors!$E27</f>
        <v>2.6589999999999999E-3</v>
      </c>
      <c r="O27" s="2">
        <f>ff_portfolios25!O27-ff_factors!$E27</f>
        <v>1.5956000000000001E-2</v>
      </c>
      <c r="P27" s="2">
        <f>ff_portfolios25!P27-ff_factors!$E27</f>
        <v>4.3498000000000002E-2</v>
      </c>
      <c r="Q27" s="2">
        <f>ff_portfolios25!Q27-ff_factors!$E27</f>
        <v>3.5593E-2</v>
      </c>
      <c r="R27" s="2">
        <f>ff_portfolios25!R27-ff_factors!$E27</f>
        <v>3.7639999999999996E-3</v>
      </c>
      <c r="S27" s="2">
        <f>ff_portfolios25!S27-ff_factors!$E27</f>
        <v>-3.2539999999999999E-2</v>
      </c>
      <c r="T27" s="2">
        <f>ff_portfolios25!T27-ff_factors!$E27</f>
        <v>-1.3004E-2</v>
      </c>
      <c r="U27" s="2">
        <f>ff_portfolios25!U27-ff_factors!$E27</f>
        <v>-3.0927999999999997E-2</v>
      </c>
      <c r="V27" s="2">
        <f>ff_portfolios25!V27-ff_factors!$E27</f>
        <v>7.842E-3</v>
      </c>
      <c r="W27" s="2">
        <f>ff_portfolios25!W27-ff_factors!$E27</f>
        <v>4.1730000000000005E-3</v>
      </c>
      <c r="X27" s="2">
        <f>ff_portfolios25!X27-ff_factors!$E27</f>
        <v>-2.4365999999999999E-2</v>
      </c>
      <c r="Y27" s="2">
        <f>ff_portfolios25!Y27-ff_factors!$E27</f>
        <v>-2.5595999999999997E-2</v>
      </c>
      <c r="Z27" s="2">
        <f>ff_portfolios25!Z27-ff_factors!$E27</f>
        <v>-4.5305999999999999E-2</v>
      </c>
      <c r="AA27" s="2">
        <f>ff_portfolios25!AA27-ff_factors!$E27</f>
        <v>-5.5567999999999999E-2</v>
      </c>
      <c r="AB27" s="2">
        <f>ff_portfolios25!AB27-ff_factors!$E27</f>
        <v>-5.4038999999999997E-2</v>
      </c>
    </row>
    <row r="28" spans="1:28" x14ac:dyDescent="0.2">
      <c r="A28">
        <v>19340331</v>
      </c>
      <c r="B28">
        <v>1934</v>
      </c>
      <c r="C28">
        <v>3</v>
      </c>
      <c r="D28" s="2">
        <f>ff_portfolios25!D28-ff_factors!$E28</f>
        <v>8.3132999999999999E-2</v>
      </c>
      <c r="E28" s="2">
        <f>ff_portfolios25!E28-ff_factors!$E28</f>
        <v>-9.0930000000000004E-3</v>
      </c>
      <c r="F28" s="2">
        <f>ff_portfolios25!F28-ff_factors!$E28</f>
        <v>1.7448000000000002E-2</v>
      </c>
      <c r="G28" s="2">
        <f>ff_portfolios25!G28-ff_factors!$E28</f>
        <v>4.0726999999999999E-2</v>
      </c>
      <c r="H28" s="2">
        <f>ff_portfolios25!H28-ff_factors!$E28</f>
        <v>-2.4905E-2</v>
      </c>
      <c r="I28" s="2">
        <f>ff_portfolios25!I28-ff_factors!$E28</f>
        <v>1.9095000000000001E-2</v>
      </c>
      <c r="J28" s="2">
        <f>ff_portfolios25!J28-ff_factors!$E28</f>
        <v>2.4813000000000002E-2</v>
      </c>
      <c r="K28" s="2">
        <f>ff_portfolios25!K28-ff_factors!$E28</f>
        <v>9.5839999999999988E-3</v>
      </c>
      <c r="L28" s="2">
        <f>ff_portfolios25!L28-ff_factors!$E28</f>
        <v>1.1956999999999999E-2</v>
      </c>
      <c r="M28" s="2">
        <f>ff_portfolios25!M28-ff_factors!$E28</f>
        <v>3.0466E-2</v>
      </c>
      <c r="N28" s="2">
        <f>ff_portfolios25!N28-ff_factors!$E28</f>
        <v>6.1211000000000002E-2</v>
      </c>
      <c r="O28" s="2">
        <f>ff_portfolios25!O28-ff_factors!$E28</f>
        <v>3.474E-2</v>
      </c>
      <c r="P28" s="2">
        <f>ff_portfolios25!P28-ff_factors!$E28</f>
        <v>9.9649999999999999E-3</v>
      </c>
      <c r="Q28" s="2">
        <f>ff_portfolios25!Q28-ff_factors!$E28</f>
        <v>-1.3144000000000001E-2</v>
      </c>
      <c r="R28" s="2">
        <f>ff_portfolios25!R28-ff_factors!$E28</f>
        <v>-4.4892999999999995E-2</v>
      </c>
      <c r="S28" s="2">
        <f>ff_portfolios25!S28-ff_factors!$E28</f>
        <v>1.7994E-2</v>
      </c>
      <c r="T28" s="2">
        <f>ff_portfolios25!T28-ff_factors!$E28</f>
        <v>1.2504999999999999E-2</v>
      </c>
      <c r="U28" s="2">
        <f>ff_portfolios25!U28-ff_factors!$E28</f>
        <v>7.2020000000000001E-3</v>
      </c>
      <c r="V28" s="2">
        <f>ff_portfolios25!V28-ff_factors!$E28</f>
        <v>-8.3350000000000004E-3</v>
      </c>
      <c r="W28" s="2">
        <f>ff_portfolios25!W28-ff_factors!$E28</f>
        <v>9.7799999999999992E-4</v>
      </c>
      <c r="X28" s="2">
        <f>ff_portfolios25!X28-ff_factors!$E28</f>
        <v>-6.2299999999999996E-4</v>
      </c>
      <c r="Y28" s="2">
        <f>ff_portfolios25!Y28-ff_factors!$E28</f>
        <v>2.4899999999999998E-4</v>
      </c>
      <c r="Z28" s="2">
        <f>ff_portfolios25!Z28-ff_factors!$E28</f>
        <v>-1.3448E-2</v>
      </c>
      <c r="AA28" s="2">
        <f>ff_portfolios25!AA28-ff_factors!$E28</f>
        <v>-8.8760000000000002E-3</v>
      </c>
      <c r="AB28" s="2">
        <f>ff_portfolios25!AB28-ff_factors!$E28</f>
        <v>5.1790000000000004E-3</v>
      </c>
    </row>
    <row r="29" spans="1:28" x14ac:dyDescent="0.2">
      <c r="A29">
        <v>19340430</v>
      </c>
      <c r="B29">
        <v>1934</v>
      </c>
      <c r="C29">
        <v>4</v>
      </c>
      <c r="D29" s="2">
        <f>ff_portfolios25!D29-ff_factors!$E29</f>
        <v>-1E-4</v>
      </c>
      <c r="E29" s="2">
        <f>ff_portfolios25!E29-ff_factors!$E29</f>
        <v>2.3816E-2</v>
      </c>
      <c r="F29" s="2">
        <f>ff_portfolios25!F29-ff_factors!$E29</f>
        <v>5.6577999999999996E-2</v>
      </c>
      <c r="G29" s="2">
        <f>ff_portfolios25!G29-ff_factors!$E29</f>
        <v>5.4209E-2</v>
      </c>
      <c r="H29" s="2">
        <f>ff_portfolios25!H29-ff_factors!$E29</f>
        <v>-2.8299999999999996E-3</v>
      </c>
      <c r="I29" s="2">
        <f>ff_portfolios25!I29-ff_factors!$E29</f>
        <v>7.8810999999999992E-2</v>
      </c>
      <c r="J29" s="2">
        <f>ff_portfolios25!J29-ff_factors!$E29</f>
        <v>2.1042000000000002E-2</v>
      </c>
      <c r="K29" s="2">
        <f>ff_portfolios25!K29-ff_factors!$E29</f>
        <v>-3.5388000000000003E-2</v>
      </c>
      <c r="L29" s="2">
        <f>ff_portfolios25!L29-ff_factors!$E29</f>
        <v>1.0708000000000001E-2</v>
      </c>
      <c r="M29" s="2">
        <f>ff_portfolios25!M29-ff_factors!$E29</f>
        <v>-7.0155999999999996E-2</v>
      </c>
      <c r="N29" s="2">
        <f>ff_portfolios25!N29-ff_factors!$E29</f>
        <v>-3.5326000000000003E-2</v>
      </c>
      <c r="O29" s="2">
        <f>ff_portfolios25!O29-ff_factors!$E29</f>
        <v>-2.0104E-2</v>
      </c>
      <c r="P29" s="2">
        <f>ff_portfolios25!P29-ff_factors!$E29</f>
        <v>-2.5367000000000001E-2</v>
      </c>
      <c r="Q29" s="2">
        <f>ff_portfolios25!Q29-ff_factors!$E29</f>
        <v>-8.567E-3</v>
      </c>
      <c r="R29" s="2">
        <f>ff_portfolios25!R29-ff_factors!$E29</f>
        <v>-3.2055E-2</v>
      </c>
      <c r="S29" s="2">
        <f>ff_portfolios25!S29-ff_factors!$E29</f>
        <v>-4.261E-3</v>
      </c>
      <c r="T29" s="2">
        <f>ff_portfolios25!T29-ff_factors!$E29</f>
        <v>-4.6200000000000001E-4</v>
      </c>
      <c r="U29" s="2">
        <f>ff_portfolios25!U29-ff_factors!$E29</f>
        <v>7.1099999999999994E-4</v>
      </c>
      <c r="V29" s="2">
        <f>ff_portfolios25!V29-ff_factors!$E29</f>
        <v>-5.6828000000000004E-2</v>
      </c>
      <c r="W29" s="2">
        <f>ff_portfolios25!W29-ff_factors!$E29</f>
        <v>-6.7042000000000004E-2</v>
      </c>
      <c r="X29" s="2">
        <f>ff_portfolios25!X29-ff_factors!$E29</f>
        <v>-2.0413999999999998E-2</v>
      </c>
      <c r="Y29" s="2">
        <f>ff_portfolios25!Y29-ff_factors!$E29</f>
        <v>-1.1712999999999999E-2</v>
      </c>
      <c r="Z29" s="2">
        <f>ff_portfolios25!Z29-ff_factors!$E29</f>
        <v>-2.026E-2</v>
      </c>
      <c r="AA29" s="2">
        <f>ff_portfolios25!AA29-ff_factors!$E29</f>
        <v>-5.7547000000000001E-2</v>
      </c>
      <c r="AB29" s="2">
        <f>ff_portfolios25!AB29-ff_factors!$E29</f>
        <v>-5.7701000000000002E-2</v>
      </c>
    </row>
    <row r="30" spans="1:28" x14ac:dyDescent="0.2">
      <c r="A30">
        <v>19340531</v>
      </c>
      <c r="B30">
        <v>1934</v>
      </c>
      <c r="C30">
        <v>5</v>
      </c>
      <c r="D30" s="2">
        <f>ff_portfolios25!D30-ff_factors!$E30</f>
        <v>-0.115485</v>
      </c>
      <c r="E30" s="2">
        <f>ff_portfolios25!E30-ff_factors!$E30</f>
        <v>-9.1844000000000009E-2</v>
      </c>
      <c r="F30" s="2">
        <f>ff_portfolios25!F30-ff_factors!$E30</f>
        <v>-0.13077599999999998</v>
      </c>
      <c r="G30" s="2">
        <f>ff_portfolios25!G30-ff_factors!$E30</f>
        <v>-0.12757399999999999</v>
      </c>
      <c r="H30" s="2">
        <f>ff_portfolios25!H30-ff_factors!$E30</f>
        <v>-0.16731299999999999</v>
      </c>
      <c r="I30" s="2">
        <f>ff_portfolios25!I30-ff_factors!$E30</f>
        <v>-8.9346000000000009E-2</v>
      </c>
      <c r="J30" s="2">
        <f>ff_portfolios25!J30-ff_factors!$E30</f>
        <v>-8.7334999999999996E-2</v>
      </c>
      <c r="K30" s="2">
        <f>ff_portfolios25!K30-ff_factors!$E30</f>
        <v>-0.108751</v>
      </c>
      <c r="L30" s="2">
        <f>ff_portfolios25!L30-ff_factors!$E30</f>
        <v>-0.123394</v>
      </c>
      <c r="M30" s="2">
        <f>ff_portfolios25!M30-ff_factors!$E30</f>
        <v>-6.0653000000000006E-2</v>
      </c>
      <c r="N30" s="2">
        <f>ff_portfolios25!N30-ff_factors!$E30</f>
        <v>-7.0602999999999999E-2</v>
      </c>
      <c r="O30" s="2">
        <f>ff_portfolios25!O30-ff_factors!$E30</f>
        <v>-7.4817000000000008E-2</v>
      </c>
      <c r="P30" s="2">
        <f>ff_portfolios25!P30-ff_factors!$E30</f>
        <v>-9.9129000000000009E-2</v>
      </c>
      <c r="Q30" s="2">
        <f>ff_portfolios25!Q30-ff_factors!$E30</f>
        <v>-8.5364000000000009E-2</v>
      </c>
      <c r="R30" s="2">
        <f>ff_portfolios25!R30-ff_factors!$E30</f>
        <v>-0.145121</v>
      </c>
      <c r="S30" s="2">
        <f>ff_portfolios25!S30-ff_factors!$E30</f>
        <v>-5.8578000000000005E-2</v>
      </c>
      <c r="T30" s="2">
        <f>ff_portfolios25!T30-ff_factors!$E30</f>
        <v>-7.1957000000000007E-2</v>
      </c>
      <c r="U30" s="2">
        <f>ff_portfolios25!U30-ff_factors!$E30</f>
        <v>-0.11100700000000001</v>
      </c>
      <c r="V30" s="2">
        <f>ff_portfolios25!V30-ff_factors!$E30</f>
        <v>-8.4425E-2</v>
      </c>
      <c r="W30" s="2">
        <f>ff_portfolios25!W30-ff_factors!$E30</f>
        <v>-0.15208199999999999</v>
      </c>
      <c r="X30" s="2">
        <f>ff_portfolios25!X30-ff_factors!$E30</f>
        <v>-6.4237000000000002E-2</v>
      </c>
      <c r="Y30" s="2">
        <f>ff_portfolios25!Y30-ff_factors!$E30</f>
        <v>-6.9511000000000003E-2</v>
      </c>
      <c r="Z30" s="2">
        <f>ff_portfolios25!Z30-ff_factors!$E30</f>
        <v>-6.4052999999999999E-2</v>
      </c>
      <c r="AA30" s="2">
        <f>ff_portfolios25!AA30-ff_factors!$E30</f>
        <v>-0.13358499999999998</v>
      </c>
      <c r="AB30" s="2">
        <f>ff_portfolios25!AB30-ff_factors!$E30</f>
        <v>-0.188082</v>
      </c>
    </row>
    <row r="31" spans="1:28" x14ac:dyDescent="0.2">
      <c r="A31">
        <v>19340630</v>
      </c>
      <c r="B31">
        <v>1934</v>
      </c>
      <c r="C31">
        <v>6</v>
      </c>
      <c r="D31" s="2">
        <f>ff_portfolios25!D31-ff_factors!$E31</f>
        <v>-0.21749099999999999</v>
      </c>
      <c r="E31" s="2">
        <f>ff_portfolios25!E31-ff_factors!$E31</f>
        <v>-3.1530000000000002E-2</v>
      </c>
      <c r="F31" s="2">
        <f>ff_portfolios25!F31-ff_factors!$E31</f>
        <v>2.6737E-2</v>
      </c>
      <c r="G31" s="2">
        <f>ff_portfolios25!G31-ff_factors!$E31</f>
        <v>-1.1153999999999999E-2</v>
      </c>
      <c r="H31" s="2">
        <f>ff_portfolios25!H31-ff_factors!$E31</f>
        <v>4.084E-3</v>
      </c>
      <c r="I31" s="2">
        <f>ff_portfolios25!I31-ff_factors!$E31</f>
        <v>4.0353E-2</v>
      </c>
      <c r="J31" s="2">
        <f>ff_portfolios25!J31-ff_factors!$E31</f>
        <v>2.0813000000000002E-2</v>
      </c>
      <c r="K31" s="2">
        <f>ff_portfolios25!K31-ff_factors!$E31</f>
        <v>-2.3927E-2</v>
      </c>
      <c r="L31" s="2">
        <f>ff_portfolios25!L31-ff_factors!$E31</f>
        <v>-6.8490000000000001E-3</v>
      </c>
      <c r="M31" s="2">
        <f>ff_portfolios25!M31-ff_factors!$E31</f>
        <v>-0.112915</v>
      </c>
      <c r="N31" s="2">
        <f>ff_portfolios25!N31-ff_factors!$E31</f>
        <v>3.2281999999999998E-2</v>
      </c>
      <c r="O31" s="2">
        <f>ff_portfolios25!O31-ff_factors!$E31</f>
        <v>3.7849999999999995E-2</v>
      </c>
      <c r="P31" s="2">
        <f>ff_portfolios25!P31-ff_factors!$E31</f>
        <v>-2.032E-3</v>
      </c>
      <c r="Q31" s="2">
        <f>ff_portfolios25!Q31-ff_factors!$E31</f>
        <v>2.0688999999999999E-2</v>
      </c>
      <c r="R31" s="2">
        <f>ff_portfolios25!R31-ff_factors!$E31</f>
        <v>-5.4700000000000007E-4</v>
      </c>
      <c r="S31" s="2">
        <f>ff_portfolios25!S31-ff_factors!$E31</f>
        <v>3.9349999999999996E-2</v>
      </c>
      <c r="T31" s="2">
        <f>ff_portfolios25!T31-ff_factors!$E31</f>
        <v>3.3071999999999997E-2</v>
      </c>
      <c r="U31" s="2">
        <f>ff_portfolios25!U31-ff_factors!$E31</f>
        <v>2.2317E-2</v>
      </c>
      <c r="V31" s="2">
        <f>ff_portfolios25!V31-ff_factors!$E31</f>
        <v>5.9938999999999999E-2</v>
      </c>
      <c r="W31" s="2">
        <f>ff_portfolios25!W31-ff_factors!$E31</f>
        <v>-8.9350000000000002E-3</v>
      </c>
      <c r="X31" s="2">
        <f>ff_portfolios25!X31-ff_factors!$E31</f>
        <v>2.1843000000000001E-2</v>
      </c>
      <c r="Y31" s="2">
        <f>ff_portfolios25!Y31-ff_factors!$E31</f>
        <v>2.8955000000000002E-2</v>
      </c>
      <c r="Z31" s="2">
        <f>ff_portfolios25!Z31-ff_factors!$E31</f>
        <v>3.0338E-2</v>
      </c>
      <c r="AA31" s="2">
        <f>ff_portfolios25!AA31-ff_factors!$E31</f>
        <v>3.1977999999999999E-2</v>
      </c>
      <c r="AB31" s="2">
        <f>ff_portfolios25!AB31-ff_factors!$E31</f>
        <v>4.8617E-2</v>
      </c>
    </row>
    <row r="32" spans="1:28" x14ac:dyDescent="0.2">
      <c r="A32">
        <v>19340731</v>
      </c>
      <c r="B32">
        <v>1934</v>
      </c>
      <c r="C32">
        <v>7</v>
      </c>
      <c r="D32" s="2">
        <f>ff_portfolios25!D32-ff_factors!$E32</f>
        <v>-0.20382299999999998</v>
      </c>
      <c r="E32" s="2">
        <f>ff_portfolios25!E32-ff_factors!$E32</f>
        <v>-0.30119299999999999</v>
      </c>
      <c r="F32" s="2">
        <f>ff_portfolios25!F32-ff_factors!$E32</f>
        <v>-0.27683799999999997</v>
      </c>
      <c r="G32" s="2">
        <f>ff_portfolios25!G32-ff_factors!$E32</f>
        <v>-0.23891199999999999</v>
      </c>
      <c r="H32" s="2">
        <f>ff_portfolios25!H32-ff_factors!$E32</f>
        <v>-0.232541</v>
      </c>
      <c r="I32" s="2">
        <f>ff_portfolios25!I32-ff_factors!$E32</f>
        <v>-0.20161999999999999</v>
      </c>
      <c r="J32" s="2">
        <f>ff_portfolios25!J32-ff_factors!$E32</f>
        <v>-0.16969899999999999</v>
      </c>
      <c r="K32" s="2">
        <f>ff_portfolios25!K32-ff_factors!$E32</f>
        <v>-0.233763</v>
      </c>
      <c r="L32" s="2">
        <f>ff_portfolios25!L32-ff_factors!$E32</f>
        <v>-0.26579399999999997</v>
      </c>
      <c r="M32" s="2">
        <f>ff_portfolios25!M32-ff_factors!$E32</f>
        <v>-0.23907399999999998</v>
      </c>
      <c r="N32" s="2">
        <f>ff_portfolios25!N32-ff_factors!$E32</f>
        <v>-0.16561299999999998</v>
      </c>
      <c r="O32" s="2">
        <f>ff_portfolios25!O32-ff_factors!$E32</f>
        <v>-0.16651199999999999</v>
      </c>
      <c r="P32" s="2">
        <f>ff_portfolios25!P32-ff_factors!$E32</f>
        <v>-0.160332</v>
      </c>
      <c r="Q32" s="2">
        <f>ff_portfolios25!Q32-ff_factors!$E32</f>
        <v>-0.200543</v>
      </c>
      <c r="R32" s="2">
        <f>ff_portfolios25!R32-ff_factors!$E32</f>
        <v>-0.24436899999999998</v>
      </c>
      <c r="S32" s="2">
        <f>ff_portfolios25!S32-ff_factors!$E32</f>
        <v>-0.12342400000000001</v>
      </c>
      <c r="T32" s="2">
        <f>ff_portfolios25!T32-ff_factors!$E32</f>
        <v>-0.100796</v>
      </c>
      <c r="U32" s="2">
        <f>ff_portfolios25!U32-ff_factors!$E32</f>
        <v>-0.14041499999999998</v>
      </c>
      <c r="V32" s="2">
        <f>ff_portfolios25!V32-ff_factors!$E32</f>
        <v>-0.184668</v>
      </c>
      <c r="W32" s="2">
        <f>ff_portfolios25!W32-ff_factors!$E32</f>
        <v>-0.35364899999999999</v>
      </c>
      <c r="X32" s="2">
        <f>ff_portfolios25!X32-ff_factors!$E32</f>
        <v>-7.0713999999999999E-2</v>
      </c>
      <c r="Y32" s="2">
        <f>ff_portfolios25!Y32-ff_factors!$E32</f>
        <v>-8.2369999999999999E-2</v>
      </c>
      <c r="Z32" s="2">
        <f>ff_portfolios25!Z32-ff_factors!$E32</f>
        <v>-0.14631799999999998</v>
      </c>
      <c r="AA32" s="2">
        <f>ff_portfolios25!AA32-ff_factors!$E32</f>
        <v>-0.183033</v>
      </c>
      <c r="AB32" s="2">
        <f>ff_portfolios25!AB32-ff_factors!$E32</f>
        <v>-0.30852999999999997</v>
      </c>
    </row>
    <row r="33" spans="1:28" x14ac:dyDescent="0.2">
      <c r="A33">
        <v>19340831</v>
      </c>
      <c r="B33">
        <v>1934</v>
      </c>
      <c r="C33">
        <v>8</v>
      </c>
      <c r="D33" s="2">
        <f>ff_portfolios25!D33-ff_factors!$E33</f>
        <v>0.15113100000000002</v>
      </c>
      <c r="E33" s="2">
        <f>ff_portfolios25!E33-ff_factors!$E33</f>
        <v>0.18623900000000002</v>
      </c>
      <c r="F33" s="2">
        <f>ff_portfolios25!F33-ff_factors!$E33</f>
        <v>9.7049999999999997E-2</v>
      </c>
      <c r="G33" s="2">
        <f>ff_portfolios25!G33-ff_factors!$E33</f>
        <v>0.11880599999999999</v>
      </c>
      <c r="H33" s="2">
        <f>ff_portfolios25!H33-ff_factors!$E33</f>
        <v>0.12926300000000002</v>
      </c>
      <c r="I33" s="2">
        <f>ff_portfolios25!I33-ff_factors!$E33</f>
        <v>0.147117</v>
      </c>
      <c r="J33" s="2">
        <f>ff_portfolios25!J33-ff_factors!$E33</f>
        <v>7.2872999999999993E-2</v>
      </c>
      <c r="K33" s="2">
        <f>ff_portfolios25!K33-ff_factors!$E33</f>
        <v>8.8361999999999996E-2</v>
      </c>
      <c r="L33" s="2">
        <f>ff_portfolios25!L33-ff_factors!$E33</f>
        <v>0.13536200000000001</v>
      </c>
      <c r="M33" s="2">
        <f>ff_portfolios25!M33-ff_factors!$E33</f>
        <v>0.10632999999999999</v>
      </c>
      <c r="N33" s="2">
        <f>ff_portfolios25!N33-ff_factors!$E33</f>
        <v>7.8633999999999996E-2</v>
      </c>
      <c r="O33" s="2">
        <f>ff_portfolios25!O33-ff_factors!$E33</f>
        <v>9.2560999999999991E-2</v>
      </c>
      <c r="P33" s="2">
        <f>ff_portfolios25!P33-ff_factors!$E33</f>
        <v>7.9157999999999992E-2</v>
      </c>
      <c r="Q33" s="2">
        <f>ff_portfolios25!Q33-ff_factors!$E33</f>
        <v>0.125221</v>
      </c>
      <c r="R33" s="2">
        <f>ff_portfolios25!R33-ff_factors!$E33</f>
        <v>8.344399999999999E-2</v>
      </c>
      <c r="S33" s="2">
        <f>ff_portfolios25!S33-ff_factors!$E33</f>
        <v>6.0489999999999995E-2</v>
      </c>
      <c r="T33" s="2">
        <f>ff_portfolios25!T33-ff_factors!$E33</f>
        <v>6.6272999999999999E-2</v>
      </c>
      <c r="U33" s="2">
        <f>ff_portfolios25!U33-ff_factors!$E33</f>
        <v>5.0486999999999997E-2</v>
      </c>
      <c r="V33" s="2">
        <f>ff_portfolios25!V33-ff_factors!$E33</f>
        <v>0.101657</v>
      </c>
      <c r="W33" s="2">
        <f>ff_portfolios25!W33-ff_factors!$E33</f>
        <v>0.115714</v>
      </c>
      <c r="X33" s="2">
        <f>ff_portfolios25!X33-ff_factors!$E33</f>
        <v>5.5742999999999994E-2</v>
      </c>
      <c r="Y33" s="2">
        <f>ff_portfolios25!Y33-ff_factors!$E33</f>
        <v>5.2003999999999995E-2</v>
      </c>
      <c r="Z33" s="2">
        <f>ff_portfolios25!Z33-ff_factors!$E33</f>
        <v>4.7067999999999999E-2</v>
      </c>
      <c r="AA33" s="2">
        <f>ff_portfolios25!AA33-ff_factors!$E33</f>
        <v>2.3671000000000001E-2</v>
      </c>
      <c r="AB33" s="2">
        <f>ff_portfolios25!AB33-ff_factors!$E33</f>
        <v>8.5283999999999999E-2</v>
      </c>
    </row>
    <row r="34" spans="1:28" x14ac:dyDescent="0.2">
      <c r="A34">
        <v>19340929</v>
      </c>
      <c r="B34">
        <v>1934</v>
      </c>
      <c r="C34">
        <v>9</v>
      </c>
      <c r="D34" s="2">
        <f>ff_portfolios25!D34-ff_factors!$E34</f>
        <v>-1.8144999999999998E-2</v>
      </c>
      <c r="E34" s="2">
        <f>ff_portfolios25!E34-ff_factors!$E34</f>
        <v>-0.100635</v>
      </c>
      <c r="F34" s="2">
        <f>ff_portfolios25!F34-ff_factors!$E34</f>
        <v>-2.4409E-2</v>
      </c>
      <c r="G34" s="2">
        <f>ff_portfolios25!G34-ff_factors!$E34</f>
        <v>-9.7859999999999996E-3</v>
      </c>
      <c r="H34" s="2">
        <f>ff_portfolios25!H34-ff_factors!$E34</f>
        <v>-2.5634999999999998E-2</v>
      </c>
      <c r="I34" s="2">
        <f>ff_portfolios25!I34-ff_factors!$E34</f>
        <v>-1.9671999999999999E-2</v>
      </c>
      <c r="J34" s="2">
        <f>ff_portfolios25!J34-ff_factors!$E34</f>
        <v>-3.202E-3</v>
      </c>
      <c r="K34" s="2">
        <f>ff_portfolios25!K34-ff_factors!$E34</f>
        <v>-3.2162000000000003E-2</v>
      </c>
      <c r="L34" s="2">
        <f>ff_portfolios25!L34-ff_factors!$E34</f>
        <v>-1.8214000000000001E-2</v>
      </c>
      <c r="M34" s="2">
        <f>ff_portfolios25!M34-ff_factors!$E34</f>
        <v>-4.3833000000000004E-2</v>
      </c>
      <c r="N34" s="2">
        <f>ff_portfolios25!N34-ff_factors!$E34</f>
        <v>-2.0917999999999999E-2</v>
      </c>
      <c r="O34" s="2">
        <f>ff_portfolios25!O34-ff_factors!$E34</f>
        <v>1.6454E-2</v>
      </c>
      <c r="P34" s="2">
        <f>ff_portfolios25!P34-ff_factors!$E34</f>
        <v>-2.6509999999999997E-3</v>
      </c>
      <c r="Q34" s="2">
        <f>ff_portfolios25!Q34-ff_factors!$E34</f>
        <v>-2.5564E-2</v>
      </c>
      <c r="R34" s="2">
        <f>ff_portfolios25!R34-ff_factors!$E34</f>
        <v>-6.7499999999999999E-3</v>
      </c>
      <c r="S34" s="2">
        <f>ff_portfolios25!S34-ff_factors!$E34</f>
        <v>-1.1464999999999999E-2</v>
      </c>
      <c r="T34" s="2">
        <f>ff_portfolios25!T34-ff_factors!$E34</f>
        <v>5.0070000000000002E-3</v>
      </c>
      <c r="U34" s="2">
        <f>ff_portfolios25!U34-ff_factors!$E34</f>
        <v>-7.5960000000000003E-3</v>
      </c>
      <c r="V34" s="2">
        <f>ff_portfolios25!V34-ff_factors!$E34</f>
        <v>-1.0447999999999999E-2</v>
      </c>
      <c r="W34" s="2">
        <f>ff_portfolios25!W34-ff_factors!$E34</f>
        <v>2.1554E-2</v>
      </c>
      <c r="X34" s="2">
        <f>ff_portfolios25!X34-ff_factors!$E34</f>
        <v>7.3499999999999998E-4</v>
      </c>
      <c r="Y34" s="2">
        <f>ff_portfolios25!Y34-ff_factors!$E34</f>
        <v>-2.6869999999999997E-3</v>
      </c>
      <c r="Z34" s="2">
        <f>ff_portfolios25!Z34-ff_factors!$E34</f>
        <v>-5.7870000000000005E-3</v>
      </c>
      <c r="AA34" s="2">
        <f>ff_portfolios25!AA34-ff_factors!$E34</f>
        <v>-1.1705999999999999E-2</v>
      </c>
      <c r="AB34" s="2">
        <f>ff_portfolios25!AB34-ff_factors!$E34</f>
        <v>2.3632E-2</v>
      </c>
    </row>
    <row r="35" spans="1:28" x14ac:dyDescent="0.2">
      <c r="A35">
        <v>19341031</v>
      </c>
      <c r="B35">
        <v>1934</v>
      </c>
      <c r="C35">
        <v>10</v>
      </c>
      <c r="D35" s="2">
        <f>ff_portfolios25!D35-ff_factors!$E35</f>
        <v>2.8364E-2</v>
      </c>
      <c r="E35" s="2">
        <f>ff_portfolios25!E35-ff_factors!$E35</f>
        <v>1.606E-3</v>
      </c>
      <c r="F35" s="2">
        <f>ff_portfolios25!F35-ff_factors!$E35</f>
        <v>-1.6212000000000001E-2</v>
      </c>
      <c r="G35" s="2">
        <f>ff_portfolios25!G35-ff_factors!$E35</f>
        <v>-9.2268000000000003E-2</v>
      </c>
      <c r="H35" s="2">
        <f>ff_portfolios25!H35-ff_factors!$E35</f>
        <v>-2.5661E-2</v>
      </c>
      <c r="I35" s="2">
        <f>ff_portfolios25!I35-ff_factors!$E35</f>
        <v>-6.0112000000000006E-2</v>
      </c>
      <c r="J35" s="2">
        <f>ff_portfolios25!J35-ff_factors!$E35</f>
        <v>1.3982000000000001E-2</v>
      </c>
      <c r="K35" s="2">
        <f>ff_portfolios25!K35-ff_factors!$E35</f>
        <v>-1.9838999999999999E-2</v>
      </c>
      <c r="L35" s="2">
        <f>ff_portfolios25!L35-ff_factors!$E35</f>
        <v>-1.3842999999999999E-2</v>
      </c>
      <c r="M35" s="2">
        <f>ff_portfolios25!M35-ff_factors!$E35</f>
        <v>-4.9808000000000005E-2</v>
      </c>
      <c r="N35" s="2">
        <f>ff_portfolios25!N35-ff_factors!$E35</f>
        <v>1.2828000000000001E-2</v>
      </c>
      <c r="O35" s="2">
        <f>ff_portfolios25!O35-ff_factors!$E35</f>
        <v>-4.0890000000000006E-3</v>
      </c>
      <c r="P35" s="2">
        <f>ff_portfolios25!P35-ff_factors!$E35</f>
        <v>1.336E-2</v>
      </c>
      <c r="Q35" s="2">
        <f>ff_portfolios25!Q35-ff_factors!$E35</f>
        <v>-5.5696000000000002E-2</v>
      </c>
      <c r="R35" s="2">
        <f>ff_portfolios25!R35-ff_factors!$E35</f>
        <v>-7.0441000000000004E-2</v>
      </c>
      <c r="S35" s="2">
        <f>ff_portfolios25!S35-ff_factors!$E35</f>
        <v>1.6659999999999999E-3</v>
      </c>
      <c r="T35" s="2">
        <f>ff_portfolios25!T35-ff_factors!$E35</f>
        <v>7.0439999999999999E-3</v>
      </c>
      <c r="U35" s="2">
        <f>ff_portfolios25!U35-ff_factors!$E35</f>
        <v>1.7923000000000001E-2</v>
      </c>
      <c r="V35" s="2">
        <f>ff_portfolios25!V35-ff_factors!$E35</f>
        <v>-0.10143200000000001</v>
      </c>
      <c r="W35" s="2">
        <f>ff_portfolios25!W35-ff_factors!$E35</f>
        <v>-9.978200000000001E-2</v>
      </c>
      <c r="X35" s="2">
        <f>ff_portfolios25!X35-ff_factors!$E35</f>
        <v>6.1240000000000001E-3</v>
      </c>
      <c r="Y35" s="2">
        <f>ff_portfolios25!Y35-ff_factors!$E35</f>
        <v>-1.8456E-2</v>
      </c>
      <c r="Z35" s="2">
        <f>ff_portfolios25!Z35-ff_factors!$E35</f>
        <v>-5.7907E-2</v>
      </c>
      <c r="AA35" s="2">
        <f>ff_portfolios25!AA35-ff_factors!$E35</f>
        <v>-6.1578000000000001E-2</v>
      </c>
      <c r="AB35" s="2">
        <f>ff_portfolios25!AB35-ff_factors!$E35</f>
        <v>-7.2539000000000006E-2</v>
      </c>
    </row>
    <row r="36" spans="1:28" x14ac:dyDescent="0.2">
      <c r="A36">
        <v>19341130</v>
      </c>
      <c r="B36">
        <v>1934</v>
      </c>
      <c r="C36">
        <v>11</v>
      </c>
      <c r="D36" s="2">
        <f>ff_portfolios25!D36-ff_factors!$E36</f>
        <v>7.1957999999999994E-2</v>
      </c>
      <c r="E36" s="2">
        <f>ff_portfolios25!E36-ff_factors!$E36</f>
        <v>0.123691</v>
      </c>
      <c r="F36" s="2">
        <f>ff_portfolios25!F36-ff_factors!$E36</f>
        <v>0.24829000000000001</v>
      </c>
      <c r="G36" s="2">
        <f>ff_portfolios25!G36-ff_factors!$E36</f>
        <v>0.18168000000000001</v>
      </c>
      <c r="H36" s="2">
        <f>ff_portfolios25!H36-ff_factors!$E36</f>
        <v>0.15049400000000002</v>
      </c>
      <c r="I36" s="2">
        <f>ff_portfolios25!I36-ff_factors!$E36</f>
        <v>0.24970200000000001</v>
      </c>
      <c r="J36" s="2">
        <f>ff_portfolios25!J36-ff_factors!$E36</f>
        <v>0.20649700000000001</v>
      </c>
      <c r="K36" s="2">
        <f>ff_portfolios25!K36-ff_factors!$E36</f>
        <v>0.19709700000000002</v>
      </c>
      <c r="L36" s="2">
        <f>ff_portfolios25!L36-ff_factors!$E36</f>
        <v>0.13733600000000001</v>
      </c>
      <c r="M36" s="2">
        <f>ff_portfolios25!M36-ff_factors!$E36</f>
        <v>3.8613999999999996E-2</v>
      </c>
      <c r="N36" s="2">
        <f>ff_portfolios25!N36-ff_factors!$E36</f>
        <v>0.13831800000000002</v>
      </c>
      <c r="O36" s="2">
        <f>ff_portfolios25!O36-ff_factors!$E36</f>
        <v>0.12711700000000001</v>
      </c>
      <c r="P36" s="2">
        <f>ff_portfolios25!P36-ff_factors!$E36</f>
        <v>0.127471</v>
      </c>
      <c r="Q36" s="2">
        <f>ff_portfolios25!Q36-ff_factors!$E36</f>
        <v>0.19384600000000002</v>
      </c>
      <c r="R36" s="2">
        <f>ff_portfolios25!R36-ff_factors!$E36</f>
        <v>4.9376999999999997E-2</v>
      </c>
      <c r="S36" s="2">
        <f>ff_portfolios25!S36-ff_factors!$E36</f>
        <v>0.13490100000000002</v>
      </c>
      <c r="T36" s="2">
        <f>ff_portfolios25!T36-ff_factors!$E36</f>
        <v>0.12699000000000002</v>
      </c>
      <c r="U36" s="2">
        <f>ff_portfolios25!U36-ff_factors!$E36</f>
        <v>0.12218899999999999</v>
      </c>
      <c r="V36" s="2">
        <f>ff_portfolios25!V36-ff_factors!$E36</f>
        <v>0.11925999999999999</v>
      </c>
      <c r="W36" s="2">
        <f>ff_portfolios25!W36-ff_factors!$E36</f>
        <v>6.9980000000000001E-2</v>
      </c>
      <c r="X36" s="2">
        <f>ff_portfolios25!X36-ff_factors!$E36</f>
        <v>0.104293</v>
      </c>
      <c r="Y36" s="2">
        <f>ff_portfolios25!Y36-ff_factors!$E36</f>
        <v>4.4599999999999994E-2</v>
      </c>
      <c r="Z36" s="2">
        <f>ff_portfolios25!Z36-ff_factors!$E36</f>
        <v>6.1574999999999998E-2</v>
      </c>
      <c r="AA36" s="2">
        <f>ff_portfolios25!AA36-ff_factors!$E36</f>
        <v>0.117816</v>
      </c>
      <c r="AB36" s="2">
        <f>ff_portfolios25!AB36-ff_factors!$E36</f>
        <v>3.6648E-2</v>
      </c>
    </row>
    <row r="37" spans="1:28" x14ac:dyDescent="0.2">
      <c r="A37">
        <v>19341231</v>
      </c>
      <c r="B37">
        <v>1934</v>
      </c>
      <c r="C37">
        <v>12</v>
      </c>
      <c r="D37" s="2">
        <f>ff_portfolios25!D37-ff_factors!$E37</f>
        <v>6.1376999999999994E-2</v>
      </c>
      <c r="E37" s="2">
        <f>ff_portfolios25!E37-ff_factors!$E37</f>
        <v>-3.1916E-2</v>
      </c>
      <c r="F37" s="2">
        <f>ff_portfolios25!F37-ff_factors!$E37</f>
        <v>5.476E-3</v>
      </c>
      <c r="G37" s="2">
        <f>ff_portfolios25!G37-ff_factors!$E37</f>
        <v>1.3462E-2</v>
      </c>
      <c r="H37" s="2">
        <f>ff_portfolios25!H37-ff_factors!$E37</f>
        <v>-2.5062000000000001E-2</v>
      </c>
      <c r="I37" s="2">
        <f>ff_portfolios25!I37-ff_factors!$E37</f>
        <v>5.3448999999999997E-2</v>
      </c>
      <c r="J37" s="2">
        <f>ff_portfolios25!J37-ff_factors!$E37</f>
        <v>2.4549999999999999E-2</v>
      </c>
      <c r="K37" s="2">
        <f>ff_portfolios25!K37-ff_factors!$E37</f>
        <v>3.0876000000000001E-2</v>
      </c>
      <c r="L37" s="2">
        <f>ff_portfolios25!L37-ff_factors!$E37</f>
        <v>3.6345999999999996E-2</v>
      </c>
      <c r="M37" s="2">
        <f>ff_portfolios25!M37-ff_factors!$E37</f>
        <v>5.5639999999999995E-3</v>
      </c>
      <c r="N37" s="2">
        <f>ff_portfolios25!N37-ff_factors!$E37</f>
        <v>3.7488E-2</v>
      </c>
      <c r="O37" s="2">
        <f>ff_portfolios25!O37-ff_factors!$E37</f>
        <v>2.9767000000000002E-2</v>
      </c>
      <c r="P37" s="2">
        <f>ff_portfolios25!P37-ff_factors!$E37</f>
        <v>2.8078000000000002E-2</v>
      </c>
      <c r="Q37" s="2">
        <f>ff_portfolios25!Q37-ff_factors!$E37</f>
        <v>4.1713E-2</v>
      </c>
      <c r="R37" s="2">
        <f>ff_portfolios25!R37-ff_factors!$E37</f>
        <v>-3.2088000000000005E-2</v>
      </c>
      <c r="S37" s="2">
        <f>ff_portfolios25!S37-ff_factors!$E37</f>
        <v>3.0388000000000002E-2</v>
      </c>
      <c r="T37" s="2">
        <f>ff_portfolios25!T37-ff_factors!$E37</f>
        <v>3.9247999999999998E-2</v>
      </c>
      <c r="U37" s="2">
        <f>ff_portfolios25!U37-ff_factors!$E37</f>
        <v>3.8959000000000001E-2</v>
      </c>
      <c r="V37" s="2">
        <f>ff_portfolios25!V37-ff_factors!$E37</f>
        <v>1.6732E-2</v>
      </c>
      <c r="W37" s="2">
        <f>ff_portfolios25!W37-ff_factors!$E37</f>
        <v>-5.4620000000000002E-2</v>
      </c>
      <c r="X37" s="2">
        <f>ff_portfolios25!X37-ff_factors!$E37</f>
        <v>7.836000000000001E-3</v>
      </c>
      <c r="Y37" s="2">
        <f>ff_portfolios25!Y37-ff_factors!$E37</f>
        <v>1.9149999999999998E-3</v>
      </c>
      <c r="Z37" s="2">
        <f>ff_portfolios25!Z37-ff_factors!$E37</f>
        <v>-1.2945E-2</v>
      </c>
      <c r="AA37" s="2">
        <f>ff_portfolios25!AA37-ff_factors!$E37</f>
        <v>-2.8279999999999998E-3</v>
      </c>
      <c r="AB37" s="2">
        <f>ff_portfolios25!AB37-ff_factors!$E37</f>
        <v>-4.2997E-2</v>
      </c>
    </row>
    <row r="38" spans="1:28" x14ac:dyDescent="0.2">
      <c r="A38">
        <v>19350131</v>
      </c>
      <c r="B38">
        <v>1935</v>
      </c>
      <c r="C38">
        <v>1</v>
      </c>
      <c r="D38" s="2">
        <f>ff_portfolios25!D38-ff_factors!$E38</f>
        <v>-3.9813000000000001E-2</v>
      </c>
      <c r="E38" s="2">
        <f>ff_portfolios25!E38-ff_factors!$E38</f>
        <v>-0.108283</v>
      </c>
      <c r="F38" s="2">
        <f>ff_portfolios25!F38-ff_factors!$E38</f>
        <v>-0.10301</v>
      </c>
      <c r="G38" s="2">
        <f>ff_portfolios25!G38-ff_factors!$E38</f>
        <v>1.5135000000000001E-2</v>
      </c>
      <c r="H38" s="2">
        <f>ff_portfolios25!H38-ff_factors!$E38</f>
        <v>-3.4514000000000003E-2</v>
      </c>
      <c r="I38" s="2">
        <f>ff_portfolios25!I38-ff_factors!$E38</f>
        <v>-8.9818999999999996E-2</v>
      </c>
      <c r="J38" s="2">
        <f>ff_portfolios25!J38-ff_factors!$E38</f>
        <v>-8.3619999999999996E-3</v>
      </c>
      <c r="K38" s="2">
        <f>ff_portfolios25!K38-ff_factors!$E38</f>
        <v>-2.564E-2</v>
      </c>
      <c r="L38" s="2">
        <f>ff_portfolios25!L38-ff_factors!$E38</f>
        <v>-3.8606000000000001E-2</v>
      </c>
      <c r="M38" s="2">
        <f>ff_portfolios25!M38-ff_factors!$E38</f>
        <v>-3.2131E-2</v>
      </c>
      <c r="N38" s="2">
        <f>ff_portfolios25!N38-ff_factors!$E38</f>
        <v>-4.5003000000000001E-2</v>
      </c>
      <c r="O38" s="2">
        <f>ff_portfolios25!O38-ff_factors!$E38</f>
        <v>-4.6277000000000006E-2</v>
      </c>
      <c r="P38" s="2">
        <f>ff_portfolios25!P38-ff_factors!$E38</f>
        <v>-2.6938E-2</v>
      </c>
      <c r="Q38" s="2">
        <f>ff_portfolios25!Q38-ff_factors!$E38</f>
        <v>-1.5975E-2</v>
      </c>
      <c r="R38" s="2">
        <f>ff_portfolios25!R38-ff_factors!$E38</f>
        <v>-4.0874000000000001E-2</v>
      </c>
      <c r="S38" s="2">
        <f>ff_portfolios25!S38-ff_factors!$E38</f>
        <v>-4.3516000000000006E-2</v>
      </c>
      <c r="T38" s="2">
        <f>ff_portfolios25!T38-ff_factors!$E38</f>
        <v>-2.4320999999999999E-2</v>
      </c>
      <c r="U38" s="2">
        <f>ff_portfolios25!U38-ff_factors!$E38</f>
        <v>-3.4842000000000005E-2</v>
      </c>
      <c r="V38" s="2">
        <f>ff_portfolios25!V38-ff_factors!$E38</f>
        <v>-5.9691000000000001E-2</v>
      </c>
      <c r="W38" s="2">
        <f>ff_portfolios25!W38-ff_factors!$E38</f>
        <v>-0.14821999999999999</v>
      </c>
      <c r="X38" s="2">
        <f>ff_portfolios25!X38-ff_factors!$E38</f>
        <v>-1.9657000000000001E-2</v>
      </c>
      <c r="Y38" s="2">
        <f>ff_portfolios25!Y38-ff_factors!$E38</f>
        <v>-3.8620000000000002E-2</v>
      </c>
      <c r="Z38" s="2">
        <f>ff_portfolios25!Z38-ff_factors!$E38</f>
        <v>-2.5340999999999999E-2</v>
      </c>
      <c r="AA38" s="2">
        <f>ff_portfolios25!AA38-ff_factors!$E38</f>
        <v>-8.6752999999999997E-2</v>
      </c>
      <c r="AB38" s="2">
        <f>ff_portfolios25!AB38-ff_factors!$E38</f>
        <v>-0.14043999999999998</v>
      </c>
    </row>
    <row r="39" spans="1:28" x14ac:dyDescent="0.2">
      <c r="A39">
        <v>19350228</v>
      </c>
      <c r="B39">
        <v>1935</v>
      </c>
      <c r="C39">
        <v>2</v>
      </c>
      <c r="D39" s="2">
        <f>ff_portfolios25!D39-ff_factors!$E39</f>
        <v>-0.110808</v>
      </c>
      <c r="E39" s="2">
        <f>ff_portfolios25!E39-ff_factors!$E39</f>
        <v>-0.14391100000000001</v>
      </c>
      <c r="F39" s="2">
        <f>ff_portfolios25!F39-ff_factors!$E39</f>
        <v>-7.7758000000000008E-2</v>
      </c>
      <c r="G39" s="2">
        <f>ff_portfolios25!G39-ff_factors!$E39</f>
        <v>-8.2366000000000009E-2</v>
      </c>
      <c r="H39" s="2">
        <f>ff_portfolios25!H39-ff_factors!$E39</f>
        <v>-0.10602300000000001</v>
      </c>
      <c r="I39" s="2">
        <f>ff_portfolios25!I39-ff_factors!$E39</f>
        <v>-1.7526E-2</v>
      </c>
      <c r="J39" s="2">
        <f>ff_portfolios25!J39-ff_factors!$E39</f>
        <v>-4.4436999999999997E-2</v>
      </c>
      <c r="K39" s="2">
        <f>ff_portfolios25!K39-ff_factors!$E39</f>
        <v>-4.8186E-2</v>
      </c>
      <c r="L39" s="2">
        <f>ff_portfolios25!L39-ff_factors!$E39</f>
        <v>-3.9605999999999995E-2</v>
      </c>
      <c r="M39" s="2">
        <f>ff_portfolios25!M39-ff_factors!$E39</f>
        <v>-0.113776</v>
      </c>
      <c r="N39" s="2">
        <f>ff_portfolios25!N39-ff_factors!$E39</f>
        <v>8.5700000000000001E-4</v>
      </c>
      <c r="O39" s="2">
        <f>ff_portfolios25!O39-ff_factors!$E39</f>
        <v>-3.6295000000000001E-2</v>
      </c>
      <c r="P39" s="2">
        <f>ff_portfolios25!P39-ff_factors!$E39</f>
        <v>5.4600000000000004E-3</v>
      </c>
      <c r="Q39" s="2">
        <f>ff_portfolios25!Q39-ff_factors!$E39</f>
        <v>-6.4573000000000005E-2</v>
      </c>
      <c r="R39" s="2">
        <f>ff_portfolios25!R39-ff_factors!$E39</f>
        <v>-0.11045400000000001</v>
      </c>
      <c r="S39" s="2">
        <f>ff_portfolios25!S39-ff_factors!$E39</f>
        <v>3.0279999999999999E-3</v>
      </c>
      <c r="T39" s="2">
        <f>ff_portfolios25!T39-ff_factors!$E39</f>
        <v>1.0846999999999999E-2</v>
      </c>
      <c r="U39" s="2">
        <f>ff_portfolios25!U39-ff_factors!$E39</f>
        <v>2.3249999999999998E-3</v>
      </c>
      <c r="V39" s="2">
        <f>ff_portfolios25!V39-ff_factors!$E39</f>
        <v>-0.103033</v>
      </c>
      <c r="W39" s="2">
        <f>ff_portfolios25!W39-ff_factors!$E39</f>
        <v>-0.22136900000000001</v>
      </c>
      <c r="X39" s="2">
        <f>ff_portfolios25!X39-ff_factors!$E39</f>
        <v>2.163E-3</v>
      </c>
      <c r="Y39" s="2">
        <f>ff_portfolios25!Y39-ff_factors!$E39</f>
        <v>-1.8599999999999998E-2</v>
      </c>
      <c r="Z39" s="2">
        <f>ff_portfolios25!Z39-ff_factors!$E39</f>
        <v>-4.2527999999999996E-2</v>
      </c>
      <c r="AA39" s="2">
        <f>ff_portfolios25!AA39-ff_factors!$E39</f>
        <v>-9.2076000000000005E-2</v>
      </c>
      <c r="AB39" s="2">
        <f>ff_portfolios25!AB39-ff_factors!$E39</f>
        <v>-0.138048</v>
      </c>
    </row>
    <row r="40" spans="1:28" x14ac:dyDescent="0.2">
      <c r="A40">
        <v>19350330</v>
      </c>
      <c r="B40">
        <v>1935</v>
      </c>
      <c r="C40">
        <v>3</v>
      </c>
      <c r="D40" s="2">
        <f>ff_portfolios25!D40-ff_factors!$E40</f>
        <v>-5.4747000000000004E-2</v>
      </c>
      <c r="E40" s="2">
        <f>ff_portfolios25!E40-ff_factors!$E40</f>
        <v>-0.14615799999999998</v>
      </c>
      <c r="F40" s="2">
        <f>ff_portfolios25!F40-ff_factors!$E40</f>
        <v>-9.4649999999999998E-2</v>
      </c>
      <c r="G40" s="2">
        <f>ff_portfolios25!G40-ff_factors!$E40</f>
        <v>-0.13267199999999998</v>
      </c>
      <c r="H40" s="2">
        <f>ff_portfolios25!H40-ff_factors!$E40</f>
        <v>-0.115674</v>
      </c>
      <c r="I40" s="2">
        <f>ff_portfolios25!I40-ff_factors!$E40</f>
        <v>-0.111304</v>
      </c>
      <c r="J40" s="2">
        <f>ff_portfolios25!J40-ff_factors!$E40</f>
        <v>-7.5023000000000006E-2</v>
      </c>
      <c r="K40" s="2">
        <f>ff_portfolios25!K40-ff_factors!$E40</f>
        <v>-7.6080000000000009E-2</v>
      </c>
      <c r="L40" s="2">
        <f>ff_portfolios25!L40-ff_factors!$E40</f>
        <v>-7.2019E-2</v>
      </c>
      <c r="M40" s="2">
        <f>ff_portfolios25!M40-ff_factors!$E40</f>
        <v>-0.14098999999999998</v>
      </c>
      <c r="N40" s="2">
        <f>ff_portfolios25!N40-ff_factors!$E40</f>
        <v>-1.5184E-2</v>
      </c>
      <c r="O40" s="2">
        <f>ff_portfolios25!O40-ff_factors!$E40</f>
        <v>-9.1040999999999997E-2</v>
      </c>
      <c r="P40" s="2">
        <f>ff_portfolios25!P40-ff_factors!$E40</f>
        <v>-4.8059000000000004E-2</v>
      </c>
      <c r="Q40" s="2">
        <f>ff_portfolios25!Q40-ff_factors!$E40</f>
        <v>-0.107363</v>
      </c>
      <c r="R40" s="2">
        <f>ff_portfolios25!R40-ff_factors!$E40</f>
        <v>-0.12518799999999999</v>
      </c>
      <c r="S40" s="2">
        <f>ff_portfolios25!S40-ff_factors!$E40</f>
        <v>-4.0316000000000005E-2</v>
      </c>
      <c r="T40" s="2">
        <f>ff_portfolios25!T40-ff_factors!$E40</f>
        <v>-5.7350000000000005E-2</v>
      </c>
      <c r="U40" s="2">
        <f>ff_portfolios25!U40-ff_factors!$E40</f>
        <v>-6.0669000000000001E-2</v>
      </c>
      <c r="V40" s="2">
        <f>ff_portfolios25!V40-ff_factors!$E40</f>
        <v>-5.8980000000000005E-2</v>
      </c>
      <c r="W40" s="2">
        <f>ff_portfolios25!W40-ff_factors!$E40</f>
        <v>-9.5493000000000008E-2</v>
      </c>
      <c r="X40" s="2">
        <f>ff_portfolios25!X40-ff_factors!$E40</f>
        <v>-3.5548000000000003E-2</v>
      </c>
      <c r="Y40" s="2">
        <f>ff_portfolios25!Y40-ff_factors!$E40</f>
        <v>-1.9148999999999999E-2</v>
      </c>
      <c r="Z40" s="2">
        <f>ff_portfolios25!Z40-ff_factors!$E40</f>
        <v>-1.2581E-2</v>
      </c>
      <c r="AA40" s="2">
        <f>ff_portfolios25!AA40-ff_factors!$E40</f>
        <v>-8.9042999999999997E-2</v>
      </c>
      <c r="AB40" s="2">
        <f>ff_portfolios25!AB40-ff_factors!$E40</f>
        <v>-7.1190000000000003E-2</v>
      </c>
    </row>
    <row r="41" spans="1:28" x14ac:dyDescent="0.2">
      <c r="A41">
        <v>19350430</v>
      </c>
      <c r="B41">
        <v>1935</v>
      </c>
      <c r="C41">
        <v>4</v>
      </c>
      <c r="D41" s="2">
        <f>ff_portfolios25!D41-ff_factors!$E41</f>
        <v>0.369973</v>
      </c>
      <c r="E41" s="2">
        <f>ff_portfolios25!E41-ff_factors!$E41</f>
        <v>7.2459999999999998E-3</v>
      </c>
      <c r="F41" s="2">
        <f>ff_portfolios25!F41-ff_factors!$E41</f>
        <v>9.4039999999999999E-2</v>
      </c>
      <c r="G41" s="2">
        <f>ff_portfolios25!G41-ff_factors!$E41</f>
        <v>0.103771</v>
      </c>
      <c r="H41" s="2">
        <f>ff_portfolios25!H41-ff_factors!$E41</f>
        <v>0.12448099999999999</v>
      </c>
      <c r="I41" s="2">
        <f>ff_portfolios25!I41-ff_factors!$E41</f>
        <v>9.6209000000000003E-2</v>
      </c>
      <c r="J41" s="2">
        <f>ff_portfolios25!J41-ff_factors!$E41</f>
        <v>0.109038</v>
      </c>
      <c r="K41" s="2">
        <f>ff_portfolios25!K41-ff_factors!$E41</f>
        <v>0.12189</v>
      </c>
      <c r="L41" s="2">
        <f>ff_portfolios25!L41-ff_factors!$E41</f>
        <v>5.9912E-2</v>
      </c>
      <c r="M41" s="2">
        <f>ff_portfolios25!M41-ff_factors!$E41</f>
        <v>0.11570899999999999</v>
      </c>
      <c r="N41" s="2">
        <f>ff_portfolios25!N41-ff_factors!$E41</f>
        <v>4.6209E-2</v>
      </c>
      <c r="O41" s="2">
        <f>ff_portfolios25!O41-ff_factors!$E41</f>
        <v>0.12020599999999999</v>
      </c>
      <c r="P41" s="2">
        <f>ff_portfolios25!P41-ff_factors!$E41</f>
        <v>6.0235999999999998E-2</v>
      </c>
      <c r="Q41" s="2">
        <f>ff_portfolios25!Q41-ff_factors!$E41</f>
        <v>0.11514099999999999</v>
      </c>
      <c r="R41" s="2">
        <f>ff_portfolios25!R41-ff_factors!$E41</f>
        <v>0.10926999999999999</v>
      </c>
      <c r="S41" s="2">
        <f>ff_portfolios25!S41-ff_factors!$E41</f>
        <v>5.8552E-2</v>
      </c>
      <c r="T41" s="2">
        <f>ff_portfolios25!T41-ff_factors!$E41</f>
        <v>6.5237000000000003E-2</v>
      </c>
      <c r="U41" s="2">
        <f>ff_portfolios25!U41-ff_factors!$E41</f>
        <v>5.6966999999999997E-2</v>
      </c>
      <c r="V41" s="2">
        <f>ff_portfolios25!V41-ff_factors!$E41</f>
        <v>7.9382999999999995E-2</v>
      </c>
      <c r="W41" s="2">
        <f>ff_portfolios25!W41-ff_factors!$E41</f>
        <v>0.113524</v>
      </c>
      <c r="X41" s="2">
        <f>ff_portfolios25!X41-ff_factors!$E41</f>
        <v>7.0850999999999997E-2</v>
      </c>
      <c r="Y41" s="2">
        <f>ff_portfolios25!Y41-ff_factors!$E41</f>
        <v>0.10674599999999999</v>
      </c>
      <c r="Z41" s="2">
        <f>ff_portfolios25!Z41-ff_factors!$E41</f>
        <v>0.109412</v>
      </c>
      <c r="AA41" s="2">
        <f>ff_portfolios25!AA41-ff_factors!$E41</f>
        <v>0.137042</v>
      </c>
      <c r="AB41" s="2">
        <f>ff_portfolios25!AB41-ff_factors!$E41</f>
        <v>0.15091700000000002</v>
      </c>
    </row>
    <row r="42" spans="1:28" x14ac:dyDescent="0.2">
      <c r="A42">
        <v>19350531</v>
      </c>
      <c r="B42">
        <v>1935</v>
      </c>
      <c r="C42">
        <v>5</v>
      </c>
      <c r="D42" s="2">
        <f>ff_portfolios25!D42-ff_factors!$E42</f>
        <v>-0.183339</v>
      </c>
      <c r="E42" s="2">
        <f>ff_portfolios25!E42-ff_factors!$E42</f>
        <v>-2.3040999999999999E-2</v>
      </c>
      <c r="F42" s="2">
        <f>ff_portfolios25!F42-ff_factors!$E42</f>
        <v>8.0713999999999994E-2</v>
      </c>
      <c r="G42" s="2">
        <f>ff_portfolios25!G42-ff_factors!$E42</f>
        <v>2.1989999999999999E-2</v>
      </c>
      <c r="H42" s="2">
        <f>ff_portfolios25!H42-ff_factors!$E42</f>
        <v>4.0529999999999993E-3</v>
      </c>
      <c r="I42" s="2">
        <f>ff_portfolios25!I42-ff_factors!$E42</f>
        <v>-2.1978000000000001E-2</v>
      </c>
      <c r="J42" s="2">
        <f>ff_portfolios25!J42-ff_factors!$E42</f>
        <v>2.3300000000000003E-4</v>
      </c>
      <c r="K42" s="2">
        <f>ff_portfolios25!K42-ff_factors!$E42</f>
        <v>5.4546999999999998E-2</v>
      </c>
      <c r="L42" s="2">
        <f>ff_portfolios25!L42-ff_factors!$E42</f>
        <v>4.8264999999999995E-2</v>
      </c>
      <c r="M42" s="2">
        <f>ff_portfolios25!M42-ff_factors!$E42</f>
        <v>5.9809999999999993E-3</v>
      </c>
      <c r="N42" s="2">
        <f>ff_portfolios25!N42-ff_factors!$E42</f>
        <v>4.2532999999999994E-2</v>
      </c>
      <c r="O42" s="2">
        <f>ff_portfolios25!O42-ff_factors!$E42</f>
        <v>-1.3486E-2</v>
      </c>
      <c r="P42" s="2">
        <f>ff_portfolios25!P42-ff_factors!$E42</f>
        <v>1.2197000000000001E-2</v>
      </c>
      <c r="Q42" s="2">
        <f>ff_portfolios25!Q42-ff_factors!$E42</f>
        <v>-2.2786999999999998E-2</v>
      </c>
      <c r="R42" s="2">
        <f>ff_portfolios25!R42-ff_factors!$E42</f>
        <v>3.7488999999999995E-2</v>
      </c>
      <c r="S42" s="2">
        <f>ff_portfolios25!S42-ff_factors!$E42</f>
        <v>1.49E-3</v>
      </c>
      <c r="T42" s="2">
        <f>ff_portfolios25!T42-ff_factors!$E42</f>
        <v>1.4259000000000001E-2</v>
      </c>
      <c r="U42" s="2">
        <f>ff_portfolios25!U42-ff_factors!$E42</f>
        <v>-4.3839999999999999E-3</v>
      </c>
      <c r="V42" s="2">
        <f>ff_portfolios25!V42-ff_factors!$E42</f>
        <v>4.9123999999999994E-2</v>
      </c>
      <c r="W42" s="2">
        <f>ff_portfolios25!W42-ff_factors!$E42</f>
        <v>2.1373E-2</v>
      </c>
      <c r="X42" s="2">
        <f>ff_portfolios25!X42-ff_factors!$E42</f>
        <v>2.7172999999999999E-2</v>
      </c>
      <c r="Y42" s="2">
        <f>ff_portfolios25!Y42-ff_factors!$E42</f>
        <v>5.4448999999999997E-2</v>
      </c>
      <c r="Z42" s="2">
        <f>ff_portfolios25!Z42-ff_factors!$E42</f>
        <v>4.9068000000000001E-2</v>
      </c>
      <c r="AA42" s="2">
        <f>ff_portfolios25!AA42-ff_factors!$E42</f>
        <v>2.4907000000000002E-2</v>
      </c>
      <c r="AB42" s="2">
        <f>ff_portfolios25!AB42-ff_factors!$E42</f>
        <v>7.3870999999999992E-2</v>
      </c>
    </row>
    <row r="43" spans="1:28" x14ac:dyDescent="0.2">
      <c r="A43">
        <v>19350629</v>
      </c>
      <c r="B43">
        <v>1935</v>
      </c>
      <c r="C43">
        <v>6</v>
      </c>
      <c r="D43" s="2">
        <f>ff_portfolios25!D43-ff_factors!$E43</f>
        <v>1.5984000000000002E-2</v>
      </c>
      <c r="E43" s="2">
        <f>ff_portfolios25!E43-ff_factors!$E43</f>
        <v>-1.0539999999999999E-2</v>
      </c>
      <c r="F43" s="2">
        <f>ff_portfolios25!F43-ff_factors!$E43</f>
        <v>-2.5798999999999999E-2</v>
      </c>
      <c r="G43" s="2">
        <f>ff_portfolios25!G43-ff_factors!$E43</f>
        <v>3.9148999999999996E-2</v>
      </c>
      <c r="H43" s="2">
        <f>ff_portfolios25!H43-ff_factors!$E43</f>
        <v>1.6414000000000002E-2</v>
      </c>
      <c r="I43" s="2">
        <f>ff_portfolios25!I43-ff_factors!$E43</f>
        <v>8.1556000000000003E-2</v>
      </c>
      <c r="J43" s="2">
        <f>ff_portfolios25!J43-ff_factors!$E43</f>
        <v>8.0811999999999995E-2</v>
      </c>
      <c r="K43" s="2">
        <f>ff_portfolios25!K43-ff_factors!$E43</f>
        <v>5.7171E-2</v>
      </c>
      <c r="L43" s="2">
        <f>ff_portfolios25!L43-ff_factors!$E43</f>
        <v>4.0272999999999996E-2</v>
      </c>
      <c r="M43" s="2">
        <f>ff_portfolios25!M43-ff_factors!$E43</f>
        <v>-2.5624999999999998E-2</v>
      </c>
      <c r="N43" s="2">
        <f>ff_portfolios25!N43-ff_factors!$E43</f>
        <v>4.5321999999999994E-2</v>
      </c>
      <c r="O43" s="2">
        <f>ff_portfolios25!O43-ff_factors!$E43</f>
        <v>0.11110199999999999</v>
      </c>
      <c r="P43" s="2">
        <f>ff_portfolios25!P43-ff_factors!$E43</f>
        <v>7.0900999999999992E-2</v>
      </c>
      <c r="Q43" s="2">
        <f>ff_portfolios25!Q43-ff_factors!$E43</f>
        <v>3.7580999999999996E-2</v>
      </c>
      <c r="R43" s="2">
        <f>ff_portfolios25!R43-ff_factors!$E43</f>
        <v>4.4797999999999998E-2</v>
      </c>
      <c r="S43" s="2">
        <f>ff_portfolios25!S43-ff_factors!$E43</f>
        <v>5.4032999999999998E-2</v>
      </c>
      <c r="T43" s="2">
        <f>ff_portfolios25!T43-ff_factors!$E43</f>
        <v>8.6504999999999999E-2</v>
      </c>
      <c r="U43" s="2">
        <f>ff_portfolios25!U43-ff_factors!$E43</f>
        <v>6.4022999999999997E-2</v>
      </c>
      <c r="V43" s="2">
        <f>ff_portfolios25!V43-ff_factors!$E43</f>
        <v>3.5971999999999997E-2</v>
      </c>
      <c r="W43" s="2">
        <f>ff_portfolios25!W43-ff_factors!$E43</f>
        <v>2.3682999999999999E-2</v>
      </c>
      <c r="X43" s="2">
        <f>ff_portfolios25!X43-ff_factors!$E43</f>
        <v>6.7084999999999992E-2</v>
      </c>
      <c r="Y43" s="2">
        <f>ff_portfolios25!Y43-ff_factors!$E43</f>
        <v>5.5288999999999998E-2</v>
      </c>
      <c r="Z43" s="2">
        <f>ff_portfolios25!Z43-ff_factors!$E43</f>
        <v>4.4565999999999995E-2</v>
      </c>
      <c r="AA43" s="2">
        <f>ff_portfolios25!AA43-ff_factors!$E43</f>
        <v>7.625599999999999E-2</v>
      </c>
      <c r="AB43" s="2">
        <f>ff_portfolios25!AB43-ff_factors!$E43</f>
        <v>0.17123100000000002</v>
      </c>
    </row>
    <row r="44" spans="1:28" x14ac:dyDescent="0.2">
      <c r="A44">
        <v>19350731</v>
      </c>
      <c r="B44">
        <v>1935</v>
      </c>
      <c r="C44">
        <v>7</v>
      </c>
      <c r="D44" s="2">
        <f>ff_portfolios25!D44-ff_factors!$E44</f>
        <v>0.10215099999999999</v>
      </c>
      <c r="E44" s="2">
        <f>ff_portfolios25!E44-ff_factors!$E44</f>
        <v>0.21482700000000002</v>
      </c>
      <c r="F44" s="2">
        <f>ff_portfolios25!F44-ff_factors!$E44</f>
        <v>0.22662400000000002</v>
      </c>
      <c r="G44" s="2">
        <f>ff_portfolios25!G44-ff_factors!$E44</f>
        <v>0.15705000000000002</v>
      </c>
      <c r="H44" s="2">
        <f>ff_portfolios25!H44-ff_factors!$E44</f>
        <v>0.13026300000000002</v>
      </c>
      <c r="I44" s="2">
        <f>ff_portfolios25!I44-ff_factors!$E44</f>
        <v>0.120879</v>
      </c>
      <c r="J44" s="2">
        <f>ff_portfolios25!J44-ff_factors!$E44</f>
        <v>0.15546900000000002</v>
      </c>
      <c r="K44" s="2">
        <f>ff_portfolios25!K44-ff_factors!$E44</f>
        <v>0.143901</v>
      </c>
      <c r="L44" s="2">
        <f>ff_portfolios25!L44-ff_factors!$E44</f>
        <v>0.12948800000000002</v>
      </c>
      <c r="M44" s="2">
        <f>ff_portfolios25!M44-ff_factors!$E44</f>
        <v>0.15526500000000001</v>
      </c>
      <c r="N44" s="2">
        <f>ff_portfolios25!N44-ff_factors!$E44</f>
        <v>7.8724000000000002E-2</v>
      </c>
      <c r="O44" s="2">
        <f>ff_portfolios25!O44-ff_factors!$E44</f>
        <v>7.038599999999999E-2</v>
      </c>
      <c r="P44" s="2">
        <f>ff_portfolios25!P44-ff_factors!$E44</f>
        <v>0.122782</v>
      </c>
      <c r="Q44" s="2">
        <f>ff_portfolios25!Q44-ff_factors!$E44</f>
        <v>8.0561999999999995E-2</v>
      </c>
      <c r="R44" s="2">
        <f>ff_portfolios25!R44-ff_factors!$E44</f>
        <v>0.13451300000000002</v>
      </c>
      <c r="S44" s="2">
        <f>ff_portfolios25!S44-ff_factors!$E44</f>
        <v>6.8519999999999998E-2</v>
      </c>
      <c r="T44" s="2">
        <f>ff_portfolios25!T44-ff_factors!$E44</f>
        <v>6.6221000000000002E-2</v>
      </c>
      <c r="U44" s="2">
        <f>ff_portfolios25!U44-ff_factors!$E44</f>
        <v>6.3922999999999994E-2</v>
      </c>
      <c r="V44" s="2">
        <f>ff_portfolios25!V44-ff_factors!$E44</f>
        <v>8.3915000000000003E-2</v>
      </c>
      <c r="W44" s="2">
        <f>ff_portfolios25!W44-ff_factors!$E44</f>
        <v>0.18617600000000001</v>
      </c>
      <c r="X44" s="2">
        <f>ff_portfolios25!X44-ff_factors!$E44</f>
        <v>7.4021999999999991E-2</v>
      </c>
      <c r="Y44" s="2">
        <f>ff_portfolios25!Y44-ff_factors!$E44</f>
        <v>6.1534999999999999E-2</v>
      </c>
      <c r="Z44" s="2">
        <f>ff_portfolios25!Z44-ff_factors!$E44</f>
        <v>4.9980999999999998E-2</v>
      </c>
      <c r="AA44" s="2">
        <f>ff_portfolios25!AA44-ff_factors!$E44</f>
        <v>0.127193</v>
      </c>
      <c r="AB44" s="2">
        <f>ff_portfolios25!AB44-ff_factors!$E44</f>
        <v>0.106907</v>
      </c>
    </row>
    <row r="45" spans="1:28" x14ac:dyDescent="0.2">
      <c r="A45">
        <v>19350831</v>
      </c>
      <c r="B45">
        <v>1935</v>
      </c>
      <c r="C45">
        <v>8</v>
      </c>
      <c r="D45" s="2">
        <f>ff_portfolios25!D45-ff_factors!$E45</f>
        <v>6.8746000000000002E-2</v>
      </c>
      <c r="E45" s="2">
        <f>ff_portfolios25!E45-ff_factors!$E45</f>
        <v>-2.875E-3</v>
      </c>
      <c r="F45" s="2">
        <f>ff_portfolios25!F45-ff_factors!$E45</f>
        <v>0.162246</v>
      </c>
      <c r="G45" s="2">
        <f>ff_portfolios25!G45-ff_factors!$E45</f>
        <v>0.14507800000000001</v>
      </c>
      <c r="H45" s="2">
        <f>ff_portfolios25!H45-ff_factors!$E45</f>
        <v>0.19997500000000001</v>
      </c>
      <c r="I45" s="2">
        <f>ff_portfolios25!I45-ff_factors!$E45</f>
        <v>8.6210999999999996E-2</v>
      </c>
      <c r="J45" s="2">
        <f>ff_portfolios25!J45-ff_factors!$E45</f>
        <v>6.1508E-2</v>
      </c>
      <c r="K45" s="2">
        <f>ff_portfolios25!K45-ff_factors!$E45</f>
        <v>5.6710999999999998E-2</v>
      </c>
      <c r="L45" s="2">
        <f>ff_portfolios25!L45-ff_factors!$E45</f>
        <v>0.120216</v>
      </c>
      <c r="M45" s="2">
        <f>ff_portfolios25!M45-ff_factors!$E45</f>
        <v>0.14558300000000002</v>
      </c>
      <c r="N45" s="2">
        <f>ff_portfolios25!N45-ff_factors!$E45</f>
        <v>8.1690000000000009E-3</v>
      </c>
      <c r="O45" s="2">
        <f>ff_portfolios25!O45-ff_factors!$E45</f>
        <v>1.6042000000000001E-2</v>
      </c>
      <c r="P45" s="2">
        <f>ff_portfolios25!P45-ff_factors!$E45</f>
        <v>5.7967999999999999E-2</v>
      </c>
      <c r="Q45" s="2">
        <f>ff_portfolios25!Q45-ff_factors!$E45</f>
        <v>5.9662E-2</v>
      </c>
      <c r="R45" s="2">
        <f>ff_portfolios25!R45-ff_factors!$E45</f>
        <v>0.14263600000000001</v>
      </c>
      <c r="S45" s="2">
        <f>ff_portfolios25!S45-ff_factors!$E45</f>
        <v>7.2629999999999995E-3</v>
      </c>
      <c r="T45" s="2">
        <f>ff_portfolios25!T45-ff_factors!$E45</f>
        <v>3.8554999999999999E-2</v>
      </c>
      <c r="U45" s="2">
        <f>ff_portfolios25!U45-ff_factors!$E45</f>
        <v>3.4168999999999998E-2</v>
      </c>
      <c r="V45" s="2">
        <f>ff_portfolios25!V45-ff_factors!$E45</f>
        <v>2.4819000000000001E-2</v>
      </c>
      <c r="W45" s="2">
        <f>ff_portfolios25!W45-ff_factors!$E45</f>
        <v>5.6912999999999998E-2</v>
      </c>
      <c r="X45" s="2">
        <f>ff_portfolios25!X45-ff_factors!$E45</f>
        <v>2.7372E-2</v>
      </c>
      <c r="Y45" s="2">
        <f>ff_portfolios25!Y45-ff_factors!$E45</f>
        <v>9.6900000000000007E-3</v>
      </c>
      <c r="Z45" s="2">
        <f>ff_portfolios25!Z45-ff_factors!$E45</f>
        <v>2.0048E-2</v>
      </c>
      <c r="AA45" s="2">
        <f>ff_portfolios25!AA45-ff_factors!$E45</f>
        <v>3.6052999999999995E-2</v>
      </c>
      <c r="AB45" s="2">
        <f>ff_portfolios25!AB45-ff_factors!$E45</f>
        <v>5.2969999999999996E-2</v>
      </c>
    </row>
    <row r="46" spans="1:28" x14ac:dyDescent="0.2">
      <c r="A46">
        <v>19350930</v>
      </c>
      <c r="B46">
        <v>1935</v>
      </c>
      <c r="C46">
        <v>9</v>
      </c>
      <c r="D46" s="2">
        <f>ff_portfolios25!D46-ff_factors!$E46</f>
        <v>-9.1431999999999999E-2</v>
      </c>
      <c r="E46" s="2">
        <f>ff_portfolios25!E46-ff_factors!$E46</f>
        <v>0.19864100000000001</v>
      </c>
      <c r="F46" s="2">
        <f>ff_portfolios25!F46-ff_factors!$E46</f>
        <v>4.2769999999999996E-3</v>
      </c>
      <c r="G46" s="2">
        <f>ff_portfolios25!G46-ff_factors!$E46</f>
        <v>8.1112999999999991E-2</v>
      </c>
      <c r="H46" s="2">
        <f>ff_portfolios25!H46-ff_factors!$E46</f>
        <v>-5.6039000000000005E-2</v>
      </c>
      <c r="I46" s="2">
        <f>ff_portfolios25!I46-ff_factors!$E46</f>
        <v>0.105987</v>
      </c>
      <c r="J46" s="2">
        <f>ff_portfolios25!J46-ff_factors!$E46</f>
        <v>5.1038E-2</v>
      </c>
      <c r="K46" s="2">
        <f>ff_portfolios25!K46-ff_factors!$E46</f>
        <v>3.2492E-2</v>
      </c>
      <c r="L46" s="2">
        <f>ff_portfolios25!L46-ff_factors!$E46</f>
        <v>2.9805000000000002E-2</v>
      </c>
      <c r="M46" s="2">
        <f>ff_portfolios25!M46-ff_factors!$E46</f>
        <v>1.9012000000000001E-2</v>
      </c>
      <c r="N46" s="2">
        <f>ff_portfolios25!N46-ff_factors!$E46</f>
        <v>2.3653E-2</v>
      </c>
      <c r="O46" s="2">
        <f>ff_portfolios25!O46-ff_factors!$E46</f>
        <v>7.4131000000000002E-2</v>
      </c>
      <c r="P46" s="2">
        <f>ff_portfolios25!P46-ff_factors!$E46</f>
        <v>5.5702999999999996E-2</v>
      </c>
      <c r="Q46" s="2">
        <f>ff_portfolios25!Q46-ff_factors!$E46</f>
        <v>6.3274999999999998E-2</v>
      </c>
      <c r="R46" s="2">
        <f>ff_portfolios25!R46-ff_factors!$E46</f>
        <v>-7.5637999999999997E-2</v>
      </c>
      <c r="S46" s="2">
        <f>ff_portfolios25!S46-ff_factors!$E46</f>
        <v>3.0006999999999999E-2</v>
      </c>
      <c r="T46" s="2">
        <f>ff_portfolios25!T46-ff_factors!$E46</f>
        <v>2.5840999999999999E-2</v>
      </c>
      <c r="U46" s="2">
        <f>ff_portfolios25!U46-ff_factors!$E46</f>
        <v>1.823E-2</v>
      </c>
      <c r="V46" s="2">
        <f>ff_portfolios25!V46-ff_factors!$E46</f>
        <v>3.3908999999999995E-2</v>
      </c>
      <c r="W46" s="2">
        <f>ff_portfolios25!W46-ff_factors!$E46</f>
        <v>-1.9480000000000001E-3</v>
      </c>
      <c r="X46" s="2">
        <f>ff_portfolios25!X46-ff_factors!$E46</f>
        <v>5.4155999999999996E-2</v>
      </c>
      <c r="Y46" s="2">
        <f>ff_portfolios25!Y46-ff_factors!$E46</f>
        <v>-9.6359999999999987E-3</v>
      </c>
      <c r="Z46" s="2">
        <f>ff_portfolios25!Z46-ff_factors!$E46</f>
        <v>1.4978E-2</v>
      </c>
      <c r="AA46" s="2">
        <f>ff_portfolios25!AA46-ff_factors!$E46</f>
        <v>4.6959999999999997E-3</v>
      </c>
      <c r="AB46" s="2">
        <f>ff_portfolios25!AB46-ff_factors!$E46</f>
        <v>6.7840000000000001E-3</v>
      </c>
    </row>
    <row r="47" spans="1:28" x14ac:dyDescent="0.2">
      <c r="A47">
        <v>19351031</v>
      </c>
      <c r="B47">
        <v>1935</v>
      </c>
      <c r="C47">
        <v>10</v>
      </c>
      <c r="D47" s="2">
        <f>ff_portfolios25!D47-ff_factors!$E47</f>
        <v>0.118146</v>
      </c>
      <c r="E47" s="2">
        <f>ff_portfolios25!E47-ff_factors!$E47</f>
        <v>3.7267999999999996E-2</v>
      </c>
      <c r="F47" s="2">
        <f>ff_portfolios25!F47-ff_factors!$E47</f>
        <v>0.105574</v>
      </c>
      <c r="G47" s="2">
        <f>ff_portfolios25!G47-ff_factors!$E47</f>
        <v>0.13359600000000002</v>
      </c>
      <c r="H47" s="2">
        <f>ff_portfolios25!H47-ff_factors!$E47</f>
        <v>4.5147999999999994E-2</v>
      </c>
      <c r="I47" s="2">
        <f>ff_portfolios25!I47-ff_factors!$E47</f>
        <v>9.2628000000000002E-2</v>
      </c>
      <c r="J47" s="2">
        <f>ff_portfolios25!J47-ff_factors!$E47</f>
        <v>0.13523200000000002</v>
      </c>
      <c r="K47" s="2">
        <f>ff_portfolios25!K47-ff_factors!$E47</f>
        <v>9.4032999999999992E-2</v>
      </c>
      <c r="L47" s="2">
        <f>ff_portfolios25!L47-ff_factors!$E47</f>
        <v>9.2009999999999995E-2</v>
      </c>
      <c r="M47" s="2">
        <f>ff_portfolios25!M47-ff_factors!$E47</f>
        <v>7.749099999999999E-2</v>
      </c>
      <c r="N47" s="2">
        <f>ff_portfolios25!N47-ff_factors!$E47</f>
        <v>9.3331999999999998E-2</v>
      </c>
      <c r="O47" s="2">
        <f>ff_portfolios25!O47-ff_factors!$E47</f>
        <v>9.3322000000000002E-2</v>
      </c>
      <c r="P47" s="2">
        <f>ff_portfolios25!P47-ff_factors!$E47</f>
        <v>0.100161</v>
      </c>
      <c r="Q47" s="2">
        <f>ff_portfolios25!Q47-ff_factors!$E47</f>
        <v>0.101201</v>
      </c>
      <c r="R47" s="2">
        <f>ff_portfolios25!R47-ff_factors!$E47</f>
        <v>7.9940999999999998E-2</v>
      </c>
      <c r="S47" s="2">
        <f>ff_portfolios25!S47-ff_factors!$E47</f>
        <v>6.5801999999999999E-2</v>
      </c>
      <c r="T47" s="2">
        <f>ff_portfolios25!T47-ff_factors!$E47</f>
        <v>7.0970999999999992E-2</v>
      </c>
      <c r="U47" s="2">
        <f>ff_portfolios25!U47-ff_factors!$E47</f>
        <v>5.0296999999999994E-2</v>
      </c>
      <c r="V47" s="2">
        <f>ff_portfolios25!V47-ff_factors!$E47</f>
        <v>0.116177</v>
      </c>
      <c r="W47" s="2">
        <f>ff_portfolios25!W47-ff_factors!$E47</f>
        <v>6.6599999999999993E-2</v>
      </c>
      <c r="X47" s="2">
        <f>ff_portfolios25!X47-ff_factors!$E47</f>
        <v>6.4463999999999994E-2</v>
      </c>
      <c r="Y47" s="2">
        <f>ff_portfolios25!Y47-ff_factors!$E47</f>
        <v>8.5540999999999992E-2</v>
      </c>
      <c r="Z47" s="2">
        <f>ff_portfolios25!Z47-ff_factors!$E47</f>
        <v>7.0651999999999993E-2</v>
      </c>
      <c r="AA47" s="2">
        <f>ff_portfolios25!AA47-ff_factors!$E47</f>
        <v>7.8462999999999991E-2</v>
      </c>
      <c r="AB47" s="2">
        <f>ff_portfolios25!AB47-ff_factors!$E47</f>
        <v>6.2151999999999999E-2</v>
      </c>
    </row>
    <row r="48" spans="1:28" x14ac:dyDescent="0.2">
      <c r="A48">
        <v>19351130</v>
      </c>
      <c r="B48">
        <v>1935</v>
      </c>
      <c r="C48">
        <v>11</v>
      </c>
      <c r="D48" s="2">
        <f>ff_portfolios25!D48-ff_factors!$E48</f>
        <v>0.34623400000000004</v>
      </c>
      <c r="E48" s="2">
        <f>ff_portfolios25!E48-ff_factors!$E48</f>
        <v>0.112053</v>
      </c>
      <c r="F48" s="2">
        <f>ff_portfolios25!F48-ff_factors!$E48</f>
        <v>0.311251</v>
      </c>
      <c r="G48" s="2">
        <f>ff_portfolios25!G48-ff_factors!$E48</f>
        <v>0.19886899999999999</v>
      </c>
      <c r="H48" s="2">
        <f>ff_portfolios25!H48-ff_factors!$E48</f>
        <v>0.41908900000000004</v>
      </c>
      <c r="I48" s="2">
        <f>ff_portfolios25!I48-ff_factors!$E48</f>
        <v>5.9386000000000001E-2</v>
      </c>
      <c r="J48" s="2">
        <f>ff_portfolios25!J48-ff_factors!$E48</f>
        <v>6.0402000000000004E-2</v>
      </c>
      <c r="K48" s="2">
        <f>ff_portfolios25!K48-ff_factors!$E48</f>
        <v>8.8052999999999992E-2</v>
      </c>
      <c r="L48" s="2">
        <f>ff_portfolios25!L48-ff_factors!$E48</f>
        <v>0.128025</v>
      </c>
      <c r="M48" s="2">
        <f>ff_portfolios25!M48-ff_factors!$E48</f>
        <v>0.22462599999999999</v>
      </c>
      <c r="N48" s="2">
        <f>ff_portfolios25!N48-ff_factors!$E48</f>
        <v>0.13861899999999999</v>
      </c>
      <c r="O48" s="2">
        <f>ff_portfolios25!O48-ff_factors!$E48</f>
        <v>8.8987999999999998E-2</v>
      </c>
      <c r="P48" s="2">
        <f>ff_portfolios25!P48-ff_factors!$E48</f>
        <v>7.5517000000000001E-2</v>
      </c>
      <c r="Q48" s="2">
        <f>ff_portfolios25!Q48-ff_factors!$E48</f>
        <v>6.654199999999999E-2</v>
      </c>
      <c r="R48" s="2">
        <f>ff_portfolios25!R48-ff_factors!$E48</f>
        <v>0.153975</v>
      </c>
      <c r="S48" s="2">
        <f>ff_portfolios25!S48-ff_factors!$E48</f>
        <v>3.7312999999999999E-2</v>
      </c>
      <c r="T48" s="2">
        <f>ff_portfolios25!T48-ff_factors!$E48</f>
        <v>3.4210000000000004E-2</v>
      </c>
      <c r="U48" s="2">
        <f>ff_portfolios25!U48-ff_factors!$E48</f>
        <v>5.8174000000000003E-2</v>
      </c>
      <c r="V48" s="2">
        <f>ff_portfolios25!V48-ff_factors!$E48</f>
        <v>8.5789999999999991E-2</v>
      </c>
      <c r="W48" s="2">
        <f>ff_portfolios25!W48-ff_factors!$E48</f>
        <v>0.13025100000000001</v>
      </c>
      <c r="X48" s="2">
        <f>ff_portfolios25!X48-ff_factors!$E48</f>
        <v>2.5764000000000002E-2</v>
      </c>
      <c r="Y48" s="2">
        <f>ff_portfolios25!Y48-ff_factors!$E48</f>
        <v>5.4065000000000002E-2</v>
      </c>
      <c r="Z48" s="2">
        <f>ff_portfolios25!Z48-ff_factors!$E48</f>
        <v>5.6302999999999999E-2</v>
      </c>
      <c r="AA48" s="2">
        <f>ff_portfolios25!AA48-ff_factors!$E48</f>
        <v>6.4119999999999996E-2</v>
      </c>
      <c r="AB48" s="2">
        <f>ff_portfolios25!AB48-ff_factors!$E48</f>
        <v>0.19938600000000001</v>
      </c>
    </row>
    <row r="49" spans="1:28" x14ac:dyDescent="0.2">
      <c r="A49">
        <v>19351231</v>
      </c>
      <c r="B49">
        <v>1935</v>
      </c>
      <c r="C49">
        <v>12</v>
      </c>
      <c r="D49" s="2">
        <f>ff_portfolios25!D49-ff_factors!$E49</f>
        <v>9.3030000000000002E-2</v>
      </c>
      <c r="E49" s="2">
        <f>ff_portfolios25!E49-ff_factors!$E49</f>
        <v>-4.4850000000000001E-2</v>
      </c>
      <c r="F49" s="2">
        <f>ff_portfolios25!F49-ff_factors!$E49</f>
        <v>2.5210000000000002E-3</v>
      </c>
      <c r="G49" s="2">
        <f>ff_portfolios25!G49-ff_factors!$E49</f>
        <v>4.6722999999999994E-2</v>
      </c>
      <c r="H49" s="2">
        <f>ff_portfolios25!H49-ff_factors!$E49</f>
        <v>2.0521000000000001E-2</v>
      </c>
      <c r="I49" s="2">
        <f>ff_portfolios25!I49-ff_factors!$E49</f>
        <v>8.7404999999999997E-2</v>
      </c>
      <c r="J49" s="2">
        <f>ff_portfolios25!J49-ff_factors!$E49</f>
        <v>9.2256999999999992E-2</v>
      </c>
      <c r="K49" s="2">
        <f>ff_portfolios25!K49-ff_factors!$E49</f>
        <v>0.167959</v>
      </c>
      <c r="L49" s="2">
        <f>ff_portfolios25!L49-ff_factors!$E49</f>
        <v>5.6623999999999994E-2</v>
      </c>
      <c r="M49" s="2">
        <f>ff_portfolios25!M49-ff_factors!$E49</f>
        <v>9.1900000000000003E-3</v>
      </c>
      <c r="N49" s="2">
        <f>ff_portfolios25!N49-ff_factors!$E49</f>
        <v>6.2558000000000002E-2</v>
      </c>
      <c r="O49" s="2">
        <f>ff_portfolios25!O49-ff_factors!$E49</f>
        <v>5.9144999999999996E-2</v>
      </c>
      <c r="P49" s="2">
        <f>ff_portfolios25!P49-ff_factors!$E49</f>
        <v>9.3145999999999993E-2</v>
      </c>
      <c r="Q49" s="2">
        <f>ff_portfolios25!Q49-ff_factors!$E49</f>
        <v>9.9225999999999995E-2</v>
      </c>
      <c r="R49" s="2">
        <f>ff_portfolios25!R49-ff_factors!$E49</f>
        <v>0.117398</v>
      </c>
      <c r="S49" s="2">
        <f>ff_portfolios25!S49-ff_factors!$E49</f>
        <v>8.5481000000000001E-2</v>
      </c>
      <c r="T49" s="2">
        <f>ff_portfolios25!T49-ff_factors!$E49</f>
        <v>2.3684E-2</v>
      </c>
      <c r="U49" s="2">
        <f>ff_portfolios25!U49-ff_factors!$E49</f>
        <v>9.2823000000000003E-2</v>
      </c>
      <c r="V49" s="2">
        <f>ff_portfolios25!V49-ff_factors!$E49</f>
        <v>0.13713600000000001</v>
      </c>
      <c r="W49" s="2">
        <f>ff_portfolios25!W49-ff_factors!$E49</f>
        <v>7.0817999999999992E-2</v>
      </c>
      <c r="X49" s="2">
        <f>ff_portfolios25!X49-ff_factors!$E49</f>
        <v>2.3956999999999999E-2</v>
      </c>
      <c r="Y49" s="2">
        <f>ff_portfolios25!Y49-ff_factors!$E49</f>
        <v>4.5711999999999996E-2</v>
      </c>
      <c r="Z49" s="2">
        <f>ff_portfolios25!Z49-ff_factors!$E49</f>
        <v>5.7368999999999996E-2</v>
      </c>
      <c r="AA49" s="2">
        <f>ff_portfolios25!AA49-ff_factors!$E49</f>
        <v>5.8043999999999998E-2</v>
      </c>
      <c r="AB49" s="2">
        <f>ff_portfolios25!AB49-ff_factors!$E49</f>
        <v>8.5720999999999992E-2</v>
      </c>
    </row>
    <row r="50" spans="1:28" x14ac:dyDescent="0.2">
      <c r="A50">
        <v>19360131</v>
      </c>
      <c r="B50">
        <v>1936</v>
      </c>
      <c r="C50">
        <v>1</v>
      </c>
      <c r="D50" s="2">
        <f>ff_portfolios25!D50-ff_factors!$E50</f>
        <v>0.24727700000000002</v>
      </c>
      <c r="E50" s="2">
        <f>ff_portfolios25!E50-ff_factors!$E50</f>
        <v>0.35598600000000002</v>
      </c>
      <c r="F50" s="2">
        <f>ff_portfolios25!F50-ff_factors!$E50</f>
        <v>0.10906399999999999</v>
      </c>
      <c r="G50" s="2">
        <f>ff_portfolios25!G50-ff_factors!$E50</f>
        <v>0.19284100000000001</v>
      </c>
      <c r="H50" s="2">
        <f>ff_portfolios25!H50-ff_factors!$E50</f>
        <v>0.32450499999999999</v>
      </c>
      <c r="I50" s="2">
        <f>ff_portfolios25!I50-ff_factors!$E50</f>
        <v>0.16525700000000001</v>
      </c>
      <c r="J50" s="2">
        <f>ff_portfolios25!J50-ff_factors!$E50</f>
        <v>0.12703</v>
      </c>
      <c r="K50" s="2">
        <f>ff_portfolios25!K50-ff_factors!$E50</f>
        <v>8.004E-2</v>
      </c>
      <c r="L50" s="2">
        <f>ff_portfolios25!L50-ff_factors!$E50</f>
        <v>0.117089</v>
      </c>
      <c r="M50" s="2">
        <f>ff_portfolios25!M50-ff_factors!$E50</f>
        <v>0.275787</v>
      </c>
      <c r="N50" s="2">
        <f>ff_portfolios25!N50-ff_factors!$E50</f>
        <v>4.1439999999999998E-2</v>
      </c>
      <c r="O50" s="2">
        <f>ff_portfolios25!O50-ff_factors!$E50</f>
        <v>9.5210000000000003E-2</v>
      </c>
      <c r="P50" s="2">
        <f>ff_portfolios25!P50-ff_factors!$E50</f>
        <v>9.1602000000000003E-2</v>
      </c>
      <c r="Q50" s="2">
        <f>ff_portfolios25!Q50-ff_factors!$E50</f>
        <v>0.112903</v>
      </c>
      <c r="R50" s="2">
        <f>ff_portfolios25!R50-ff_factors!$E50</f>
        <v>0.11807999999999999</v>
      </c>
      <c r="S50" s="2">
        <f>ff_portfolios25!S50-ff_factors!$E50</f>
        <v>4.1700999999999995E-2</v>
      </c>
      <c r="T50" s="2">
        <f>ff_portfolios25!T50-ff_factors!$E50</f>
        <v>6.4487000000000003E-2</v>
      </c>
      <c r="U50" s="2">
        <f>ff_portfolios25!U50-ff_factors!$E50</f>
        <v>8.7107999999999991E-2</v>
      </c>
      <c r="V50" s="2">
        <f>ff_portfolios25!V50-ff_factors!$E50</f>
        <v>9.6668999999999991E-2</v>
      </c>
      <c r="W50" s="2">
        <f>ff_portfolios25!W50-ff_factors!$E50</f>
        <v>7.6254000000000002E-2</v>
      </c>
      <c r="X50" s="2">
        <f>ff_portfolios25!X50-ff_factors!$E50</f>
        <v>3.2679999999999994E-2</v>
      </c>
      <c r="Y50" s="2">
        <f>ff_portfolios25!Y50-ff_factors!$E50</f>
        <v>5.9208999999999998E-2</v>
      </c>
      <c r="Z50" s="2">
        <f>ff_portfolios25!Z50-ff_factors!$E50</f>
        <v>8.4761000000000003E-2</v>
      </c>
      <c r="AA50" s="2">
        <f>ff_portfolios25!AA50-ff_factors!$E50</f>
        <v>0.136405</v>
      </c>
      <c r="AB50" s="2">
        <f>ff_portfolios25!AB50-ff_factors!$E50</f>
        <v>0.18403800000000001</v>
      </c>
    </row>
    <row r="51" spans="1:28" x14ac:dyDescent="0.2">
      <c r="A51">
        <v>19360229</v>
      </c>
      <c r="B51">
        <v>1936</v>
      </c>
      <c r="C51">
        <v>2</v>
      </c>
      <c r="D51" s="2">
        <f>ff_portfolios25!D51-ff_factors!$E51</f>
        <v>0.11745999999999999</v>
      </c>
      <c r="E51" s="2">
        <f>ff_portfolios25!E51-ff_factors!$E51</f>
        <v>-6.5213000000000007E-2</v>
      </c>
      <c r="F51" s="2">
        <f>ff_portfolios25!F51-ff_factors!$E51</f>
        <v>0.14661000000000002</v>
      </c>
      <c r="G51" s="2">
        <f>ff_portfolios25!G51-ff_factors!$E51</f>
        <v>0.103051</v>
      </c>
      <c r="H51" s="2">
        <f>ff_portfolios25!H51-ff_factors!$E51</f>
        <v>9.2224E-2</v>
      </c>
      <c r="I51" s="2">
        <f>ff_portfolios25!I51-ff_factors!$E51</f>
        <v>1.7691999999999999E-2</v>
      </c>
      <c r="J51" s="2">
        <f>ff_portfolios25!J51-ff_factors!$E51</f>
        <v>6.3992999999999994E-2</v>
      </c>
      <c r="K51" s="2">
        <f>ff_portfolios25!K51-ff_factors!$E51</f>
        <v>6.0902999999999999E-2</v>
      </c>
      <c r="L51" s="2">
        <f>ff_portfolios25!L51-ff_factors!$E51</f>
        <v>7.2558999999999998E-2</v>
      </c>
      <c r="M51" s="2">
        <f>ff_portfolios25!M51-ff_factors!$E51</f>
        <v>3.5334999999999998E-2</v>
      </c>
      <c r="N51" s="2">
        <f>ff_portfolios25!N51-ff_factors!$E51</f>
        <v>1.8695E-2</v>
      </c>
      <c r="O51" s="2">
        <f>ff_portfolios25!O51-ff_factors!$E51</f>
        <v>2.4910999999999999E-2</v>
      </c>
      <c r="P51" s="2">
        <f>ff_portfolios25!P51-ff_factors!$E51</f>
        <v>5.1034999999999997E-2</v>
      </c>
      <c r="Q51" s="2">
        <f>ff_portfolios25!Q51-ff_factors!$E51</f>
        <v>7.9156999999999991E-2</v>
      </c>
      <c r="R51" s="2">
        <f>ff_portfolios25!R51-ff_factors!$E51</f>
        <v>3.8671999999999998E-2</v>
      </c>
      <c r="S51" s="2">
        <f>ff_portfolios25!S51-ff_factors!$E51</f>
        <v>2.6388000000000002E-2</v>
      </c>
      <c r="T51" s="2">
        <f>ff_portfolios25!T51-ff_factors!$E51</f>
        <v>3.4741999999999995E-2</v>
      </c>
      <c r="U51" s="2">
        <f>ff_portfolios25!U51-ff_factors!$E51</f>
        <v>6.0243999999999999E-2</v>
      </c>
      <c r="V51" s="2">
        <f>ff_portfolios25!V51-ff_factors!$E51</f>
        <v>3.4902999999999997E-2</v>
      </c>
      <c r="W51" s="2">
        <f>ff_portfolios25!W51-ff_factors!$E51</f>
        <v>0.10280399999999999</v>
      </c>
      <c r="X51" s="2">
        <f>ff_portfolios25!X51-ff_factors!$E51</f>
        <v>1.9096999999999999E-2</v>
      </c>
      <c r="Y51" s="2">
        <f>ff_portfolios25!Y51-ff_factors!$E51</f>
        <v>1.0274E-2</v>
      </c>
      <c r="Z51" s="2">
        <f>ff_portfolios25!Z51-ff_factors!$E51</f>
        <v>3.9574999999999999E-2</v>
      </c>
      <c r="AA51" s="2">
        <f>ff_portfolios25!AA51-ff_factors!$E51</f>
        <v>3.32E-2</v>
      </c>
      <c r="AB51" s="2">
        <f>ff_portfolios25!AB51-ff_factors!$E51</f>
        <v>2.9728000000000001E-2</v>
      </c>
    </row>
    <row r="52" spans="1:28" x14ac:dyDescent="0.2">
      <c r="A52">
        <v>19360331</v>
      </c>
      <c r="B52">
        <v>1936</v>
      </c>
      <c r="C52">
        <v>3</v>
      </c>
      <c r="D52" s="2">
        <f>ff_portfolios25!D52-ff_factors!$E52</f>
        <v>9.5032999999999992E-2</v>
      </c>
      <c r="E52" s="2">
        <f>ff_portfolios25!E52-ff_factors!$E52</f>
        <v>-1.4546E-2</v>
      </c>
      <c r="F52" s="2">
        <f>ff_portfolios25!F52-ff_factors!$E52</f>
        <v>3.9394999999999999E-2</v>
      </c>
      <c r="G52" s="2">
        <f>ff_portfolios25!G52-ff_factors!$E52</f>
        <v>3.4070000000000003E-2</v>
      </c>
      <c r="H52" s="2">
        <f>ff_portfolios25!H52-ff_factors!$E52</f>
        <v>7.273E-3</v>
      </c>
      <c r="I52" s="2">
        <f>ff_portfolios25!I52-ff_factors!$E52</f>
        <v>-4.6369999999999996E-3</v>
      </c>
      <c r="J52" s="2">
        <f>ff_portfolios25!J52-ff_factors!$E52</f>
        <v>9.6749999999999996E-3</v>
      </c>
      <c r="K52" s="2">
        <f>ff_portfolios25!K52-ff_factors!$E52</f>
        <v>4.1301999999999998E-2</v>
      </c>
      <c r="L52" s="2">
        <f>ff_portfolios25!L52-ff_factors!$E52</f>
        <v>-1.1049E-2</v>
      </c>
      <c r="M52" s="2">
        <f>ff_portfolios25!M52-ff_factors!$E52</f>
        <v>2.9399999999999999E-3</v>
      </c>
      <c r="N52" s="2">
        <f>ff_portfolios25!N52-ff_factors!$E52</f>
        <v>4.3070999999999998E-2</v>
      </c>
      <c r="O52" s="2">
        <f>ff_portfolios25!O52-ff_factors!$E52</f>
        <v>3.4744999999999998E-2</v>
      </c>
      <c r="P52" s="2">
        <f>ff_portfolios25!P52-ff_factors!$E52</f>
        <v>3.5236000000000003E-2</v>
      </c>
      <c r="Q52" s="2">
        <f>ff_portfolios25!Q52-ff_factors!$E52</f>
        <v>3.9463999999999999E-2</v>
      </c>
      <c r="R52" s="2">
        <f>ff_portfolios25!R52-ff_factors!$E52</f>
        <v>1.8481000000000001E-2</v>
      </c>
      <c r="S52" s="2">
        <f>ff_portfolios25!S52-ff_factors!$E52</f>
        <v>-1.6617E-2</v>
      </c>
      <c r="T52" s="2">
        <f>ff_portfolios25!T52-ff_factors!$E52</f>
        <v>2.4740000000000001E-3</v>
      </c>
      <c r="U52" s="2">
        <f>ff_portfolios25!U52-ff_factors!$E52</f>
        <v>1.9520000000000003E-2</v>
      </c>
      <c r="V52" s="2">
        <f>ff_portfolios25!V52-ff_factors!$E52</f>
        <v>2.4720000000000002E-2</v>
      </c>
      <c r="W52" s="2">
        <f>ff_portfolios25!W52-ff_factors!$E52</f>
        <v>-4.5856000000000001E-2</v>
      </c>
      <c r="X52" s="2">
        <f>ff_portfolios25!X52-ff_factors!$E52</f>
        <v>3.5531E-2</v>
      </c>
      <c r="Y52" s="2">
        <f>ff_portfolios25!Y52-ff_factors!$E52</f>
        <v>1.3094E-2</v>
      </c>
      <c r="Z52" s="2">
        <f>ff_portfolios25!Z52-ff_factors!$E52</f>
        <v>-2.2270999999999999E-2</v>
      </c>
      <c r="AA52" s="2">
        <f>ff_portfolios25!AA52-ff_factors!$E52</f>
        <v>2.0554000000000003E-2</v>
      </c>
      <c r="AB52" s="2">
        <f>ff_portfolios25!AB52-ff_factors!$E52</f>
        <v>-3.3981999999999998E-2</v>
      </c>
    </row>
    <row r="53" spans="1:28" x14ac:dyDescent="0.2">
      <c r="A53">
        <v>19360430</v>
      </c>
      <c r="B53">
        <v>1936</v>
      </c>
      <c r="C53">
        <v>4</v>
      </c>
      <c r="D53" s="2">
        <f>ff_portfolios25!D53-ff_factors!$E53</f>
        <v>-0.28481499999999998</v>
      </c>
      <c r="E53" s="2">
        <f>ff_portfolios25!E53-ff_factors!$E53</f>
        <v>-0.25545499999999999</v>
      </c>
      <c r="F53" s="2">
        <f>ff_portfolios25!F53-ff_factors!$E53</f>
        <v>-0.112373</v>
      </c>
      <c r="G53" s="2">
        <f>ff_portfolios25!G53-ff_factors!$E53</f>
        <v>-0.13921700000000001</v>
      </c>
      <c r="H53" s="2">
        <f>ff_portfolios25!H53-ff_factors!$E53</f>
        <v>-0.22619400000000001</v>
      </c>
      <c r="I53" s="2">
        <f>ff_portfolios25!I53-ff_factors!$E53</f>
        <v>-0.19415000000000002</v>
      </c>
      <c r="J53" s="2">
        <f>ff_portfolios25!J53-ff_factors!$E53</f>
        <v>-0.143598</v>
      </c>
      <c r="K53" s="2">
        <f>ff_portfolios25!K53-ff_factors!$E53</f>
        <v>-0.162383</v>
      </c>
      <c r="L53" s="2">
        <f>ff_portfolios25!L53-ff_factors!$E53</f>
        <v>-0.150695</v>
      </c>
      <c r="M53" s="2">
        <f>ff_portfolios25!M53-ff_factors!$E53</f>
        <v>-0.192269</v>
      </c>
      <c r="N53" s="2">
        <f>ff_portfolios25!N53-ff_factors!$E53</f>
        <v>-8.1851000000000007E-2</v>
      </c>
      <c r="O53" s="2">
        <f>ff_portfolios25!O53-ff_factors!$E53</f>
        <v>-0.10125600000000001</v>
      </c>
      <c r="P53" s="2">
        <f>ff_portfolios25!P53-ff_factors!$E53</f>
        <v>-0.124999</v>
      </c>
      <c r="Q53" s="2">
        <f>ff_portfolios25!Q53-ff_factors!$E53</f>
        <v>-0.12524199999999999</v>
      </c>
      <c r="R53" s="2">
        <f>ff_portfolios25!R53-ff_factors!$E53</f>
        <v>-8.7814000000000003E-2</v>
      </c>
      <c r="S53" s="2">
        <f>ff_portfolios25!S53-ff_factors!$E53</f>
        <v>-8.6502000000000009E-2</v>
      </c>
      <c r="T53" s="2">
        <f>ff_portfolios25!T53-ff_factors!$E53</f>
        <v>-9.0551000000000006E-2</v>
      </c>
      <c r="U53" s="2">
        <f>ff_portfolios25!U53-ff_factors!$E53</f>
        <v>-0.11797600000000001</v>
      </c>
      <c r="V53" s="2">
        <f>ff_portfolios25!V53-ff_factors!$E53</f>
        <v>-0.103629</v>
      </c>
      <c r="W53" s="2">
        <f>ff_portfolios25!W53-ff_factors!$E53</f>
        <v>-0.14429400000000001</v>
      </c>
      <c r="X53" s="2">
        <f>ff_portfolios25!X53-ff_factors!$E53</f>
        <v>-6.8752000000000008E-2</v>
      </c>
      <c r="Y53" s="2">
        <f>ff_portfolios25!Y53-ff_factors!$E53</f>
        <v>-8.1751000000000004E-2</v>
      </c>
      <c r="Z53" s="2">
        <f>ff_portfolios25!Z53-ff_factors!$E53</f>
        <v>-6.9450000000000012E-2</v>
      </c>
      <c r="AA53" s="2">
        <f>ff_portfolios25!AA53-ff_factors!$E53</f>
        <v>-0.10683300000000001</v>
      </c>
      <c r="AB53" s="2">
        <f>ff_portfolios25!AB53-ff_factors!$E53</f>
        <v>-8.5797999999999999E-2</v>
      </c>
    </row>
    <row r="54" spans="1:28" x14ac:dyDescent="0.2">
      <c r="A54">
        <v>19360529</v>
      </c>
      <c r="B54">
        <v>1936</v>
      </c>
      <c r="C54">
        <v>5</v>
      </c>
      <c r="D54" s="2">
        <f>ff_portfolios25!D54-ff_factors!$E54</f>
        <v>1.9607000000000003E-2</v>
      </c>
      <c r="E54" s="2">
        <f>ff_portfolios25!E54-ff_factors!$E54</f>
        <v>-6.9821000000000008E-2</v>
      </c>
      <c r="F54" s="2">
        <f>ff_portfolios25!F54-ff_factors!$E54</f>
        <v>5.6176000000000004E-2</v>
      </c>
      <c r="G54" s="2">
        <f>ff_portfolios25!G54-ff_factors!$E54</f>
        <v>8.2841999999999999E-2</v>
      </c>
      <c r="H54" s="2">
        <f>ff_portfolios25!H54-ff_factors!$E54</f>
        <v>6.4410999999999996E-2</v>
      </c>
      <c r="I54" s="2">
        <f>ff_portfolios25!I54-ff_factors!$E54</f>
        <v>5.0515000000000004E-2</v>
      </c>
      <c r="J54" s="2">
        <f>ff_portfolios25!J54-ff_factors!$E54</f>
        <v>4.9530999999999999E-2</v>
      </c>
      <c r="K54" s="2">
        <f>ff_portfolios25!K54-ff_factors!$E54</f>
        <v>6.3708999999999988E-2</v>
      </c>
      <c r="L54" s="2">
        <f>ff_portfolios25!L54-ff_factors!$E54</f>
        <v>5.8696999999999999E-2</v>
      </c>
      <c r="M54" s="2">
        <f>ff_portfolios25!M54-ff_factors!$E54</f>
        <v>6.8557999999999994E-2</v>
      </c>
      <c r="N54" s="2">
        <f>ff_portfolios25!N54-ff_factors!$E54</f>
        <v>1.627E-2</v>
      </c>
      <c r="O54" s="2">
        <f>ff_portfolios25!O54-ff_factors!$E54</f>
        <v>4.7268000000000004E-2</v>
      </c>
      <c r="P54" s="2">
        <f>ff_portfolios25!P54-ff_factors!$E54</f>
        <v>6.7011000000000001E-2</v>
      </c>
      <c r="Q54" s="2">
        <f>ff_portfolios25!Q54-ff_factors!$E54</f>
        <v>3.9996999999999998E-2</v>
      </c>
      <c r="R54" s="2">
        <f>ff_portfolios25!R54-ff_factors!$E54</f>
        <v>0.12353599999999999</v>
      </c>
      <c r="S54" s="2">
        <f>ff_portfolios25!S54-ff_factors!$E54</f>
        <v>5.4121000000000002E-2</v>
      </c>
      <c r="T54" s="2">
        <f>ff_portfolios25!T54-ff_factors!$E54</f>
        <v>1.4884E-2</v>
      </c>
      <c r="U54" s="2">
        <f>ff_portfolios25!U54-ff_factors!$E54</f>
        <v>3.5006000000000002E-2</v>
      </c>
      <c r="V54" s="2">
        <f>ff_portfolios25!V54-ff_factors!$E54</f>
        <v>5.1591999999999999E-2</v>
      </c>
      <c r="W54" s="2">
        <f>ff_portfolios25!W54-ff_factors!$E54</f>
        <v>7.8223999999999988E-2</v>
      </c>
      <c r="X54" s="2">
        <f>ff_portfolios25!X54-ff_factors!$E54</f>
        <v>5.4355000000000001E-2</v>
      </c>
      <c r="Y54" s="2">
        <f>ff_portfolios25!Y54-ff_factors!$E54</f>
        <v>4.9349000000000004E-2</v>
      </c>
      <c r="Z54" s="2">
        <f>ff_portfolios25!Z54-ff_factors!$E54</f>
        <v>4.8070000000000002E-2</v>
      </c>
      <c r="AA54" s="2">
        <f>ff_portfolios25!AA54-ff_factors!$E54</f>
        <v>6.0611999999999999E-2</v>
      </c>
      <c r="AB54" s="2">
        <f>ff_portfolios25!AB54-ff_factors!$E54</f>
        <v>6.8314E-2</v>
      </c>
    </row>
    <row r="55" spans="1:28" x14ac:dyDescent="0.2">
      <c r="A55">
        <v>19360630</v>
      </c>
      <c r="B55">
        <v>1936</v>
      </c>
      <c r="C55">
        <v>6</v>
      </c>
      <c r="D55" s="2">
        <f>ff_portfolios25!D55-ff_factors!$E55</f>
        <v>-3.1770000000000001E-3</v>
      </c>
      <c r="E55" s="2">
        <f>ff_portfolios25!E55-ff_factors!$E55</f>
        <v>4.5789999999999997E-2</v>
      </c>
      <c r="F55" s="2">
        <f>ff_portfolios25!F55-ff_factors!$E55</f>
        <v>-1.3852E-2</v>
      </c>
      <c r="G55" s="2">
        <f>ff_portfolios25!G55-ff_factors!$E55</f>
        <v>-2.3756000000000003E-2</v>
      </c>
      <c r="H55" s="2">
        <f>ff_portfolios25!H55-ff_factors!$E55</f>
        <v>-1.6937000000000001E-2</v>
      </c>
      <c r="I55" s="2">
        <f>ff_portfolios25!I55-ff_factors!$E55</f>
        <v>-2.2335000000000001E-2</v>
      </c>
      <c r="J55" s="2">
        <f>ff_portfolios25!J55-ff_factors!$E55</f>
        <v>1.2434000000000001E-2</v>
      </c>
      <c r="K55" s="2">
        <f>ff_portfolios25!K55-ff_factors!$E55</f>
        <v>-4.0147000000000002E-2</v>
      </c>
      <c r="L55" s="2">
        <f>ff_portfolios25!L55-ff_factors!$E55</f>
        <v>-2.5153000000000002E-2</v>
      </c>
      <c r="M55" s="2">
        <f>ff_portfolios25!M55-ff_factors!$E55</f>
        <v>5.700000000000003E-5</v>
      </c>
      <c r="N55" s="2">
        <f>ff_portfolios25!N55-ff_factors!$E55</f>
        <v>-1.9463000000000001E-2</v>
      </c>
      <c r="O55" s="2">
        <f>ff_portfolios25!O55-ff_factors!$E55</f>
        <v>7.3530000000000002E-3</v>
      </c>
      <c r="P55" s="2">
        <f>ff_portfolios25!P55-ff_factors!$E55</f>
        <v>1.1152E-2</v>
      </c>
      <c r="Q55" s="2">
        <f>ff_portfolios25!Q55-ff_factors!$E55</f>
        <v>3.4583999999999997E-2</v>
      </c>
      <c r="R55" s="2">
        <f>ff_portfolios25!R55-ff_factors!$E55</f>
        <v>-3.0888000000000002E-2</v>
      </c>
      <c r="S55" s="2">
        <f>ff_portfolios25!S55-ff_factors!$E55</f>
        <v>9.7099999999999999E-3</v>
      </c>
      <c r="T55" s="2">
        <f>ff_portfolios25!T55-ff_factors!$E55</f>
        <v>-8.8039999999999993E-3</v>
      </c>
      <c r="U55" s="2">
        <f>ff_portfolios25!U55-ff_factors!$E55</f>
        <v>-1.196E-3</v>
      </c>
      <c r="V55" s="2">
        <f>ff_portfolios25!V55-ff_factors!$E55</f>
        <v>1.6308999999999997E-2</v>
      </c>
      <c r="W55" s="2">
        <f>ff_portfolios25!W55-ff_factors!$E55</f>
        <v>-1.8239000000000002E-2</v>
      </c>
      <c r="X55" s="2">
        <f>ff_portfolios25!X55-ff_factors!$E55</f>
        <v>4.0979999999999996E-2</v>
      </c>
      <c r="Y55" s="2">
        <f>ff_portfolios25!Y55-ff_factors!$E55</f>
        <v>1.8450999999999999E-2</v>
      </c>
      <c r="Z55" s="2">
        <f>ff_portfolios25!Z55-ff_factors!$E55</f>
        <v>2.6747999999999997E-2</v>
      </c>
      <c r="AA55" s="2">
        <f>ff_portfolios25!AA55-ff_factors!$E55</f>
        <v>1.9461999999999997E-2</v>
      </c>
      <c r="AB55" s="2">
        <f>ff_portfolios25!AB55-ff_factors!$E55</f>
        <v>2.1248E-2</v>
      </c>
    </row>
    <row r="56" spans="1:28" x14ac:dyDescent="0.2">
      <c r="A56">
        <v>19360731</v>
      </c>
      <c r="B56">
        <v>1936</v>
      </c>
      <c r="C56">
        <v>7</v>
      </c>
      <c r="D56" s="2">
        <f>ff_portfolios25!D56-ff_factors!$E56</f>
        <v>-5.868E-3</v>
      </c>
      <c r="E56" s="2">
        <f>ff_portfolios25!E56-ff_factors!$E56</f>
        <v>-2.9634000000000001E-2</v>
      </c>
      <c r="F56" s="2">
        <f>ff_portfolios25!F56-ff_factors!$E56</f>
        <v>0.148757</v>
      </c>
      <c r="G56" s="2">
        <f>ff_portfolios25!G56-ff_factors!$E56</f>
        <v>9.4074999999999992E-2</v>
      </c>
      <c r="H56" s="2">
        <f>ff_portfolios25!H56-ff_factors!$E56</f>
        <v>6.6992999999999997E-2</v>
      </c>
      <c r="I56" s="2">
        <f>ff_portfolios25!I56-ff_factors!$E56</f>
        <v>0.107241</v>
      </c>
      <c r="J56" s="2">
        <f>ff_portfolios25!J56-ff_factors!$E56</f>
        <v>0.14313700000000001</v>
      </c>
      <c r="K56" s="2">
        <f>ff_portfolios25!K56-ff_factors!$E56</f>
        <v>9.4933999999999991E-2</v>
      </c>
      <c r="L56" s="2">
        <f>ff_portfolios25!L56-ff_factors!$E56</f>
        <v>6.6821999999999993E-2</v>
      </c>
      <c r="M56" s="2">
        <f>ff_portfolios25!M56-ff_factors!$E56</f>
        <v>3.5665999999999996E-2</v>
      </c>
      <c r="N56" s="2">
        <f>ff_portfolios25!N56-ff_factors!$E56</f>
        <v>7.6593999999999995E-2</v>
      </c>
      <c r="O56" s="2">
        <f>ff_portfolios25!O56-ff_factors!$E56</f>
        <v>9.6611000000000002E-2</v>
      </c>
      <c r="P56" s="2">
        <f>ff_portfolios25!P56-ff_factors!$E56</f>
        <v>6.2736E-2</v>
      </c>
      <c r="Q56" s="2">
        <f>ff_portfolios25!Q56-ff_factors!$E56</f>
        <v>7.9835000000000003E-2</v>
      </c>
      <c r="R56" s="2">
        <f>ff_portfolios25!R56-ff_factors!$E56</f>
        <v>0.15211100000000002</v>
      </c>
      <c r="S56" s="2">
        <f>ff_portfolios25!S56-ff_factors!$E56</f>
        <v>8.1307999999999991E-2</v>
      </c>
      <c r="T56" s="2">
        <f>ff_portfolios25!T56-ff_factors!$E56</f>
        <v>3.4786999999999998E-2</v>
      </c>
      <c r="U56" s="2">
        <f>ff_portfolios25!U56-ff_factors!$E56</f>
        <v>8.0203999999999998E-2</v>
      </c>
      <c r="V56" s="2">
        <f>ff_portfolios25!V56-ff_factors!$E56</f>
        <v>0.111459</v>
      </c>
      <c r="W56" s="2">
        <f>ff_portfolios25!W56-ff_factors!$E56</f>
        <v>0.13741</v>
      </c>
      <c r="X56" s="2">
        <f>ff_portfolios25!X56-ff_factors!$E56</f>
        <v>5.9257999999999998E-2</v>
      </c>
      <c r="Y56" s="2">
        <f>ff_portfolios25!Y56-ff_factors!$E56</f>
        <v>6.1429999999999998E-2</v>
      </c>
      <c r="Z56" s="2">
        <f>ff_portfolios25!Z56-ff_factors!$E56</f>
        <v>5.5317999999999999E-2</v>
      </c>
      <c r="AA56" s="2">
        <f>ff_portfolios25!AA56-ff_factors!$E56</f>
        <v>0.108942</v>
      </c>
      <c r="AB56" s="2">
        <f>ff_portfolios25!AB56-ff_factors!$E56</f>
        <v>9.7750000000000004E-2</v>
      </c>
    </row>
    <row r="57" spans="1:28" x14ac:dyDescent="0.2">
      <c r="A57">
        <v>19360831</v>
      </c>
      <c r="B57">
        <v>1936</v>
      </c>
      <c r="C57">
        <v>8</v>
      </c>
      <c r="D57" s="2">
        <f>ff_portfolios25!D57-ff_factors!$E57</f>
        <v>-3.5765999999999999E-2</v>
      </c>
      <c r="E57" s="2">
        <f>ff_portfolios25!E57-ff_factors!$E57</f>
        <v>-4.9907E-2</v>
      </c>
      <c r="F57" s="2">
        <f>ff_portfolios25!F57-ff_factors!$E57</f>
        <v>5.9165000000000002E-2</v>
      </c>
      <c r="G57" s="2">
        <f>ff_portfolios25!G57-ff_factors!$E57</f>
        <v>3.3152000000000001E-2</v>
      </c>
      <c r="H57" s="2">
        <f>ff_portfolios25!H57-ff_factors!$E57</f>
        <v>2.171E-2</v>
      </c>
      <c r="I57" s="2">
        <f>ff_portfolios25!I57-ff_factors!$E57</f>
        <v>-1.2881E-2</v>
      </c>
      <c r="J57" s="2">
        <f>ff_portfolios25!J57-ff_factors!$E57</f>
        <v>3.5492000000000003E-2</v>
      </c>
      <c r="K57" s="2">
        <f>ff_portfolios25!K57-ff_factors!$E57</f>
        <v>2.0761000000000002E-2</v>
      </c>
      <c r="L57" s="2">
        <f>ff_portfolios25!L57-ff_factors!$E57</f>
        <v>3.2919999999999998E-2</v>
      </c>
      <c r="M57" s="2">
        <f>ff_portfolios25!M57-ff_factors!$E57</f>
        <v>4.5381000000000005E-2</v>
      </c>
      <c r="N57" s="2">
        <f>ff_portfolios25!N57-ff_factors!$E57</f>
        <v>1.3212E-2</v>
      </c>
      <c r="O57" s="2">
        <f>ff_portfolios25!O57-ff_factors!$E57</f>
        <v>8.6929999999999993E-3</v>
      </c>
      <c r="P57" s="2">
        <f>ff_portfolios25!P57-ff_factors!$E57</f>
        <v>4.3049000000000004E-2</v>
      </c>
      <c r="Q57" s="2">
        <f>ff_portfolios25!Q57-ff_factors!$E57</f>
        <v>2.9414000000000003E-2</v>
      </c>
      <c r="R57" s="2">
        <f>ff_portfolios25!R57-ff_factors!$E57</f>
        <v>6.5840999999999997E-2</v>
      </c>
      <c r="S57" s="2">
        <f>ff_portfolios25!S57-ff_factors!$E57</f>
        <v>1.0177E-2</v>
      </c>
      <c r="T57" s="2">
        <f>ff_portfolios25!T57-ff_factors!$E57</f>
        <v>1.6219000000000001E-2</v>
      </c>
      <c r="U57" s="2">
        <f>ff_portfolios25!U57-ff_factors!$E57</f>
        <v>3.4411000000000004E-2</v>
      </c>
      <c r="V57" s="2">
        <f>ff_portfolios25!V57-ff_factors!$E57</f>
        <v>3.1656000000000004E-2</v>
      </c>
      <c r="W57" s="2">
        <f>ff_portfolios25!W57-ff_factors!$E57</f>
        <v>5.3156000000000002E-2</v>
      </c>
      <c r="X57" s="2">
        <f>ff_portfolios25!X57-ff_factors!$E57</f>
        <v>-4.1300000000000001E-4</v>
      </c>
      <c r="Y57" s="2">
        <f>ff_portfolios25!Y57-ff_factors!$E57</f>
        <v>1.0539E-2</v>
      </c>
      <c r="Z57" s="2">
        <f>ff_portfolios25!Z57-ff_factors!$E57</f>
        <v>3.954E-3</v>
      </c>
      <c r="AA57" s="2">
        <f>ff_portfolios25!AA57-ff_factors!$E57</f>
        <v>2.9364000000000001E-2</v>
      </c>
      <c r="AB57" s="2">
        <f>ff_portfolios25!AB57-ff_factors!$E57</f>
        <v>3.7127E-2</v>
      </c>
    </row>
    <row r="58" spans="1:28" x14ac:dyDescent="0.2">
      <c r="A58">
        <v>19360930</v>
      </c>
      <c r="B58">
        <v>1936</v>
      </c>
      <c r="C58">
        <v>9</v>
      </c>
      <c r="D58" s="2">
        <f>ff_portfolios25!D58-ff_factors!$E58</f>
        <v>-1.1214E-2</v>
      </c>
      <c r="E58" s="2">
        <f>ff_portfolios25!E58-ff_factors!$E58</f>
        <v>0.11126999999999999</v>
      </c>
      <c r="F58" s="2">
        <f>ff_portfolios25!F58-ff_factors!$E58</f>
        <v>2.129E-2</v>
      </c>
      <c r="G58" s="2">
        <f>ff_portfolios25!G58-ff_factors!$E58</f>
        <v>6.7502999999999994E-2</v>
      </c>
      <c r="H58" s="2">
        <f>ff_portfolios25!H58-ff_factors!$E58</f>
        <v>5.7701999999999996E-2</v>
      </c>
      <c r="I58" s="2">
        <f>ff_portfolios25!I58-ff_factors!$E58</f>
        <v>4.3584999999999999E-2</v>
      </c>
      <c r="J58" s="2">
        <f>ff_portfolios25!J58-ff_factors!$E58</f>
        <v>3.1321999999999996E-2</v>
      </c>
      <c r="K58" s="2">
        <f>ff_portfolios25!K58-ff_factors!$E58</f>
        <v>2.5855E-2</v>
      </c>
      <c r="L58" s="2">
        <f>ff_portfolios25!L58-ff_factors!$E58</f>
        <v>5.4557999999999995E-2</v>
      </c>
      <c r="M58" s="2">
        <f>ff_portfolios25!M58-ff_factors!$E58</f>
        <v>2.3970000000000002E-2</v>
      </c>
      <c r="N58" s="2">
        <f>ff_portfolios25!N58-ff_factors!$E58</f>
        <v>3.4415999999999995E-2</v>
      </c>
      <c r="O58" s="2">
        <f>ff_portfolios25!O58-ff_factors!$E58</f>
        <v>8.1140000000000014E-3</v>
      </c>
      <c r="P58" s="2">
        <f>ff_portfolios25!P58-ff_factors!$E58</f>
        <v>4.9974999999999999E-2</v>
      </c>
      <c r="Q58" s="2">
        <f>ff_portfolios25!Q58-ff_factors!$E58</f>
        <v>5.9905999999999994E-2</v>
      </c>
      <c r="R58" s="2">
        <f>ff_portfolios25!R58-ff_factors!$E58</f>
        <v>1.3597000000000001E-2</v>
      </c>
      <c r="S58" s="2">
        <f>ff_portfolios25!S58-ff_factors!$E58</f>
        <v>3.2332999999999994E-2</v>
      </c>
      <c r="T58" s="2">
        <f>ff_portfolios25!T58-ff_factors!$E58</f>
        <v>3.5649999999999994E-2</v>
      </c>
      <c r="U58" s="2">
        <f>ff_portfolios25!U58-ff_factors!$E58</f>
        <v>2.7065000000000002E-2</v>
      </c>
      <c r="V58" s="2">
        <f>ff_portfolios25!V58-ff_factors!$E58</f>
        <v>5.522E-3</v>
      </c>
      <c r="W58" s="2">
        <f>ff_portfolios25!W58-ff_factors!$E58</f>
        <v>2.7477999999999999E-2</v>
      </c>
      <c r="X58" s="2">
        <f>ff_portfolios25!X58-ff_factors!$E58</f>
        <v>3.7500000000000003E-3</v>
      </c>
      <c r="Y58" s="2">
        <f>ff_portfolios25!Y58-ff_factors!$E58</f>
        <v>1.3050000000000001E-2</v>
      </c>
      <c r="Z58" s="2">
        <f>ff_portfolios25!Z58-ff_factors!$E58</f>
        <v>7.4469999999999996E-3</v>
      </c>
      <c r="AA58" s="2">
        <f>ff_portfolios25!AA58-ff_factors!$E58</f>
        <v>1.3717E-2</v>
      </c>
      <c r="AB58" s="2">
        <f>ff_portfolios25!AB58-ff_factors!$E58</f>
        <v>-6.0620000000000005E-3</v>
      </c>
    </row>
    <row r="59" spans="1:28" x14ac:dyDescent="0.2">
      <c r="A59">
        <v>19361031</v>
      </c>
      <c r="B59">
        <v>1936</v>
      </c>
      <c r="C59">
        <v>10</v>
      </c>
      <c r="D59" s="2">
        <f>ff_portfolios25!D59-ff_factors!$E59</f>
        <v>0.134821</v>
      </c>
      <c r="E59" s="2">
        <f>ff_portfolios25!E59-ff_factors!$E59</f>
        <v>8.004399999999999E-2</v>
      </c>
      <c r="F59" s="2">
        <f>ff_portfolios25!F59-ff_factors!$E59</f>
        <v>5.9084000000000005E-2</v>
      </c>
      <c r="G59" s="2">
        <f>ff_portfolios25!G59-ff_factors!$E59</f>
        <v>8.245799999999999E-2</v>
      </c>
      <c r="H59" s="2">
        <f>ff_portfolios25!H59-ff_factors!$E59</f>
        <v>7.9962999999999992E-2</v>
      </c>
      <c r="I59" s="2">
        <f>ff_portfolios25!I59-ff_factors!$E59</f>
        <v>1.6050000000000002E-2</v>
      </c>
      <c r="J59" s="2">
        <f>ff_portfolios25!J59-ff_factors!$E59</f>
        <v>5.6904000000000003E-2</v>
      </c>
      <c r="K59" s="2">
        <f>ff_portfolios25!K59-ff_factors!$E59</f>
        <v>9.4676999999999997E-2</v>
      </c>
      <c r="L59" s="2">
        <f>ff_portfolios25!L59-ff_factors!$E59</f>
        <v>8.0398999999999998E-2</v>
      </c>
      <c r="M59" s="2">
        <f>ff_portfolios25!M59-ff_factors!$E59</f>
        <v>7.1877999999999997E-2</v>
      </c>
      <c r="N59" s="2">
        <f>ff_portfolios25!N59-ff_factors!$E59</f>
        <v>4.4514999999999999E-2</v>
      </c>
      <c r="O59" s="2">
        <f>ff_portfolios25!O59-ff_factors!$E59</f>
        <v>2.1288000000000001E-2</v>
      </c>
      <c r="P59" s="2">
        <f>ff_portfolios25!P59-ff_factors!$E59</f>
        <v>8.2036999999999999E-2</v>
      </c>
      <c r="Q59" s="2">
        <f>ff_portfolios25!Q59-ff_factors!$E59</f>
        <v>6.1025000000000003E-2</v>
      </c>
      <c r="R59" s="2">
        <f>ff_portfolios25!R59-ff_factors!$E59</f>
        <v>6.0469000000000002E-2</v>
      </c>
      <c r="S59" s="2">
        <f>ff_portfolios25!S59-ff_factors!$E59</f>
        <v>2.6964000000000002E-2</v>
      </c>
      <c r="T59" s="2">
        <f>ff_portfolios25!T59-ff_factors!$E59</f>
        <v>4.6873999999999999E-2</v>
      </c>
      <c r="U59" s="2">
        <f>ff_portfolios25!U59-ff_factors!$E59</f>
        <v>9.3121999999999996E-2</v>
      </c>
      <c r="V59" s="2">
        <f>ff_portfolios25!V59-ff_factors!$E59</f>
        <v>0.161055</v>
      </c>
      <c r="W59" s="2">
        <f>ff_portfolios25!W59-ff_factors!$E59</f>
        <v>3.5411999999999999E-2</v>
      </c>
      <c r="X59" s="2">
        <f>ff_portfolios25!X59-ff_factors!$E59</f>
        <v>6.9224999999999995E-2</v>
      </c>
      <c r="Y59" s="2">
        <f>ff_portfolios25!Y59-ff_factors!$E59</f>
        <v>4.9293000000000003E-2</v>
      </c>
      <c r="Z59" s="2">
        <f>ff_portfolios25!Z59-ff_factors!$E59</f>
        <v>9.6367999999999995E-2</v>
      </c>
      <c r="AA59" s="2">
        <f>ff_portfolios25!AA59-ff_factors!$E59</f>
        <v>0.104697</v>
      </c>
      <c r="AB59" s="2">
        <f>ff_portfolios25!AB59-ff_factors!$E59</f>
        <v>5.3325999999999998E-2</v>
      </c>
    </row>
    <row r="60" spans="1:28" x14ac:dyDescent="0.2">
      <c r="A60">
        <v>19361130</v>
      </c>
      <c r="B60">
        <v>1936</v>
      </c>
      <c r="C60">
        <v>11</v>
      </c>
      <c r="D60" s="2">
        <f>ff_portfolios25!D60-ff_factors!$E60</f>
        <v>9.8362999999999992E-2</v>
      </c>
      <c r="E60" s="2">
        <f>ff_portfolios25!E60-ff_factors!$E60</f>
        <v>0.20746400000000001</v>
      </c>
      <c r="F60" s="2">
        <f>ff_portfolios25!F60-ff_factors!$E60</f>
        <v>9.2910999999999994E-2</v>
      </c>
      <c r="G60" s="2">
        <f>ff_portfolios25!G60-ff_factors!$E60</f>
        <v>0.150923</v>
      </c>
      <c r="H60" s="2">
        <f>ff_portfolios25!H60-ff_factors!$E60</f>
        <v>0.125945</v>
      </c>
      <c r="I60" s="2">
        <f>ff_portfolios25!I60-ff_factors!$E60</f>
        <v>0.130692</v>
      </c>
      <c r="J60" s="2">
        <f>ff_portfolios25!J60-ff_factors!$E60</f>
        <v>9.7717999999999999E-2</v>
      </c>
      <c r="K60" s="2">
        <f>ff_portfolios25!K60-ff_factors!$E60</f>
        <v>8.5936999999999999E-2</v>
      </c>
      <c r="L60" s="2">
        <f>ff_portfolios25!L60-ff_factors!$E60</f>
        <v>0.119092</v>
      </c>
      <c r="M60" s="2">
        <f>ff_portfolios25!M60-ff_factors!$E60</f>
        <v>0.12282799999999999</v>
      </c>
      <c r="N60" s="2">
        <f>ff_portfolios25!N60-ff_factors!$E60</f>
        <v>8.8037999999999991E-2</v>
      </c>
      <c r="O60" s="2">
        <f>ff_portfolios25!O60-ff_factors!$E60</f>
        <v>8.6718000000000003E-2</v>
      </c>
      <c r="P60" s="2">
        <f>ff_portfolios25!P60-ff_factors!$E60</f>
        <v>9.0754000000000001E-2</v>
      </c>
      <c r="Q60" s="2">
        <f>ff_portfolios25!Q60-ff_factors!$E60</f>
        <v>0.111108</v>
      </c>
      <c r="R60" s="2">
        <f>ff_portfolios25!R60-ff_factors!$E60</f>
        <v>8.0735000000000001E-2</v>
      </c>
      <c r="S60" s="2">
        <f>ff_portfolios25!S60-ff_factors!$E60</f>
        <v>4.7003999999999997E-2</v>
      </c>
      <c r="T60" s="2">
        <f>ff_portfolios25!T60-ff_factors!$E60</f>
        <v>2.6617000000000002E-2</v>
      </c>
      <c r="U60" s="2">
        <f>ff_portfolios25!U60-ff_factors!$E60</f>
        <v>9.1801999999999995E-2</v>
      </c>
      <c r="V60" s="2">
        <f>ff_portfolios25!V60-ff_factors!$E60</f>
        <v>7.9492999999999994E-2</v>
      </c>
      <c r="W60" s="2">
        <f>ff_portfolios25!W60-ff_factors!$E60</f>
        <v>4.1921999999999994E-2</v>
      </c>
      <c r="X60" s="2">
        <f>ff_portfolios25!X60-ff_factors!$E60</f>
        <v>3.0849999999999999E-2</v>
      </c>
      <c r="Y60" s="2">
        <f>ff_portfolios25!Y60-ff_factors!$E60</f>
        <v>3.3319999999999995E-2</v>
      </c>
      <c r="Z60" s="2">
        <f>ff_portfolios25!Z60-ff_factors!$E60</f>
        <v>2.3106000000000002E-2</v>
      </c>
      <c r="AA60" s="2">
        <f>ff_portfolios25!AA60-ff_factors!$E60</f>
        <v>3.14E-3</v>
      </c>
      <c r="AB60" s="2">
        <f>ff_portfolios25!AB60-ff_factors!$E60</f>
        <v>-3.4116E-2</v>
      </c>
    </row>
    <row r="61" spans="1:28" x14ac:dyDescent="0.2">
      <c r="A61">
        <v>19361231</v>
      </c>
      <c r="B61">
        <v>1936</v>
      </c>
      <c r="C61">
        <v>12</v>
      </c>
      <c r="D61" s="2">
        <f>ff_portfolios25!D61-ff_factors!$E61</f>
        <v>-3.8593000000000002E-2</v>
      </c>
      <c r="E61" s="2">
        <f>ff_portfolios25!E61-ff_factors!$E61</f>
        <v>-1.4475999999999999E-2</v>
      </c>
      <c r="F61" s="2">
        <f>ff_portfolios25!F61-ff_factors!$E61</f>
        <v>4.2594E-2</v>
      </c>
      <c r="G61" s="2">
        <f>ff_portfolios25!G61-ff_factors!$E61</f>
        <v>-9.783E-3</v>
      </c>
      <c r="H61" s="2">
        <f>ff_portfolios25!H61-ff_factors!$E61</f>
        <v>3.6063999999999999E-2</v>
      </c>
      <c r="I61" s="2">
        <f>ff_portfolios25!I61-ff_factors!$E61</f>
        <v>2.8001999999999999E-2</v>
      </c>
      <c r="J61" s="2">
        <f>ff_portfolios25!J61-ff_factors!$E61</f>
        <v>2.6488000000000001E-2</v>
      </c>
      <c r="K61" s="2">
        <f>ff_portfolios25!K61-ff_factors!$E61</f>
        <v>1.0687E-2</v>
      </c>
      <c r="L61" s="2">
        <f>ff_portfolios25!L61-ff_factors!$E61</f>
        <v>7.2331000000000006E-2</v>
      </c>
      <c r="M61" s="2">
        <f>ff_portfolios25!M61-ff_factors!$E61</f>
        <v>9.2294000000000001E-2</v>
      </c>
      <c r="N61" s="2">
        <f>ff_portfolios25!N61-ff_factors!$E61</f>
        <v>1.6182999999999999E-2</v>
      </c>
      <c r="O61" s="2">
        <f>ff_portfolios25!O61-ff_factors!$E61</f>
        <v>2.6289E-2</v>
      </c>
      <c r="P61" s="2">
        <f>ff_portfolios25!P61-ff_factors!$E61</f>
        <v>3.8904000000000001E-2</v>
      </c>
      <c r="Q61" s="2">
        <f>ff_portfolios25!Q61-ff_factors!$E61</f>
        <v>1.7684999999999999E-2</v>
      </c>
      <c r="R61" s="2">
        <f>ff_portfolios25!R61-ff_factors!$E61</f>
        <v>6.6198000000000007E-2</v>
      </c>
      <c r="S61" s="2">
        <f>ff_portfolios25!S61-ff_factors!$E61</f>
        <v>7.7879999999999998E-3</v>
      </c>
      <c r="T61" s="2">
        <f>ff_portfolios25!T61-ff_factors!$E61</f>
        <v>1.8064E-2</v>
      </c>
      <c r="U61" s="2">
        <f>ff_portfolios25!U61-ff_factors!$E61</f>
        <v>1.7441000000000002E-2</v>
      </c>
      <c r="V61" s="2">
        <f>ff_portfolios25!V61-ff_factors!$E61</f>
        <v>3.8712999999999997E-2</v>
      </c>
      <c r="W61" s="2">
        <f>ff_portfolios25!W61-ff_factors!$E61</f>
        <v>2.2134000000000001E-2</v>
      </c>
      <c r="X61" s="2">
        <f>ff_portfolios25!X61-ff_factors!$E61</f>
        <v>-2.4261999999999999E-2</v>
      </c>
      <c r="Y61" s="2">
        <f>ff_portfolios25!Y61-ff_factors!$E61</f>
        <v>-6.7190000000000001E-3</v>
      </c>
      <c r="Z61" s="2">
        <f>ff_portfolios25!Z61-ff_factors!$E61</f>
        <v>1.7306999999999999E-2</v>
      </c>
      <c r="AA61" s="2">
        <f>ff_portfolios25!AA61-ff_factors!$E61</f>
        <v>4.8016000000000003E-2</v>
      </c>
      <c r="AB61" s="2">
        <f>ff_portfolios25!AB61-ff_factors!$E61</f>
        <v>-2.6069999999999999E-3</v>
      </c>
    </row>
    <row r="62" spans="1:28" x14ac:dyDescent="0.2">
      <c r="A62">
        <v>19370130</v>
      </c>
      <c r="B62">
        <v>1937</v>
      </c>
      <c r="C62">
        <v>1</v>
      </c>
      <c r="D62" s="2">
        <f>ff_portfolios25!D62-ff_factors!$E62</f>
        <v>0.14952100000000002</v>
      </c>
      <c r="E62" s="2">
        <f>ff_portfolios25!E62-ff_factors!$E62</f>
        <v>1.3022000000000001E-2</v>
      </c>
      <c r="F62" s="2">
        <f>ff_portfolios25!F62-ff_factors!$E62</f>
        <v>0.20613100000000001</v>
      </c>
      <c r="G62" s="2">
        <f>ff_portfolios25!G62-ff_factors!$E62</f>
        <v>9.9472999999999992E-2</v>
      </c>
      <c r="H62" s="2">
        <f>ff_portfolios25!H62-ff_factors!$E62</f>
        <v>0.11304599999999999</v>
      </c>
      <c r="I62" s="2">
        <f>ff_portfolios25!I62-ff_factors!$E62</f>
        <v>0.11249199999999999</v>
      </c>
      <c r="J62" s="2">
        <f>ff_portfolios25!J62-ff_factors!$E62</f>
        <v>7.2845999999999994E-2</v>
      </c>
      <c r="K62" s="2">
        <f>ff_portfolios25!K62-ff_factors!$E62</f>
        <v>4.4457999999999998E-2</v>
      </c>
      <c r="L62" s="2">
        <f>ff_portfolios25!L62-ff_factors!$E62</f>
        <v>7.6186999999999991E-2</v>
      </c>
      <c r="M62" s="2">
        <f>ff_portfolios25!M62-ff_factors!$E62</f>
        <v>9.3562999999999993E-2</v>
      </c>
      <c r="N62" s="2">
        <f>ff_portfolios25!N62-ff_factors!$E62</f>
        <v>5.5187999999999994E-2</v>
      </c>
      <c r="O62" s="2">
        <f>ff_portfolios25!O62-ff_factors!$E62</f>
        <v>3.9426999999999997E-2</v>
      </c>
      <c r="P62" s="2">
        <f>ff_portfolios25!P62-ff_factors!$E62</f>
        <v>7.6963999999999991E-2</v>
      </c>
      <c r="Q62" s="2">
        <f>ff_portfolios25!Q62-ff_factors!$E62</f>
        <v>9.0084999999999998E-2</v>
      </c>
      <c r="R62" s="2">
        <f>ff_portfolios25!R62-ff_factors!$E62</f>
        <v>6.1409999999999999E-2</v>
      </c>
      <c r="S62" s="2">
        <f>ff_portfolios25!S62-ff_factors!$E62</f>
        <v>3.8008E-2</v>
      </c>
      <c r="T62" s="2">
        <f>ff_portfolios25!T62-ff_factors!$E62</f>
        <v>5.6627999999999998E-2</v>
      </c>
      <c r="U62" s="2">
        <f>ff_portfolios25!U62-ff_factors!$E62</f>
        <v>3.3406999999999999E-2</v>
      </c>
      <c r="V62" s="2">
        <f>ff_portfolios25!V62-ff_factors!$E62</f>
        <v>2.8227000000000002E-2</v>
      </c>
      <c r="W62" s="2">
        <f>ff_portfolios25!W62-ff_factors!$E62</f>
        <v>9.6936999999999995E-2</v>
      </c>
      <c r="X62" s="2">
        <f>ff_portfolios25!X62-ff_factors!$E62</f>
        <v>3.7270999999999999E-2</v>
      </c>
      <c r="Y62" s="2">
        <f>ff_portfolios25!Y62-ff_factors!$E62</f>
        <v>3.0537999999999999E-2</v>
      </c>
      <c r="Z62" s="2">
        <f>ff_portfolios25!Z62-ff_factors!$E62</f>
        <v>-2.882E-3</v>
      </c>
      <c r="AA62" s="2">
        <f>ff_portfolios25!AA62-ff_factors!$E62</f>
        <v>3.1282999999999998E-2</v>
      </c>
      <c r="AB62" s="2">
        <f>ff_portfolios25!AB62-ff_factors!$E62</f>
        <v>0.11049199999999999</v>
      </c>
    </row>
    <row r="63" spans="1:28" x14ac:dyDescent="0.2">
      <c r="A63">
        <v>19370227</v>
      </c>
      <c r="B63">
        <v>1937</v>
      </c>
      <c r="C63">
        <v>2</v>
      </c>
      <c r="D63" s="2">
        <f>ff_portfolios25!D63-ff_factors!$E63</f>
        <v>-0.10473300000000001</v>
      </c>
      <c r="E63" s="2">
        <f>ff_portfolios25!E63-ff_factors!$E63</f>
        <v>0.305058</v>
      </c>
      <c r="F63" s="2">
        <f>ff_portfolios25!F63-ff_factors!$E63</f>
        <v>-9.1385000000000008E-2</v>
      </c>
      <c r="G63" s="2">
        <f>ff_portfolios25!G63-ff_factors!$E63</f>
        <v>9.2367999999999992E-2</v>
      </c>
      <c r="H63" s="2">
        <f>ff_portfolios25!H63-ff_factors!$E63</f>
        <v>0.10300899999999999</v>
      </c>
      <c r="I63" s="2">
        <f>ff_portfolios25!I63-ff_factors!$E63</f>
        <v>-2.2251E-2</v>
      </c>
      <c r="J63" s="2">
        <f>ff_portfolios25!J63-ff_factors!$E63</f>
        <v>3.2413999999999998E-2</v>
      </c>
      <c r="K63" s="2">
        <f>ff_portfolios25!K63-ff_factors!$E63</f>
        <v>1.3540999999999999E-2</v>
      </c>
      <c r="L63" s="2">
        <f>ff_portfolios25!L63-ff_factors!$E63</f>
        <v>6.2820000000000003E-3</v>
      </c>
      <c r="M63" s="2">
        <f>ff_portfolios25!M63-ff_factors!$E63</f>
        <v>9.5430000000000001E-2</v>
      </c>
      <c r="N63" s="2">
        <f>ff_portfolios25!N63-ff_factors!$E63</f>
        <v>3.3353000000000001E-2</v>
      </c>
      <c r="O63" s="2">
        <f>ff_portfolios25!O63-ff_factors!$E63</f>
        <v>2.2738000000000001E-2</v>
      </c>
      <c r="P63" s="2">
        <f>ff_portfolios25!P63-ff_factors!$E63</f>
        <v>8.7569999999999992E-3</v>
      </c>
      <c r="Q63" s="2">
        <f>ff_portfolios25!Q63-ff_factors!$E63</f>
        <v>1.5115E-2</v>
      </c>
      <c r="R63" s="2">
        <f>ff_portfolios25!R63-ff_factors!$E63</f>
        <v>7.1640999999999996E-2</v>
      </c>
      <c r="S63" s="2">
        <f>ff_portfolios25!S63-ff_factors!$E63</f>
        <v>1.5127E-2</v>
      </c>
      <c r="T63" s="2">
        <f>ff_portfolios25!T63-ff_factors!$E63</f>
        <v>2.2886E-2</v>
      </c>
      <c r="U63" s="2">
        <f>ff_portfolios25!U63-ff_factors!$E63</f>
        <v>1.8895000000000002E-2</v>
      </c>
      <c r="V63" s="2">
        <f>ff_portfolios25!V63-ff_factors!$E63</f>
        <v>2.0922E-2</v>
      </c>
      <c r="W63" s="2">
        <f>ff_portfolios25!W63-ff_factors!$E63</f>
        <v>0.103697</v>
      </c>
      <c r="X63" s="2">
        <f>ff_portfolios25!X63-ff_factors!$E63</f>
        <v>-4.3109999999999997E-3</v>
      </c>
      <c r="Y63" s="2">
        <f>ff_portfolios25!Y63-ff_factors!$E63</f>
        <v>-1.27E-4</v>
      </c>
      <c r="Z63" s="2">
        <f>ff_portfolios25!Z63-ff_factors!$E63</f>
        <v>7.424E-3</v>
      </c>
      <c r="AA63" s="2">
        <f>ff_portfolios25!AA63-ff_factors!$E63</f>
        <v>2.6017000000000002E-2</v>
      </c>
      <c r="AB63" s="2">
        <f>ff_portfolios25!AB63-ff_factors!$E63</f>
        <v>9.9471999999999991E-2</v>
      </c>
    </row>
    <row r="64" spans="1:28" x14ac:dyDescent="0.2">
      <c r="A64">
        <v>19370331</v>
      </c>
      <c r="B64">
        <v>1937</v>
      </c>
      <c r="C64">
        <v>3</v>
      </c>
      <c r="D64" s="2">
        <f>ff_portfolios25!D64-ff_factors!$E64</f>
        <v>-9.9325999999999998E-2</v>
      </c>
      <c r="E64" s="2">
        <f>ff_portfolios25!E64-ff_factors!$E64</f>
        <v>-0.17727199999999999</v>
      </c>
      <c r="F64" s="2">
        <f>ff_portfolios25!F64-ff_factors!$E64</f>
        <v>6.7699999999999996E-2</v>
      </c>
      <c r="G64" s="2">
        <f>ff_portfolios25!G64-ff_factors!$E64</f>
        <v>-9.4199999999999996E-3</v>
      </c>
      <c r="H64" s="2">
        <f>ff_portfolios25!H64-ff_factors!$E64</f>
        <v>4.0877999999999998E-2</v>
      </c>
      <c r="I64" s="2">
        <f>ff_portfolios25!I64-ff_factors!$E64</f>
        <v>-2.9776999999999998E-2</v>
      </c>
      <c r="J64" s="2">
        <f>ff_portfolios25!J64-ff_factors!$E64</f>
        <v>-3.1958E-2</v>
      </c>
      <c r="K64" s="2">
        <f>ff_portfolios25!K64-ff_factors!$E64</f>
        <v>-5.1700000000000001E-3</v>
      </c>
      <c r="L64" s="2">
        <f>ff_portfolios25!L64-ff_factors!$E64</f>
        <v>2.5418E-2</v>
      </c>
      <c r="M64" s="2">
        <f>ff_portfolios25!M64-ff_factors!$E64</f>
        <v>8.4530000000000004E-3</v>
      </c>
      <c r="N64" s="2">
        <f>ff_portfolios25!N64-ff_factors!$E64</f>
        <v>-2.7144999999999999E-2</v>
      </c>
      <c r="O64" s="2">
        <f>ff_portfolios25!O64-ff_factors!$E64</f>
        <v>-1.4718E-2</v>
      </c>
      <c r="P64" s="2">
        <f>ff_portfolios25!P64-ff_factors!$E64</f>
        <v>7.0049999999999999E-3</v>
      </c>
      <c r="Q64" s="2">
        <f>ff_portfolios25!Q64-ff_factors!$E64</f>
        <v>-2.0927999999999999E-2</v>
      </c>
      <c r="R64" s="2">
        <f>ff_portfolios25!R64-ff_factors!$E64</f>
        <v>5.4598999999999995E-2</v>
      </c>
      <c r="S64" s="2">
        <f>ff_portfolios25!S64-ff_factors!$E64</f>
        <v>-2.5617000000000001E-2</v>
      </c>
      <c r="T64" s="2">
        <f>ff_portfolios25!T64-ff_factors!$E64</f>
        <v>5.5799999999999999E-3</v>
      </c>
      <c r="U64" s="2">
        <f>ff_portfolios25!U64-ff_factors!$E64</f>
        <v>1.6244000000000001E-2</v>
      </c>
      <c r="V64" s="2">
        <f>ff_portfolios25!V64-ff_factors!$E64</f>
        <v>-3.9960000000000004E-3</v>
      </c>
      <c r="W64" s="2">
        <f>ff_portfolios25!W64-ff_factors!$E64</f>
        <v>0.12715300000000002</v>
      </c>
      <c r="X64" s="2">
        <f>ff_portfolios25!X64-ff_factors!$E64</f>
        <v>-1.9847E-2</v>
      </c>
      <c r="Y64" s="2">
        <f>ff_portfolios25!Y64-ff_factors!$E64</f>
        <v>-2.2055999999999999E-2</v>
      </c>
      <c r="Z64" s="2">
        <f>ff_portfolios25!Z64-ff_factors!$E64</f>
        <v>2.0790000000000001E-3</v>
      </c>
      <c r="AA64" s="2">
        <f>ff_portfolios25!AA64-ff_factors!$E64</f>
        <v>3.3611999999999996E-2</v>
      </c>
      <c r="AB64" s="2">
        <f>ff_portfolios25!AB64-ff_factors!$E64</f>
        <v>7.4443999999999996E-2</v>
      </c>
    </row>
    <row r="65" spans="1:28" x14ac:dyDescent="0.2">
      <c r="A65">
        <v>19370430</v>
      </c>
      <c r="B65">
        <v>1937</v>
      </c>
      <c r="C65">
        <v>4</v>
      </c>
      <c r="D65" s="2">
        <f>ff_portfolios25!D65-ff_factors!$E65</f>
        <v>-0.19597699999999998</v>
      </c>
      <c r="E65" s="2">
        <f>ff_portfolios25!E65-ff_factors!$E65</f>
        <v>-0.20791099999999998</v>
      </c>
      <c r="F65" s="2">
        <f>ff_portfolios25!F65-ff_factors!$E65</f>
        <v>-0.184475</v>
      </c>
      <c r="G65" s="2">
        <f>ff_portfolios25!G65-ff_factors!$E65</f>
        <v>-0.12904299999999999</v>
      </c>
      <c r="H65" s="2">
        <f>ff_portfolios25!H65-ff_factors!$E65</f>
        <v>-0.18040899999999999</v>
      </c>
      <c r="I65" s="2">
        <f>ff_portfolios25!I65-ff_factors!$E65</f>
        <v>-9.1462999999999989E-2</v>
      </c>
      <c r="J65" s="2">
        <f>ff_portfolios25!J65-ff_factors!$E65</f>
        <v>-0.109166</v>
      </c>
      <c r="K65" s="2">
        <f>ff_portfolios25!K65-ff_factors!$E65</f>
        <v>-0.11567899999999999</v>
      </c>
      <c r="L65" s="2">
        <f>ff_portfolios25!L65-ff_factors!$E65</f>
        <v>-0.15026799999999998</v>
      </c>
      <c r="M65" s="2">
        <f>ff_portfolios25!M65-ff_factors!$E65</f>
        <v>-0.139959</v>
      </c>
      <c r="N65" s="2">
        <f>ff_portfolios25!N65-ff_factors!$E65</f>
        <v>-8.0507999999999996E-2</v>
      </c>
      <c r="O65" s="2">
        <f>ff_portfolios25!O65-ff_factors!$E65</f>
        <v>-9.2830999999999997E-2</v>
      </c>
      <c r="P65" s="2">
        <f>ff_portfolios25!P65-ff_factors!$E65</f>
        <v>-6.7246E-2</v>
      </c>
      <c r="Q65" s="2">
        <f>ff_portfolios25!Q65-ff_factors!$E65</f>
        <v>-8.5651999999999992E-2</v>
      </c>
      <c r="R65" s="2">
        <f>ff_portfolios25!R65-ff_factors!$E65</f>
        <v>-0.102698</v>
      </c>
      <c r="S65" s="2">
        <f>ff_portfolios25!S65-ff_factors!$E65</f>
        <v>-6.9681999999999994E-2</v>
      </c>
      <c r="T65" s="2">
        <f>ff_portfolios25!T65-ff_factors!$E65</f>
        <v>-8.3951999999999999E-2</v>
      </c>
      <c r="U65" s="2">
        <f>ff_portfolios25!U65-ff_factors!$E65</f>
        <v>-9.8381999999999997E-2</v>
      </c>
      <c r="V65" s="2">
        <f>ff_portfolios25!V65-ff_factors!$E65</f>
        <v>-0.14097699999999999</v>
      </c>
      <c r="W65" s="2">
        <f>ff_portfolios25!W65-ff_factors!$E65</f>
        <v>-0.11422299999999999</v>
      </c>
      <c r="X65" s="2">
        <f>ff_portfolios25!X65-ff_factors!$E65</f>
        <v>-6.9724999999999995E-2</v>
      </c>
      <c r="Y65" s="2">
        <f>ff_portfolios25!Y65-ff_factors!$E65</f>
        <v>-4.9450000000000001E-2</v>
      </c>
      <c r="Z65" s="2">
        <f>ff_portfolios25!Z65-ff_factors!$E65</f>
        <v>-6.2657000000000004E-2</v>
      </c>
      <c r="AA65" s="2">
        <f>ff_portfolios25!AA65-ff_factors!$E65</f>
        <v>-7.4699000000000002E-2</v>
      </c>
      <c r="AB65" s="2">
        <f>ff_portfolios25!AB65-ff_factors!$E65</f>
        <v>-0.101309</v>
      </c>
    </row>
    <row r="66" spans="1:28" x14ac:dyDescent="0.2">
      <c r="A66">
        <v>19370528</v>
      </c>
      <c r="B66">
        <v>1937</v>
      </c>
      <c r="C66">
        <v>5</v>
      </c>
      <c r="D66" s="2">
        <f>ff_portfolios25!D66-ff_factors!$E66</f>
        <v>-5.4726000000000004E-2</v>
      </c>
      <c r="E66" s="2">
        <f>ff_portfolios25!E66-ff_factors!$E66</f>
        <v>-0.13868999999999998</v>
      </c>
      <c r="F66" s="2">
        <f>ff_portfolios25!F66-ff_factors!$E66</f>
        <v>-2.0590000000000001E-2</v>
      </c>
      <c r="G66" s="2">
        <f>ff_portfolios25!G66-ff_factors!$E66</f>
        <v>-1.0961E-2</v>
      </c>
      <c r="H66" s="2">
        <f>ff_portfolios25!H66-ff_factors!$E66</f>
        <v>-3.8447000000000002E-2</v>
      </c>
      <c r="I66" s="2">
        <f>ff_portfolios25!I66-ff_factors!$E66</f>
        <v>-5.4039999999999999E-3</v>
      </c>
      <c r="J66" s="2">
        <f>ff_portfolios25!J66-ff_factors!$E66</f>
        <v>-8.4159999999999999E-3</v>
      </c>
      <c r="K66" s="2">
        <f>ff_portfolios25!K66-ff_factors!$E66</f>
        <v>-2.8974E-2</v>
      </c>
      <c r="L66" s="2">
        <f>ff_portfolios25!L66-ff_factors!$E66</f>
        <v>-2.844E-2</v>
      </c>
      <c r="M66" s="2">
        <f>ff_portfolios25!M66-ff_factors!$E66</f>
        <v>-7.7911000000000008E-2</v>
      </c>
      <c r="N66" s="2">
        <f>ff_portfolios25!N66-ff_factors!$E66</f>
        <v>-1.061E-2</v>
      </c>
      <c r="O66" s="2">
        <f>ff_portfolios25!O66-ff_factors!$E66</f>
        <v>-2.1974E-2</v>
      </c>
      <c r="P66" s="2">
        <f>ff_portfolios25!P66-ff_factors!$E66</f>
        <v>-3.2680000000000001E-2</v>
      </c>
      <c r="Q66" s="2">
        <f>ff_portfolios25!Q66-ff_factors!$E66</f>
        <v>-5.5769999999999995E-3</v>
      </c>
      <c r="R66" s="2">
        <f>ff_portfolios25!R66-ff_factors!$E66</f>
        <v>-3.1691000000000004E-2</v>
      </c>
      <c r="S66" s="2">
        <f>ff_portfolios25!S66-ff_factors!$E66</f>
        <v>-8.7670000000000005E-3</v>
      </c>
      <c r="T66" s="2">
        <f>ff_portfolios25!T66-ff_factors!$E66</f>
        <v>-1.3568E-2</v>
      </c>
      <c r="U66" s="2">
        <f>ff_portfolios25!U66-ff_factors!$E66</f>
        <v>-2.4694000000000001E-2</v>
      </c>
      <c r="V66" s="2">
        <f>ff_portfolios25!V66-ff_factors!$E66</f>
        <v>-2.7470000000000001E-2</v>
      </c>
      <c r="W66" s="2">
        <f>ff_portfolios25!W66-ff_factors!$E66</f>
        <v>-1.5720000000000001E-2</v>
      </c>
      <c r="X66" s="2">
        <f>ff_portfolios25!X66-ff_factors!$E66</f>
        <v>6.2840000000000005E-3</v>
      </c>
      <c r="Y66" s="2">
        <f>ff_portfolios25!Y66-ff_factors!$E66</f>
        <v>-2.5349E-2</v>
      </c>
      <c r="Z66" s="2">
        <f>ff_portfolios25!Z66-ff_factors!$E66</f>
        <v>3.1870000000000002E-3</v>
      </c>
      <c r="AA66" s="2">
        <f>ff_portfolios25!AA66-ff_factors!$E66</f>
        <v>-2.724E-2</v>
      </c>
      <c r="AB66" s="2">
        <f>ff_portfolios25!AB66-ff_factors!$E66</f>
        <v>-2.8166E-2</v>
      </c>
    </row>
    <row r="67" spans="1:28" x14ac:dyDescent="0.2">
      <c r="A67">
        <v>19370630</v>
      </c>
      <c r="B67">
        <v>1937</v>
      </c>
      <c r="C67">
        <v>6</v>
      </c>
      <c r="D67" s="2">
        <f>ff_portfolios25!D67-ff_factors!$E67</f>
        <v>-0.124196</v>
      </c>
      <c r="E67" s="2">
        <f>ff_portfolios25!E67-ff_factors!$E67</f>
        <v>-6.1588000000000004E-2</v>
      </c>
      <c r="F67" s="2">
        <f>ff_portfolios25!F67-ff_factors!$E67</f>
        <v>-0.15421699999999999</v>
      </c>
      <c r="G67" s="2">
        <f>ff_portfolios25!G67-ff_factors!$E67</f>
        <v>-9.2711999999999989E-2</v>
      </c>
      <c r="H67" s="2">
        <f>ff_portfolios25!H67-ff_factors!$E67</f>
        <v>-0.13914299999999999</v>
      </c>
      <c r="I67" s="2">
        <f>ff_portfolios25!I67-ff_factors!$E67</f>
        <v>-8.1535999999999997E-2</v>
      </c>
      <c r="J67" s="2">
        <f>ff_portfolios25!J67-ff_factors!$E67</f>
        <v>-7.5843999999999995E-2</v>
      </c>
      <c r="K67" s="2">
        <f>ff_portfolios25!K67-ff_factors!$E67</f>
        <v>-5.4762999999999999E-2</v>
      </c>
      <c r="L67" s="2">
        <f>ff_portfolios25!L67-ff_factors!$E67</f>
        <v>-7.8048999999999993E-2</v>
      </c>
      <c r="M67" s="2">
        <f>ff_portfolios25!M67-ff_factors!$E67</f>
        <v>-0.15074099999999999</v>
      </c>
      <c r="N67" s="2">
        <f>ff_portfolios25!N67-ff_factors!$E67</f>
        <v>-5.8784000000000003E-2</v>
      </c>
      <c r="O67" s="2">
        <f>ff_portfolios25!O67-ff_factors!$E67</f>
        <v>-6.500199999999999E-2</v>
      </c>
      <c r="P67" s="2">
        <f>ff_portfolios25!P67-ff_factors!$E67</f>
        <v>-5.7847000000000003E-2</v>
      </c>
      <c r="Q67" s="2">
        <f>ff_portfolios25!Q67-ff_factors!$E67</f>
        <v>-7.3671E-2</v>
      </c>
      <c r="R67" s="2">
        <f>ff_portfolios25!R67-ff_factors!$E67</f>
        <v>-8.5577E-2</v>
      </c>
      <c r="S67" s="2">
        <f>ff_portfolios25!S67-ff_factors!$E67</f>
        <v>-3.6042000000000005E-2</v>
      </c>
      <c r="T67" s="2">
        <f>ff_portfolios25!T67-ff_factors!$E67</f>
        <v>-6.2981999999999996E-2</v>
      </c>
      <c r="U67" s="2">
        <f>ff_portfolios25!U67-ff_factors!$E67</f>
        <v>-4.8586999999999998E-2</v>
      </c>
      <c r="V67" s="2">
        <f>ff_portfolios25!V67-ff_factors!$E67</f>
        <v>-6.5079999999999999E-2</v>
      </c>
      <c r="W67" s="2">
        <f>ff_portfolios25!W67-ff_factors!$E67</f>
        <v>-0.110789</v>
      </c>
      <c r="X67" s="2">
        <f>ff_portfolios25!X67-ff_factors!$E67</f>
        <v>-4.5123000000000003E-2</v>
      </c>
      <c r="Y67" s="2">
        <f>ff_portfolios25!Y67-ff_factors!$E67</f>
        <v>-1.8385000000000002E-2</v>
      </c>
      <c r="Z67" s="2">
        <f>ff_portfolios25!Z67-ff_factors!$E67</f>
        <v>-2.2257000000000002E-2</v>
      </c>
      <c r="AA67" s="2">
        <f>ff_portfolios25!AA67-ff_factors!$E67</f>
        <v>-4.5115000000000002E-2</v>
      </c>
      <c r="AB67" s="2">
        <f>ff_portfolios25!AB67-ff_factors!$E67</f>
        <v>-7.7331999999999998E-2</v>
      </c>
    </row>
    <row r="68" spans="1:28" x14ac:dyDescent="0.2">
      <c r="A68">
        <v>19370731</v>
      </c>
      <c r="B68">
        <v>1937</v>
      </c>
      <c r="C68">
        <v>7</v>
      </c>
      <c r="D68" s="2">
        <f>ff_portfolios25!D68-ff_factors!$E68</f>
        <v>0.131712</v>
      </c>
      <c r="E68" s="2">
        <f>ff_portfolios25!E68-ff_factors!$E68</f>
        <v>0.11604500000000001</v>
      </c>
      <c r="F68" s="2">
        <f>ff_portfolios25!F68-ff_factors!$E68</f>
        <v>0.135134</v>
      </c>
      <c r="G68" s="2">
        <f>ff_portfolios25!G68-ff_factors!$E68</f>
        <v>0.11607500000000001</v>
      </c>
      <c r="H68" s="2">
        <f>ff_portfolios25!H68-ff_factors!$E68</f>
        <v>0.11058900000000001</v>
      </c>
      <c r="I68" s="2">
        <f>ff_portfolios25!I68-ff_factors!$E68</f>
        <v>0.120148</v>
      </c>
      <c r="J68" s="2">
        <f>ff_portfolios25!J68-ff_factors!$E68</f>
        <v>0.11085200000000001</v>
      </c>
      <c r="K68" s="2">
        <f>ff_portfolios25!K68-ff_factors!$E68</f>
        <v>9.0020000000000003E-2</v>
      </c>
      <c r="L68" s="2">
        <f>ff_portfolios25!L68-ff_factors!$E68</f>
        <v>9.3573000000000003E-2</v>
      </c>
      <c r="M68" s="2">
        <f>ff_portfolios25!M68-ff_factors!$E68</f>
        <v>9.2936000000000005E-2</v>
      </c>
      <c r="N68" s="2">
        <f>ff_portfolios25!N68-ff_factors!$E68</f>
        <v>8.3709000000000006E-2</v>
      </c>
      <c r="O68" s="2">
        <f>ff_portfolios25!O68-ff_factors!$E68</f>
        <v>0.12113600000000001</v>
      </c>
      <c r="P68" s="2">
        <f>ff_portfolios25!P68-ff_factors!$E68</f>
        <v>6.6496E-2</v>
      </c>
      <c r="Q68" s="2">
        <f>ff_portfolios25!Q68-ff_factors!$E68</f>
        <v>7.4714000000000003E-2</v>
      </c>
      <c r="R68" s="2">
        <f>ff_portfolios25!R68-ff_factors!$E68</f>
        <v>0.10115400000000001</v>
      </c>
      <c r="S68" s="2">
        <f>ff_portfolios25!S68-ff_factors!$E68</f>
        <v>7.7942999999999998E-2</v>
      </c>
      <c r="T68" s="2">
        <f>ff_portfolios25!T68-ff_factors!$E68</f>
        <v>9.0085999999999999E-2</v>
      </c>
      <c r="U68" s="2">
        <f>ff_portfolios25!U68-ff_factors!$E68</f>
        <v>7.3308999999999999E-2</v>
      </c>
      <c r="V68" s="2">
        <f>ff_portfolios25!V68-ff_factors!$E68</f>
        <v>0.101367</v>
      </c>
      <c r="W68" s="2">
        <f>ff_portfolios25!W68-ff_factors!$E68</f>
        <v>8.0151E-2</v>
      </c>
      <c r="X68" s="2">
        <f>ff_portfolios25!X68-ff_factors!$E68</f>
        <v>8.6651000000000006E-2</v>
      </c>
      <c r="Y68" s="2">
        <f>ff_portfolios25!Y68-ff_factors!$E68</f>
        <v>0.10731600000000001</v>
      </c>
      <c r="Z68" s="2">
        <f>ff_portfolios25!Z68-ff_factors!$E68</f>
        <v>6.9439000000000001E-2</v>
      </c>
      <c r="AA68" s="2">
        <f>ff_portfolios25!AA68-ff_factors!$E68</f>
        <v>0.10726200000000001</v>
      </c>
      <c r="AB68" s="2">
        <f>ff_portfolios25!AB68-ff_factors!$E68</f>
        <v>0.11155100000000001</v>
      </c>
    </row>
    <row r="69" spans="1:28" x14ac:dyDescent="0.2">
      <c r="A69">
        <v>19370831</v>
      </c>
      <c r="B69">
        <v>1937</v>
      </c>
      <c r="C69">
        <v>8</v>
      </c>
      <c r="D69" s="2">
        <f>ff_portfolios25!D69-ff_factors!$E69</f>
        <v>-4.5985999999999999E-2</v>
      </c>
      <c r="E69" s="2">
        <f>ff_portfolios25!E69-ff_factors!$E69</f>
        <v>-9.3956999999999999E-2</v>
      </c>
      <c r="F69" s="2">
        <f>ff_portfolios25!F69-ff_factors!$E69</f>
        <v>-0.102812</v>
      </c>
      <c r="G69" s="2">
        <f>ff_portfolios25!G69-ff_factors!$E69</f>
        <v>-5.1271999999999998E-2</v>
      </c>
      <c r="H69" s="2">
        <f>ff_portfolios25!H69-ff_factors!$E69</f>
        <v>-6.4768000000000006E-2</v>
      </c>
      <c r="I69" s="2">
        <f>ff_portfolios25!I69-ff_factors!$E69</f>
        <v>-7.6874999999999999E-2</v>
      </c>
      <c r="J69" s="2">
        <f>ff_portfolios25!J69-ff_factors!$E69</f>
        <v>-5.595E-2</v>
      </c>
      <c r="K69" s="2">
        <f>ff_portfolios25!K69-ff_factors!$E69</f>
        <v>-3.6996000000000001E-2</v>
      </c>
      <c r="L69" s="2">
        <f>ff_portfolios25!L69-ff_factors!$E69</f>
        <v>-5.6099999999999997E-2</v>
      </c>
      <c r="M69" s="2">
        <f>ff_portfolios25!M69-ff_factors!$E69</f>
        <v>-3.4314999999999998E-2</v>
      </c>
      <c r="N69" s="2">
        <f>ff_portfolios25!N69-ff_factors!$E69</f>
        <v>-3.2285000000000001E-2</v>
      </c>
      <c r="O69" s="2">
        <f>ff_portfolios25!O69-ff_factors!$E69</f>
        <v>-5.8054000000000001E-2</v>
      </c>
      <c r="P69" s="2">
        <f>ff_portfolios25!P69-ff_factors!$E69</f>
        <v>-5.2823999999999996E-2</v>
      </c>
      <c r="Q69" s="2">
        <f>ff_portfolios25!Q69-ff_factors!$E69</f>
        <v>-3.6802999999999995E-2</v>
      </c>
      <c r="R69" s="2">
        <f>ff_portfolios25!R69-ff_factors!$E69</f>
        <v>-7.068300000000001E-2</v>
      </c>
      <c r="S69" s="2">
        <f>ff_portfolios25!S69-ff_factors!$E69</f>
        <v>-4.2851E-2</v>
      </c>
      <c r="T69" s="2">
        <f>ff_portfolios25!T69-ff_factors!$E69</f>
        <v>-3.3854999999999996E-2</v>
      </c>
      <c r="U69" s="2">
        <f>ff_portfolios25!U69-ff_factors!$E69</f>
        <v>-3.9423E-2</v>
      </c>
      <c r="V69" s="2">
        <f>ff_portfolios25!V69-ff_factors!$E69</f>
        <v>-5.6913999999999999E-2</v>
      </c>
      <c r="W69" s="2">
        <f>ff_portfolios25!W69-ff_factors!$E69</f>
        <v>-7.8561000000000006E-2</v>
      </c>
      <c r="X69" s="2">
        <f>ff_portfolios25!X69-ff_factors!$E69</f>
        <v>-3.0114999999999999E-2</v>
      </c>
      <c r="Y69" s="2">
        <f>ff_portfolios25!Y69-ff_factors!$E69</f>
        <v>-6.7084000000000005E-2</v>
      </c>
      <c r="Z69" s="2">
        <f>ff_portfolios25!Z69-ff_factors!$E69</f>
        <v>-5.0842999999999999E-2</v>
      </c>
      <c r="AA69" s="2">
        <f>ff_portfolios25!AA69-ff_factors!$E69</f>
        <v>-6.0809999999999996E-2</v>
      </c>
      <c r="AB69" s="2">
        <f>ff_portfolios25!AB69-ff_factors!$E69</f>
        <v>-8.1268000000000007E-2</v>
      </c>
    </row>
    <row r="70" spans="1:28" x14ac:dyDescent="0.2">
      <c r="A70">
        <v>19370930</v>
      </c>
      <c r="B70">
        <v>1937</v>
      </c>
      <c r="C70">
        <v>9</v>
      </c>
      <c r="D70" s="2">
        <f>ff_portfolios25!D70-ff_factors!$E70</f>
        <v>-0.22536300000000001</v>
      </c>
      <c r="E70" s="2">
        <f>ff_portfolios25!E70-ff_factors!$E70</f>
        <v>-0.29013800000000001</v>
      </c>
      <c r="F70" s="2">
        <f>ff_portfolios25!F70-ff_factors!$E70</f>
        <v>-0.22720200000000002</v>
      </c>
      <c r="G70" s="2">
        <f>ff_portfolios25!G70-ff_factors!$E70</f>
        <v>-0.22098900000000002</v>
      </c>
      <c r="H70" s="2">
        <f>ff_portfolios25!H70-ff_factors!$E70</f>
        <v>-0.23264100000000001</v>
      </c>
      <c r="I70" s="2">
        <f>ff_portfolios25!I70-ff_factors!$E70</f>
        <v>-0.24057100000000001</v>
      </c>
      <c r="J70" s="2">
        <f>ff_portfolios25!J70-ff_factors!$E70</f>
        <v>-0.20267700000000002</v>
      </c>
      <c r="K70" s="2">
        <f>ff_portfolios25!K70-ff_factors!$E70</f>
        <v>-0.20919000000000001</v>
      </c>
      <c r="L70" s="2">
        <f>ff_portfolios25!L70-ff_factors!$E70</f>
        <v>-0.21029200000000001</v>
      </c>
      <c r="M70" s="2">
        <f>ff_portfolios25!M70-ff_factors!$E70</f>
        <v>-0.24083400000000002</v>
      </c>
      <c r="N70" s="2">
        <f>ff_portfolios25!N70-ff_factors!$E70</f>
        <v>-0.20249200000000001</v>
      </c>
      <c r="O70" s="2">
        <f>ff_portfolios25!O70-ff_factors!$E70</f>
        <v>-0.20082700000000001</v>
      </c>
      <c r="P70" s="2">
        <f>ff_portfolios25!P70-ff_factors!$E70</f>
        <v>-0.200019</v>
      </c>
      <c r="Q70" s="2">
        <f>ff_portfolios25!Q70-ff_factors!$E70</f>
        <v>-0.17249200000000001</v>
      </c>
      <c r="R70" s="2">
        <f>ff_portfolios25!R70-ff_factors!$E70</f>
        <v>-0.25515700000000002</v>
      </c>
      <c r="S70" s="2">
        <f>ff_portfolios25!S70-ff_factors!$E70</f>
        <v>-0.177316</v>
      </c>
      <c r="T70" s="2">
        <f>ff_portfolios25!T70-ff_factors!$E70</f>
        <v>-0.17291200000000001</v>
      </c>
      <c r="U70" s="2">
        <f>ff_portfolios25!U70-ff_factors!$E70</f>
        <v>-0.15001600000000001</v>
      </c>
      <c r="V70" s="2">
        <f>ff_portfolios25!V70-ff_factors!$E70</f>
        <v>-0.19341900000000001</v>
      </c>
      <c r="W70" s="2">
        <f>ff_portfolios25!W70-ff_factors!$E70</f>
        <v>-0.222608</v>
      </c>
      <c r="X70" s="2">
        <f>ff_portfolios25!X70-ff_factors!$E70</f>
        <v>-0.113327</v>
      </c>
      <c r="Y70" s="2">
        <f>ff_portfolios25!Y70-ff_factors!$E70</f>
        <v>-0.14957200000000001</v>
      </c>
      <c r="Z70" s="2">
        <f>ff_portfolios25!Z70-ff_factors!$E70</f>
        <v>-9.4549999999999995E-2</v>
      </c>
      <c r="AA70" s="2">
        <f>ff_portfolios25!AA70-ff_factors!$E70</f>
        <v>-0.15774100000000002</v>
      </c>
      <c r="AB70" s="2">
        <f>ff_portfolios25!AB70-ff_factors!$E70</f>
        <v>-0.20266200000000001</v>
      </c>
    </row>
    <row r="71" spans="1:28" x14ac:dyDescent="0.2">
      <c r="A71">
        <v>19371030</v>
      </c>
      <c r="B71">
        <v>1937</v>
      </c>
      <c r="C71">
        <v>10</v>
      </c>
      <c r="D71" s="2">
        <f>ff_portfolios25!D71-ff_factors!$E71</f>
        <v>-6.7875000000000005E-2</v>
      </c>
      <c r="E71" s="2">
        <f>ff_portfolios25!E71-ff_factors!$E71</f>
        <v>-8.4867999999999999E-2</v>
      </c>
      <c r="F71" s="2">
        <f>ff_portfolios25!F71-ff_factors!$E71</f>
        <v>-9.6874000000000002E-2</v>
      </c>
      <c r="G71" s="2">
        <f>ff_portfolios25!G71-ff_factors!$E71</f>
        <v>-7.6534000000000005E-2</v>
      </c>
      <c r="H71" s="2">
        <f>ff_portfolios25!H71-ff_factors!$E71</f>
        <v>-8.0593000000000012E-2</v>
      </c>
      <c r="I71" s="2">
        <f>ff_portfolios25!I71-ff_factors!$E71</f>
        <v>-0.109321</v>
      </c>
      <c r="J71" s="2">
        <f>ff_portfolios25!J71-ff_factors!$E71</f>
        <v>-9.7270000000000009E-2</v>
      </c>
      <c r="K71" s="2">
        <f>ff_portfolios25!K71-ff_factors!$E71</f>
        <v>-9.6833000000000002E-2</v>
      </c>
      <c r="L71" s="2">
        <f>ff_portfolios25!L71-ff_factors!$E71</f>
        <v>-0.12062200000000001</v>
      </c>
      <c r="M71" s="2">
        <f>ff_portfolios25!M71-ff_factors!$E71</f>
        <v>-0.12898899999999999</v>
      </c>
      <c r="N71" s="2">
        <f>ff_portfolios25!N71-ff_factors!$E71</f>
        <v>-0.12615000000000001</v>
      </c>
      <c r="O71" s="2">
        <f>ff_portfolios25!O71-ff_factors!$E71</f>
        <v>-9.8914000000000002E-2</v>
      </c>
      <c r="P71" s="2">
        <f>ff_portfolios25!P71-ff_factors!$E71</f>
        <v>-0.11794700000000001</v>
      </c>
      <c r="Q71" s="2">
        <f>ff_portfolios25!Q71-ff_factors!$E71</f>
        <v>-8.5639000000000007E-2</v>
      </c>
      <c r="R71" s="2">
        <f>ff_portfolios25!R71-ff_factors!$E71</f>
        <v>-0.121989</v>
      </c>
      <c r="S71" s="2">
        <f>ff_portfolios25!S71-ff_factors!$E71</f>
        <v>-6.8205000000000002E-2</v>
      </c>
      <c r="T71" s="2">
        <f>ff_portfolios25!T71-ff_factors!$E71</f>
        <v>-0.104731</v>
      </c>
      <c r="U71" s="2">
        <f>ff_portfolios25!U71-ff_factors!$E71</f>
        <v>-8.9085000000000011E-2</v>
      </c>
      <c r="V71" s="2">
        <f>ff_portfolios25!V71-ff_factors!$E71</f>
        <v>-9.6442E-2</v>
      </c>
      <c r="W71" s="2">
        <f>ff_portfolios25!W71-ff_factors!$E71</f>
        <v>-0.14177400000000001</v>
      </c>
      <c r="X71" s="2">
        <f>ff_portfolios25!X71-ff_factors!$E71</f>
        <v>-0.10372200000000001</v>
      </c>
      <c r="Y71" s="2">
        <f>ff_portfolios25!Y71-ff_factors!$E71</f>
        <v>-9.0865000000000001E-2</v>
      </c>
      <c r="Z71" s="2">
        <f>ff_portfolios25!Z71-ff_factors!$E71</f>
        <v>-6.6073000000000007E-2</v>
      </c>
      <c r="AA71" s="2">
        <f>ff_portfolios25!AA71-ff_factors!$E71</f>
        <v>-0.101507</v>
      </c>
      <c r="AB71" s="2">
        <f>ff_portfolios25!AB71-ff_factors!$E71</f>
        <v>-0.17680600000000002</v>
      </c>
    </row>
    <row r="72" spans="1:28" x14ac:dyDescent="0.2">
      <c r="A72">
        <v>19371130</v>
      </c>
      <c r="B72">
        <v>1937</v>
      </c>
      <c r="C72">
        <v>11</v>
      </c>
      <c r="D72" s="2">
        <f>ff_portfolios25!D72-ff_factors!$E72</f>
        <v>-2.5884999999999998E-2</v>
      </c>
      <c r="E72" s="2">
        <f>ff_portfolios25!E72-ff_factors!$E72</f>
        <v>-0.12482500000000001</v>
      </c>
      <c r="F72" s="2">
        <f>ff_portfolios25!F72-ff_factors!$E72</f>
        <v>-0.14573900000000001</v>
      </c>
      <c r="G72" s="2">
        <f>ff_portfolios25!G72-ff_factors!$E72</f>
        <v>-0.143039</v>
      </c>
      <c r="H72" s="2">
        <f>ff_portfolios25!H72-ff_factors!$E72</f>
        <v>-0.16502700000000001</v>
      </c>
      <c r="I72" s="2">
        <f>ff_portfolios25!I72-ff_factors!$E72</f>
        <v>-0.109279</v>
      </c>
      <c r="J72" s="2">
        <f>ff_portfolios25!J72-ff_factors!$E72</f>
        <v>-0.13614300000000001</v>
      </c>
      <c r="K72" s="2">
        <f>ff_portfolios25!K72-ff_factors!$E72</f>
        <v>-0.119228</v>
      </c>
      <c r="L72" s="2">
        <f>ff_portfolios25!L72-ff_factors!$E72</f>
        <v>-0.105963</v>
      </c>
      <c r="M72" s="2">
        <f>ff_portfolios25!M72-ff_factors!$E72</f>
        <v>-0.10125500000000001</v>
      </c>
      <c r="N72" s="2">
        <f>ff_portfolios25!N72-ff_factors!$E72</f>
        <v>-9.357E-2</v>
      </c>
      <c r="O72" s="2">
        <f>ff_portfolios25!O72-ff_factors!$E72</f>
        <v>-0.12465000000000001</v>
      </c>
      <c r="P72" s="2">
        <f>ff_portfolios25!P72-ff_factors!$E72</f>
        <v>-7.6949000000000004E-2</v>
      </c>
      <c r="Q72" s="2">
        <f>ff_portfolios25!Q72-ff_factors!$E72</f>
        <v>-9.474500000000001E-2</v>
      </c>
      <c r="R72" s="2">
        <f>ff_portfolios25!R72-ff_factors!$E72</f>
        <v>-0.11063600000000001</v>
      </c>
      <c r="S72" s="2">
        <f>ff_portfolios25!S72-ff_factors!$E72</f>
        <v>-8.5686999999999999E-2</v>
      </c>
      <c r="T72" s="2">
        <f>ff_portfolios25!T72-ff_factors!$E72</f>
        <v>-9.3546000000000004E-2</v>
      </c>
      <c r="U72" s="2">
        <f>ff_portfolios25!U72-ff_factors!$E72</f>
        <v>-0.113693</v>
      </c>
      <c r="V72" s="2">
        <f>ff_portfolios25!V72-ff_factors!$E72</f>
        <v>-0.130943</v>
      </c>
      <c r="W72" s="2">
        <f>ff_portfolios25!W72-ff_factors!$E72</f>
        <v>-9.173400000000001E-2</v>
      </c>
      <c r="X72" s="2">
        <f>ff_portfolios25!X72-ff_factors!$E72</f>
        <v>-8.8158E-2</v>
      </c>
      <c r="Y72" s="2">
        <f>ff_portfolios25!Y72-ff_factors!$E72</f>
        <v>-8.8360000000000008E-2</v>
      </c>
      <c r="Z72" s="2">
        <f>ff_portfolios25!Z72-ff_factors!$E72</f>
        <v>-7.1639000000000008E-2</v>
      </c>
      <c r="AA72" s="2">
        <f>ff_portfolios25!AA72-ff_factors!$E72</f>
        <v>-5.6132000000000001E-2</v>
      </c>
      <c r="AB72" s="2">
        <f>ff_portfolios25!AB72-ff_factors!$E72</f>
        <v>-8.7313000000000002E-2</v>
      </c>
    </row>
    <row r="73" spans="1:28" x14ac:dyDescent="0.2">
      <c r="A73">
        <v>19371231</v>
      </c>
      <c r="B73">
        <v>1937</v>
      </c>
      <c r="C73">
        <v>12</v>
      </c>
      <c r="D73" s="2">
        <f>ff_portfolios25!D73-ff_factors!$E73</f>
        <v>-0.19126699999999999</v>
      </c>
      <c r="E73" s="2">
        <f>ff_portfolios25!E73-ff_factors!$E73</f>
        <v>-0.200937</v>
      </c>
      <c r="F73" s="2">
        <f>ff_portfolios25!F73-ff_factors!$E73</f>
        <v>-0.200242</v>
      </c>
      <c r="G73" s="2">
        <f>ff_portfolios25!G73-ff_factors!$E73</f>
        <v>-0.104492</v>
      </c>
      <c r="H73" s="2">
        <f>ff_portfolios25!H73-ff_factors!$E73</f>
        <v>-0.12628600000000001</v>
      </c>
      <c r="I73" s="2">
        <f>ff_portfolios25!I73-ff_factors!$E73</f>
        <v>-0.14266499999999999</v>
      </c>
      <c r="J73" s="2">
        <f>ff_portfolios25!J73-ff_factors!$E73</f>
        <v>-0.14301900000000001</v>
      </c>
      <c r="K73" s="2">
        <f>ff_portfolios25!K73-ff_factors!$E73</f>
        <v>-0.11079600000000001</v>
      </c>
      <c r="L73" s="2">
        <f>ff_portfolios25!L73-ff_factors!$E73</f>
        <v>-9.9937999999999999E-2</v>
      </c>
      <c r="M73" s="2">
        <f>ff_portfolios25!M73-ff_factors!$E73</f>
        <v>-0.15531600000000001</v>
      </c>
      <c r="N73" s="2">
        <f>ff_portfolios25!N73-ff_factors!$E73</f>
        <v>-0.116401</v>
      </c>
      <c r="O73" s="2">
        <f>ff_portfolios25!O73-ff_factors!$E73</f>
        <v>-0.12198000000000001</v>
      </c>
      <c r="P73" s="2">
        <f>ff_portfolios25!P73-ff_factors!$E73</f>
        <v>-0.10588</v>
      </c>
      <c r="Q73" s="2">
        <f>ff_portfolios25!Q73-ff_factors!$E73</f>
        <v>-7.3941000000000007E-2</v>
      </c>
      <c r="R73" s="2">
        <f>ff_portfolios25!R73-ff_factors!$E73</f>
        <v>-0.16106899999999999</v>
      </c>
      <c r="S73" s="2">
        <f>ff_portfolios25!S73-ff_factors!$E73</f>
        <v>-7.0470000000000003E-3</v>
      </c>
      <c r="T73" s="2">
        <f>ff_portfolios25!T73-ff_factors!$E73</f>
        <v>-6.2962000000000004E-2</v>
      </c>
      <c r="U73" s="2">
        <f>ff_portfolios25!U73-ff_factors!$E73</f>
        <v>-9.9275000000000002E-2</v>
      </c>
      <c r="V73" s="2">
        <f>ff_portfolios25!V73-ff_factors!$E73</f>
        <v>-0.10576000000000001</v>
      </c>
      <c r="W73" s="2">
        <f>ff_portfolios25!W73-ff_factors!$E73</f>
        <v>-0.102011</v>
      </c>
      <c r="X73" s="2">
        <f>ff_portfolios25!X73-ff_factors!$E73</f>
        <v>-3.7217E-2</v>
      </c>
      <c r="Y73" s="2">
        <f>ff_portfolios25!Y73-ff_factors!$E73</f>
        <v>-4.1193E-2</v>
      </c>
      <c r="Z73" s="2">
        <f>ff_portfolios25!Z73-ff_factors!$E73</f>
        <v>-1.3716000000000001E-2</v>
      </c>
      <c r="AA73" s="2">
        <f>ff_portfolios25!AA73-ff_factors!$E73</f>
        <v>-5.3240000000000003E-2</v>
      </c>
      <c r="AB73" s="2">
        <f>ff_portfolios25!AB73-ff_factors!$E73</f>
        <v>-5.0026000000000001E-2</v>
      </c>
    </row>
    <row r="74" spans="1:28" x14ac:dyDescent="0.2">
      <c r="A74">
        <v>19380131</v>
      </c>
      <c r="B74">
        <v>1938</v>
      </c>
      <c r="C74">
        <v>1</v>
      </c>
      <c r="D74" s="2">
        <f>ff_portfolios25!D74-ff_factors!$E74</f>
        <v>8.5246000000000002E-2</v>
      </c>
      <c r="E74" s="2">
        <f>ff_portfolios25!E74-ff_factors!$E74</f>
        <v>6.6294000000000006E-2</v>
      </c>
      <c r="F74" s="2">
        <f>ff_portfolios25!F74-ff_factors!$E74</f>
        <v>0.145033</v>
      </c>
      <c r="G74" s="2">
        <f>ff_portfolios25!G74-ff_factors!$E74</f>
        <v>5.9889999999999999E-2</v>
      </c>
      <c r="H74" s="2">
        <f>ff_portfolios25!H74-ff_factors!$E74</f>
        <v>5.4244000000000001E-2</v>
      </c>
      <c r="I74" s="2">
        <f>ff_portfolios25!I74-ff_factors!$E74</f>
        <v>4.24E-2</v>
      </c>
      <c r="J74" s="2">
        <f>ff_portfolios25!J74-ff_factors!$E74</f>
        <v>7.1695999999999996E-2</v>
      </c>
      <c r="K74" s="2">
        <f>ff_portfolios25!K74-ff_factors!$E74</f>
        <v>2.6252999999999999E-2</v>
      </c>
      <c r="L74" s="2">
        <f>ff_portfolios25!L74-ff_factors!$E74</f>
        <v>5.1805999999999998E-2</v>
      </c>
      <c r="M74" s="2">
        <f>ff_portfolios25!M74-ff_factors!$E74</f>
        <v>5.5002000000000002E-2</v>
      </c>
      <c r="N74" s="2">
        <f>ff_portfolios25!N74-ff_factors!$E74</f>
        <v>2.5877000000000001E-2</v>
      </c>
      <c r="O74" s="2">
        <f>ff_portfolios25!O74-ff_factors!$E74</f>
        <v>6.9086999999999996E-2</v>
      </c>
      <c r="P74" s="2">
        <f>ff_portfolios25!P74-ff_factors!$E74</f>
        <v>6.2309000000000003E-2</v>
      </c>
      <c r="Q74" s="2">
        <f>ff_portfolios25!Q74-ff_factors!$E74</f>
        <v>4.546E-2</v>
      </c>
      <c r="R74" s="2">
        <f>ff_portfolios25!R74-ff_factors!$E74</f>
        <v>3.725E-3</v>
      </c>
      <c r="S74" s="2">
        <f>ff_portfolios25!S74-ff_factors!$E74</f>
        <v>2.6526999999999998E-2</v>
      </c>
      <c r="T74" s="2">
        <f>ff_portfolios25!T74-ff_factors!$E74</f>
        <v>8.9250000000000006E-3</v>
      </c>
      <c r="U74" s="2">
        <f>ff_portfolios25!U74-ff_factors!$E74</f>
        <v>4.9949E-2</v>
      </c>
      <c r="V74" s="2">
        <f>ff_portfolios25!V74-ff_factors!$E74</f>
        <v>3.9809999999999998E-2</v>
      </c>
      <c r="W74" s="2">
        <f>ff_portfolios25!W74-ff_factors!$E74</f>
        <v>-7.1989999999999997E-3</v>
      </c>
      <c r="X74" s="2">
        <f>ff_portfolios25!X74-ff_factors!$E74</f>
        <v>1.5081000000000001E-2</v>
      </c>
      <c r="Y74" s="2">
        <f>ff_portfolios25!Y74-ff_factors!$E74</f>
        <v>5.0299999999999997E-4</v>
      </c>
      <c r="Z74" s="2">
        <f>ff_portfolios25!Z74-ff_factors!$E74</f>
        <v>-1.3776999999999999E-2</v>
      </c>
      <c r="AA74" s="2">
        <f>ff_portfolios25!AA74-ff_factors!$E74</f>
        <v>-1.529E-3</v>
      </c>
      <c r="AB74" s="2">
        <f>ff_portfolios25!AB74-ff_factors!$E74</f>
        <v>-2.1416999999999999E-2</v>
      </c>
    </row>
    <row r="75" spans="1:28" x14ac:dyDescent="0.2">
      <c r="A75">
        <v>19380228</v>
      </c>
      <c r="B75">
        <v>1938</v>
      </c>
      <c r="C75">
        <v>2</v>
      </c>
      <c r="D75" s="2">
        <f>ff_portfolios25!D75-ff_factors!$E75</f>
        <v>4.1936000000000001E-2</v>
      </c>
      <c r="E75" s="2">
        <f>ff_portfolios25!E75-ff_factors!$E75</f>
        <v>2.1121000000000001E-2</v>
      </c>
      <c r="F75" s="2">
        <f>ff_portfolios25!F75-ff_factors!$E75</f>
        <v>3.2049000000000001E-2</v>
      </c>
      <c r="G75" s="2">
        <f>ff_portfolios25!G75-ff_factors!$E75</f>
        <v>3.4979000000000003E-2</v>
      </c>
      <c r="H75" s="2">
        <f>ff_portfolios25!H75-ff_factors!$E75</f>
        <v>5.2700000000000002E-4</v>
      </c>
      <c r="I75" s="2">
        <f>ff_portfolios25!I75-ff_factors!$E75</f>
        <v>0.11708300000000001</v>
      </c>
      <c r="J75" s="2">
        <f>ff_portfolios25!J75-ff_factors!$E75</f>
        <v>7.3036000000000004E-2</v>
      </c>
      <c r="K75" s="2">
        <f>ff_portfolios25!K75-ff_factors!$E75</f>
        <v>5.6889000000000002E-2</v>
      </c>
      <c r="L75" s="2">
        <f>ff_portfolios25!L75-ff_factors!$E75</f>
        <v>4.7031999999999997E-2</v>
      </c>
      <c r="M75" s="2">
        <f>ff_portfolios25!M75-ff_factors!$E75</f>
        <v>7.2633000000000003E-2</v>
      </c>
      <c r="N75" s="2">
        <f>ff_portfolios25!N75-ff_factors!$E75</f>
        <v>8.4949999999999998E-2</v>
      </c>
      <c r="O75" s="2">
        <f>ff_portfolios25!O75-ff_factors!$E75</f>
        <v>6.3576999999999995E-2</v>
      </c>
      <c r="P75" s="2">
        <f>ff_portfolios25!P75-ff_factors!$E75</f>
        <v>6.5279000000000004E-2</v>
      </c>
      <c r="Q75" s="2">
        <f>ff_portfolios25!Q75-ff_factors!$E75</f>
        <v>3.9890000000000002E-2</v>
      </c>
      <c r="R75" s="2">
        <f>ff_portfolios25!R75-ff_factors!$E75</f>
        <v>7.1870000000000003E-2</v>
      </c>
      <c r="S75" s="2">
        <f>ff_portfolios25!S75-ff_factors!$E75</f>
        <v>4.4773E-2</v>
      </c>
      <c r="T75" s="2">
        <f>ff_portfolios25!T75-ff_factors!$E75</f>
        <v>7.2373999999999994E-2</v>
      </c>
      <c r="U75" s="2">
        <f>ff_portfolios25!U75-ff_factors!$E75</f>
        <v>6.2371000000000003E-2</v>
      </c>
      <c r="V75" s="2">
        <f>ff_portfolios25!V75-ff_factors!$E75</f>
        <v>5.2504000000000002E-2</v>
      </c>
      <c r="W75" s="2">
        <f>ff_portfolios25!W75-ff_factors!$E75</f>
        <v>4.7659E-2</v>
      </c>
      <c r="X75" s="2">
        <f>ff_portfolios25!X75-ff_factors!$E75</f>
        <v>6.1409999999999999E-2</v>
      </c>
      <c r="Y75" s="2">
        <f>ff_portfolios25!Y75-ff_factors!$E75</f>
        <v>7.5251999999999999E-2</v>
      </c>
      <c r="Z75" s="2">
        <f>ff_portfolios25!Z75-ff_factors!$E75</f>
        <v>4.3783000000000002E-2</v>
      </c>
      <c r="AA75" s="2">
        <f>ff_portfolios25!AA75-ff_factors!$E75</f>
        <v>6.6864000000000007E-2</v>
      </c>
      <c r="AB75" s="2">
        <f>ff_portfolios25!AB75-ff_factors!$E75</f>
        <v>6.0823000000000002E-2</v>
      </c>
    </row>
    <row r="76" spans="1:28" x14ac:dyDescent="0.2">
      <c r="A76">
        <v>19380331</v>
      </c>
      <c r="B76">
        <v>1938</v>
      </c>
      <c r="C76">
        <v>3</v>
      </c>
      <c r="D76" s="2">
        <f>ff_portfolios25!D76-ff_factors!$E76</f>
        <v>-0.248588</v>
      </c>
      <c r="E76" s="2">
        <f>ff_portfolios25!E76-ff_factors!$E76</f>
        <v>-0.33123400000000003</v>
      </c>
      <c r="F76" s="2">
        <f>ff_portfolios25!F76-ff_factors!$E76</f>
        <v>-0.33510499999999999</v>
      </c>
      <c r="G76" s="2">
        <f>ff_portfolios25!G76-ff_factors!$E76</f>
        <v>-0.31756600000000001</v>
      </c>
      <c r="H76" s="2">
        <f>ff_portfolios25!H76-ff_factors!$E76</f>
        <v>-0.31406600000000001</v>
      </c>
      <c r="I76" s="2">
        <f>ff_portfolios25!I76-ff_factors!$E76</f>
        <v>-0.307641</v>
      </c>
      <c r="J76" s="2">
        <f>ff_portfolios25!J76-ff_factors!$E76</f>
        <v>-0.31681399999999998</v>
      </c>
      <c r="K76" s="2">
        <f>ff_portfolios25!K76-ff_factors!$E76</f>
        <v>-0.26869900000000002</v>
      </c>
      <c r="L76" s="2">
        <f>ff_portfolios25!L76-ff_factors!$E76</f>
        <v>-0.27923200000000004</v>
      </c>
      <c r="M76" s="2">
        <f>ff_portfolios25!M76-ff_factors!$E76</f>
        <v>-0.30556100000000003</v>
      </c>
      <c r="N76" s="2">
        <f>ff_portfolios25!N76-ff_factors!$E76</f>
        <v>-0.27931600000000001</v>
      </c>
      <c r="O76" s="2">
        <f>ff_portfolios25!O76-ff_factors!$E76</f>
        <v>-0.276028</v>
      </c>
      <c r="P76" s="2">
        <f>ff_portfolios25!P76-ff_factors!$E76</f>
        <v>-0.26277700000000004</v>
      </c>
      <c r="Q76" s="2">
        <f>ff_portfolios25!Q76-ff_factors!$E76</f>
        <v>-0.22171600000000002</v>
      </c>
      <c r="R76" s="2">
        <f>ff_portfolios25!R76-ff_factors!$E76</f>
        <v>-0.358516</v>
      </c>
      <c r="S76" s="2">
        <f>ff_portfolios25!S76-ff_factors!$E76</f>
        <v>-0.235568</v>
      </c>
      <c r="T76" s="2">
        <f>ff_portfolios25!T76-ff_factors!$E76</f>
        <v>-0.239926</v>
      </c>
      <c r="U76" s="2">
        <f>ff_portfolios25!U76-ff_factors!$E76</f>
        <v>-0.23183700000000002</v>
      </c>
      <c r="V76" s="2">
        <f>ff_portfolios25!V76-ff_factors!$E76</f>
        <v>-0.30076700000000001</v>
      </c>
      <c r="W76" s="2">
        <f>ff_portfolios25!W76-ff_factors!$E76</f>
        <v>-0.322936</v>
      </c>
      <c r="X76" s="2">
        <f>ff_portfolios25!X76-ff_factors!$E76</f>
        <v>-0.23193900000000001</v>
      </c>
      <c r="Y76" s="2">
        <f>ff_portfolios25!Y76-ff_factors!$E76</f>
        <v>-0.23638100000000001</v>
      </c>
      <c r="Z76" s="2">
        <f>ff_portfolios25!Z76-ff_factors!$E76</f>
        <v>-0.21515600000000001</v>
      </c>
      <c r="AA76" s="2">
        <f>ff_portfolios25!AA76-ff_factors!$E76</f>
        <v>-0.25645699999999999</v>
      </c>
      <c r="AB76" s="2">
        <f>ff_portfolios25!AB76-ff_factors!$E76</f>
        <v>-0.325928</v>
      </c>
    </row>
    <row r="77" spans="1:28" x14ac:dyDescent="0.2">
      <c r="A77">
        <v>19380430</v>
      </c>
      <c r="B77">
        <v>1938</v>
      </c>
      <c r="C77">
        <v>4</v>
      </c>
      <c r="D77" s="2">
        <f>ff_portfolios25!D77-ff_factors!$E77</f>
        <v>0.25944400000000001</v>
      </c>
      <c r="E77" s="2">
        <f>ff_portfolios25!E77-ff_factors!$E77</f>
        <v>0.28665299999999999</v>
      </c>
      <c r="F77" s="2">
        <f>ff_portfolios25!F77-ff_factors!$E77</f>
        <v>0.22739900000000002</v>
      </c>
      <c r="G77" s="2">
        <f>ff_portfolios25!G77-ff_factors!$E77</f>
        <v>0.21115</v>
      </c>
      <c r="H77" s="2">
        <f>ff_portfolios25!H77-ff_factors!$E77</f>
        <v>0.20296700000000001</v>
      </c>
      <c r="I77" s="2">
        <f>ff_portfolios25!I77-ff_factors!$E77</f>
        <v>0.20674600000000001</v>
      </c>
      <c r="J77" s="2">
        <f>ff_portfolios25!J77-ff_factors!$E77</f>
        <v>0.20604700000000001</v>
      </c>
      <c r="K77" s="2">
        <f>ff_portfolios25!K77-ff_factors!$E77</f>
        <v>0.19186300000000001</v>
      </c>
      <c r="L77" s="2">
        <f>ff_portfolios25!L77-ff_factors!$E77</f>
        <v>0.204318</v>
      </c>
      <c r="M77" s="2">
        <f>ff_portfolios25!M77-ff_factors!$E77</f>
        <v>0.20758400000000002</v>
      </c>
      <c r="N77" s="2">
        <f>ff_portfolios25!N77-ff_factors!$E77</f>
        <v>0.213731</v>
      </c>
      <c r="O77" s="2">
        <f>ff_portfolios25!O77-ff_factors!$E77</f>
        <v>0.18137800000000001</v>
      </c>
      <c r="P77" s="2">
        <f>ff_portfolios25!P77-ff_factors!$E77</f>
        <v>0.180953</v>
      </c>
      <c r="Q77" s="2">
        <f>ff_portfolios25!Q77-ff_factors!$E77</f>
        <v>0.11882</v>
      </c>
      <c r="R77" s="2">
        <f>ff_portfolios25!R77-ff_factors!$E77</f>
        <v>0.25971</v>
      </c>
      <c r="S77" s="2">
        <f>ff_portfolios25!S77-ff_factors!$E77</f>
        <v>0.188805</v>
      </c>
      <c r="T77" s="2">
        <f>ff_portfolios25!T77-ff_factors!$E77</f>
        <v>0.142429</v>
      </c>
      <c r="U77" s="2">
        <f>ff_portfolios25!U77-ff_factors!$E77</f>
        <v>0.15938000000000002</v>
      </c>
      <c r="V77" s="2">
        <f>ff_portfolios25!V77-ff_factors!$E77</f>
        <v>0.21194700000000002</v>
      </c>
      <c r="W77" s="2">
        <f>ff_portfolios25!W77-ff_factors!$E77</f>
        <v>0.16836700000000002</v>
      </c>
      <c r="X77" s="2">
        <f>ff_portfolios25!X77-ff_factors!$E77</f>
        <v>0.128829</v>
      </c>
      <c r="Y77" s="2">
        <f>ff_portfolios25!Y77-ff_factors!$E77</f>
        <v>0.14927700000000002</v>
      </c>
      <c r="Z77" s="2">
        <f>ff_portfolios25!Z77-ff_factors!$E77</f>
        <v>0.14072400000000002</v>
      </c>
      <c r="AA77" s="2">
        <f>ff_portfolios25!AA77-ff_factors!$E77</f>
        <v>0.17417000000000002</v>
      </c>
      <c r="AB77" s="2">
        <f>ff_portfolios25!AB77-ff_factors!$E77</f>
        <v>0.112314</v>
      </c>
    </row>
    <row r="78" spans="1:28" x14ac:dyDescent="0.2">
      <c r="A78">
        <v>19380531</v>
      </c>
      <c r="B78">
        <v>1938</v>
      </c>
      <c r="C78">
        <v>5</v>
      </c>
      <c r="D78" s="2">
        <f>ff_portfolios25!D78-ff_factors!$E78</f>
        <v>-0.11459</v>
      </c>
      <c r="E78" s="2">
        <f>ff_portfolios25!E78-ff_factors!$E78</f>
        <v>-0.13735800000000001</v>
      </c>
      <c r="F78" s="2">
        <f>ff_portfolios25!F78-ff_factors!$E78</f>
        <v>-9.1647999999999993E-2</v>
      </c>
      <c r="G78" s="2">
        <f>ff_portfolios25!G78-ff_factors!$E78</f>
        <v>-6.2047999999999999E-2</v>
      </c>
      <c r="H78" s="2">
        <f>ff_portfolios25!H78-ff_factors!$E78</f>
        <v>-5.7690999999999999E-2</v>
      </c>
      <c r="I78" s="2">
        <f>ff_portfolios25!I78-ff_factors!$E78</f>
        <v>-0.115069</v>
      </c>
      <c r="J78" s="2">
        <f>ff_portfolios25!J78-ff_factors!$E78</f>
        <v>-7.2579000000000005E-2</v>
      </c>
      <c r="K78" s="2">
        <f>ff_portfolios25!K78-ff_factors!$E78</f>
        <v>-6.7083000000000004E-2</v>
      </c>
      <c r="L78" s="2">
        <f>ff_portfolios25!L78-ff_factors!$E78</f>
        <v>-5.9401000000000002E-2</v>
      </c>
      <c r="M78" s="2">
        <f>ff_portfolios25!M78-ff_factors!$E78</f>
        <v>-8.7024000000000004E-2</v>
      </c>
      <c r="N78" s="2">
        <f>ff_portfolios25!N78-ff_factors!$E78</f>
        <v>-8.3513000000000004E-2</v>
      </c>
      <c r="O78" s="2">
        <f>ff_portfolios25!O78-ff_factors!$E78</f>
        <v>-4.5134000000000001E-2</v>
      </c>
      <c r="P78" s="2">
        <f>ff_portfolios25!P78-ff_factors!$E78</f>
        <v>-6.3977999999999993E-2</v>
      </c>
      <c r="Q78" s="2">
        <f>ff_portfolios25!Q78-ff_factors!$E78</f>
        <v>-4.7417000000000001E-2</v>
      </c>
      <c r="R78" s="2">
        <f>ff_portfolios25!R78-ff_factors!$E78</f>
        <v>-4.5637999999999998E-2</v>
      </c>
      <c r="S78" s="2">
        <f>ff_portfolios25!S78-ff_factors!$E78</f>
        <v>-4.7919000000000003E-2</v>
      </c>
      <c r="T78" s="2">
        <f>ff_portfolios25!T78-ff_factors!$E78</f>
        <v>-3.4761E-2</v>
      </c>
      <c r="U78" s="2">
        <f>ff_portfolios25!U78-ff_factors!$E78</f>
        <v>-3.4943000000000002E-2</v>
      </c>
      <c r="V78" s="2">
        <f>ff_portfolios25!V78-ff_factors!$E78</f>
        <v>-8.6814000000000002E-2</v>
      </c>
      <c r="W78" s="2">
        <f>ff_portfolios25!W78-ff_factors!$E78</f>
        <v>-0.118307</v>
      </c>
      <c r="X78" s="2">
        <f>ff_portfolios25!X78-ff_factors!$E78</f>
        <v>-3.2503999999999998E-2</v>
      </c>
      <c r="Y78" s="2">
        <f>ff_portfolios25!Y78-ff_factors!$E78</f>
        <v>-5.7234E-2</v>
      </c>
      <c r="Z78" s="2">
        <f>ff_portfolios25!Z78-ff_factors!$E78</f>
        <v>-2.0074000000000002E-2</v>
      </c>
      <c r="AA78" s="2">
        <f>ff_portfolios25!AA78-ff_factors!$E78</f>
        <v>-6.1983000000000003E-2</v>
      </c>
      <c r="AB78" s="2">
        <f>ff_portfolios25!AB78-ff_factors!$E78</f>
        <v>-4.3034999999999997E-2</v>
      </c>
    </row>
    <row r="79" spans="1:28" x14ac:dyDescent="0.2">
      <c r="A79">
        <v>19380630</v>
      </c>
      <c r="B79">
        <v>1938</v>
      </c>
      <c r="C79">
        <v>6</v>
      </c>
      <c r="D79" s="2">
        <f>ff_portfolios25!D79-ff_factors!$E79</f>
        <v>0.30190400000000001</v>
      </c>
      <c r="E79" s="2">
        <f>ff_portfolios25!E79-ff_factors!$E79</f>
        <v>0.396314</v>
      </c>
      <c r="F79" s="2">
        <f>ff_portfolios25!F79-ff_factors!$E79</f>
        <v>0.37445299999999998</v>
      </c>
      <c r="G79" s="2">
        <f>ff_portfolios25!G79-ff_factors!$E79</f>
        <v>0.31818200000000002</v>
      </c>
      <c r="H79" s="2">
        <f>ff_portfolios25!H79-ff_factors!$E79</f>
        <v>0.26474599999999998</v>
      </c>
      <c r="I79" s="2">
        <f>ff_portfolios25!I79-ff_factors!$E79</f>
        <v>0.35150100000000001</v>
      </c>
      <c r="J79" s="2">
        <f>ff_portfolios25!J79-ff_factors!$E79</f>
        <v>0.28665400000000002</v>
      </c>
      <c r="K79" s="2">
        <f>ff_portfolios25!K79-ff_factors!$E79</f>
        <v>0.29880899999999999</v>
      </c>
      <c r="L79" s="2">
        <f>ff_portfolios25!L79-ff_factors!$E79</f>
        <v>0.266065</v>
      </c>
      <c r="M79" s="2">
        <f>ff_portfolios25!M79-ff_factors!$E79</f>
        <v>0.29949999999999999</v>
      </c>
      <c r="N79" s="2">
        <f>ff_portfolios25!N79-ff_factors!$E79</f>
        <v>0.34176699999999999</v>
      </c>
      <c r="O79" s="2">
        <f>ff_portfolios25!O79-ff_factors!$E79</f>
        <v>0.29645100000000002</v>
      </c>
      <c r="P79" s="2">
        <f>ff_portfolios25!P79-ff_factors!$E79</f>
        <v>0.287721</v>
      </c>
      <c r="Q79" s="2">
        <f>ff_portfolios25!Q79-ff_factors!$E79</f>
        <v>0.21558099999999999</v>
      </c>
      <c r="R79" s="2">
        <f>ff_portfolios25!R79-ff_factors!$E79</f>
        <v>0.33310200000000001</v>
      </c>
      <c r="S79" s="2">
        <f>ff_portfolios25!S79-ff_factors!$E79</f>
        <v>0.21978700000000001</v>
      </c>
      <c r="T79" s="2">
        <f>ff_portfolios25!T79-ff_factors!$E79</f>
        <v>0.25579200000000002</v>
      </c>
      <c r="U79" s="2">
        <f>ff_portfolios25!U79-ff_factors!$E79</f>
        <v>0.252415</v>
      </c>
      <c r="V79" s="2">
        <f>ff_portfolios25!V79-ff_factors!$E79</f>
        <v>0.27641300000000002</v>
      </c>
      <c r="W79" s="2">
        <f>ff_portfolios25!W79-ff_factors!$E79</f>
        <v>0.36969999999999997</v>
      </c>
      <c r="X79" s="2">
        <f>ff_portfolios25!X79-ff_factors!$E79</f>
        <v>0.25675199999999998</v>
      </c>
      <c r="Y79" s="2">
        <f>ff_portfolios25!Y79-ff_factors!$E79</f>
        <v>0.26992300000000002</v>
      </c>
      <c r="Z79" s="2">
        <f>ff_portfolios25!Z79-ff_factors!$E79</f>
        <v>0.180918</v>
      </c>
      <c r="AA79" s="2">
        <f>ff_portfolios25!AA79-ff_factors!$E79</f>
        <v>0.23602899999999999</v>
      </c>
      <c r="AB79" s="2">
        <f>ff_portfolios25!AB79-ff_factors!$E79</f>
        <v>0.33000600000000002</v>
      </c>
    </row>
    <row r="80" spans="1:28" x14ac:dyDescent="0.2">
      <c r="A80">
        <v>19380730</v>
      </c>
      <c r="B80">
        <v>1938</v>
      </c>
      <c r="C80">
        <v>7</v>
      </c>
      <c r="D80" s="2">
        <f>ff_portfolios25!D80-ff_factors!$E80</f>
        <v>0.24904699999999999</v>
      </c>
      <c r="E80" s="2">
        <f>ff_portfolios25!E80-ff_factors!$E80</f>
        <v>3.5111000000000003E-2</v>
      </c>
      <c r="F80" s="2">
        <f>ff_portfolios25!F80-ff_factors!$E80</f>
        <v>0.27981099999999998</v>
      </c>
      <c r="G80" s="2">
        <f>ff_portfolios25!G80-ff_factors!$E80</f>
        <v>0.15253999999999998</v>
      </c>
      <c r="H80" s="2">
        <f>ff_portfolios25!H80-ff_factors!$E80</f>
        <v>0.16070399999999999</v>
      </c>
      <c r="I80" s="2">
        <f>ff_portfolios25!I80-ff_factors!$E80</f>
        <v>8.9942000000000008E-2</v>
      </c>
      <c r="J80" s="2">
        <f>ff_portfolios25!J80-ff_factors!$E80</f>
        <v>0.164297</v>
      </c>
      <c r="K80" s="2">
        <f>ff_portfolios25!K80-ff_factors!$E80</f>
        <v>0.16400599999999999</v>
      </c>
      <c r="L80" s="2">
        <f>ff_portfolios25!L80-ff_factors!$E80</f>
        <v>0.14237</v>
      </c>
      <c r="M80" s="2">
        <f>ff_portfolios25!M80-ff_factors!$E80</f>
        <v>0.13083899999999998</v>
      </c>
      <c r="N80" s="2">
        <f>ff_portfolios25!N80-ff_factors!$E80</f>
        <v>0.14275399999999999</v>
      </c>
      <c r="O80" s="2">
        <f>ff_portfolios25!O80-ff_factors!$E80</f>
        <v>0.13169199999999998</v>
      </c>
      <c r="P80" s="2">
        <f>ff_portfolios25!P80-ff_factors!$E80</f>
        <v>9.1378000000000001E-2</v>
      </c>
      <c r="Q80" s="2">
        <f>ff_portfolios25!Q80-ff_factors!$E80</f>
        <v>0.102949</v>
      </c>
      <c r="R80" s="2">
        <f>ff_portfolios25!R80-ff_factors!$E80</f>
        <v>0.14521999999999999</v>
      </c>
      <c r="S80" s="2">
        <f>ff_portfolios25!S80-ff_factors!$E80</f>
        <v>9.1997000000000009E-2</v>
      </c>
      <c r="T80" s="2">
        <f>ff_portfolios25!T80-ff_factors!$E80</f>
        <v>0.12972799999999998</v>
      </c>
      <c r="U80" s="2">
        <f>ff_portfolios25!U80-ff_factors!$E80</f>
        <v>0.14424099999999998</v>
      </c>
      <c r="V80" s="2">
        <f>ff_portfolios25!V80-ff_factors!$E80</f>
        <v>0.11928800000000001</v>
      </c>
      <c r="W80" s="2">
        <f>ff_portfolios25!W80-ff_factors!$E80</f>
        <v>0.158109</v>
      </c>
      <c r="X80" s="2">
        <f>ff_portfolios25!X80-ff_factors!$E80</f>
        <v>7.8468999999999997E-2</v>
      </c>
      <c r="Y80" s="2">
        <f>ff_portfolios25!Y80-ff_factors!$E80</f>
        <v>4.8612000000000002E-2</v>
      </c>
      <c r="Z80" s="2">
        <f>ff_portfolios25!Z80-ff_factors!$E80</f>
        <v>5.0967999999999999E-2</v>
      </c>
      <c r="AA80" s="2">
        <f>ff_portfolios25!AA80-ff_factors!$E80</f>
        <v>5.4030000000000002E-2</v>
      </c>
      <c r="AB80" s="2">
        <f>ff_portfolios25!AB80-ff_factors!$E80</f>
        <v>0.112585</v>
      </c>
    </row>
    <row r="81" spans="1:28" x14ac:dyDescent="0.2">
      <c r="A81">
        <v>19380831</v>
      </c>
      <c r="B81">
        <v>1938</v>
      </c>
      <c r="C81">
        <v>8</v>
      </c>
      <c r="D81" s="2">
        <f>ff_portfolios25!D81-ff_factors!$E81</f>
        <v>-9.8251000000000005E-2</v>
      </c>
      <c r="E81" s="2">
        <f>ff_portfolios25!E81-ff_factors!$E81</f>
        <v>-0.16612399999999999</v>
      </c>
      <c r="F81" s="2">
        <f>ff_portfolios25!F81-ff_factors!$E81</f>
        <v>-1.6278999999999998E-2</v>
      </c>
      <c r="G81" s="2">
        <f>ff_portfolios25!G81-ff_factors!$E81</f>
        <v>-7.3440000000000005E-2</v>
      </c>
      <c r="H81" s="2">
        <f>ff_portfolios25!H81-ff_factors!$E81</f>
        <v>-0.12917899999999999</v>
      </c>
      <c r="I81" s="2">
        <f>ff_portfolios25!I81-ff_factors!$E81</f>
        <v>-1.7690000000000001E-2</v>
      </c>
      <c r="J81" s="2">
        <f>ff_portfolios25!J81-ff_factors!$E81</f>
        <v>-4.0327000000000002E-2</v>
      </c>
      <c r="K81" s="2">
        <f>ff_portfolios25!K81-ff_factors!$E81</f>
        <v>-6.368E-2</v>
      </c>
      <c r="L81" s="2">
        <f>ff_portfolios25!L81-ff_factors!$E81</f>
        <v>-5.577E-2</v>
      </c>
      <c r="M81" s="2">
        <f>ff_portfolios25!M81-ff_factors!$E81</f>
        <v>-9.8267999999999994E-2</v>
      </c>
      <c r="N81" s="2">
        <f>ff_portfolios25!N81-ff_factors!$E81</f>
        <v>-3.7513999999999999E-2</v>
      </c>
      <c r="O81" s="2">
        <f>ff_portfolios25!O81-ff_factors!$E81</f>
        <v>-4.6644999999999999E-2</v>
      </c>
      <c r="P81" s="2">
        <f>ff_portfolios25!P81-ff_factors!$E81</f>
        <v>-3.4886E-2</v>
      </c>
      <c r="Q81" s="2">
        <f>ff_portfolios25!Q81-ff_factors!$E81</f>
        <v>-6.0146999999999999E-2</v>
      </c>
      <c r="R81" s="2">
        <f>ff_portfolios25!R81-ff_factors!$E81</f>
        <v>-0.103453</v>
      </c>
      <c r="S81" s="2">
        <f>ff_portfolios25!S81-ff_factors!$E81</f>
        <v>-3.9550000000000002E-2</v>
      </c>
      <c r="T81" s="2">
        <f>ff_portfolios25!T81-ff_factors!$E81</f>
        <v>-2.5513999999999998E-2</v>
      </c>
      <c r="U81" s="2">
        <f>ff_portfolios25!U81-ff_factors!$E81</f>
        <v>-5.1487999999999999E-2</v>
      </c>
      <c r="V81" s="2">
        <f>ff_portfolios25!V81-ff_factors!$E81</f>
        <v>-6.4505000000000007E-2</v>
      </c>
      <c r="W81" s="2">
        <f>ff_portfolios25!W81-ff_factors!$E81</f>
        <v>-7.1304999999999993E-2</v>
      </c>
      <c r="X81" s="2">
        <f>ff_portfolios25!X81-ff_factors!$E81</f>
        <v>3.8019999999999998E-3</v>
      </c>
      <c r="Y81" s="2">
        <f>ff_portfolios25!Y81-ff_factors!$E81</f>
        <v>-3.8911000000000001E-2</v>
      </c>
      <c r="Z81" s="2">
        <f>ff_portfolios25!Z81-ff_factors!$E81</f>
        <v>-5.3931E-2</v>
      </c>
      <c r="AA81" s="2">
        <f>ff_portfolios25!AA81-ff_factors!$E81</f>
        <v>-3.9967999999999997E-2</v>
      </c>
      <c r="AB81" s="2">
        <f>ff_portfolios25!AB81-ff_factors!$E81</f>
        <v>-7.4559E-2</v>
      </c>
    </row>
    <row r="82" spans="1:28" x14ac:dyDescent="0.2">
      <c r="A82">
        <v>19380930</v>
      </c>
      <c r="B82">
        <v>1938</v>
      </c>
      <c r="C82">
        <v>9</v>
      </c>
      <c r="D82" s="2">
        <f>ff_portfolios25!D82-ff_factors!$E82</f>
        <v>-0.14486499999999999</v>
      </c>
      <c r="E82" s="2">
        <f>ff_portfolios25!E82-ff_factors!$E82</f>
        <v>8.2139999999999991E-3</v>
      </c>
      <c r="F82" s="2">
        <f>ff_portfolios25!F82-ff_factors!$E82</f>
        <v>-6.7576000000000011E-2</v>
      </c>
      <c r="G82" s="2">
        <f>ff_portfolios25!G82-ff_factors!$E82</f>
        <v>-2.8516999999999997E-2</v>
      </c>
      <c r="H82" s="2">
        <f>ff_portfolios25!H82-ff_factors!$E82</f>
        <v>-3.5935999999999996E-2</v>
      </c>
      <c r="I82" s="2">
        <f>ff_portfolios25!I82-ff_factors!$E82</f>
        <v>1.277E-2</v>
      </c>
      <c r="J82" s="2">
        <f>ff_portfolios25!J82-ff_factors!$E82</f>
        <v>-4.5602999999999998E-2</v>
      </c>
      <c r="K82" s="2">
        <f>ff_portfolios25!K82-ff_factors!$E82</f>
        <v>-2.1030999999999998E-2</v>
      </c>
      <c r="L82" s="2">
        <f>ff_portfolios25!L82-ff_factors!$E82</f>
        <v>-1.7165999999999997E-2</v>
      </c>
      <c r="M82" s="2">
        <f>ff_portfolios25!M82-ff_factors!$E82</f>
        <v>-2.0017E-2</v>
      </c>
      <c r="N82" s="2">
        <f>ff_portfolios25!N82-ff_factors!$E82</f>
        <v>-1.3631000000000001E-2</v>
      </c>
      <c r="O82" s="2">
        <f>ff_portfolios25!O82-ff_factors!$E82</f>
        <v>-7.7939999999999997E-3</v>
      </c>
      <c r="P82" s="2">
        <f>ff_portfolios25!P82-ff_factors!$E82</f>
        <v>-2.6275E-2</v>
      </c>
      <c r="Q82" s="2">
        <f>ff_portfolios25!Q82-ff_factors!$E82</f>
        <v>-1.6080999999999998E-2</v>
      </c>
      <c r="R82" s="2">
        <f>ff_portfolios25!R82-ff_factors!$E82</f>
        <v>-3.0672999999999999E-2</v>
      </c>
      <c r="S82" s="2">
        <f>ff_portfolios25!S82-ff_factors!$E82</f>
        <v>-3.3730000000000001E-3</v>
      </c>
      <c r="T82" s="2">
        <f>ff_portfolios25!T82-ff_factors!$E82</f>
        <v>-1.82E-3</v>
      </c>
      <c r="U82" s="2">
        <f>ff_portfolios25!U82-ff_factors!$E82</f>
        <v>-1.7291999999999998E-2</v>
      </c>
      <c r="V82" s="2">
        <f>ff_portfolios25!V82-ff_factors!$E82</f>
        <v>-1.9949999999999999E-2</v>
      </c>
      <c r="W82" s="2">
        <f>ff_portfolios25!W82-ff_factors!$E82</f>
        <v>-3.6747999999999996E-2</v>
      </c>
      <c r="X82" s="2">
        <f>ff_portfolios25!X82-ff_factors!$E82</f>
        <v>1.3103E-2</v>
      </c>
      <c r="Y82" s="2">
        <f>ff_portfolios25!Y82-ff_factors!$E82</f>
        <v>1.6512000000000002E-2</v>
      </c>
      <c r="Z82" s="2">
        <f>ff_portfolios25!Z82-ff_factors!$E82</f>
        <v>8.1370000000000001E-3</v>
      </c>
      <c r="AA82" s="2">
        <f>ff_portfolios25!AA82-ff_factors!$E82</f>
        <v>1.0737E-2</v>
      </c>
      <c r="AB82" s="2">
        <f>ff_portfolios25!AB82-ff_factors!$E82</f>
        <v>-2.3282999999999998E-2</v>
      </c>
    </row>
    <row r="83" spans="1:28" x14ac:dyDescent="0.2">
      <c r="A83">
        <v>19381031</v>
      </c>
      <c r="B83">
        <v>1938</v>
      </c>
      <c r="C83">
        <v>10</v>
      </c>
      <c r="D83" s="2">
        <f>ff_portfolios25!D83-ff_factors!$E83</f>
        <v>0.13230700000000001</v>
      </c>
      <c r="E83" s="2">
        <f>ff_portfolios25!E83-ff_factors!$E83</f>
        <v>3.8036999999999994E-2</v>
      </c>
      <c r="F83" s="2">
        <f>ff_portfolios25!F83-ff_factors!$E83</f>
        <v>0.192439</v>
      </c>
      <c r="G83" s="2">
        <f>ff_portfolios25!G83-ff_factors!$E83</f>
        <v>0.167992</v>
      </c>
      <c r="H83" s="2">
        <f>ff_portfolios25!H83-ff_factors!$E83</f>
        <v>0.14440600000000001</v>
      </c>
      <c r="I83" s="2">
        <f>ff_portfolios25!I83-ff_factors!$E83</f>
        <v>0.13188800000000001</v>
      </c>
      <c r="J83" s="2">
        <f>ff_portfolios25!J83-ff_factors!$E83</f>
        <v>0.20943100000000001</v>
      </c>
      <c r="K83" s="2">
        <f>ff_portfolios25!K83-ff_factors!$E83</f>
        <v>0.118953</v>
      </c>
      <c r="L83" s="2">
        <f>ff_portfolios25!L83-ff_factors!$E83</f>
        <v>0.15108000000000002</v>
      </c>
      <c r="M83" s="2">
        <f>ff_portfolios25!M83-ff_factors!$E83</f>
        <v>0.21635500000000002</v>
      </c>
      <c r="N83" s="2">
        <f>ff_portfolios25!N83-ff_factors!$E83</f>
        <v>0.123677</v>
      </c>
      <c r="O83" s="2">
        <f>ff_portfolios25!O83-ff_factors!$E83</f>
        <v>0.14232500000000001</v>
      </c>
      <c r="P83" s="2">
        <f>ff_portfolios25!P83-ff_factors!$E83</f>
        <v>0.104877</v>
      </c>
      <c r="Q83" s="2">
        <f>ff_portfolios25!Q83-ff_factors!$E83</f>
        <v>0.13239400000000001</v>
      </c>
      <c r="R83" s="2">
        <f>ff_portfolios25!R83-ff_factors!$E83</f>
        <v>0.222832</v>
      </c>
      <c r="S83" s="2">
        <f>ff_portfolios25!S83-ff_factors!$E83</f>
        <v>0.12532300000000002</v>
      </c>
      <c r="T83" s="2">
        <f>ff_portfolios25!T83-ff_factors!$E83</f>
        <v>0.110761</v>
      </c>
      <c r="U83" s="2">
        <f>ff_portfolios25!U83-ff_factors!$E83</f>
        <v>9.4231999999999996E-2</v>
      </c>
      <c r="V83" s="2">
        <f>ff_portfolios25!V83-ff_factors!$E83</f>
        <v>0.13925400000000002</v>
      </c>
      <c r="W83" s="2">
        <f>ff_portfolios25!W83-ff_factors!$E83</f>
        <v>0.21219700000000002</v>
      </c>
      <c r="X83" s="2">
        <f>ff_portfolios25!X83-ff_factors!$E83</f>
        <v>6.7438999999999999E-2</v>
      </c>
      <c r="Y83" s="2">
        <f>ff_portfolios25!Y83-ff_factors!$E83</f>
        <v>4.6797999999999999E-2</v>
      </c>
      <c r="Z83" s="2">
        <f>ff_portfolios25!Z83-ff_factors!$E83</f>
        <v>6.6557999999999992E-2</v>
      </c>
      <c r="AA83" s="2">
        <f>ff_portfolios25!AA83-ff_factors!$E83</f>
        <v>0.12835000000000002</v>
      </c>
      <c r="AB83" s="2">
        <f>ff_portfolios25!AB83-ff_factors!$E83</f>
        <v>0.175264</v>
      </c>
    </row>
    <row r="84" spans="1:28" x14ac:dyDescent="0.2">
      <c r="A84">
        <v>19381130</v>
      </c>
      <c r="B84">
        <v>1938</v>
      </c>
      <c r="C84">
        <v>11</v>
      </c>
      <c r="D84" s="2">
        <f>ff_portfolios25!D84-ff_factors!$E84</f>
        <v>-6.827699999999999E-2</v>
      </c>
      <c r="E84" s="2">
        <f>ff_portfolios25!E84-ff_factors!$E84</f>
        <v>-6.8284999999999998E-2</v>
      </c>
      <c r="F84" s="2">
        <f>ff_portfolios25!F84-ff_factors!$E84</f>
        <v>-0.106669</v>
      </c>
      <c r="G84" s="2">
        <f>ff_portfolios25!G84-ff_factors!$E84</f>
        <v>-9.4669999999999997E-3</v>
      </c>
      <c r="H84" s="2">
        <f>ff_portfolios25!H84-ff_factors!$E84</f>
        <v>-6.8932999999999994E-2</v>
      </c>
      <c r="I84" s="2">
        <f>ff_portfolios25!I84-ff_factors!$E84</f>
        <v>-6.0465999999999999E-2</v>
      </c>
      <c r="J84" s="2">
        <f>ff_portfolios25!J84-ff_factors!$E84</f>
        <v>-6.8654999999999994E-2</v>
      </c>
      <c r="K84" s="2">
        <f>ff_portfolios25!K84-ff_factors!$E84</f>
        <v>-2.4622999999999999E-2</v>
      </c>
      <c r="L84" s="2">
        <f>ff_portfolios25!L84-ff_factors!$E84</f>
        <v>-4.1332999999999995E-2</v>
      </c>
      <c r="M84" s="2">
        <f>ff_portfolios25!M84-ff_factors!$E84</f>
        <v>-6.0890999999999994E-2</v>
      </c>
      <c r="N84" s="2">
        <f>ff_portfolios25!N84-ff_factors!$E84</f>
        <v>-1.9779000000000001E-2</v>
      </c>
      <c r="O84" s="2">
        <f>ff_portfolios25!O84-ff_factors!$E84</f>
        <v>-7.3720000000000001E-3</v>
      </c>
      <c r="P84" s="2">
        <f>ff_portfolios25!P84-ff_factors!$E84</f>
        <v>1.4009999999999999E-3</v>
      </c>
      <c r="Q84" s="2">
        <f>ff_portfolios25!Q84-ff_factors!$E84</f>
        <v>-4.2764999999999997E-2</v>
      </c>
      <c r="R84" s="2">
        <f>ff_portfolios25!R84-ff_factors!$E84</f>
        <v>-8.1549999999999997E-2</v>
      </c>
      <c r="S84" s="2">
        <f>ff_portfolios25!S84-ff_factors!$E84</f>
        <v>5.3270000000000001E-3</v>
      </c>
      <c r="T84" s="2">
        <f>ff_portfolios25!T84-ff_factors!$E84</f>
        <v>-7.6279999999999994E-3</v>
      </c>
      <c r="U84" s="2">
        <f>ff_portfolios25!U84-ff_factors!$E84</f>
        <v>-3.6488E-2</v>
      </c>
      <c r="V84" s="2">
        <f>ff_portfolios25!V84-ff_factors!$E84</f>
        <v>-2.9537000000000001E-2</v>
      </c>
      <c r="W84" s="2">
        <f>ff_portfolios25!W84-ff_factors!$E84</f>
        <v>-2.6373000000000001E-2</v>
      </c>
      <c r="X84" s="2">
        <f>ff_portfolios25!X84-ff_factors!$E84</f>
        <v>-1.6059E-2</v>
      </c>
      <c r="Y84" s="2">
        <f>ff_portfolios25!Y84-ff_factors!$E84</f>
        <v>-3.2820000000000002E-3</v>
      </c>
      <c r="Z84" s="2">
        <f>ff_portfolios25!Z84-ff_factors!$E84</f>
        <v>-3.1696999999999996E-2</v>
      </c>
      <c r="AA84" s="2">
        <f>ff_portfolios25!AA84-ff_factors!$E84</f>
        <v>-2.7217000000000002E-2</v>
      </c>
      <c r="AB84" s="2">
        <f>ff_portfolios25!AB84-ff_factors!$E84</f>
        <v>-2.6075999999999998E-2</v>
      </c>
    </row>
    <row r="85" spans="1:28" x14ac:dyDescent="0.2">
      <c r="A85">
        <v>19381231</v>
      </c>
      <c r="B85">
        <v>1938</v>
      </c>
      <c r="C85">
        <v>12</v>
      </c>
      <c r="D85" s="2">
        <f>ff_portfolios25!D85-ff_factors!$E85</f>
        <v>6.1038000000000002E-2</v>
      </c>
      <c r="E85" s="2">
        <f>ff_portfolios25!E85-ff_factors!$E85</f>
        <v>3.4527000000000002E-2</v>
      </c>
      <c r="F85" s="2">
        <f>ff_portfolios25!F85-ff_factors!$E85</f>
        <v>-2.0039000000000001E-2</v>
      </c>
      <c r="G85" s="2">
        <f>ff_portfolios25!G85-ff_factors!$E85</f>
        <v>-1.6247999999999999E-2</v>
      </c>
      <c r="H85" s="2">
        <f>ff_portfolios25!H85-ff_factors!$E85</f>
        <v>-2.8087000000000001E-2</v>
      </c>
      <c r="I85" s="2">
        <f>ff_portfolios25!I85-ff_factors!$E85</f>
        <v>0.11254</v>
      </c>
      <c r="J85" s="2">
        <f>ff_portfolios25!J85-ff_factors!$E85</f>
        <v>4.6684000000000003E-2</v>
      </c>
      <c r="K85" s="2">
        <f>ff_portfolios25!K85-ff_factors!$E85</f>
        <v>5.4785E-2</v>
      </c>
      <c r="L85" s="2">
        <f>ff_portfolios25!L85-ff_factors!$E85</f>
        <v>1.6249999999999999E-3</v>
      </c>
      <c r="M85" s="2">
        <f>ff_portfolios25!M85-ff_factors!$E85</f>
        <v>3.959E-2</v>
      </c>
      <c r="N85" s="2">
        <f>ff_portfolios25!N85-ff_factors!$E85</f>
        <v>3.2660000000000002E-2</v>
      </c>
      <c r="O85" s="2">
        <f>ff_portfolios25!O85-ff_factors!$E85</f>
        <v>8.9977000000000001E-2</v>
      </c>
      <c r="P85" s="2">
        <f>ff_portfolios25!P85-ff_factors!$E85</f>
        <v>3.6858000000000002E-2</v>
      </c>
      <c r="Q85" s="2">
        <f>ff_portfolios25!Q85-ff_factors!$E85</f>
        <v>5.5653000000000001E-2</v>
      </c>
      <c r="R85" s="2">
        <f>ff_portfolios25!R85-ff_factors!$E85</f>
        <v>4.8920999999999999E-2</v>
      </c>
      <c r="S85" s="2">
        <f>ff_portfolios25!S85-ff_factors!$E85</f>
        <v>4.9829999999999999E-2</v>
      </c>
      <c r="T85" s="2">
        <f>ff_portfolios25!T85-ff_factors!$E85</f>
        <v>2.2817E-2</v>
      </c>
      <c r="U85" s="2">
        <f>ff_portfolios25!U85-ff_factors!$E85</f>
        <v>7.1936E-2</v>
      </c>
      <c r="V85" s="2">
        <f>ff_portfolios25!V85-ff_factors!$E85</f>
        <v>2.6089999999999999E-2</v>
      </c>
      <c r="W85" s="2">
        <f>ff_portfolios25!W85-ff_factors!$E85</f>
        <v>0.123442</v>
      </c>
      <c r="X85" s="2">
        <f>ff_portfolios25!X85-ff_factors!$E85</f>
        <v>3.4065999999999999E-2</v>
      </c>
      <c r="Y85" s="2">
        <f>ff_portfolios25!Y85-ff_factors!$E85</f>
        <v>4.0911999999999997E-2</v>
      </c>
      <c r="Z85" s="2">
        <f>ff_portfolios25!Z85-ff_factors!$E85</f>
        <v>2.8635000000000001E-2</v>
      </c>
      <c r="AA85" s="2">
        <f>ff_portfolios25!AA85-ff_factors!$E85</f>
        <v>4.7363000000000002E-2</v>
      </c>
      <c r="AB85" s="2">
        <f>ff_portfolios25!AB85-ff_factors!$E85</f>
        <v>0.12805</v>
      </c>
    </row>
    <row r="86" spans="1:28" x14ac:dyDescent="0.2">
      <c r="A86">
        <v>19390131</v>
      </c>
      <c r="B86">
        <v>1939</v>
      </c>
      <c r="C86">
        <v>1</v>
      </c>
      <c r="D86" s="2">
        <f>ff_portfolios25!D86-ff_factors!$E86</f>
        <v>-0.101572</v>
      </c>
      <c r="E86" s="2">
        <f>ff_portfolios25!E86-ff_factors!$E86</f>
        <v>-2.8810000000000003E-3</v>
      </c>
      <c r="F86" s="2">
        <f>ff_portfolios25!F86-ff_factors!$E86</f>
        <v>-9.0421000000000001E-2</v>
      </c>
      <c r="G86" s="2">
        <f>ff_portfolios25!G86-ff_factors!$E86</f>
        <v>-8.2411999999999999E-2</v>
      </c>
      <c r="H86" s="2">
        <f>ff_portfolios25!H86-ff_factors!$E86</f>
        <v>-8.0879999999999994E-2</v>
      </c>
      <c r="I86" s="2">
        <f>ff_portfolios25!I86-ff_factors!$E86</f>
        <v>-2.5986000000000002E-2</v>
      </c>
      <c r="J86" s="2">
        <f>ff_portfolios25!J86-ff_factors!$E86</f>
        <v>-0.10453999999999999</v>
      </c>
      <c r="K86" s="2">
        <f>ff_portfolios25!K86-ff_factors!$E86</f>
        <v>-8.6300000000000002E-2</v>
      </c>
      <c r="L86" s="2">
        <f>ff_portfolios25!L86-ff_factors!$E86</f>
        <v>-7.8841999999999995E-2</v>
      </c>
      <c r="M86" s="2">
        <f>ff_portfolios25!M86-ff_factors!$E86</f>
        <v>-0.131499</v>
      </c>
      <c r="N86" s="2">
        <f>ff_portfolios25!N86-ff_factors!$E86</f>
        <v>-8.4441000000000002E-2</v>
      </c>
      <c r="O86" s="2">
        <f>ff_portfolios25!O86-ff_factors!$E86</f>
        <v>-8.6663000000000004E-2</v>
      </c>
      <c r="P86" s="2">
        <f>ff_portfolios25!P86-ff_factors!$E86</f>
        <v>-8.9407E-2</v>
      </c>
      <c r="Q86" s="2">
        <f>ff_portfolios25!Q86-ff_factors!$E86</f>
        <v>-7.8964999999999994E-2</v>
      </c>
      <c r="R86" s="2">
        <f>ff_portfolios25!R86-ff_factors!$E86</f>
        <v>-0.10277599999999999</v>
      </c>
      <c r="S86" s="2">
        <f>ff_portfolios25!S86-ff_factors!$E86</f>
        <v>-7.3280999999999999E-2</v>
      </c>
      <c r="T86" s="2">
        <f>ff_portfolios25!T86-ff_factors!$E86</f>
        <v>-7.9558000000000004E-2</v>
      </c>
      <c r="U86" s="2">
        <f>ff_portfolios25!U86-ff_factors!$E86</f>
        <v>-9.2185000000000003E-2</v>
      </c>
      <c r="V86" s="2">
        <f>ff_portfolios25!V86-ff_factors!$E86</f>
        <v>-3.5409999999999997E-2</v>
      </c>
      <c r="W86" s="2">
        <f>ff_portfolios25!W86-ff_factors!$E86</f>
        <v>-0.124316</v>
      </c>
      <c r="X86" s="2">
        <f>ff_portfolios25!X86-ff_factors!$E86</f>
        <v>-5.8302999999999994E-2</v>
      </c>
      <c r="Y86" s="2">
        <f>ff_portfolios25!Y86-ff_factors!$E86</f>
        <v>-4.3802999999999995E-2</v>
      </c>
      <c r="Z86" s="2">
        <f>ff_portfolios25!Z86-ff_factors!$E86</f>
        <v>-3.9798999999999994E-2</v>
      </c>
      <c r="AA86" s="2">
        <f>ff_portfolios25!AA86-ff_factors!$E86</f>
        <v>-8.7542999999999996E-2</v>
      </c>
      <c r="AB86" s="2">
        <f>ff_portfolios25!AB86-ff_factors!$E86</f>
        <v>-0.13021400000000002</v>
      </c>
    </row>
    <row r="87" spans="1:28" x14ac:dyDescent="0.2">
      <c r="A87">
        <v>19390228</v>
      </c>
      <c r="B87">
        <v>1939</v>
      </c>
      <c r="C87">
        <v>2</v>
      </c>
      <c r="D87" s="2">
        <f>ff_portfolios25!D87-ff_factors!$E87</f>
        <v>2.3875E-2</v>
      </c>
      <c r="E87" s="2">
        <f>ff_portfolios25!E87-ff_factors!$E87</f>
        <v>-6.9740000000000002E-3</v>
      </c>
      <c r="F87" s="2">
        <f>ff_portfolios25!F87-ff_factors!$E87</f>
        <v>3.7976999999999997E-2</v>
      </c>
      <c r="G87" s="2">
        <f>ff_portfolios25!G87-ff_factors!$E87</f>
        <v>1.2319E-2</v>
      </c>
      <c r="H87" s="2">
        <f>ff_portfolios25!H87-ff_factors!$E87</f>
        <v>6.4604999999999996E-2</v>
      </c>
      <c r="I87" s="2">
        <f>ff_portfolios25!I87-ff_factors!$E87</f>
        <v>5.7970000000000001E-3</v>
      </c>
      <c r="J87" s="2">
        <f>ff_portfolios25!J87-ff_factors!$E87</f>
        <v>3.3042999999999996E-2</v>
      </c>
      <c r="K87" s="2">
        <f>ff_portfolios25!K87-ff_factors!$E87</f>
        <v>4.3541999999999997E-2</v>
      </c>
      <c r="L87" s="2">
        <f>ff_portfolios25!L87-ff_factors!$E87</f>
        <v>4.3170999999999994E-2</v>
      </c>
      <c r="M87" s="2">
        <f>ff_portfolios25!M87-ff_factors!$E87</f>
        <v>6.9882E-2</v>
      </c>
      <c r="N87" s="2">
        <f>ff_portfolios25!N87-ff_factors!$E87</f>
        <v>3.0123E-2</v>
      </c>
      <c r="O87" s="2">
        <f>ff_portfolios25!O87-ff_factors!$E87</f>
        <v>8.3142999999999995E-2</v>
      </c>
      <c r="P87" s="2">
        <f>ff_portfolios25!P87-ff_factors!$E87</f>
        <v>4.9921E-2</v>
      </c>
      <c r="Q87" s="2">
        <f>ff_portfolios25!Q87-ff_factors!$E87</f>
        <v>5.8462E-2</v>
      </c>
      <c r="R87" s="2">
        <f>ff_portfolios25!R87-ff_factors!$E87</f>
        <v>8.2727999999999996E-2</v>
      </c>
      <c r="S87" s="2">
        <f>ff_portfolios25!S87-ff_factors!$E87</f>
        <v>5.0422999999999996E-2</v>
      </c>
      <c r="T87" s="2">
        <f>ff_portfolios25!T87-ff_factors!$E87</f>
        <v>4.8542999999999996E-2</v>
      </c>
      <c r="U87" s="2">
        <f>ff_portfolios25!U87-ff_factors!$E87</f>
        <v>2.4605999999999999E-2</v>
      </c>
      <c r="V87" s="2">
        <f>ff_portfolios25!V87-ff_factors!$E87</f>
        <v>3.5124999999999997E-2</v>
      </c>
      <c r="W87" s="2">
        <f>ff_portfolios25!W87-ff_factors!$E87</f>
        <v>4.6571999999999995E-2</v>
      </c>
      <c r="X87" s="2">
        <f>ff_portfolios25!X87-ff_factors!$E87</f>
        <v>2.7293000000000001E-2</v>
      </c>
      <c r="Y87" s="2">
        <f>ff_portfolios25!Y87-ff_factors!$E87</f>
        <v>3.0131999999999999E-2</v>
      </c>
      <c r="Z87" s="2">
        <f>ff_portfolios25!Z87-ff_factors!$E87</f>
        <v>3.9754999999999999E-2</v>
      </c>
      <c r="AA87" s="2">
        <f>ff_portfolios25!AA87-ff_factors!$E87</f>
        <v>6.7747000000000002E-2</v>
      </c>
      <c r="AB87" s="2">
        <f>ff_portfolios25!AB87-ff_factors!$E87</f>
        <v>8.3445999999999992E-2</v>
      </c>
    </row>
    <row r="88" spans="1:28" x14ac:dyDescent="0.2">
      <c r="A88">
        <v>19390331</v>
      </c>
      <c r="B88">
        <v>1939</v>
      </c>
      <c r="C88">
        <v>3</v>
      </c>
      <c r="D88" s="2">
        <f>ff_portfolios25!D88-ff_factors!$E88</f>
        <v>-0.31560100000000002</v>
      </c>
      <c r="E88" s="2">
        <f>ff_portfolios25!E88-ff_factors!$E88</f>
        <v>-0.22469800000000001</v>
      </c>
      <c r="F88" s="2">
        <f>ff_portfolios25!F88-ff_factors!$E88</f>
        <v>-0.22045300000000001</v>
      </c>
      <c r="G88" s="2">
        <f>ff_portfolios25!G88-ff_factors!$E88</f>
        <v>-0.198101</v>
      </c>
      <c r="H88" s="2">
        <f>ff_portfolios25!H88-ff_factors!$E88</f>
        <v>-0.20797700000000002</v>
      </c>
      <c r="I88" s="2">
        <f>ff_portfolios25!I88-ff_factors!$E88</f>
        <v>-0.187137</v>
      </c>
      <c r="J88" s="2">
        <f>ff_portfolios25!J88-ff_factors!$E88</f>
        <v>-0.20112200000000002</v>
      </c>
      <c r="K88" s="2">
        <f>ff_portfolios25!K88-ff_factors!$E88</f>
        <v>-0.16503100000000001</v>
      </c>
      <c r="L88" s="2">
        <f>ff_portfolios25!L88-ff_factors!$E88</f>
        <v>-0.19388900000000001</v>
      </c>
      <c r="M88" s="2">
        <f>ff_portfolios25!M88-ff_factors!$E88</f>
        <v>-0.25795299999999999</v>
      </c>
      <c r="N88" s="2">
        <f>ff_portfolios25!N88-ff_factors!$E88</f>
        <v>-0.17922100000000002</v>
      </c>
      <c r="O88" s="2">
        <f>ff_portfolios25!O88-ff_factors!$E88</f>
        <v>-0.17071800000000001</v>
      </c>
      <c r="P88" s="2">
        <f>ff_portfolios25!P88-ff_factors!$E88</f>
        <v>-0.166271</v>
      </c>
      <c r="Q88" s="2">
        <f>ff_portfolios25!Q88-ff_factors!$E88</f>
        <v>-0.18054700000000001</v>
      </c>
      <c r="R88" s="2">
        <f>ff_portfolios25!R88-ff_factors!$E88</f>
        <v>-0.24223500000000001</v>
      </c>
      <c r="S88" s="2">
        <f>ff_portfolios25!S88-ff_factors!$E88</f>
        <v>-0.113664</v>
      </c>
      <c r="T88" s="2">
        <f>ff_portfolios25!T88-ff_factors!$E88</f>
        <v>-0.17516600000000002</v>
      </c>
      <c r="U88" s="2">
        <f>ff_portfolios25!U88-ff_factors!$E88</f>
        <v>-0.20669700000000002</v>
      </c>
      <c r="V88" s="2">
        <f>ff_portfolios25!V88-ff_factors!$E88</f>
        <v>-0.16503800000000002</v>
      </c>
      <c r="W88" s="2">
        <f>ff_portfolios25!W88-ff_factors!$E88</f>
        <v>-0.28519800000000001</v>
      </c>
      <c r="X88" s="2">
        <f>ff_portfolios25!X88-ff_factors!$E88</f>
        <v>-0.108238</v>
      </c>
      <c r="Y88" s="2">
        <f>ff_portfolios25!Y88-ff_factors!$E88</f>
        <v>-8.0389000000000002E-2</v>
      </c>
      <c r="Z88" s="2">
        <f>ff_portfolios25!Z88-ff_factors!$E88</f>
        <v>-0.11116999999999999</v>
      </c>
      <c r="AA88" s="2">
        <f>ff_portfolios25!AA88-ff_factors!$E88</f>
        <v>-0.184727</v>
      </c>
      <c r="AB88" s="2">
        <f>ff_portfolios25!AB88-ff_factors!$E88</f>
        <v>-0.245118</v>
      </c>
    </row>
    <row r="89" spans="1:28" x14ac:dyDescent="0.2">
      <c r="A89">
        <v>19390429</v>
      </c>
      <c r="B89">
        <v>1939</v>
      </c>
      <c r="C89">
        <v>4</v>
      </c>
      <c r="D89" s="2">
        <f>ff_portfolios25!D89-ff_factors!$E89</f>
        <v>4.4865000000000002E-2</v>
      </c>
      <c r="E89" s="2">
        <f>ff_portfolios25!E89-ff_factors!$E89</f>
        <v>-2.6785E-2</v>
      </c>
      <c r="F89" s="2">
        <f>ff_portfolios25!F89-ff_factors!$E89</f>
        <v>2.1867000000000001E-2</v>
      </c>
      <c r="G89" s="2">
        <f>ff_portfolios25!G89-ff_factors!$E89</f>
        <v>1.371E-3</v>
      </c>
      <c r="H89" s="2">
        <f>ff_portfolios25!H89-ff_factors!$E89</f>
        <v>3.7154E-2</v>
      </c>
      <c r="I89" s="2">
        <f>ff_portfolios25!I89-ff_factors!$E89</f>
        <v>-6.2769999999999996E-3</v>
      </c>
      <c r="J89" s="2">
        <f>ff_portfolios25!J89-ff_factors!$E89</f>
        <v>-8.5450000000000005E-3</v>
      </c>
      <c r="K89" s="2">
        <f>ff_portfolios25!K89-ff_factors!$E89</f>
        <v>1.5443E-2</v>
      </c>
      <c r="L89" s="2">
        <f>ff_portfolios25!L89-ff_factors!$E89</f>
        <v>1.4295E-2</v>
      </c>
      <c r="M89" s="2">
        <f>ff_portfolios25!M89-ff_factors!$E89</f>
        <v>3.5577999999999999E-2</v>
      </c>
      <c r="N89" s="2">
        <f>ff_portfolios25!N89-ff_factors!$E89</f>
        <v>8.7740000000000005E-3</v>
      </c>
      <c r="O89" s="2">
        <f>ff_portfolios25!O89-ff_factors!$E89</f>
        <v>1.2329999999999999E-3</v>
      </c>
      <c r="P89" s="2">
        <f>ff_portfolios25!P89-ff_factors!$E89</f>
        <v>-2.4230999999999999E-2</v>
      </c>
      <c r="Q89" s="2">
        <f>ff_portfolios25!Q89-ff_factors!$E89</f>
        <v>-2.121E-2</v>
      </c>
      <c r="R89" s="2">
        <f>ff_portfolios25!R89-ff_factors!$E89</f>
        <v>3.5790000000000002E-2</v>
      </c>
      <c r="S89" s="2">
        <f>ff_portfolios25!S89-ff_factors!$E89</f>
        <v>-9.1979999999999996E-3</v>
      </c>
      <c r="T89" s="2">
        <f>ff_portfolios25!T89-ff_factors!$E89</f>
        <v>1.449E-3</v>
      </c>
      <c r="U89" s="2">
        <f>ff_portfolios25!U89-ff_factors!$E89</f>
        <v>2.1410000000000001E-3</v>
      </c>
      <c r="V89" s="2">
        <f>ff_portfolios25!V89-ff_factors!$E89</f>
        <v>4.1009999999999996E-3</v>
      </c>
      <c r="W89" s="2">
        <f>ff_portfolios25!W89-ff_factors!$E89</f>
        <v>1.6088999999999999E-2</v>
      </c>
      <c r="X89" s="2">
        <f>ff_portfolios25!X89-ff_factors!$E89</f>
        <v>-4.7029999999999997E-3</v>
      </c>
      <c r="Y89" s="2">
        <f>ff_portfolios25!Y89-ff_factors!$E89</f>
        <v>3.9410000000000001E-3</v>
      </c>
      <c r="Z89" s="2">
        <f>ff_portfolios25!Z89-ff_factors!$E89</f>
        <v>1.0480000000000001E-3</v>
      </c>
      <c r="AA89" s="2">
        <f>ff_portfolios25!AA89-ff_factors!$E89</f>
        <v>-2.4731E-2</v>
      </c>
      <c r="AB89" s="2">
        <f>ff_portfolios25!AB89-ff_factors!$E89</f>
        <v>-3.7456999999999997E-2</v>
      </c>
    </row>
    <row r="90" spans="1:28" x14ac:dyDescent="0.2">
      <c r="A90">
        <v>19390531</v>
      </c>
      <c r="B90">
        <v>1939</v>
      </c>
      <c r="C90">
        <v>5</v>
      </c>
      <c r="D90" s="2">
        <f>ff_portfolios25!D90-ff_factors!$E90</f>
        <v>7.5770999999999991E-2</v>
      </c>
      <c r="E90" s="2">
        <f>ff_portfolios25!E90-ff_factors!$E90</f>
        <v>3.8591E-2</v>
      </c>
      <c r="F90" s="2">
        <f>ff_portfolios25!F90-ff_factors!$E90</f>
        <v>8.0565999999999999E-2</v>
      </c>
      <c r="G90" s="2">
        <f>ff_portfolios25!G90-ff_factors!$E90</f>
        <v>6.7779999999999993E-2</v>
      </c>
      <c r="H90" s="2">
        <f>ff_portfolios25!H90-ff_factors!$E90</f>
        <v>7.2753999999999999E-2</v>
      </c>
      <c r="I90" s="2">
        <f>ff_portfolios25!I90-ff_factors!$E90</f>
        <v>6.8551000000000001E-2</v>
      </c>
      <c r="J90" s="2">
        <f>ff_portfolios25!J90-ff_factors!$E90</f>
        <v>0.11502</v>
      </c>
      <c r="K90" s="2">
        <f>ff_portfolios25!K90-ff_factors!$E90</f>
        <v>8.0682999999999991E-2</v>
      </c>
      <c r="L90" s="2">
        <f>ff_portfolios25!L90-ff_factors!$E90</f>
        <v>9.5449999999999993E-2</v>
      </c>
      <c r="M90" s="2">
        <f>ff_portfolios25!M90-ff_factors!$E90</f>
        <v>0.110833</v>
      </c>
      <c r="N90" s="2">
        <f>ff_portfolios25!N90-ff_factors!$E90</f>
        <v>0.109028</v>
      </c>
      <c r="O90" s="2">
        <f>ff_portfolios25!O90-ff_factors!$E90</f>
        <v>0.11194699999999999</v>
      </c>
      <c r="P90" s="2">
        <f>ff_portfolios25!P90-ff_factors!$E90</f>
        <v>0.11026999999999999</v>
      </c>
      <c r="Q90" s="2">
        <f>ff_portfolios25!Q90-ff_factors!$E90</f>
        <v>8.7620999999999991E-2</v>
      </c>
      <c r="R90" s="2">
        <f>ff_portfolios25!R90-ff_factors!$E90</f>
        <v>0.115609</v>
      </c>
      <c r="S90" s="2">
        <f>ff_portfolios25!S90-ff_factors!$E90</f>
        <v>7.9362000000000002E-2</v>
      </c>
      <c r="T90" s="2">
        <f>ff_portfolios25!T90-ff_factors!$E90</f>
        <v>7.8604999999999994E-2</v>
      </c>
      <c r="U90" s="2">
        <f>ff_portfolios25!U90-ff_factors!$E90</f>
        <v>0.101022</v>
      </c>
      <c r="V90" s="2">
        <f>ff_portfolios25!V90-ff_factors!$E90</f>
        <v>0.10298499999999999</v>
      </c>
      <c r="W90" s="2">
        <f>ff_portfolios25!W90-ff_factors!$E90</f>
        <v>9.872199999999999E-2</v>
      </c>
      <c r="X90" s="2">
        <f>ff_portfolios25!X90-ff_factors!$E90</f>
        <v>6.9328000000000001E-2</v>
      </c>
      <c r="Y90" s="2">
        <f>ff_portfolios25!Y90-ff_factors!$E90</f>
        <v>5.9652999999999998E-2</v>
      </c>
      <c r="Z90" s="2">
        <f>ff_portfolios25!Z90-ff_factors!$E90</f>
        <v>3.7384999999999995E-2</v>
      </c>
      <c r="AA90" s="2">
        <f>ff_portfolios25!AA90-ff_factors!$E90</f>
        <v>6.6473999999999991E-2</v>
      </c>
      <c r="AB90" s="2">
        <f>ff_portfolios25!AB90-ff_factors!$E90</f>
        <v>0.102064</v>
      </c>
    </row>
    <row r="91" spans="1:28" x14ac:dyDescent="0.2">
      <c r="A91">
        <v>19390630</v>
      </c>
      <c r="B91">
        <v>1939</v>
      </c>
      <c r="C91">
        <v>6</v>
      </c>
      <c r="D91" s="2">
        <f>ff_portfolios25!D91-ff_factors!$E91</f>
        <v>-0.103161</v>
      </c>
      <c r="E91" s="2">
        <f>ff_portfolios25!E91-ff_factors!$E91</f>
        <v>-0.14602899999999999</v>
      </c>
      <c r="F91" s="2">
        <f>ff_portfolios25!F91-ff_factors!$E91</f>
        <v>-0.12833499999999998</v>
      </c>
      <c r="G91" s="2">
        <f>ff_portfolios25!G91-ff_factors!$E91</f>
        <v>-0.106085</v>
      </c>
      <c r="H91" s="2">
        <f>ff_portfolios25!H91-ff_factors!$E91</f>
        <v>-0.12700199999999998</v>
      </c>
      <c r="I91" s="2">
        <f>ff_portfolios25!I91-ff_factors!$E91</f>
        <v>-8.8471000000000008E-2</v>
      </c>
      <c r="J91" s="2">
        <f>ff_portfolios25!J91-ff_factors!$E91</f>
        <v>-8.0001000000000003E-2</v>
      </c>
      <c r="K91" s="2">
        <f>ff_portfolios25!K91-ff_factors!$E91</f>
        <v>-7.1767999999999998E-2</v>
      </c>
      <c r="L91" s="2">
        <f>ff_portfolios25!L91-ff_factors!$E91</f>
        <v>-7.7557000000000001E-2</v>
      </c>
      <c r="M91" s="2">
        <f>ff_portfolios25!M91-ff_factors!$E91</f>
        <v>-0.13009099999999998</v>
      </c>
      <c r="N91" s="2">
        <f>ff_portfolios25!N91-ff_factors!$E91</f>
        <v>-8.9527999999999996E-2</v>
      </c>
      <c r="O91" s="2">
        <f>ff_portfolios25!O91-ff_factors!$E91</f>
        <v>-4.6450000000000005E-2</v>
      </c>
      <c r="P91" s="2">
        <f>ff_portfolios25!P91-ff_factors!$E91</f>
        <v>-8.0618000000000009E-2</v>
      </c>
      <c r="Q91" s="2">
        <f>ff_portfolios25!Q91-ff_factors!$E91</f>
        <v>-7.7433000000000002E-2</v>
      </c>
      <c r="R91" s="2">
        <f>ff_portfolios25!R91-ff_factors!$E91</f>
        <v>-9.9107000000000001E-2</v>
      </c>
      <c r="S91" s="2">
        <f>ff_portfolios25!S91-ff_factors!$E91</f>
        <v>-4.2110000000000002E-2</v>
      </c>
      <c r="T91" s="2">
        <f>ff_portfolios25!T91-ff_factors!$E91</f>
        <v>-7.5011000000000008E-2</v>
      </c>
      <c r="U91" s="2">
        <f>ff_portfolios25!U91-ff_factors!$E91</f>
        <v>-9.622E-2</v>
      </c>
      <c r="V91" s="2">
        <f>ff_portfolios25!V91-ff_factors!$E91</f>
        <v>-6.9598000000000007E-2</v>
      </c>
      <c r="W91" s="2">
        <f>ff_portfolios25!W91-ff_factors!$E91</f>
        <v>-0.152225</v>
      </c>
      <c r="X91" s="2">
        <f>ff_portfolios25!X91-ff_factors!$E91</f>
        <v>-4.2716000000000004E-2</v>
      </c>
      <c r="Y91" s="2">
        <f>ff_portfolios25!Y91-ff_factors!$E91</f>
        <v>-5.4506000000000006E-2</v>
      </c>
      <c r="Z91" s="2">
        <f>ff_portfolios25!Z91-ff_factors!$E91</f>
        <v>-3.4213E-2</v>
      </c>
      <c r="AA91" s="2">
        <f>ff_portfolios25!AA91-ff_factors!$E91</f>
        <v>-9.1649000000000008E-2</v>
      </c>
      <c r="AB91" s="2">
        <f>ff_portfolios25!AB91-ff_factors!$E91</f>
        <v>-0.13972499999999999</v>
      </c>
    </row>
    <row r="92" spans="1:28" x14ac:dyDescent="0.2">
      <c r="A92">
        <v>19390731</v>
      </c>
      <c r="B92">
        <v>1939</v>
      </c>
      <c r="C92">
        <v>7</v>
      </c>
      <c r="D92" s="2">
        <f>ff_portfolios25!D92-ff_factors!$E92</f>
        <v>0.11262</v>
      </c>
      <c r="E92" s="2">
        <f>ff_portfolios25!E92-ff_factors!$E92</f>
        <v>0.269318</v>
      </c>
      <c r="F92" s="2">
        <f>ff_portfolios25!F92-ff_factors!$E92</f>
        <v>0.210643</v>
      </c>
      <c r="G92" s="2">
        <f>ff_portfolios25!G92-ff_factors!$E92</f>
        <v>0.14419599999999999</v>
      </c>
      <c r="H92" s="2">
        <f>ff_portfolios25!H92-ff_factors!$E92</f>
        <v>0.120444</v>
      </c>
      <c r="I92" s="2">
        <f>ff_portfolios25!I92-ff_factors!$E92</f>
        <v>0.167799</v>
      </c>
      <c r="J92" s="2">
        <f>ff_portfolios25!J92-ff_factors!$E92</f>
        <v>0.17766799999999999</v>
      </c>
      <c r="K92" s="2">
        <f>ff_portfolios25!K92-ff_factors!$E92</f>
        <v>0.13879900000000001</v>
      </c>
      <c r="L92" s="2">
        <f>ff_portfolios25!L92-ff_factors!$E92</f>
        <v>0.12912399999999999</v>
      </c>
      <c r="M92" s="2">
        <f>ff_portfolios25!M92-ff_factors!$E92</f>
        <v>0.15282599999999999</v>
      </c>
      <c r="N92" s="2">
        <f>ff_portfolios25!N92-ff_factors!$E92</f>
        <v>0.161191</v>
      </c>
      <c r="O92" s="2">
        <f>ff_portfolios25!O92-ff_factors!$E92</f>
        <v>0.18133299999999999</v>
      </c>
      <c r="P92" s="2">
        <f>ff_portfolios25!P92-ff_factors!$E92</f>
        <v>0.13408300000000001</v>
      </c>
      <c r="Q92" s="2">
        <f>ff_portfolios25!Q92-ff_factors!$E92</f>
        <v>0.110721</v>
      </c>
      <c r="R92" s="2">
        <f>ff_portfolios25!R92-ff_factors!$E92</f>
        <v>0.17360200000000001</v>
      </c>
      <c r="S92" s="2">
        <f>ff_portfolios25!S92-ff_factors!$E92</f>
        <v>0.14271700000000001</v>
      </c>
      <c r="T92" s="2">
        <f>ff_portfolios25!T92-ff_factors!$E92</f>
        <v>0.134468</v>
      </c>
      <c r="U92" s="2">
        <f>ff_portfolios25!U92-ff_factors!$E92</f>
        <v>0.14025599999999999</v>
      </c>
      <c r="V92" s="2">
        <f>ff_portfolios25!V92-ff_factors!$E92</f>
        <v>0.116951</v>
      </c>
      <c r="W92" s="2">
        <f>ff_portfolios25!W92-ff_factors!$E92</f>
        <v>0.22789000000000001</v>
      </c>
      <c r="X92" s="2">
        <f>ff_portfolios25!X92-ff_factors!$E92</f>
        <v>0.10989699999999999</v>
      </c>
      <c r="Y92" s="2">
        <f>ff_portfolios25!Y92-ff_factors!$E92</f>
        <v>8.0005000000000007E-2</v>
      </c>
      <c r="Z92" s="2">
        <f>ff_portfolios25!Z92-ff_factors!$E92</f>
        <v>7.7243999999999993E-2</v>
      </c>
      <c r="AA92" s="2">
        <f>ff_portfolios25!AA92-ff_factors!$E92</f>
        <v>9.6437999999999996E-2</v>
      </c>
      <c r="AB92" s="2">
        <f>ff_portfolios25!AB92-ff_factors!$E92</f>
        <v>0.16530400000000001</v>
      </c>
    </row>
    <row r="93" spans="1:28" x14ac:dyDescent="0.2">
      <c r="A93">
        <v>19390831</v>
      </c>
      <c r="B93">
        <v>1939</v>
      </c>
      <c r="C93">
        <v>8</v>
      </c>
      <c r="D93" s="2">
        <f>ff_portfolios25!D93-ff_factors!$E93</f>
        <v>-0.13343200000000002</v>
      </c>
      <c r="E93" s="2">
        <f>ff_portfolios25!E93-ff_factors!$E93</f>
        <v>-0.19717200000000001</v>
      </c>
      <c r="F93" s="2">
        <f>ff_portfolios25!F93-ff_factors!$E93</f>
        <v>-0.156276</v>
      </c>
      <c r="G93" s="2">
        <f>ff_portfolios25!G93-ff_factors!$E93</f>
        <v>-0.14959800000000001</v>
      </c>
      <c r="H93" s="2">
        <f>ff_portfolios25!H93-ff_factors!$E93</f>
        <v>-0.11486499999999999</v>
      </c>
      <c r="I93" s="2">
        <f>ff_portfolios25!I93-ff_factors!$E93</f>
        <v>-0.15043900000000002</v>
      </c>
      <c r="J93" s="2">
        <f>ff_portfolios25!J93-ff_factors!$E93</f>
        <v>-0.121763</v>
      </c>
      <c r="K93" s="2">
        <f>ff_portfolios25!K93-ff_factors!$E93</f>
        <v>-0.13548200000000002</v>
      </c>
      <c r="L93" s="2">
        <f>ff_portfolios25!L93-ff_factors!$E93</f>
        <v>-0.11803999999999999</v>
      </c>
      <c r="M93" s="2">
        <f>ff_portfolios25!M93-ff_factors!$E93</f>
        <v>-0.13136800000000001</v>
      </c>
      <c r="N93" s="2">
        <f>ff_portfolios25!N93-ff_factors!$E93</f>
        <v>-0.105694</v>
      </c>
      <c r="O93" s="2">
        <f>ff_portfolios25!O93-ff_factors!$E93</f>
        <v>-0.120209</v>
      </c>
      <c r="P93" s="2">
        <f>ff_portfolios25!P93-ff_factors!$E93</f>
        <v>-0.10188</v>
      </c>
      <c r="Q93" s="2">
        <f>ff_portfolios25!Q93-ff_factors!$E93</f>
        <v>-8.9259999999999992E-2</v>
      </c>
      <c r="R93" s="2">
        <f>ff_portfolios25!R93-ff_factors!$E93</f>
        <v>-0.149948</v>
      </c>
      <c r="S93" s="2">
        <f>ff_portfolios25!S93-ff_factors!$E93</f>
        <v>-0.105818</v>
      </c>
      <c r="T93" s="2">
        <f>ff_portfolios25!T93-ff_factors!$E93</f>
        <v>-0.114955</v>
      </c>
      <c r="U93" s="2">
        <f>ff_portfolios25!U93-ff_factors!$E93</f>
        <v>-0.10536</v>
      </c>
      <c r="V93" s="2">
        <f>ff_portfolios25!V93-ff_factors!$E93</f>
        <v>-7.7454999999999996E-2</v>
      </c>
      <c r="W93" s="2">
        <f>ff_portfolios25!W93-ff_factors!$E93</f>
        <v>-0.152812</v>
      </c>
      <c r="X93" s="2">
        <f>ff_portfolios25!X93-ff_factors!$E93</f>
        <v>-5.5851999999999999E-2</v>
      </c>
      <c r="Y93" s="2">
        <f>ff_portfolios25!Y93-ff_factors!$E93</f>
        <v>-4.9451999999999996E-2</v>
      </c>
      <c r="Z93" s="2">
        <f>ff_portfolios25!Z93-ff_factors!$E93</f>
        <v>-6.0847999999999999E-2</v>
      </c>
      <c r="AA93" s="2">
        <f>ff_portfolios25!AA93-ff_factors!$E93</f>
        <v>-6.8392999999999995E-2</v>
      </c>
      <c r="AB93" s="2">
        <f>ff_portfolios25!AB93-ff_factors!$E93</f>
        <v>-0.13949500000000001</v>
      </c>
    </row>
    <row r="94" spans="1:28" x14ac:dyDescent="0.2">
      <c r="A94">
        <v>19390930</v>
      </c>
      <c r="B94">
        <v>1939</v>
      </c>
      <c r="C94">
        <v>9</v>
      </c>
      <c r="D94" s="2">
        <f>ff_portfolios25!D94-ff_factors!$E94</f>
        <v>1.134371</v>
      </c>
      <c r="E94" s="2">
        <f>ff_portfolios25!E94-ff_factors!$E94</f>
        <v>0.367591</v>
      </c>
      <c r="F94" s="2">
        <f>ff_portfolios25!F94-ff_factors!$E94</f>
        <v>0.67197399999999996</v>
      </c>
      <c r="G94" s="2">
        <f>ff_portfolios25!G94-ff_factors!$E94</f>
        <v>0.50355000000000005</v>
      </c>
      <c r="H94" s="2">
        <f>ff_portfolios25!H94-ff_factors!$E94</f>
        <v>0.85997400000000002</v>
      </c>
      <c r="I94" s="2">
        <f>ff_portfolios25!I94-ff_factors!$E94</f>
        <v>0.40677400000000002</v>
      </c>
      <c r="J94" s="2">
        <f>ff_portfolios25!J94-ff_factors!$E94</f>
        <v>0.39111299999999999</v>
      </c>
      <c r="K94" s="2">
        <f>ff_portfolios25!K94-ff_factors!$E94</f>
        <v>0.42463300000000004</v>
      </c>
      <c r="L94" s="2">
        <f>ff_portfolios25!L94-ff_factors!$E94</f>
        <v>0.39027000000000001</v>
      </c>
      <c r="M94" s="2">
        <f>ff_portfolios25!M94-ff_factors!$E94</f>
        <v>0.55996500000000005</v>
      </c>
      <c r="N94" s="2">
        <f>ff_portfolios25!N94-ff_factors!$E94</f>
        <v>0.275061</v>
      </c>
      <c r="O94" s="2">
        <f>ff_portfolios25!O94-ff_factors!$E94</f>
        <v>0.25644800000000001</v>
      </c>
      <c r="P94" s="2">
        <f>ff_portfolios25!P94-ff_factors!$E94</f>
        <v>0.355325</v>
      </c>
      <c r="Q94" s="2">
        <f>ff_portfolios25!Q94-ff_factors!$E94</f>
        <v>0.28601500000000002</v>
      </c>
      <c r="R94" s="2">
        <f>ff_portfolios25!R94-ff_factors!$E94</f>
        <v>0.77230100000000002</v>
      </c>
      <c r="S94" s="2">
        <f>ff_portfolios25!S94-ff_factors!$E94</f>
        <v>0.15398600000000001</v>
      </c>
      <c r="T94" s="2">
        <f>ff_portfolios25!T94-ff_factors!$E94</f>
        <v>0.21206800000000001</v>
      </c>
      <c r="U94" s="2">
        <f>ff_portfolios25!U94-ff_factors!$E94</f>
        <v>0.21407500000000002</v>
      </c>
      <c r="V94" s="2">
        <f>ff_portfolios25!V94-ff_factors!$E94</f>
        <v>0.29727999999999999</v>
      </c>
      <c r="W94" s="2">
        <f>ff_portfolios25!W94-ff_factors!$E94</f>
        <v>0.36965999999999999</v>
      </c>
      <c r="X94" s="2">
        <f>ff_portfolios25!X94-ff_factors!$E94</f>
        <v>0.12654600000000002</v>
      </c>
      <c r="Y94" s="2">
        <f>ff_portfolios25!Y94-ff_factors!$E94</f>
        <v>0.113317</v>
      </c>
      <c r="Z94" s="2">
        <f>ff_portfolios25!Z94-ff_factors!$E94</f>
        <v>0.14186000000000001</v>
      </c>
      <c r="AA94" s="2">
        <f>ff_portfolios25!AA94-ff_factors!$E94</f>
        <v>0.32236999999999999</v>
      </c>
      <c r="AB94" s="2">
        <f>ff_portfolios25!AB94-ff_factors!$E94</f>
        <v>0.53935100000000002</v>
      </c>
    </row>
    <row r="95" spans="1:28" x14ac:dyDescent="0.2">
      <c r="A95">
        <v>19391031</v>
      </c>
      <c r="B95">
        <v>1939</v>
      </c>
      <c r="C95">
        <v>10</v>
      </c>
      <c r="D95" s="2">
        <f>ff_portfolios25!D95-ff_factors!$E95</f>
        <v>-8.0286999999999997E-2</v>
      </c>
      <c r="E95" s="2">
        <f>ff_portfolios25!E95-ff_factors!$E95</f>
        <v>-4.3841999999999999E-2</v>
      </c>
      <c r="F95" s="2">
        <f>ff_portfolios25!F95-ff_factors!$E95</f>
        <v>-4.0927999999999999E-2</v>
      </c>
      <c r="G95" s="2">
        <f>ff_portfolios25!G95-ff_factors!$E95</f>
        <v>-5.9567000000000002E-2</v>
      </c>
      <c r="H95" s="2">
        <f>ff_portfolios25!H95-ff_factors!$E95</f>
        <v>-9.3415999999999999E-2</v>
      </c>
      <c r="I95" s="2">
        <f>ff_portfolios25!I95-ff_factors!$E95</f>
        <v>-2.1860000000000001E-2</v>
      </c>
      <c r="J95" s="2">
        <f>ff_portfolios25!J95-ff_factors!$E95</f>
        <v>-8.8140000000000007E-3</v>
      </c>
      <c r="K95" s="2">
        <f>ff_portfolios25!K95-ff_factors!$E95</f>
        <v>-3.6895999999999998E-2</v>
      </c>
      <c r="L95" s="2">
        <f>ff_portfolios25!L95-ff_factors!$E95</f>
        <v>2.0215E-2</v>
      </c>
      <c r="M95" s="2">
        <f>ff_portfolios25!M95-ff_factors!$E95</f>
        <v>-7.1303000000000005E-2</v>
      </c>
      <c r="N95" s="2">
        <f>ff_portfolios25!N95-ff_factors!$E95</f>
        <v>2.0997999999999999E-2</v>
      </c>
      <c r="O95" s="2">
        <f>ff_portfolios25!O95-ff_factors!$E95</f>
        <v>3.9092000000000002E-2</v>
      </c>
      <c r="P95" s="2">
        <f>ff_portfolios25!P95-ff_factors!$E95</f>
        <v>-2.6821999999999999E-2</v>
      </c>
      <c r="Q95" s="2">
        <f>ff_portfolios25!Q95-ff_factors!$E95</f>
        <v>4.8019999999999998E-3</v>
      </c>
      <c r="R95" s="2">
        <f>ff_portfolios25!R95-ff_factors!$E95</f>
        <v>-6.5027000000000001E-2</v>
      </c>
      <c r="S95" s="2">
        <f>ff_portfolios25!S95-ff_factors!$E95</f>
        <v>2.4153999999999998E-2</v>
      </c>
      <c r="T95" s="2">
        <f>ff_portfolios25!T95-ff_factors!$E95</f>
        <v>2.2155999999999999E-2</v>
      </c>
      <c r="U95" s="2">
        <f>ff_portfolios25!U95-ff_factors!$E95</f>
        <v>-2.5730000000000002E-3</v>
      </c>
      <c r="V95" s="2">
        <f>ff_portfolios25!V95-ff_factors!$E95</f>
        <v>-3.7902999999999999E-2</v>
      </c>
      <c r="W95" s="2">
        <f>ff_portfolios25!W95-ff_factors!$E95</f>
        <v>-4.0495999999999997E-2</v>
      </c>
      <c r="X95" s="2">
        <f>ff_portfolios25!X95-ff_factors!$E95</f>
        <v>-1.439E-3</v>
      </c>
      <c r="Y95" s="2">
        <f>ff_portfolios25!Y95-ff_factors!$E95</f>
        <v>-2.444E-3</v>
      </c>
      <c r="Z95" s="2">
        <f>ff_portfolios25!Z95-ff_factors!$E95</f>
        <v>1.3990000000000001E-3</v>
      </c>
      <c r="AA95" s="2">
        <f>ff_portfolios25!AA95-ff_factors!$E95</f>
        <v>-3.6054000000000003E-2</v>
      </c>
      <c r="AB95" s="2">
        <f>ff_portfolios25!AB95-ff_factors!$E95</f>
        <v>-4.6446000000000001E-2</v>
      </c>
    </row>
    <row r="96" spans="1:28" x14ac:dyDescent="0.2">
      <c r="A96">
        <v>19391130</v>
      </c>
      <c r="B96">
        <v>1939</v>
      </c>
      <c r="C96">
        <v>11</v>
      </c>
      <c r="D96" s="2">
        <f>ff_portfolios25!D96-ff_factors!$E96</f>
        <v>-0.19077</v>
      </c>
      <c r="E96" s="2">
        <f>ff_portfolios25!E96-ff_factors!$E96</f>
        <v>-9.2489000000000002E-2</v>
      </c>
      <c r="F96" s="2">
        <f>ff_portfolios25!F96-ff_factors!$E96</f>
        <v>-0.129416</v>
      </c>
      <c r="G96" s="2">
        <f>ff_portfolios25!G96-ff_factors!$E96</f>
        <v>-0.107779</v>
      </c>
      <c r="H96" s="2">
        <f>ff_portfolios25!H96-ff_factors!$E96</f>
        <v>-0.184393</v>
      </c>
      <c r="I96" s="2">
        <f>ff_portfolios25!I96-ff_factors!$E96</f>
        <v>-6.2031000000000003E-2</v>
      </c>
      <c r="J96" s="2">
        <f>ff_portfolios25!J96-ff_factors!$E96</f>
        <v>-8.3613999999999994E-2</v>
      </c>
      <c r="K96" s="2">
        <f>ff_portfolios25!K96-ff_factors!$E96</f>
        <v>-0.12293</v>
      </c>
      <c r="L96" s="2">
        <f>ff_portfolios25!L96-ff_factors!$E96</f>
        <v>-8.5609000000000005E-2</v>
      </c>
      <c r="M96" s="2">
        <f>ff_portfolios25!M96-ff_factors!$E96</f>
        <v>-0.15170600000000001</v>
      </c>
      <c r="N96" s="2">
        <f>ff_portfolios25!N96-ff_factors!$E96</f>
        <v>-5.6080999999999999E-2</v>
      </c>
      <c r="O96" s="2">
        <f>ff_portfolios25!O96-ff_factors!$E96</f>
        <v>-8.6290000000000006E-2</v>
      </c>
      <c r="P96" s="2">
        <f>ff_portfolios25!P96-ff_factors!$E96</f>
        <v>-6.9115999999999997E-2</v>
      </c>
      <c r="Q96" s="2">
        <f>ff_portfolios25!Q96-ff_factors!$E96</f>
        <v>-6.9333000000000006E-2</v>
      </c>
      <c r="R96" s="2">
        <f>ff_portfolios25!R96-ff_factors!$E96</f>
        <v>-0.16483300000000001</v>
      </c>
      <c r="S96" s="2">
        <f>ff_portfolios25!S96-ff_factors!$E96</f>
        <v>-6.0033999999999997E-2</v>
      </c>
      <c r="T96" s="2">
        <f>ff_portfolios25!T96-ff_factors!$E96</f>
        <v>-5.2136000000000002E-2</v>
      </c>
      <c r="U96" s="2">
        <f>ff_portfolios25!U96-ff_factors!$E96</f>
        <v>-4.9939999999999998E-2</v>
      </c>
      <c r="V96" s="2">
        <f>ff_portfolios25!V96-ff_factors!$E96</f>
        <v>-5.1677000000000001E-2</v>
      </c>
      <c r="W96" s="2">
        <f>ff_portfolios25!W96-ff_factors!$E96</f>
        <v>-0.124335</v>
      </c>
      <c r="X96" s="2">
        <f>ff_portfolios25!X96-ff_factors!$E96</f>
        <v>-2.0490000000000001E-2</v>
      </c>
      <c r="Y96" s="2">
        <f>ff_portfolios25!Y96-ff_factors!$E96</f>
        <v>-1.8513000000000002E-2</v>
      </c>
      <c r="Z96" s="2">
        <f>ff_portfolios25!Z96-ff_factors!$E96</f>
        <v>-3.0880000000000001E-2</v>
      </c>
      <c r="AA96" s="2">
        <f>ff_portfolios25!AA96-ff_factors!$E96</f>
        <v>-7.9519999999999993E-2</v>
      </c>
      <c r="AB96" s="2">
        <f>ff_portfolios25!AB96-ff_factors!$E96</f>
        <v>-0.11731800000000001</v>
      </c>
    </row>
    <row r="97" spans="1:28" x14ac:dyDescent="0.2">
      <c r="A97">
        <v>19391230</v>
      </c>
      <c r="B97">
        <v>1939</v>
      </c>
      <c r="C97">
        <v>12</v>
      </c>
      <c r="D97" s="2">
        <f>ff_portfolios25!D97-ff_factors!$E97</f>
        <v>0.13713400000000001</v>
      </c>
      <c r="E97" s="2">
        <f>ff_portfolios25!E97-ff_factors!$E97</f>
        <v>-1.5027E-2</v>
      </c>
      <c r="F97" s="2">
        <f>ff_portfolios25!F97-ff_factors!$E97</f>
        <v>8.4910000000000003E-3</v>
      </c>
      <c r="G97" s="2">
        <f>ff_portfolios25!G97-ff_factors!$E97</f>
        <v>1.7047E-2</v>
      </c>
      <c r="H97" s="2">
        <f>ff_portfolios25!H97-ff_factors!$E97</f>
        <v>-1.7781999999999999E-2</v>
      </c>
      <c r="I97" s="2">
        <f>ff_portfolios25!I97-ff_factors!$E97</f>
        <v>5.5368000000000001E-2</v>
      </c>
      <c r="J97" s="2">
        <f>ff_portfolios25!J97-ff_factors!$E97</f>
        <v>3.8450999999999999E-2</v>
      </c>
      <c r="K97" s="2">
        <f>ff_portfolios25!K97-ff_factors!$E97</f>
        <v>1.3015000000000001E-2</v>
      </c>
      <c r="L97" s="2">
        <f>ff_portfolios25!L97-ff_factors!$E97</f>
        <v>7.6860000000000001E-3</v>
      </c>
      <c r="M97" s="2">
        <f>ff_portfolios25!M97-ff_factors!$E97</f>
        <v>2.1897E-2</v>
      </c>
      <c r="N97" s="2">
        <f>ff_portfolios25!N97-ff_factors!$E97</f>
        <v>6.2496000000000003E-2</v>
      </c>
      <c r="O97" s="2">
        <f>ff_portfolios25!O97-ff_factors!$E97</f>
        <v>4.8356999999999997E-2</v>
      </c>
      <c r="P97" s="2">
        <f>ff_portfolios25!P97-ff_factors!$E97</f>
        <v>5.5766999999999997E-2</v>
      </c>
      <c r="Q97" s="2">
        <f>ff_portfolios25!Q97-ff_factors!$E97</f>
        <v>7.2789999999999999E-3</v>
      </c>
      <c r="R97" s="2">
        <f>ff_portfolios25!R97-ff_factors!$E97</f>
        <v>4.3485999999999997E-2</v>
      </c>
      <c r="S97" s="2">
        <f>ff_portfolios25!S97-ff_factors!$E97</f>
        <v>4.0309999999999999E-2</v>
      </c>
      <c r="T97" s="2">
        <f>ff_portfolios25!T97-ff_factors!$E97</f>
        <v>2.9052000000000001E-2</v>
      </c>
      <c r="U97" s="2">
        <f>ff_portfolios25!U97-ff_factors!$E97</f>
        <v>1.5484E-2</v>
      </c>
      <c r="V97" s="2">
        <f>ff_portfolios25!V97-ff_factors!$E97</f>
        <v>7.4970000000000002E-3</v>
      </c>
      <c r="W97" s="2">
        <f>ff_portfolios25!W97-ff_factors!$E97</f>
        <v>-4.8139999999999997E-3</v>
      </c>
      <c r="X97" s="2">
        <f>ff_portfolios25!X97-ff_factors!$E97</f>
        <v>3.6164000000000002E-2</v>
      </c>
      <c r="Y97" s="2">
        <f>ff_portfolios25!Y97-ff_factors!$E97</f>
        <v>2.4473999999999999E-2</v>
      </c>
      <c r="Z97" s="2">
        <f>ff_portfolios25!Z97-ff_factors!$E97</f>
        <v>3.9227999999999999E-2</v>
      </c>
      <c r="AA97" s="2">
        <f>ff_portfolios25!AA97-ff_factors!$E97</f>
        <v>8.0090000000000005E-3</v>
      </c>
      <c r="AB97" s="2">
        <f>ff_portfolios25!AB97-ff_factors!$E97</f>
        <v>1.8858E-2</v>
      </c>
    </row>
    <row r="98" spans="1:28" x14ac:dyDescent="0.2">
      <c r="A98">
        <v>19400131</v>
      </c>
      <c r="B98">
        <v>1940</v>
      </c>
      <c r="C98">
        <v>1</v>
      </c>
      <c r="D98" s="2">
        <f>ff_portfolios25!D98-ff_factors!$E98</f>
        <v>-9.7370000000000009E-3</v>
      </c>
      <c r="E98" s="2">
        <f>ff_portfolios25!E98-ff_factors!$E98</f>
        <v>-7.6227000000000003E-2</v>
      </c>
      <c r="F98" s="2">
        <f>ff_portfolios25!F98-ff_factors!$E98</f>
        <v>-7.3640999999999998E-2</v>
      </c>
      <c r="G98" s="2">
        <f>ff_portfolios25!G98-ff_factors!$E98</f>
        <v>-4.3743999999999998E-2</v>
      </c>
      <c r="H98" s="2">
        <f>ff_portfolios25!H98-ff_factors!$E98</f>
        <v>-3.4018E-2</v>
      </c>
      <c r="I98" s="2">
        <f>ff_portfolios25!I98-ff_factors!$E98</f>
        <v>-3.2870999999999997E-2</v>
      </c>
      <c r="J98" s="2">
        <f>ff_portfolios25!J98-ff_factors!$E98</f>
        <v>-3.9038000000000003E-2</v>
      </c>
      <c r="K98" s="2">
        <f>ff_portfolios25!K98-ff_factors!$E98</f>
        <v>-3.4256000000000002E-2</v>
      </c>
      <c r="L98" s="2">
        <f>ff_portfolios25!L98-ff_factors!$E98</f>
        <v>-2.5152000000000001E-2</v>
      </c>
      <c r="M98" s="2">
        <f>ff_portfolios25!M98-ff_factors!$E98</f>
        <v>-2.8974E-2</v>
      </c>
      <c r="N98" s="2">
        <f>ff_portfolios25!N98-ff_factors!$E98</f>
        <v>-3.5943999999999997E-2</v>
      </c>
      <c r="O98" s="2">
        <f>ff_portfolios25!O98-ff_factors!$E98</f>
        <v>-1.7742999999999998E-2</v>
      </c>
      <c r="P98" s="2">
        <f>ff_portfolios25!P98-ff_factors!$E98</f>
        <v>-1.3610000000000001E-2</v>
      </c>
      <c r="Q98" s="2">
        <f>ff_portfolios25!Q98-ff_factors!$E98</f>
        <v>-1.4404E-2</v>
      </c>
      <c r="R98" s="2">
        <f>ff_portfolios25!R98-ff_factors!$E98</f>
        <v>-6.8747000000000003E-2</v>
      </c>
      <c r="S98" s="2">
        <f>ff_portfolios25!S98-ff_factors!$E98</f>
        <v>-1.3653999999999999E-2</v>
      </c>
      <c r="T98" s="2">
        <f>ff_portfolios25!T98-ff_factors!$E98</f>
        <v>-1.7033E-2</v>
      </c>
      <c r="U98" s="2">
        <f>ff_portfolios25!U98-ff_factors!$E98</f>
        <v>-2.3451E-2</v>
      </c>
      <c r="V98" s="2">
        <f>ff_portfolios25!V98-ff_factors!$E98</f>
        <v>-3.6773E-2</v>
      </c>
      <c r="W98" s="2">
        <f>ff_portfolios25!W98-ff_factors!$E98</f>
        <v>-5.3145999999999999E-2</v>
      </c>
      <c r="X98" s="2">
        <f>ff_portfolios25!X98-ff_factors!$E98</f>
        <v>-2.1533E-2</v>
      </c>
      <c r="Y98" s="2">
        <f>ff_portfolios25!Y98-ff_factors!$E98</f>
        <v>-1.7772E-2</v>
      </c>
      <c r="Z98" s="2">
        <f>ff_portfolios25!Z98-ff_factors!$E98</f>
        <v>-2.0237999999999999E-2</v>
      </c>
      <c r="AA98" s="2">
        <f>ff_portfolios25!AA98-ff_factors!$E98</f>
        <v>-5.0823E-2</v>
      </c>
      <c r="AB98" s="2">
        <f>ff_portfolios25!AB98-ff_factors!$E98</f>
        <v>-7.1849999999999997E-2</v>
      </c>
    </row>
    <row r="99" spans="1:28" x14ac:dyDescent="0.2">
      <c r="A99">
        <v>19400229</v>
      </c>
      <c r="B99">
        <v>1940</v>
      </c>
      <c r="C99">
        <v>2</v>
      </c>
      <c r="D99" s="2">
        <f>ff_portfolios25!D99-ff_factors!$E99</f>
        <v>1.197E-2</v>
      </c>
      <c r="E99" s="2">
        <f>ff_portfolios25!E99-ff_factors!$E99</f>
        <v>1.1006999999999999E-2</v>
      </c>
      <c r="F99" s="2">
        <f>ff_portfolios25!F99-ff_factors!$E99</f>
        <v>0.12257700000000001</v>
      </c>
      <c r="G99" s="2">
        <f>ff_portfolios25!G99-ff_factors!$E99</f>
        <v>3.2055E-2</v>
      </c>
      <c r="H99" s="2">
        <f>ff_portfolios25!H99-ff_factors!$E99</f>
        <v>8.7784000000000001E-2</v>
      </c>
      <c r="I99" s="2">
        <f>ff_portfolios25!I99-ff_factors!$E99</f>
        <v>1.4929E-2</v>
      </c>
      <c r="J99" s="2">
        <f>ff_portfolios25!J99-ff_factors!$E99</f>
        <v>6.1059000000000002E-2</v>
      </c>
      <c r="K99" s="2">
        <f>ff_portfolios25!K99-ff_factors!$E99</f>
        <v>4.3471999999999997E-2</v>
      </c>
      <c r="L99" s="2">
        <f>ff_portfolios25!L99-ff_factors!$E99</f>
        <v>4.6165999999999999E-2</v>
      </c>
      <c r="M99" s="2">
        <f>ff_portfolios25!M99-ff_factors!$E99</f>
        <v>-1.0026999999999999E-2</v>
      </c>
      <c r="N99" s="2">
        <f>ff_portfolios25!N99-ff_factors!$E99</f>
        <v>4.1444000000000002E-2</v>
      </c>
      <c r="O99" s="2">
        <f>ff_portfolios25!O99-ff_factors!$E99</f>
        <v>4.7278000000000001E-2</v>
      </c>
      <c r="P99" s="2">
        <f>ff_portfolios25!P99-ff_factors!$E99</f>
        <v>2.6942000000000001E-2</v>
      </c>
      <c r="Q99" s="2">
        <f>ff_portfolios25!Q99-ff_factors!$E99</f>
        <v>2.6714999999999999E-2</v>
      </c>
      <c r="R99" s="2">
        <f>ff_portfolios25!R99-ff_factors!$E99</f>
        <v>4.845E-2</v>
      </c>
      <c r="S99" s="2">
        <f>ff_portfolios25!S99-ff_factors!$E99</f>
        <v>2.367E-2</v>
      </c>
      <c r="T99" s="2">
        <f>ff_portfolios25!T99-ff_factors!$E99</f>
        <v>2.3775000000000001E-2</v>
      </c>
      <c r="U99" s="2">
        <f>ff_portfolios25!U99-ff_factors!$E99</f>
        <v>3.5816000000000001E-2</v>
      </c>
      <c r="V99" s="2">
        <f>ff_portfolios25!V99-ff_factors!$E99</f>
        <v>3.6941000000000002E-2</v>
      </c>
      <c r="W99" s="2">
        <f>ff_portfolios25!W99-ff_factors!$E99</f>
        <v>-2.23E-4</v>
      </c>
      <c r="X99" s="2">
        <f>ff_portfolios25!X99-ff_factors!$E99</f>
        <v>8.1539999999999998E-3</v>
      </c>
      <c r="Y99" s="2">
        <f>ff_portfolios25!Y99-ff_factors!$E99</f>
        <v>1.6202000000000001E-2</v>
      </c>
      <c r="Z99" s="2">
        <f>ff_portfolios25!Z99-ff_factors!$E99</f>
        <v>1.2930000000000001E-3</v>
      </c>
      <c r="AA99" s="2">
        <f>ff_portfolios25!AA99-ff_factors!$E99</f>
        <v>1.7434999999999999E-2</v>
      </c>
      <c r="AB99" s="2">
        <f>ff_portfolios25!AB99-ff_factors!$E99</f>
        <v>1.7871000000000001E-2</v>
      </c>
    </row>
    <row r="100" spans="1:28" x14ac:dyDescent="0.2">
      <c r="A100">
        <v>19400330</v>
      </c>
      <c r="B100">
        <v>1940</v>
      </c>
      <c r="C100">
        <v>3</v>
      </c>
      <c r="D100" s="2">
        <f>ff_portfolios25!D100-ff_factors!$E100</f>
        <v>7.6518000000000003E-2</v>
      </c>
      <c r="E100" s="2">
        <f>ff_portfolios25!E100-ff_factors!$E100</f>
        <v>9.3296000000000004E-2</v>
      </c>
      <c r="F100" s="2">
        <f>ff_portfolios25!F100-ff_factors!$E100</f>
        <v>-5.9476000000000001E-2</v>
      </c>
      <c r="G100" s="2">
        <f>ff_portfolios25!G100-ff_factors!$E100</f>
        <v>5.3109999999999997E-3</v>
      </c>
      <c r="H100" s="2">
        <f>ff_portfolios25!H100-ff_factors!$E100</f>
        <v>3.4473999999999998E-2</v>
      </c>
      <c r="I100" s="2">
        <f>ff_portfolios25!I100-ff_factors!$E100</f>
        <v>2.9241E-2</v>
      </c>
      <c r="J100" s="2">
        <f>ff_portfolios25!J100-ff_factors!$E100</f>
        <v>4.6593000000000002E-2</v>
      </c>
      <c r="K100" s="2">
        <f>ff_portfolios25!K100-ff_factors!$E100</f>
        <v>2.1205999999999999E-2</v>
      </c>
      <c r="L100" s="2">
        <f>ff_portfolios25!L100-ff_factors!$E100</f>
        <v>1.9924999999999998E-2</v>
      </c>
      <c r="M100" s="2">
        <f>ff_portfolios25!M100-ff_factors!$E100</f>
        <v>2.1361000000000002E-2</v>
      </c>
      <c r="N100" s="2">
        <f>ff_portfolios25!N100-ff_factors!$E100</f>
        <v>6.3504000000000005E-2</v>
      </c>
      <c r="O100" s="2">
        <f>ff_portfolios25!O100-ff_factors!$E100</f>
        <v>3.1931000000000001E-2</v>
      </c>
      <c r="P100" s="2">
        <f>ff_portfolios25!P100-ff_factors!$E100</f>
        <v>1.3331000000000001E-2</v>
      </c>
      <c r="Q100" s="2">
        <f>ff_portfolios25!Q100-ff_factors!$E100</f>
        <v>2.8145E-2</v>
      </c>
      <c r="R100" s="2">
        <f>ff_portfolios25!R100-ff_factors!$E100</f>
        <v>-3.4120000000000001E-3</v>
      </c>
      <c r="S100" s="2">
        <f>ff_portfolios25!S100-ff_factors!$E100</f>
        <v>3.9496999999999997E-2</v>
      </c>
      <c r="T100" s="2">
        <f>ff_portfolios25!T100-ff_factors!$E100</f>
        <v>2.1319999999999999E-2</v>
      </c>
      <c r="U100" s="2">
        <f>ff_portfolios25!U100-ff_factors!$E100</f>
        <v>1.6820000000000002E-2</v>
      </c>
      <c r="V100" s="2">
        <f>ff_portfolios25!V100-ff_factors!$E100</f>
        <v>2.3408999999999999E-2</v>
      </c>
      <c r="W100" s="2">
        <f>ff_portfolios25!W100-ff_factors!$E100</f>
        <v>-4.8120000000000003E-3</v>
      </c>
      <c r="X100" s="2">
        <f>ff_portfolios25!X100-ff_factors!$E100</f>
        <v>2.4913000000000001E-2</v>
      </c>
      <c r="Y100" s="2">
        <f>ff_portfolios25!Y100-ff_factors!$E100</f>
        <v>7.7120000000000001E-3</v>
      </c>
      <c r="Z100" s="2">
        <f>ff_portfolios25!Z100-ff_factors!$E100</f>
        <v>2.1489000000000001E-2</v>
      </c>
      <c r="AA100" s="2">
        <f>ff_portfolios25!AA100-ff_factors!$E100</f>
        <v>2.2846999999999999E-2</v>
      </c>
      <c r="AB100" s="2">
        <f>ff_portfolios25!AB100-ff_factors!$E100</f>
        <v>2.8063000000000001E-2</v>
      </c>
    </row>
    <row r="101" spans="1:28" x14ac:dyDescent="0.2">
      <c r="A101">
        <v>19400430</v>
      </c>
      <c r="B101">
        <v>1940</v>
      </c>
      <c r="C101">
        <v>4</v>
      </c>
      <c r="D101" s="2">
        <f>ff_portfolios25!D101-ff_factors!$E101</f>
        <v>0.205067</v>
      </c>
      <c r="E101" s="2">
        <f>ff_portfolios25!E101-ff_factors!$E101</f>
        <v>-4.6560000000000004E-3</v>
      </c>
      <c r="F101" s="2">
        <f>ff_portfolios25!F101-ff_factors!$E101</f>
        <v>2.0733000000000001E-2</v>
      </c>
      <c r="G101" s="2">
        <f>ff_portfolios25!G101-ff_factors!$E101</f>
        <v>4.5007999999999999E-2</v>
      </c>
      <c r="H101" s="2">
        <f>ff_portfolios25!H101-ff_factors!$E101</f>
        <v>8.0010999999999999E-2</v>
      </c>
      <c r="I101" s="2">
        <f>ff_portfolios25!I101-ff_factors!$E101</f>
        <v>1.7971000000000001E-2</v>
      </c>
      <c r="J101" s="2">
        <f>ff_portfolios25!J101-ff_factors!$E101</f>
        <v>4.5793E-2</v>
      </c>
      <c r="K101" s="2">
        <f>ff_portfolios25!K101-ff_factors!$E101</f>
        <v>1.2203E-2</v>
      </c>
      <c r="L101" s="2">
        <f>ff_portfolios25!L101-ff_factors!$E101</f>
        <v>4.8375000000000001E-2</v>
      </c>
      <c r="M101" s="2">
        <f>ff_portfolios25!M101-ff_factors!$E101</f>
        <v>3.6361999999999998E-2</v>
      </c>
      <c r="N101" s="2">
        <f>ff_portfolios25!N101-ff_factors!$E101</f>
        <v>4.1782E-2</v>
      </c>
      <c r="O101" s="2">
        <f>ff_portfolios25!O101-ff_factors!$E101</f>
        <v>6.1260000000000004E-3</v>
      </c>
      <c r="P101" s="2">
        <f>ff_portfolios25!P101-ff_factors!$E101</f>
        <v>5.0528999999999998E-2</v>
      </c>
      <c r="Q101" s="2">
        <f>ff_portfolios25!Q101-ff_factors!$E101</f>
        <v>1.9102999999999998E-2</v>
      </c>
      <c r="R101" s="2">
        <f>ff_portfolios25!R101-ff_factors!$E101</f>
        <v>4.7722000000000001E-2</v>
      </c>
      <c r="S101" s="2">
        <f>ff_portfolios25!S101-ff_factors!$E101</f>
        <v>-1.6337000000000001E-2</v>
      </c>
      <c r="T101" s="2">
        <f>ff_portfolios25!T101-ff_factors!$E101</f>
        <v>-3.8739999999999998E-3</v>
      </c>
      <c r="U101" s="2">
        <f>ff_portfolios25!U101-ff_factors!$E101</f>
        <v>-7.3800000000000003E-3</v>
      </c>
      <c r="V101" s="2">
        <f>ff_portfolios25!V101-ff_factors!$E101</f>
        <v>1.9945999999999998E-2</v>
      </c>
      <c r="W101" s="2">
        <f>ff_portfolios25!W101-ff_factors!$E101</f>
        <v>-1.1084999999999999E-2</v>
      </c>
      <c r="X101" s="2">
        <f>ff_portfolios25!X101-ff_factors!$E101</f>
        <v>7.7300000000000003E-4</v>
      </c>
      <c r="Y101" s="2">
        <f>ff_portfolios25!Y101-ff_factors!$E101</f>
        <v>-3.375E-3</v>
      </c>
      <c r="Z101" s="2">
        <f>ff_portfolios25!Z101-ff_factors!$E101</f>
        <v>7.3489999999999996E-3</v>
      </c>
      <c r="AA101" s="2">
        <f>ff_portfolios25!AA101-ff_factors!$E101</f>
        <v>7.6800000000000002E-4</v>
      </c>
      <c r="AB101" s="2">
        <f>ff_portfolios25!AB101-ff_factors!$E101</f>
        <v>-1.8315999999999999E-2</v>
      </c>
    </row>
    <row r="102" spans="1:28" x14ac:dyDescent="0.2">
      <c r="A102">
        <v>19400531</v>
      </c>
      <c r="B102">
        <v>1940</v>
      </c>
      <c r="C102">
        <v>5</v>
      </c>
      <c r="D102" s="2">
        <f>ff_portfolios25!D102-ff_factors!$E102</f>
        <v>-0.48869600000000002</v>
      </c>
      <c r="E102" s="2">
        <f>ff_portfolios25!E102-ff_factors!$E102</f>
        <v>-0.30431400000000003</v>
      </c>
      <c r="F102" s="2">
        <f>ff_portfolios25!F102-ff_factors!$E102</f>
        <v>-0.33909100000000003</v>
      </c>
      <c r="G102" s="2">
        <f>ff_portfolios25!G102-ff_factors!$E102</f>
        <v>-0.28462200000000004</v>
      </c>
      <c r="H102" s="2">
        <f>ff_portfolios25!H102-ff_factors!$E102</f>
        <v>-0.33132900000000004</v>
      </c>
      <c r="I102" s="2">
        <f>ff_portfolios25!I102-ff_factors!$E102</f>
        <v>-0.22878499999999999</v>
      </c>
      <c r="J102" s="2">
        <f>ff_portfolios25!J102-ff_factors!$E102</f>
        <v>-0.25803200000000004</v>
      </c>
      <c r="K102" s="2">
        <f>ff_portfolios25!K102-ff_factors!$E102</f>
        <v>-0.25688100000000003</v>
      </c>
      <c r="L102" s="2">
        <f>ff_portfolios25!L102-ff_factors!$E102</f>
        <v>-0.27601200000000004</v>
      </c>
      <c r="M102" s="2">
        <f>ff_portfolios25!M102-ff_factors!$E102</f>
        <v>-0.326845</v>
      </c>
      <c r="N102" s="2">
        <f>ff_portfolios25!N102-ff_factors!$E102</f>
        <v>-0.26831000000000005</v>
      </c>
      <c r="O102" s="2">
        <f>ff_portfolios25!O102-ff_factors!$E102</f>
        <v>-0.26889300000000005</v>
      </c>
      <c r="P102" s="2">
        <f>ff_portfolios25!P102-ff_factors!$E102</f>
        <v>-0.28038200000000002</v>
      </c>
      <c r="Q102" s="2">
        <f>ff_portfolios25!Q102-ff_factors!$E102</f>
        <v>-0.26244600000000001</v>
      </c>
      <c r="R102" s="2">
        <f>ff_portfolios25!R102-ff_factors!$E102</f>
        <v>-0.300367</v>
      </c>
      <c r="S102" s="2">
        <f>ff_portfolios25!S102-ff_factors!$E102</f>
        <v>-0.262355</v>
      </c>
      <c r="T102" s="2">
        <f>ff_portfolios25!T102-ff_factors!$E102</f>
        <v>-0.27033400000000002</v>
      </c>
      <c r="U102" s="2">
        <f>ff_portfolios25!U102-ff_factors!$E102</f>
        <v>-0.26514700000000002</v>
      </c>
      <c r="V102" s="2">
        <f>ff_portfolios25!V102-ff_factors!$E102</f>
        <v>-0.23606099999999999</v>
      </c>
      <c r="W102" s="2">
        <f>ff_portfolios25!W102-ff_factors!$E102</f>
        <v>-0.32799300000000003</v>
      </c>
      <c r="X102" s="2">
        <f>ff_portfolios25!X102-ff_factors!$E102</f>
        <v>-0.21490899999999999</v>
      </c>
      <c r="Y102" s="2">
        <f>ff_portfolios25!Y102-ff_factors!$E102</f>
        <v>-0.19273699999999999</v>
      </c>
      <c r="Z102" s="2">
        <f>ff_portfolios25!Z102-ff_factors!$E102</f>
        <v>-0.217945</v>
      </c>
      <c r="AA102" s="2">
        <f>ff_portfolios25!AA102-ff_factors!$E102</f>
        <v>-0.215839</v>
      </c>
      <c r="AB102" s="2">
        <f>ff_portfolios25!AB102-ff_factors!$E102</f>
        <v>-0.261907</v>
      </c>
    </row>
    <row r="103" spans="1:28" x14ac:dyDescent="0.2">
      <c r="A103">
        <v>19400629</v>
      </c>
      <c r="B103">
        <v>1940</v>
      </c>
      <c r="C103">
        <v>6</v>
      </c>
      <c r="D103" s="2">
        <f>ff_portfolios25!D103-ff_factors!$E103</f>
        <v>9.2476000000000003E-2</v>
      </c>
      <c r="E103" s="2">
        <f>ff_portfolios25!E103-ff_factors!$E103</f>
        <v>1.9944E-2</v>
      </c>
      <c r="F103" s="2">
        <f>ff_portfolios25!F103-ff_factors!$E103</f>
        <v>4.6650999999999998E-2</v>
      </c>
      <c r="G103" s="2">
        <f>ff_portfolios25!G103-ff_factors!$E103</f>
        <v>2.6176999999999999E-2</v>
      </c>
      <c r="H103" s="2">
        <f>ff_portfolios25!H103-ff_factors!$E103</f>
        <v>7.3205000000000006E-2</v>
      </c>
      <c r="I103" s="2">
        <f>ff_portfolios25!I103-ff_factors!$E103</f>
        <v>1.2161999999999999E-2</v>
      </c>
      <c r="J103" s="2">
        <f>ff_portfolios25!J103-ff_factors!$E103</f>
        <v>5.7903000000000003E-2</v>
      </c>
      <c r="K103" s="2">
        <f>ff_portfolios25!K103-ff_factors!$E103</f>
        <v>3.7666999999999999E-2</v>
      </c>
      <c r="L103" s="2">
        <f>ff_portfolios25!L103-ff_factors!$E103</f>
        <v>7.5109999999999996E-2</v>
      </c>
      <c r="M103" s="2">
        <f>ff_portfolios25!M103-ff_factors!$E103</f>
        <v>8.5679000000000005E-2</v>
      </c>
      <c r="N103" s="2">
        <f>ff_portfolios25!N103-ff_factors!$E103</f>
        <v>3.8850999999999997E-2</v>
      </c>
      <c r="O103" s="2">
        <f>ff_portfolios25!O103-ff_factors!$E103</f>
        <v>7.2373000000000007E-2</v>
      </c>
      <c r="P103" s="2">
        <f>ff_portfolios25!P103-ff_factors!$E103</f>
        <v>5.8560000000000001E-2</v>
      </c>
      <c r="Q103" s="2">
        <f>ff_portfolios25!Q103-ff_factors!$E103</f>
        <v>5.5097E-2</v>
      </c>
      <c r="R103" s="2">
        <f>ff_portfolios25!R103-ff_factors!$E103</f>
        <v>5.8302E-2</v>
      </c>
      <c r="S103" s="2">
        <f>ff_portfolios25!S103-ff_factors!$E103</f>
        <v>8.9122999999999994E-2</v>
      </c>
      <c r="T103" s="2">
        <f>ff_portfolios25!T103-ff_factors!$E103</f>
        <v>5.1128E-2</v>
      </c>
      <c r="U103" s="2">
        <f>ff_portfolios25!U103-ff_factors!$E103</f>
        <v>8.8038000000000005E-2</v>
      </c>
      <c r="V103" s="2">
        <f>ff_portfolios25!V103-ff_factors!$E103</f>
        <v>3.9784E-2</v>
      </c>
      <c r="W103" s="2">
        <f>ff_portfolios25!W103-ff_factors!$E103</f>
        <v>0.140657</v>
      </c>
      <c r="X103" s="2">
        <f>ff_portfolios25!X103-ff_factors!$E103</f>
        <v>4.5538000000000002E-2</v>
      </c>
      <c r="Y103" s="2">
        <f>ff_portfolios25!Y103-ff_factors!$E103</f>
        <v>7.4260999999999994E-2</v>
      </c>
      <c r="Z103" s="2">
        <f>ff_portfolios25!Z103-ff_factors!$E103</f>
        <v>0.112708</v>
      </c>
      <c r="AA103" s="2">
        <f>ff_portfolios25!AA103-ff_factors!$E103</f>
        <v>5.7617000000000002E-2</v>
      </c>
      <c r="AB103" s="2">
        <f>ff_portfolios25!AB103-ff_factors!$E103</f>
        <v>0.18348700000000001</v>
      </c>
    </row>
    <row r="104" spans="1:28" x14ac:dyDescent="0.2">
      <c r="A104">
        <v>19400731</v>
      </c>
      <c r="B104">
        <v>1940</v>
      </c>
      <c r="C104">
        <v>7</v>
      </c>
      <c r="D104" s="2">
        <f>ff_portfolios25!D104-ff_factors!$E104</f>
        <v>3.7512999999999998E-2</v>
      </c>
      <c r="E104" s="2">
        <f>ff_portfolios25!E104-ff_factors!$E104</f>
        <v>2.3724000000000002E-2</v>
      </c>
      <c r="F104" s="2">
        <f>ff_portfolios25!F104-ff_factors!$E104</f>
        <v>7.8599999999999991E-4</v>
      </c>
      <c r="G104" s="2">
        <f>ff_portfolios25!G104-ff_factors!$E104</f>
        <v>1.2348000000000001E-2</v>
      </c>
      <c r="H104" s="2">
        <f>ff_portfolios25!H104-ff_factors!$E104</f>
        <v>3.6920999999999995E-2</v>
      </c>
      <c r="I104" s="2">
        <f>ff_portfolios25!I104-ff_factors!$E104</f>
        <v>3.6285999999999999E-2</v>
      </c>
      <c r="J104" s="2">
        <f>ff_portfolios25!J104-ff_factors!$E104</f>
        <v>5.7380999999999995E-2</v>
      </c>
      <c r="K104" s="2">
        <f>ff_portfolios25!K104-ff_factors!$E104</f>
        <v>4.1923999999999996E-2</v>
      </c>
      <c r="L104" s="2">
        <f>ff_portfolios25!L104-ff_factors!$E104</f>
        <v>4.3977999999999996E-2</v>
      </c>
      <c r="M104" s="2">
        <f>ff_portfolios25!M104-ff_factors!$E104</f>
        <v>1.3676000000000001E-2</v>
      </c>
      <c r="N104" s="2">
        <f>ff_portfolios25!N104-ff_factors!$E104</f>
        <v>7.3587E-2</v>
      </c>
      <c r="O104" s="2">
        <f>ff_portfolios25!O104-ff_factors!$E104</f>
        <v>6.8794999999999995E-2</v>
      </c>
      <c r="P104" s="2">
        <f>ff_portfolios25!P104-ff_factors!$E104</f>
        <v>5.1332999999999997E-2</v>
      </c>
      <c r="Q104" s="2">
        <f>ff_portfolios25!Q104-ff_factors!$E104</f>
        <v>5.4209999999999994E-2</v>
      </c>
      <c r="R104" s="2">
        <f>ff_portfolios25!R104-ff_factors!$E104</f>
        <v>2.9330000000000002E-2</v>
      </c>
      <c r="S104" s="2">
        <f>ff_portfolios25!S104-ff_factors!$E104</f>
        <v>3.6177999999999995E-2</v>
      </c>
      <c r="T104" s="2">
        <f>ff_portfolios25!T104-ff_factors!$E104</f>
        <v>4.1234999999999994E-2</v>
      </c>
      <c r="U104" s="2">
        <f>ff_portfolios25!U104-ff_factors!$E104</f>
        <v>3.1111E-2</v>
      </c>
      <c r="V104" s="2">
        <f>ff_portfolios25!V104-ff_factors!$E104</f>
        <v>4.691E-2</v>
      </c>
      <c r="W104" s="2">
        <f>ff_portfolios25!W104-ff_factors!$E104</f>
        <v>5.5003999999999997E-2</v>
      </c>
      <c r="X104" s="2">
        <f>ff_portfolios25!X104-ff_factors!$E104</f>
        <v>3.8813999999999994E-2</v>
      </c>
      <c r="Y104" s="2">
        <f>ff_portfolios25!Y104-ff_factors!$E104</f>
        <v>1.9137000000000001E-2</v>
      </c>
      <c r="Z104" s="2">
        <f>ff_portfolios25!Z104-ff_factors!$E104</f>
        <v>3.2885999999999999E-2</v>
      </c>
      <c r="AA104" s="2">
        <f>ff_portfolios25!AA104-ff_factors!$E104</f>
        <v>3.1551999999999997E-2</v>
      </c>
      <c r="AB104" s="2">
        <f>ff_portfolios25!AB104-ff_factors!$E104</f>
        <v>2.0459999999999999E-2</v>
      </c>
    </row>
    <row r="105" spans="1:28" x14ac:dyDescent="0.2">
      <c r="A105">
        <v>19400831</v>
      </c>
      <c r="B105">
        <v>1940</v>
      </c>
      <c r="C105">
        <v>8</v>
      </c>
      <c r="D105" s="2">
        <f>ff_portfolios25!D105-ff_factors!$E105</f>
        <v>-1.1156000000000001E-2</v>
      </c>
      <c r="E105" s="2">
        <f>ff_portfolios25!E105-ff_factors!$E105</f>
        <v>-1.5098E-2</v>
      </c>
      <c r="F105" s="2">
        <f>ff_portfolios25!F105-ff_factors!$E105</f>
        <v>5.3094000000000002E-2</v>
      </c>
      <c r="G105" s="2">
        <f>ff_portfolios25!G105-ff_factors!$E105</f>
        <v>4.2403000000000003E-2</v>
      </c>
      <c r="H105" s="2">
        <f>ff_portfolios25!H105-ff_factors!$E105</f>
        <v>-1.0319E-2</v>
      </c>
      <c r="I105" s="2">
        <f>ff_portfolios25!I105-ff_factors!$E105</f>
        <v>3.8066000000000003E-2</v>
      </c>
      <c r="J105" s="2">
        <f>ff_portfolios25!J105-ff_factors!$E105</f>
        <v>3.4809E-2</v>
      </c>
      <c r="K105" s="2">
        <f>ff_portfolios25!K105-ff_factors!$E105</f>
        <v>4.4826000000000005E-2</v>
      </c>
      <c r="L105" s="2">
        <f>ff_portfolios25!L105-ff_factors!$E105</f>
        <v>1.8467000000000001E-2</v>
      </c>
      <c r="M105" s="2">
        <f>ff_portfolios25!M105-ff_factors!$E105</f>
        <v>4.3031E-2</v>
      </c>
      <c r="N105" s="2">
        <f>ff_portfolios25!N105-ff_factors!$E105</f>
        <v>1.8362E-2</v>
      </c>
      <c r="O105" s="2">
        <f>ff_portfolios25!O105-ff_factors!$E105</f>
        <v>2.6520999999999999E-2</v>
      </c>
      <c r="P105" s="2">
        <f>ff_portfolios25!P105-ff_factors!$E105</f>
        <v>2.5135000000000001E-2</v>
      </c>
      <c r="Q105" s="2">
        <f>ff_portfolios25!Q105-ff_factors!$E105</f>
        <v>1.12E-2</v>
      </c>
      <c r="R105" s="2">
        <f>ff_portfolios25!R105-ff_factors!$E105</f>
        <v>-7.1240000000000001E-3</v>
      </c>
      <c r="S105" s="2">
        <f>ff_portfolios25!S105-ff_factors!$E105</f>
        <v>8.6049999999999998E-3</v>
      </c>
      <c r="T105" s="2">
        <f>ff_portfolios25!T105-ff_factors!$E105</f>
        <v>2.4804E-2</v>
      </c>
      <c r="U105" s="2">
        <f>ff_portfolios25!U105-ff_factors!$E105</f>
        <v>4.5835000000000001E-2</v>
      </c>
      <c r="V105" s="2">
        <f>ff_portfolios25!V105-ff_factors!$E105</f>
        <v>1.9710999999999999E-2</v>
      </c>
      <c r="W105" s="2">
        <f>ff_portfolios25!W105-ff_factors!$E105</f>
        <v>2.3743999999999998E-2</v>
      </c>
      <c r="X105" s="2">
        <f>ff_portfolios25!X105-ff_factors!$E105</f>
        <v>3.0494E-2</v>
      </c>
      <c r="Y105" s="2">
        <f>ff_portfolios25!Y105-ff_factors!$E105</f>
        <v>9.6679999999999995E-3</v>
      </c>
      <c r="Z105" s="2">
        <f>ff_portfolios25!Z105-ff_factors!$E105</f>
        <v>5.6270000000000001E-3</v>
      </c>
      <c r="AA105" s="2">
        <f>ff_portfolios25!AA105-ff_factors!$E105</f>
        <v>2.8645999999999998E-2</v>
      </c>
      <c r="AB105" s="2">
        <f>ff_portfolios25!AB105-ff_factors!$E105</f>
        <v>3.8982000000000003E-2</v>
      </c>
    </row>
    <row r="106" spans="1:28" x14ac:dyDescent="0.2">
      <c r="A106">
        <v>19400930</v>
      </c>
      <c r="B106">
        <v>1940</v>
      </c>
      <c r="C106">
        <v>9</v>
      </c>
      <c r="D106" s="2">
        <f>ff_portfolios25!D106-ff_factors!$E106</f>
        <v>2.9042999999999999E-2</v>
      </c>
      <c r="E106" s="2">
        <f>ff_portfolios25!E106-ff_factors!$E106</f>
        <v>3.5314999999999999E-2</v>
      </c>
      <c r="F106" s="2">
        <f>ff_portfolios25!F106-ff_factors!$E106</f>
        <v>7.6645000000000005E-2</v>
      </c>
      <c r="G106" s="2">
        <f>ff_portfolios25!G106-ff_factors!$E106</f>
        <v>3.9553999999999999E-2</v>
      </c>
      <c r="H106" s="2">
        <f>ff_portfolios25!H106-ff_factors!$E106</f>
        <v>4.4685999999999997E-2</v>
      </c>
      <c r="I106" s="2">
        <f>ff_portfolios25!I106-ff_factors!$E106</f>
        <v>7.4995999999999993E-2</v>
      </c>
      <c r="J106" s="2">
        <f>ff_portfolios25!J106-ff_factors!$E106</f>
        <v>6.1524000000000002E-2</v>
      </c>
      <c r="K106" s="2">
        <f>ff_portfolios25!K106-ff_factors!$E106</f>
        <v>3.8091E-2</v>
      </c>
      <c r="L106" s="2">
        <f>ff_portfolios25!L106-ff_factors!$E106</f>
        <v>4.3353000000000003E-2</v>
      </c>
      <c r="M106" s="2">
        <f>ff_portfolios25!M106-ff_factors!$E106</f>
        <v>5.1331000000000002E-2</v>
      </c>
      <c r="N106" s="2">
        <f>ff_portfolios25!N106-ff_factors!$E106</f>
        <v>6.1204000000000001E-2</v>
      </c>
      <c r="O106" s="2">
        <f>ff_portfolios25!O106-ff_factors!$E106</f>
        <v>5.8144000000000001E-2</v>
      </c>
      <c r="P106" s="2">
        <f>ff_portfolios25!P106-ff_factors!$E106</f>
        <v>4.3411999999999999E-2</v>
      </c>
      <c r="Q106" s="2">
        <f>ff_portfolios25!Q106-ff_factors!$E106</f>
        <v>5.7550999999999998E-2</v>
      </c>
      <c r="R106" s="2">
        <f>ff_portfolios25!R106-ff_factors!$E106</f>
        <v>4.0980000000000001E-3</v>
      </c>
      <c r="S106" s="2">
        <f>ff_portfolios25!S106-ff_factors!$E106</f>
        <v>3.0367999999999999E-2</v>
      </c>
      <c r="T106" s="2">
        <f>ff_portfolios25!T106-ff_factors!$E106</f>
        <v>5.2560999999999997E-2</v>
      </c>
      <c r="U106" s="2">
        <f>ff_portfolios25!U106-ff_factors!$E106</f>
        <v>2.5613E-2</v>
      </c>
      <c r="V106" s="2">
        <f>ff_portfolios25!V106-ff_factors!$E106</f>
        <v>2.1829999999999999E-2</v>
      </c>
      <c r="W106" s="2">
        <f>ff_portfolios25!W106-ff_factors!$E106</f>
        <v>-1.9729999999999999E-3</v>
      </c>
      <c r="X106" s="2">
        <f>ff_portfolios25!X106-ff_factors!$E106</f>
        <v>3.4775E-2</v>
      </c>
      <c r="Y106" s="2">
        <f>ff_portfolios25!Y106-ff_factors!$E106</f>
        <v>2.1545999999999999E-2</v>
      </c>
      <c r="Z106" s="2">
        <f>ff_portfolios25!Z106-ff_factors!$E106</f>
        <v>-4.4349999999999997E-3</v>
      </c>
      <c r="AA106" s="2">
        <f>ff_portfolios25!AA106-ff_factors!$E106</f>
        <v>-2.3600000000000001E-3</v>
      </c>
      <c r="AB106" s="2">
        <f>ff_portfolios25!AB106-ff_factors!$E106</f>
        <v>3.4851E-2</v>
      </c>
    </row>
    <row r="107" spans="1:28" x14ac:dyDescent="0.2">
      <c r="A107">
        <v>19401031</v>
      </c>
      <c r="B107">
        <v>1940</v>
      </c>
      <c r="C107">
        <v>10</v>
      </c>
      <c r="D107" s="2">
        <f>ff_portfolios25!D107-ff_factors!$E107</f>
        <v>7.1184999999999998E-2</v>
      </c>
      <c r="E107" s="2">
        <f>ff_portfolios25!E107-ff_factors!$E107</f>
        <v>5.6723999999999997E-2</v>
      </c>
      <c r="F107" s="2">
        <f>ff_portfolios25!F107-ff_factors!$E107</f>
        <v>7.0960999999999996E-2</v>
      </c>
      <c r="G107" s="2">
        <f>ff_portfolios25!G107-ff_factors!$E107</f>
        <v>5.8241000000000001E-2</v>
      </c>
      <c r="H107" s="2">
        <f>ff_portfolios25!H107-ff_factors!$E107</f>
        <v>5.4486E-2</v>
      </c>
      <c r="I107" s="2">
        <f>ff_portfolios25!I107-ff_factors!$E107</f>
        <v>7.4829000000000007E-2</v>
      </c>
      <c r="J107" s="2">
        <f>ff_portfolios25!J107-ff_factors!$E107</f>
        <v>3.1655000000000003E-2</v>
      </c>
      <c r="K107" s="2">
        <f>ff_portfolios25!K107-ff_factors!$E107</f>
        <v>5.5643999999999999E-2</v>
      </c>
      <c r="L107" s="2">
        <f>ff_portfolios25!L107-ff_factors!$E107</f>
        <v>8.2641000000000006E-2</v>
      </c>
      <c r="M107" s="2">
        <f>ff_portfolios25!M107-ff_factors!$E107</f>
        <v>8.1749000000000002E-2</v>
      </c>
      <c r="N107" s="2">
        <f>ff_portfolios25!N107-ff_factors!$E107</f>
        <v>3.2793000000000003E-2</v>
      </c>
      <c r="O107" s="2">
        <f>ff_portfolios25!O107-ff_factors!$E107</f>
        <v>3.9845999999999999E-2</v>
      </c>
      <c r="P107" s="2">
        <f>ff_portfolios25!P107-ff_factors!$E107</f>
        <v>5.9452999999999999E-2</v>
      </c>
      <c r="Q107" s="2">
        <f>ff_portfolios25!Q107-ff_factors!$E107</f>
        <v>5.4037000000000002E-2</v>
      </c>
      <c r="R107" s="2">
        <f>ff_portfolios25!R107-ff_factors!$E107</f>
        <v>4.9859000000000001E-2</v>
      </c>
      <c r="S107" s="2">
        <f>ff_portfolios25!S107-ff_factors!$E107</f>
        <v>4.0682999999999997E-2</v>
      </c>
      <c r="T107" s="2">
        <f>ff_portfolios25!T107-ff_factors!$E107</f>
        <v>6.2836000000000003E-2</v>
      </c>
      <c r="U107" s="2">
        <f>ff_portfolios25!U107-ff_factors!$E107</f>
        <v>5.3025000000000003E-2</v>
      </c>
      <c r="V107" s="2">
        <f>ff_portfolios25!V107-ff_factors!$E107</f>
        <v>0.109863</v>
      </c>
      <c r="W107" s="2">
        <f>ff_portfolios25!W107-ff_factors!$E107</f>
        <v>0.115449</v>
      </c>
      <c r="X107" s="2">
        <f>ff_portfolios25!X107-ff_factors!$E107</f>
        <v>1.1180000000000001E-3</v>
      </c>
      <c r="Y107" s="2">
        <f>ff_portfolios25!Y107-ff_factors!$E107</f>
        <v>2.6623000000000001E-2</v>
      </c>
      <c r="Z107" s="2">
        <f>ff_portfolios25!Z107-ff_factors!$E107</f>
        <v>6.2203000000000001E-2</v>
      </c>
      <c r="AA107" s="2">
        <f>ff_portfolios25!AA107-ff_factors!$E107</f>
        <v>8.5446999999999995E-2</v>
      </c>
      <c r="AB107" s="2">
        <f>ff_portfolios25!AB107-ff_factors!$E107</f>
        <v>9.5838999999999994E-2</v>
      </c>
    </row>
    <row r="108" spans="1:28" x14ac:dyDescent="0.2">
      <c r="A108">
        <v>19401130</v>
      </c>
      <c r="B108">
        <v>1940</v>
      </c>
      <c r="C108">
        <v>11</v>
      </c>
      <c r="D108" s="2">
        <f>ff_portfolios25!D108-ff_factors!$E108</f>
        <v>8.3530999999999994E-2</v>
      </c>
      <c r="E108" s="2">
        <f>ff_portfolios25!E108-ff_factors!$E108</f>
        <v>-1.4243E-2</v>
      </c>
      <c r="F108" s="2">
        <f>ff_portfolios25!F108-ff_factors!$E108</f>
        <v>4.1286999999999997E-2</v>
      </c>
      <c r="G108" s="2">
        <f>ff_portfolios25!G108-ff_factors!$E108</f>
        <v>-8.175E-3</v>
      </c>
      <c r="H108" s="2">
        <f>ff_portfolios25!H108-ff_factors!$E108</f>
        <v>-1.0430000000000001E-3</v>
      </c>
      <c r="I108" s="2">
        <f>ff_portfolios25!I108-ff_factors!$E108</f>
        <v>1.0973E-2</v>
      </c>
      <c r="J108" s="2">
        <f>ff_portfolios25!J108-ff_factors!$E108</f>
        <v>1.8880000000000001E-2</v>
      </c>
      <c r="K108" s="2">
        <f>ff_portfolios25!K108-ff_factors!$E108</f>
        <v>4.6909999999999999E-3</v>
      </c>
      <c r="L108" s="2">
        <f>ff_portfolios25!L108-ff_factors!$E108</f>
        <v>-8.5529999999999998E-3</v>
      </c>
      <c r="M108" s="2">
        <f>ff_portfolios25!M108-ff_factors!$E108</f>
        <v>-6.5630000000000003E-3</v>
      </c>
      <c r="N108" s="2">
        <f>ff_portfolios25!N108-ff_factors!$E108</f>
        <v>-3.3739999999999998E-3</v>
      </c>
      <c r="O108" s="2">
        <f>ff_portfolios25!O108-ff_factors!$E108</f>
        <v>1.5571E-2</v>
      </c>
      <c r="P108" s="2">
        <f>ff_portfolios25!P108-ff_factors!$E108</f>
        <v>1.1346E-2</v>
      </c>
      <c r="Q108" s="2">
        <f>ff_portfolios25!Q108-ff_factors!$E108</f>
        <v>2.2935000000000001E-2</v>
      </c>
      <c r="R108" s="2">
        <f>ff_portfolios25!R108-ff_factors!$E108</f>
        <v>-1.1566E-2</v>
      </c>
      <c r="S108" s="2">
        <f>ff_portfolios25!S108-ff_factors!$E108</f>
        <v>-1.8363000000000001E-2</v>
      </c>
      <c r="T108" s="2">
        <f>ff_portfolios25!T108-ff_factors!$E108</f>
        <v>-3.4619999999999998E-3</v>
      </c>
      <c r="U108" s="2">
        <f>ff_portfolios25!U108-ff_factors!$E108</f>
        <v>-8.2700000000000004E-4</v>
      </c>
      <c r="V108" s="2">
        <f>ff_portfolios25!V108-ff_factors!$E108</f>
        <v>9.8899999999999995E-3</v>
      </c>
      <c r="W108" s="2">
        <f>ff_portfolios25!W108-ff_factors!$E108</f>
        <v>-1.4173E-2</v>
      </c>
      <c r="X108" s="2">
        <f>ff_portfolios25!X108-ff_factors!$E108</f>
        <v>-2.6530000000000001E-2</v>
      </c>
      <c r="Y108" s="2">
        <f>ff_portfolios25!Y108-ff_factors!$E108</f>
        <v>-9.5899999999999996E-3</v>
      </c>
      <c r="Z108" s="2">
        <f>ff_portfolios25!Z108-ff_factors!$E108</f>
        <v>-1.2985E-2</v>
      </c>
      <c r="AA108" s="2">
        <f>ff_portfolios25!AA108-ff_factors!$E108</f>
        <v>2.8400000000000002E-4</v>
      </c>
      <c r="AB108" s="2">
        <f>ff_portfolios25!AB108-ff_factors!$E108</f>
        <v>-7.1129999999999999E-2</v>
      </c>
    </row>
    <row r="109" spans="1:28" x14ac:dyDescent="0.2">
      <c r="A109">
        <v>19401231</v>
      </c>
      <c r="B109">
        <v>1940</v>
      </c>
      <c r="C109">
        <v>12</v>
      </c>
      <c r="D109" s="2">
        <f>ff_portfolios25!D109-ff_factors!$E109</f>
        <v>-1.1723000000000001E-2</v>
      </c>
      <c r="E109" s="2">
        <f>ff_portfolios25!E109-ff_factors!$E109</f>
        <v>-5.4769999999999999E-2</v>
      </c>
      <c r="F109" s="2">
        <f>ff_portfolios25!F109-ff_factors!$E109</f>
        <v>-7.2965000000000002E-2</v>
      </c>
      <c r="G109" s="2">
        <f>ff_portfolios25!G109-ff_factors!$E109</f>
        <v>-1.5727999999999999E-2</v>
      </c>
      <c r="H109" s="2">
        <f>ff_portfolios25!H109-ff_factors!$E109</f>
        <v>-3.8644999999999999E-2</v>
      </c>
      <c r="I109" s="2">
        <f>ff_portfolios25!I109-ff_factors!$E109</f>
        <v>-2.8951000000000001E-2</v>
      </c>
      <c r="J109" s="2">
        <f>ff_portfolios25!J109-ff_factors!$E109</f>
        <v>-3.1047999999999999E-2</v>
      </c>
      <c r="K109" s="2">
        <f>ff_portfolios25!K109-ff_factors!$E109</f>
        <v>-9.4210000000000006E-3</v>
      </c>
      <c r="L109" s="2">
        <f>ff_portfolios25!L109-ff_factors!$E109</f>
        <v>1.0045E-2</v>
      </c>
      <c r="M109" s="2">
        <f>ff_portfolios25!M109-ff_factors!$E109</f>
        <v>-2.2558999999999999E-2</v>
      </c>
      <c r="N109" s="2">
        <f>ff_portfolios25!N109-ff_factors!$E109</f>
        <v>1.1739999999999999E-3</v>
      </c>
      <c r="O109" s="2">
        <f>ff_portfolios25!O109-ff_factors!$E109</f>
        <v>-7.9729999999999992E-3</v>
      </c>
      <c r="P109" s="2">
        <f>ff_portfolios25!P109-ff_factors!$E109</f>
        <v>-7.6270000000000001E-3</v>
      </c>
      <c r="Q109" s="2">
        <f>ff_portfolios25!Q109-ff_factors!$E109</f>
        <v>-3.5409999999999999E-3</v>
      </c>
      <c r="R109" s="2">
        <f>ff_portfolios25!R109-ff_factors!$E109</f>
        <v>-1.1225000000000001E-2</v>
      </c>
      <c r="S109" s="2">
        <f>ff_portfolios25!S109-ff_factors!$E109</f>
        <v>9.3699999999999999E-3</v>
      </c>
      <c r="T109" s="2">
        <f>ff_portfolios25!T109-ff_factors!$E109</f>
        <v>-1.1730000000000001E-2</v>
      </c>
      <c r="U109" s="2">
        <f>ff_portfolios25!U109-ff_factors!$E109</f>
        <v>-9.5E-4</v>
      </c>
      <c r="V109" s="2">
        <f>ff_portfolios25!V109-ff_factors!$E109</f>
        <v>-1.5100000000000001E-4</v>
      </c>
      <c r="W109" s="2">
        <f>ff_portfolios25!W109-ff_factors!$E109</f>
        <v>-5.8370000000000002E-3</v>
      </c>
      <c r="X109" s="2">
        <f>ff_portfolios25!X109-ff_factors!$E109</f>
        <v>2.052E-3</v>
      </c>
      <c r="Y109" s="2">
        <f>ff_portfolios25!Y109-ff_factors!$E109</f>
        <v>1.6448000000000001E-2</v>
      </c>
      <c r="Z109" s="2">
        <f>ff_portfolios25!Z109-ff_factors!$E109</f>
        <v>5.0210000000000003E-3</v>
      </c>
      <c r="AA109" s="2">
        <f>ff_portfolios25!AA109-ff_factors!$E109</f>
        <v>1.1057000000000001E-2</v>
      </c>
      <c r="AB109" s="2">
        <f>ff_portfolios25!AB109-ff_factors!$E109</f>
        <v>2.3814999999999999E-2</v>
      </c>
    </row>
    <row r="110" spans="1:28" x14ac:dyDescent="0.2">
      <c r="A110">
        <v>19410131</v>
      </c>
      <c r="B110">
        <v>1941</v>
      </c>
      <c r="C110">
        <v>1</v>
      </c>
      <c r="D110" s="2">
        <f>ff_portfolios25!D110-ff_factors!$E110</f>
        <v>-8.6122999999999991E-2</v>
      </c>
      <c r="E110" s="2">
        <f>ff_portfolios25!E110-ff_factors!$E110</f>
        <v>-5.6931999999999996E-2</v>
      </c>
      <c r="F110" s="2">
        <f>ff_portfolios25!F110-ff_factors!$E110</f>
        <v>-3.0877000000000002E-2</v>
      </c>
      <c r="G110" s="2">
        <f>ff_portfolios25!G110-ff_factors!$E110</f>
        <v>-6.8249999999999995E-3</v>
      </c>
      <c r="H110" s="2">
        <f>ff_portfolios25!H110-ff_factors!$E110</f>
        <v>5.9090000000000002E-3</v>
      </c>
      <c r="I110" s="2">
        <f>ff_portfolios25!I110-ff_factors!$E110</f>
        <v>-5.142E-2</v>
      </c>
      <c r="J110" s="2">
        <f>ff_portfolios25!J110-ff_factors!$E110</f>
        <v>-2.6488000000000001E-2</v>
      </c>
      <c r="K110" s="2">
        <f>ff_portfolios25!K110-ff_factors!$E110</f>
        <v>-3.1673999999999994E-2</v>
      </c>
      <c r="L110" s="2">
        <f>ff_portfolios25!L110-ff_factors!$E110</f>
        <v>-1.4437E-2</v>
      </c>
      <c r="M110" s="2">
        <f>ff_portfolios25!M110-ff_factors!$E110</f>
        <v>8.4500000000000005E-4</v>
      </c>
      <c r="N110" s="2">
        <f>ff_portfolios25!N110-ff_factors!$E110</f>
        <v>-6.4934999999999993E-2</v>
      </c>
      <c r="O110" s="2">
        <f>ff_portfolios25!O110-ff_factors!$E110</f>
        <v>-5.4354E-2</v>
      </c>
      <c r="P110" s="2">
        <f>ff_portfolios25!P110-ff_factors!$E110</f>
        <v>-4.1595E-2</v>
      </c>
      <c r="Q110" s="2">
        <f>ff_portfolios25!Q110-ff_factors!$E110</f>
        <v>-3.2809999999999999E-2</v>
      </c>
      <c r="R110" s="2">
        <f>ff_portfolios25!R110-ff_factors!$E110</f>
        <v>1.3958E-2</v>
      </c>
      <c r="S110" s="2">
        <f>ff_portfolios25!S110-ff_factors!$E110</f>
        <v>-5.4401999999999999E-2</v>
      </c>
      <c r="T110" s="2">
        <f>ff_portfolios25!T110-ff_factors!$E110</f>
        <v>-4.5353999999999998E-2</v>
      </c>
      <c r="U110" s="2">
        <f>ff_portfolios25!U110-ff_factors!$E110</f>
        <v>-2.5682E-2</v>
      </c>
      <c r="V110" s="2">
        <f>ff_portfolios25!V110-ff_factors!$E110</f>
        <v>-4.6537999999999996E-2</v>
      </c>
      <c r="W110" s="2">
        <f>ff_portfolios25!W110-ff_factors!$E110</f>
        <v>-3.4190000000000002E-3</v>
      </c>
      <c r="X110" s="2">
        <f>ff_portfolios25!X110-ff_factors!$E110</f>
        <v>-5.7793999999999998E-2</v>
      </c>
      <c r="Y110" s="2">
        <f>ff_portfolios25!Y110-ff_factors!$E110</f>
        <v>-3.764E-2</v>
      </c>
      <c r="Z110" s="2">
        <f>ff_portfolios25!Z110-ff_factors!$E110</f>
        <v>-2.8074999999999999E-2</v>
      </c>
      <c r="AA110" s="2">
        <f>ff_portfolios25!AA110-ff_factors!$E110</f>
        <v>-2.9684000000000002E-2</v>
      </c>
      <c r="AB110" s="2">
        <f>ff_portfolios25!AB110-ff_factors!$E110</f>
        <v>-6.1799999999999997E-3</v>
      </c>
    </row>
    <row r="111" spans="1:28" x14ac:dyDescent="0.2">
      <c r="A111">
        <v>19410228</v>
      </c>
      <c r="B111">
        <v>1941</v>
      </c>
      <c r="C111">
        <v>2</v>
      </c>
      <c r="D111" s="2">
        <f>ff_portfolios25!D111-ff_factors!$E111</f>
        <v>-7.6257999999999992E-2</v>
      </c>
      <c r="E111" s="2">
        <f>ff_portfolios25!E111-ff_factors!$E111</f>
        <v>-2.9979000000000002E-2</v>
      </c>
      <c r="F111" s="2">
        <f>ff_portfolios25!F111-ff_factors!$E111</f>
        <v>-3.4220000000000001E-3</v>
      </c>
      <c r="G111" s="2">
        <f>ff_portfolios25!G111-ff_factors!$E111</f>
        <v>-4.5252999999999995E-2</v>
      </c>
      <c r="H111" s="2">
        <f>ff_portfolios25!H111-ff_factors!$E111</f>
        <v>-2.7470000000000001E-2</v>
      </c>
      <c r="I111" s="2">
        <f>ff_portfolios25!I111-ff_factors!$E111</f>
        <v>3.813E-3</v>
      </c>
      <c r="J111" s="2">
        <f>ff_portfolios25!J111-ff_factors!$E111</f>
        <v>-2.7623999999999999E-2</v>
      </c>
      <c r="K111" s="2">
        <f>ff_portfolios25!K111-ff_factors!$E111</f>
        <v>-1.7523E-2</v>
      </c>
      <c r="L111" s="2">
        <f>ff_portfolios25!L111-ff_factors!$E111</f>
        <v>-2.7156E-2</v>
      </c>
      <c r="M111" s="2">
        <f>ff_portfolios25!M111-ff_factors!$E111</f>
        <v>-2.1696E-2</v>
      </c>
      <c r="N111" s="2">
        <f>ff_portfolios25!N111-ff_factors!$E111</f>
        <v>-3.8785999999999994E-2</v>
      </c>
      <c r="O111" s="2">
        <f>ff_portfolios25!O111-ff_factors!$E111</f>
        <v>-7.3019999999999995E-3</v>
      </c>
      <c r="P111" s="2">
        <f>ff_portfolios25!P111-ff_factors!$E111</f>
        <v>-1.7336000000000001E-2</v>
      </c>
      <c r="Q111" s="2">
        <f>ff_portfolios25!Q111-ff_factors!$E111</f>
        <v>-2.0685000000000002E-2</v>
      </c>
      <c r="R111" s="2">
        <f>ff_portfolios25!R111-ff_factors!$E111</f>
        <v>-2.6399000000000002E-2</v>
      </c>
      <c r="S111" s="2">
        <f>ff_portfolios25!S111-ff_factors!$E111</f>
        <v>-2.4909000000000001E-2</v>
      </c>
      <c r="T111" s="2">
        <f>ff_portfolios25!T111-ff_factors!$E111</f>
        <v>-2.2216E-2</v>
      </c>
      <c r="U111" s="2">
        <f>ff_portfolios25!U111-ff_factors!$E111</f>
        <v>-2.3640000000000002E-3</v>
      </c>
      <c r="V111" s="2">
        <f>ff_portfolios25!V111-ff_factors!$E111</f>
        <v>-1.285E-2</v>
      </c>
      <c r="W111" s="2">
        <f>ff_portfolios25!W111-ff_factors!$E111</f>
        <v>-2.0108000000000001E-2</v>
      </c>
      <c r="X111" s="2">
        <f>ff_portfolios25!X111-ff_factors!$E111</f>
        <v>-1.4290000000000001E-2</v>
      </c>
      <c r="Y111" s="2">
        <f>ff_portfolios25!Y111-ff_factors!$E111</f>
        <v>-1.6674000000000001E-2</v>
      </c>
      <c r="Z111" s="2">
        <f>ff_portfolios25!Z111-ff_factors!$E111</f>
        <v>-1.3463000000000001E-2</v>
      </c>
      <c r="AA111" s="2">
        <f>ff_portfolios25!AA111-ff_factors!$E111</f>
        <v>-1.4677000000000001E-2</v>
      </c>
      <c r="AB111" s="2">
        <f>ff_portfolios25!AB111-ff_factors!$E111</f>
        <v>9.9049999999999989E-3</v>
      </c>
    </row>
    <row r="112" spans="1:28" x14ac:dyDescent="0.2">
      <c r="A112">
        <v>19410331</v>
      </c>
      <c r="B112">
        <v>1941</v>
      </c>
      <c r="C112">
        <v>3</v>
      </c>
      <c r="D112" s="2">
        <f>ff_portfolios25!D112-ff_factors!$E112</f>
        <v>-1.5594E-2</v>
      </c>
      <c r="E112" s="2">
        <f>ff_portfolios25!E112-ff_factors!$E112</f>
        <v>-3.2052000000000004E-2</v>
      </c>
      <c r="F112" s="2">
        <f>ff_portfolios25!F112-ff_factors!$E112</f>
        <v>-8.7989999999999995E-3</v>
      </c>
      <c r="G112" s="2">
        <f>ff_portfolios25!G112-ff_factors!$E112</f>
        <v>1.5832000000000002E-2</v>
      </c>
      <c r="H112" s="2">
        <f>ff_portfolios25!H112-ff_factors!$E112</f>
        <v>4.1648999999999999E-2</v>
      </c>
      <c r="I112" s="2">
        <f>ff_portfolios25!I112-ff_factors!$E112</f>
        <v>-8.3839999999999991E-3</v>
      </c>
      <c r="J112" s="2">
        <f>ff_portfolios25!J112-ff_factors!$E112</f>
        <v>2.6657E-2</v>
      </c>
      <c r="K112" s="2">
        <f>ff_portfolios25!K112-ff_factors!$E112</f>
        <v>2.6218999999999999E-2</v>
      </c>
      <c r="L112" s="2">
        <f>ff_portfolios25!L112-ff_factors!$E112</f>
        <v>6.0759999999999998E-3</v>
      </c>
      <c r="M112" s="2">
        <f>ff_portfolios25!M112-ff_factors!$E112</f>
        <v>5.1869999999999999E-2</v>
      </c>
      <c r="N112" s="2">
        <f>ff_portfolios25!N112-ff_factors!$E112</f>
        <v>2.807E-3</v>
      </c>
      <c r="O112" s="2">
        <f>ff_portfolios25!O112-ff_factors!$E112</f>
        <v>1.8620000000000002E-3</v>
      </c>
      <c r="P112" s="2">
        <f>ff_portfolios25!P112-ff_factors!$E112</f>
        <v>1.3725000000000001E-2</v>
      </c>
      <c r="Q112" s="2">
        <f>ff_portfolios25!Q112-ff_factors!$E112</f>
        <v>1.6302000000000001E-2</v>
      </c>
      <c r="R112" s="2">
        <f>ff_portfolios25!R112-ff_factors!$E112</f>
        <v>3.7592999999999994E-2</v>
      </c>
      <c r="S112" s="2">
        <f>ff_portfolios25!S112-ff_factors!$E112</f>
        <v>9.2580000000000006E-3</v>
      </c>
      <c r="T112" s="2">
        <f>ff_portfolios25!T112-ff_factors!$E112</f>
        <v>-1.4589999999999999E-2</v>
      </c>
      <c r="U112" s="2">
        <f>ff_portfolios25!U112-ff_factors!$E112</f>
        <v>1.1748E-2</v>
      </c>
      <c r="V112" s="2">
        <f>ff_portfolios25!V112-ff_factors!$E112</f>
        <v>2.1425E-2</v>
      </c>
      <c r="W112" s="2">
        <f>ff_portfolios25!W112-ff_factors!$E112</f>
        <v>4.2061999999999995E-2</v>
      </c>
      <c r="X112" s="2">
        <f>ff_portfolios25!X112-ff_factors!$E112</f>
        <v>4.7619999999999997E-3</v>
      </c>
      <c r="Y112" s="2">
        <f>ff_portfolios25!Y112-ff_factors!$E112</f>
        <v>9.0889999999999999E-3</v>
      </c>
      <c r="Z112" s="2">
        <f>ff_portfolios25!Z112-ff_factors!$E112</f>
        <v>1.8225999999999999E-2</v>
      </c>
      <c r="AA112" s="2">
        <f>ff_portfolios25!AA112-ff_factors!$E112</f>
        <v>1.3896E-2</v>
      </c>
      <c r="AB112" s="2">
        <f>ff_portfolios25!AB112-ff_factors!$E112</f>
        <v>4.0617E-2</v>
      </c>
    </row>
    <row r="113" spans="1:28" x14ac:dyDescent="0.2">
      <c r="A113">
        <v>19410430</v>
      </c>
      <c r="B113">
        <v>1941</v>
      </c>
      <c r="C113">
        <v>4</v>
      </c>
      <c r="D113" s="2">
        <f>ff_portfolios25!D113-ff_factors!$E113</f>
        <v>-0.15623600000000001</v>
      </c>
      <c r="E113" s="2">
        <f>ff_portfolios25!E113-ff_factors!$E113</f>
        <v>-0.12937400000000002</v>
      </c>
      <c r="F113" s="2">
        <f>ff_portfolios25!F113-ff_factors!$E113</f>
        <v>-7.0831999999999992E-2</v>
      </c>
      <c r="G113" s="2">
        <f>ff_portfolios25!G113-ff_factors!$E113</f>
        <v>-4.5830999999999997E-2</v>
      </c>
      <c r="H113" s="2">
        <f>ff_portfolios25!H113-ff_factors!$E113</f>
        <v>-4.2105999999999998E-2</v>
      </c>
      <c r="I113" s="2">
        <f>ff_portfolios25!I113-ff_factors!$E113</f>
        <v>-7.5345999999999996E-2</v>
      </c>
      <c r="J113" s="2">
        <f>ff_portfolios25!J113-ff_factors!$E113</f>
        <v>-7.4309E-2</v>
      </c>
      <c r="K113" s="2">
        <f>ff_portfolios25!K113-ff_factors!$E113</f>
        <v>-5.9556999999999999E-2</v>
      </c>
      <c r="L113" s="2">
        <f>ff_portfolios25!L113-ff_factors!$E113</f>
        <v>-4.7513E-2</v>
      </c>
      <c r="M113" s="2">
        <f>ff_portfolios25!M113-ff_factors!$E113</f>
        <v>-5.6956E-2</v>
      </c>
      <c r="N113" s="2">
        <f>ff_portfolios25!N113-ff_factors!$E113</f>
        <v>-4.9922999999999995E-2</v>
      </c>
      <c r="O113" s="2">
        <f>ff_portfolios25!O113-ff_factors!$E113</f>
        <v>-7.0500999999999994E-2</v>
      </c>
      <c r="P113" s="2">
        <f>ff_portfolios25!P113-ff_factors!$E113</f>
        <v>-4.2573E-2</v>
      </c>
      <c r="Q113" s="2">
        <f>ff_portfolios25!Q113-ff_factors!$E113</f>
        <v>-5.3026999999999998E-2</v>
      </c>
      <c r="R113" s="2">
        <f>ff_portfolios25!R113-ff_factors!$E113</f>
        <v>-1.7533E-2</v>
      </c>
      <c r="S113" s="2">
        <f>ff_portfolios25!S113-ff_factors!$E113</f>
        <v>-7.4697E-2</v>
      </c>
      <c r="T113" s="2">
        <f>ff_portfolios25!T113-ff_factors!$E113</f>
        <v>-6.4190999999999998E-2</v>
      </c>
      <c r="U113" s="2">
        <f>ff_portfolios25!U113-ff_factors!$E113</f>
        <v>-5.6604999999999996E-2</v>
      </c>
      <c r="V113" s="2">
        <f>ff_portfolios25!V113-ff_factors!$E113</f>
        <v>-3.7940999999999996E-2</v>
      </c>
      <c r="W113" s="2">
        <f>ff_portfolios25!W113-ff_factors!$E113</f>
        <v>-4.4162E-2</v>
      </c>
      <c r="X113" s="2">
        <f>ff_portfolios25!X113-ff_factors!$E113</f>
        <v>-6.3899999999999998E-2</v>
      </c>
      <c r="Y113" s="2">
        <f>ff_portfolios25!Y113-ff_factors!$E113</f>
        <v>-6.2786999999999996E-2</v>
      </c>
      <c r="Z113" s="2">
        <f>ff_portfolios25!Z113-ff_factors!$E113</f>
        <v>-3.4691999999999994E-2</v>
      </c>
      <c r="AA113" s="2">
        <f>ff_portfolios25!AA113-ff_factors!$E113</f>
        <v>-3.3044999999999998E-2</v>
      </c>
      <c r="AB113" s="2">
        <f>ff_portfolios25!AB113-ff_factors!$E113</f>
        <v>-4.8589999999999996E-3</v>
      </c>
    </row>
    <row r="114" spans="1:28" x14ac:dyDescent="0.2">
      <c r="A114">
        <v>19410531</v>
      </c>
      <c r="B114">
        <v>1941</v>
      </c>
      <c r="C114">
        <v>5</v>
      </c>
      <c r="D114" s="2">
        <f>ff_portfolios25!D114-ff_factors!$E114</f>
        <v>-6.8250000000000003E-3</v>
      </c>
      <c r="E114" s="2">
        <f>ff_portfolios25!E114-ff_factors!$E114</f>
        <v>3.5569000000000003E-2</v>
      </c>
      <c r="F114" s="2">
        <f>ff_portfolios25!F114-ff_factors!$E114</f>
        <v>-7.92E-3</v>
      </c>
      <c r="G114" s="2">
        <f>ff_portfolios25!G114-ff_factors!$E114</f>
        <v>1.2434000000000001E-2</v>
      </c>
      <c r="H114" s="2">
        <f>ff_portfolios25!H114-ff_factors!$E114</f>
        <v>-1.2574999999999999E-2</v>
      </c>
      <c r="I114" s="2">
        <f>ff_portfolios25!I114-ff_factors!$E114</f>
        <v>3.7007999999999999E-2</v>
      </c>
      <c r="J114" s="2">
        <f>ff_portfolios25!J114-ff_factors!$E114</f>
        <v>9.6380000000000007E-3</v>
      </c>
      <c r="K114" s="2">
        <f>ff_portfolios25!K114-ff_factors!$E114</f>
        <v>7.4679999999999998E-3</v>
      </c>
      <c r="L114" s="2">
        <f>ff_portfolios25!L114-ff_factors!$E114</f>
        <v>1.8058000000000001E-2</v>
      </c>
      <c r="M114" s="2">
        <f>ff_portfolios25!M114-ff_factors!$E114</f>
        <v>3.9872999999999999E-2</v>
      </c>
      <c r="N114" s="2">
        <f>ff_portfolios25!N114-ff_factors!$E114</f>
        <v>-1.7124E-2</v>
      </c>
      <c r="O114" s="2">
        <f>ff_portfolios25!O114-ff_factors!$E114</f>
        <v>1.3775000000000001E-2</v>
      </c>
      <c r="P114" s="2">
        <f>ff_portfolios25!P114-ff_factors!$E114</f>
        <v>2.4733999999999999E-2</v>
      </c>
      <c r="Q114" s="2">
        <f>ff_portfolios25!Q114-ff_factors!$E114</f>
        <v>2.7899E-2</v>
      </c>
      <c r="R114" s="2">
        <f>ff_portfolios25!R114-ff_factors!$E114</f>
        <v>-4.0270000000000002E-3</v>
      </c>
      <c r="S114" s="2">
        <f>ff_portfolios25!S114-ff_factors!$E114</f>
        <v>3.6046000000000002E-2</v>
      </c>
      <c r="T114" s="2">
        <f>ff_portfolios25!T114-ff_factors!$E114</f>
        <v>1.8408000000000001E-2</v>
      </c>
      <c r="U114" s="2">
        <f>ff_portfolios25!U114-ff_factors!$E114</f>
        <v>-6.7600000000000004E-3</v>
      </c>
      <c r="V114" s="2">
        <f>ff_portfolios25!V114-ff_factors!$E114</f>
        <v>-1.217E-3</v>
      </c>
      <c r="W114" s="2">
        <f>ff_portfolios25!W114-ff_factors!$E114</f>
        <v>2.7762999999999999E-2</v>
      </c>
      <c r="X114" s="2">
        <f>ff_portfolios25!X114-ff_factors!$E114</f>
        <v>1.0501999999999999E-2</v>
      </c>
      <c r="Y114" s="2">
        <f>ff_portfolios25!Y114-ff_factors!$E114</f>
        <v>1.2171E-2</v>
      </c>
      <c r="Z114" s="2">
        <f>ff_portfolios25!Z114-ff_factors!$E114</f>
        <v>3.2682999999999997E-2</v>
      </c>
      <c r="AA114" s="2">
        <f>ff_portfolios25!AA114-ff_factors!$E114</f>
        <v>3.4458000000000003E-2</v>
      </c>
      <c r="AB114" s="2">
        <f>ff_portfolios25!AB114-ff_factors!$E114</f>
        <v>-3.46E-3</v>
      </c>
    </row>
    <row r="115" spans="1:28" x14ac:dyDescent="0.2">
      <c r="A115">
        <v>19410630</v>
      </c>
      <c r="B115">
        <v>1941</v>
      </c>
      <c r="C115">
        <v>6</v>
      </c>
      <c r="D115" s="2">
        <f>ff_portfolios25!D115-ff_factors!$E115</f>
        <v>3.2547E-2</v>
      </c>
      <c r="E115" s="2">
        <f>ff_portfolios25!E115-ff_factors!$E115</f>
        <v>-7.5420000000000001E-3</v>
      </c>
      <c r="F115" s="2">
        <f>ff_portfolios25!F115-ff_factors!$E115</f>
        <v>9.6303E-2</v>
      </c>
      <c r="G115" s="2">
        <f>ff_portfolios25!G115-ff_factors!$E115</f>
        <v>8.4856000000000001E-2</v>
      </c>
      <c r="H115" s="2">
        <f>ff_portfolios25!H115-ff_factors!$E115</f>
        <v>0.14002700000000001</v>
      </c>
      <c r="I115" s="2">
        <f>ff_portfolios25!I115-ff_factors!$E115</f>
        <v>2.2745999999999999E-2</v>
      </c>
      <c r="J115" s="2">
        <f>ff_portfolios25!J115-ff_factors!$E115</f>
        <v>5.1679999999999997E-2</v>
      </c>
      <c r="K115" s="2">
        <f>ff_portfolios25!K115-ff_factors!$E115</f>
        <v>6.4772999999999997E-2</v>
      </c>
      <c r="L115" s="2">
        <f>ff_portfolios25!L115-ff_factors!$E115</f>
        <v>9.6020999999999995E-2</v>
      </c>
      <c r="M115" s="2">
        <f>ff_portfolios25!M115-ff_factors!$E115</f>
        <v>7.424E-2</v>
      </c>
      <c r="N115" s="2">
        <f>ff_portfolios25!N115-ff_factors!$E115</f>
        <v>4.5199999999999997E-2</v>
      </c>
      <c r="O115" s="2">
        <f>ff_portfolios25!O115-ff_factors!$E115</f>
        <v>6.9270999999999999E-2</v>
      </c>
      <c r="P115" s="2">
        <f>ff_portfolios25!P115-ff_factors!$E115</f>
        <v>6.1428999999999997E-2</v>
      </c>
      <c r="Q115" s="2">
        <f>ff_portfolios25!Q115-ff_factors!$E115</f>
        <v>6.4061999999999994E-2</v>
      </c>
      <c r="R115" s="2">
        <f>ff_portfolios25!R115-ff_factors!$E115</f>
        <v>9.6008999999999997E-2</v>
      </c>
      <c r="S115" s="2">
        <f>ff_portfolios25!S115-ff_factors!$E115</f>
        <v>4.7126000000000001E-2</v>
      </c>
      <c r="T115" s="2">
        <f>ff_portfolios25!T115-ff_factors!$E115</f>
        <v>7.8613000000000002E-2</v>
      </c>
      <c r="U115" s="2">
        <f>ff_portfolios25!U115-ff_factors!$E115</f>
        <v>5.1865000000000001E-2</v>
      </c>
      <c r="V115" s="2">
        <f>ff_portfolios25!V115-ff_factors!$E115</f>
        <v>5.3419000000000001E-2</v>
      </c>
      <c r="W115" s="2">
        <f>ff_portfolios25!W115-ff_factors!$E115</f>
        <v>4.2053E-2</v>
      </c>
      <c r="X115" s="2">
        <f>ff_portfolios25!X115-ff_factors!$E115</f>
        <v>6.6381999999999997E-2</v>
      </c>
      <c r="Y115" s="2">
        <f>ff_portfolios25!Y115-ff_factors!$E115</f>
        <v>5.0314999999999999E-2</v>
      </c>
      <c r="Z115" s="2">
        <f>ff_portfolios25!Z115-ff_factors!$E115</f>
        <v>6.4879000000000006E-2</v>
      </c>
      <c r="AA115" s="2">
        <f>ff_portfolios25!AA115-ff_factors!$E115</f>
        <v>3.9618E-2</v>
      </c>
      <c r="AB115" s="2">
        <f>ff_portfolios25!AB115-ff_factors!$E115</f>
        <v>1.9127999999999999E-2</v>
      </c>
    </row>
    <row r="116" spans="1:28" x14ac:dyDescent="0.2">
      <c r="A116">
        <v>19410731</v>
      </c>
      <c r="B116">
        <v>1941</v>
      </c>
      <c r="C116">
        <v>7</v>
      </c>
      <c r="D116" s="2">
        <f>ff_portfolios25!D116-ff_factors!$E116</f>
        <v>0.17089400000000002</v>
      </c>
      <c r="E116" s="2">
        <f>ff_portfolios25!E116-ff_factors!$E116</f>
        <v>0.25113399999999997</v>
      </c>
      <c r="F116" s="2">
        <f>ff_portfolios25!F116-ff_factors!$E116</f>
        <v>0.277889</v>
      </c>
      <c r="G116" s="2">
        <f>ff_portfolios25!G116-ff_factors!$E116</f>
        <v>0.178318</v>
      </c>
      <c r="H116" s="2">
        <f>ff_portfolios25!H116-ff_factors!$E116</f>
        <v>0.25133699999999998</v>
      </c>
      <c r="I116" s="2">
        <f>ff_portfolios25!I116-ff_factors!$E116</f>
        <v>0.10325100000000001</v>
      </c>
      <c r="J116" s="2">
        <f>ff_portfolios25!J116-ff_factors!$E116</f>
        <v>9.2055000000000012E-2</v>
      </c>
      <c r="K116" s="2">
        <f>ff_portfolios25!K116-ff_factors!$E116</f>
        <v>6.3864000000000004E-2</v>
      </c>
      <c r="L116" s="2">
        <f>ff_portfolios25!L116-ff_factors!$E116</f>
        <v>0.136739</v>
      </c>
      <c r="M116" s="2">
        <f>ff_portfolios25!M116-ff_factors!$E116</f>
        <v>0.21398700000000001</v>
      </c>
      <c r="N116" s="2">
        <f>ff_portfolios25!N116-ff_factors!$E116</f>
        <v>8.5595000000000004E-2</v>
      </c>
      <c r="O116" s="2">
        <f>ff_portfolios25!O116-ff_factors!$E116</f>
        <v>7.9390000000000002E-2</v>
      </c>
      <c r="P116" s="2">
        <f>ff_portfolios25!P116-ff_factors!$E116</f>
        <v>6.9655000000000009E-2</v>
      </c>
      <c r="Q116" s="2">
        <f>ff_portfolios25!Q116-ff_factors!$E116</f>
        <v>0.132829</v>
      </c>
      <c r="R116" s="2">
        <f>ff_portfolios25!R116-ff_factors!$E116</f>
        <v>0.18904100000000001</v>
      </c>
      <c r="S116" s="2">
        <f>ff_portfolios25!S116-ff_factors!$E116</f>
        <v>7.8113000000000002E-2</v>
      </c>
      <c r="T116" s="2">
        <f>ff_portfolios25!T116-ff_factors!$E116</f>
        <v>6.8572000000000008E-2</v>
      </c>
      <c r="U116" s="2">
        <f>ff_portfolios25!U116-ff_factors!$E116</f>
        <v>9.6016000000000004E-2</v>
      </c>
      <c r="V116" s="2">
        <f>ff_portfolios25!V116-ff_factors!$E116</f>
        <v>0.12618100000000002</v>
      </c>
      <c r="W116" s="2">
        <f>ff_portfolios25!W116-ff_factors!$E116</f>
        <v>0.24546200000000001</v>
      </c>
      <c r="X116" s="2">
        <f>ff_portfolios25!X116-ff_factors!$E116</f>
        <v>4.1165E-2</v>
      </c>
      <c r="Y116" s="2">
        <f>ff_portfolios25!Y116-ff_factors!$E116</f>
        <v>3.1129999999999998E-2</v>
      </c>
      <c r="Z116" s="2">
        <f>ff_portfolios25!Z116-ff_factors!$E116</f>
        <v>8.2200000000000009E-2</v>
      </c>
      <c r="AA116" s="2">
        <f>ff_portfolios25!AA116-ff_factors!$E116</f>
        <v>8.450400000000001E-2</v>
      </c>
      <c r="AB116" s="2">
        <f>ff_portfolios25!AB116-ff_factors!$E116</f>
        <v>0.11169800000000001</v>
      </c>
    </row>
    <row r="117" spans="1:28" x14ac:dyDescent="0.2">
      <c r="A117">
        <v>19410830</v>
      </c>
      <c r="B117">
        <v>1941</v>
      </c>
      <c r="C117">
        <v>8</v>
      </c>
      <c r="D117" s="2">
        <f>ff_portfolios25!D117-ff_factors!$E117</f>
        <v>2.5003000000000001E-2</v>
      </c>
      <c r="E117" s="2">
        <f>ff_portfolios25!E117-ff_factors!$E117</f>
        <v>-4.4250000000000001E-3</v>
      </c>
      <c r="F117" s="2">
        <f>ff_portfolios25!F117-ff_factors!$E117</f>
        <v>-7.4489E-2</v>
      </c>
      <c r="G117" s="2">
        <f>ff_portfolios25!G117-ff_factors!$E117</f>
        <v>-3.3691000000000006E-2</v>
      </c>
      <c r="H117" s="2">
        <f>ff_portfolios25!H117-ff_factors!$E117</f>
        <v>7.8560000000000001E-3</v>
      </c>
      <c r="I117" s="2">
        <f>ff_portfolios25!I117-ff_factors!$E117</f>
        <v>-3.7759999999999998E-3</v>
      </c>
      <c r="J117" s="2">
        <f>ff_portfolios25!J117-ff_factors!$E117</f>
        <v>-8.4009999999999987E-3</v>
      </c>
      <c r="K117" s="2">
        <f>ff_portfolios25!K117-ff_factors!$E117</f>
        <v>-1.1592999999999999E-2</v>
      </c>
      <c r="L117" s="2">
        <f>ff_portfolios25!L117-ff_factors!$E117</f>
        <v>-7.8750000000000001E-3</v>
      </c>
      <c r="M117" s="2">
        <f>ff_portfolios25!M117-ff_factors!$E117</f>
        <v>2.34E-4</v>
      </c>
      <c r="N117" s="2">
        <f>ff_portfolios25!N117-ff_factors!$E117</f>
        <v>-1.9674999999999998E-2</v>
      </c>
      <c r="O117" s="2">
        <f>ff_portfolios25!O117-ff_factors!$E117</f>
        <v>-2.1617999999999998E-2</v>
      </c>
      <c r="P117" s="2">
        <f>ff_portfolios25!P117-ff_factors!$E117</f>
        <v>1.0429999999999999E-3</v>
      </c>
      <c r="Q117" s="2">
        <f>ff_portfolios25!Q117-ff_factors!$E117</f>
        <v>-1.9591000000000001E-2</v>
      </c>
      <c r="R117" s="2">
        <f>ff_portfolios25!R117-ff_factors!$E117</f>
        <v>-2.4093E-2</v>
      </c>
      <c r="S117" s="2">
        <f>ff_portfolios25!S117-ff_factors!$E117</f>
        <v>8.0150000000000013E-3</v>
      </c>
      <c r="T117" s="2">
        <f>ff_portfolios25!T117-ff_factors!$E117</f>
        <v>-2.9500000000000001E-4</v>
      </c>
      <c r="U117" s="2">
        <f>ff_portfolios25!U117-ff_factors!$E117</f>
        <v>1.7580000000000002E-2</v>
      </c>
      <c r="V117" s="2">
        <f>ff_portfolios25!V117-ff_factors!$E117</f>
        <v>-2.8969999999999998E-3</v>
      </c>
      <c r="W117" s="2">
        <f>ff_portfolios25!W117-ff_factors!$E117</f>
        <v>6.267E-3</v>
      </c>
      <c r="X117" s="2">
        <f>ff_portfolios25!X117-ff_factors!$E117</f>
        <v>8.6490000000000004E-3</v>
      </c>
      <c r="Y117" s="2">
        <f>ff_portfolios25!Y117-ff_factors!$E117</f>
        <v>2.114E-3</v>
      </c>
      <c r="Z117" s="2">
        <f>ff_portfolios25!Z117-ff_factors!$E117</f>
        <v>-2.0381E-2</v>
      </c>
      <c r="AA117" s="2">
        <f>ff_portfolios25!AA117-ff_factors!$E117</f>
        <v>-1.2607E-2</v>
      </c>
      <c r="AB117" s="2">
        <f>ff_portfolios25!AB117-ff_factors!$E117</f>
        <v>-5.1318000000000003E-2</v>
      </c>
    </row>
    <row r="118" spans="1:28" x14ac:dyDescent="0.2">
      <c r="A118">
        <v>19410930</v>
      </c>
      <c r="B118">
        <v>1941</v>
      </c>
      <c r="C118">
        <v>9</v>
      </c>
      <c r="D118" s="2">
        <f>ff_portfolios25!D118-ff_factors!$E118</f>
        <v>-0.11808100000000001</v>
      </c>
      <c r="E118" s="2">
        <f>ff_portfolios25!E118-ff_factors!$E118</f>
        <v>-3.6458000000000004E-2</v>
      </c>
      <c r="F118" s="2">
        <f>ff_portfolios25!F118-ff_factors!$E118</f>
        <v>-4.3502000000000006E-2</v>
      </c>
      <c r="G118" s="2">
        <f>ff_portfolios25!G118-ff_factors!$E118</f>
        <v>-2.5977E-2</v>
      </c>
      <c r="H118" s="2">
        <f>ff_portfolios25!H118-ff_factors!$E118</f>
        <v>-5.0913E-2</v>
      </c>
      <c r="I118" s="2">
        <f>ff_portfolios25!I118-ff_factors!$E118</f>
        <v>-3.1471000000000006E-2</v>
      </c>
      <c r="J118" s="2">
        <f>ff_portfolios25!J118-ff_factors!$E118</f>
        <v>-1.5387999999999999E-2</v>
      </c>
      <c r="K118" s="2">
        <f>ff_portfolios25!K118-ff_factors!$E118</f>
        <v>-3.8767000000000003E-2</v>
      </c>
      <c r="L118" s="2">
        <f>ff_portfolios25!L118-ff_factors!$E118</f>
        <v>7.8860000000000006E-3</v>
      </c>
      <c r="M118" s="2">
        <f>ff_portfolios25!M118-ff_factors!$E118</f>
        <v>-3.5777000000000003E-2</v>
      </c>
      <c r="N118" s="2">
        <f>ff_portfolios25!N118-ff_factors!$E118</f>
        <v>-2.4941999999999999E-2</v>
      </c>
      <c r="O118" s="2">
        <f>ff_portfolios25!O118-ff_factors!$E118</f>
        <v>-1.3274999999999999E-2</v>
      </c>
      <c r="P118" s="2">
        <f>ff_portfolios25!P118-ff_factors!$E118</f>
        <v>-1.1947999999999999E-2</v>
      </c>
      <c r="Q118" s="2">
        <f>ff_portfolios25!Q118-ff_factors!$E118</f>
        <v>-2.9311E-2</v>
      </c>
      <c r="R118" s="2">
        <f>ff_portfolios25!R118-ff_factors!$E118</f>
        <v>5.1180000000000002E-3</v>
      </c>
      <c r="S118" s="2">
        <f>ff_portfolios25!S118-ff_factors!$E118</f>
        <v>1.0479999999999999E-3</v>
      </c>
      <c r="T118" s="2">
        <f>ff_portfolios25!T118-ff_factors!$E118</f>
        <v>-1.7361999999999999E-2</v>
      </c>
      <c r="U118" s="2">
        <f>ff_portfolios25!U118-ff_factors!$E118</f>
        <v>-2.6211999999999999E-2</v>
      </c>
      <c r="V118" s="2">
        <f>ff_portfolios25!V118-ff_factors!$E118</f>
        <v>1.8519999999999999E-3</v>
      </c>
      <c r="W118" s="2">
        <f>ff_portfolios25!W118-ff_factors!$E118</f>
        <v>-1.4348E-2</v>
      </c>
      <c r="X118" s="2">
        <f>ff_portfolios25!X118-ff_factors!$E118</f>
        <v>2.3990000000000001E-3</v>
      </c>
      <c r="Y118" s="2">
        <f>ff_portfolios25!Y118-ff_factors!$E118</f>
        <v>-9.2999999999999992E-3</v>
      </c>
      <c r="Z118" s="2">
        <f>ff_portfolios25!Z118-ff_factors!$E118</f>
        <v>-2.6363000000000001E-2</v>
      </c>
      <c r="AA118" s="2">
        <f>ff_portfolios25!AA118-ff_factors!$E118</f>
        <v>-1.7073999999999999E-2</v>
      </c>
      <c r="AB118" s="2">
        <f>ff_portfolios25!AB118-ff_factors!$E118</f>
        <v>-2.7071999999999999E-2</v>
      </c>
    </row>
    <row r="119" spans="1:28" x14ac:dyDescent="0.2">
      <c r="A119">
        <v>19411031</v>
      </c>
      <c r="B119">
        <v>1941</v>
      </c>
      <c r="C119">
        <v>10</v>
      </c>
      <c r="D119" s="2">
        <f>ff_portfolios25!D119-ff_factors!$E119</f>
        <v>-8.6967000000000003E-2</v>
      </c>
      <c r="E119" s="2">
        <f>ff_portfolios25!E119-ff_factors!$E119</f>
        <v>-3.1329999999999999E-3</v>
      </c>
      <c r="F119" s="2">
        <f>ff_portfolios25!F119-ff_factors!$E119</f>
        <v>-7.8628000000000003E-2</v>
      </c>
      <c r="G119" s="2">
        <f>ff_portfolios25!G119-ff_factors!$E119</f>
        <v>-6.7198999999999995E-2</v>
      </c>
      <c r="H119" s="2">
        <f>ff_portfolios25!H119-ff_factors!$E119</f>
        <v>-7.9481999999999997E-2</v>
      </c>
      <c r="I119" s="2">
        <f>ff_portfolios25!I119-ff_factors!$E119</f>
        <v>-5.6314000000000003E-2</v>
      </c>
      <c r="J119" s="2">
        <f>ff_portfolios25!J119-ff_factors!$E119</f>
        <v>-4.8660000000000002E-2</v>
      </c>
      <c r="K119" s="2">
        <f>ff_portfolios25!K119-ff_factors!$E119</f>
        <v>-5.5393999999999999E-2</v>
      </c>
      <c r="L119" s="2">
        <f>ff_portfolios25!L119-ff_factors!$E119</f>
        <v>-5.5715000000000001E-2</v>
      </c>
      <c r="M119" s="2">
        <f>ff_portfolios25!M119-ff_factors!$E119</f>
        <v>-7.3265999999999998E-2</v>
      </c>
      <c r="N119" s="2">
        <f>ff_portfolios25!N119-ff_factors!$E119</f>
        <v>-6.3204999999999997E-2</v>
      </c>
      <c r="O119" s="2">
        <f>ff_portfolios25!O119-ff_factors!$E119</f>
        <v>-6.3328999999999996E-2</v>
      </c>
      <c r="P119" s="2">
        <f>ff_portfolios25!P119-ff_factors!$E119</f>
        <v>-4.9923000000000002E-2</v>
      </c>
      <c r="Q119" s="2">
        <f>ff_portfolios25!Q119-ff_factors!$E119</f>
        <v>-6.4371999999999999E-2</v>
      </c>
      <c r="R119" s="2">
        <f>ff_portfolios25!R119-ff_factors!$E119</f>
        <v>-0.10334500000000001</v>
      </c>
      <c r="S119" s="2">
        <f>ff_portfolios25!S119-ff_factors!$E119</f>
        <v>-4.9727E-2</v>
      </c>
      <c r="T119" s="2">
        <f>ff_portfolios25!T119-ff_factors!$E119</f>
        <v>-5.5544999999999997E-2</v>
      </c>
      <c r="U119" s="2">
        <f>ff_portfolios25!U119-ff_factors!$E119</f>
        <v>-6.0788000000000002E-2</v>
      </c>
      <c r="V119" s="2">
        <f>ff_portfolios25!V119-ff_factors!$E119</f>
        <v>-4.3416000000000003E-2</v>
      </c>
      <c r="W119" s="2">
        <f>ff_portfolios25!W119-ff_factors!$E119</f>
        <v>-4.9443000000000001E-2</v>
      </c>
      <c r="X119" s="2">
        <f>ff_portfolios25!X119-ff_factors!$E119</f>
        <v>-6.7665000000000003E-2</v>
      </c>
      <c r="Y119" s="2">
        <f>ff_portfolios25!Y119-ff_factors!$E119</f>
        <v>-4.7093000000000003E-2</v>
      </c>
      <c r="Z119" s="2">
        <f>ff_portfolios25!Z119-ff_factors!$E119</f>
        <v>-2.1314E-2</v>
      </c>
      <c r="AA119" s="2">
        <f>ff_portfolios25!AA119-ff_factors!$E119</f>
        <v>-1.7103E-2</v>
      </c>
      <c r="AB119" s="2">
        <f>ff_portfolios25!AB119-ff_factors!$E119</f>
        <v>-1.8263000000000001E-2</v>
      </c>
    </row>
    <row r="120" spans="1:28" x14ac:dyDescent="0.2">
      <c r="A120">
        <v>19411129</v>
      </c>
      <c r="B120">
        <v>1941</v>
      </c>
      <c r="C120">
        <v>11</v>
      </c>
      <c r="D120" s="2">
        <f>ff_portfolios25!D120-ff_factors!$E120</f>
        <v>-0.103848</v>
      </c>
      <c r="E120" s="2">
        <f>ff_portfolios25!E120-ff_factors!$E120</f>
        <v>-5.7382000000000002E-2</v>
      </c>
      <c r="F120" s="2">
        <f>ff_portfolios25!F120-ff_factors!$E120</f>
        <v>-8.2355999999999999E-2</v>
      </c>
      <c r="G120" s="2">
        <f>ff_portfolios25!G120-ff_factors!$E120</f>
        <v>-3.9729E-2</v>
      </c>
      <c r="H120" s="2">
        <f>ff_portfolios25!H120-ff_factors!$E120</f>
        <v>-4.2805000000000003E-2</v>
      </c>
      <c r="I120" s="2">
        <f>ff_portfolios25!I120-ff_factors!$E120</f>
        <v>-2.1291000000000001E-2</v>
      </c>
      <c r="J120" s="2">
        <f>ff_portfolios25!J120-ff_factors!$E120</f>
        <v>-1.4376E-2</v>
      </c>
      <c r="K120" s="2">
        <f>ff_portfolios25!K120-ff_factors!$E120</f>
        <v>-5.1400000000000001E-2</v>
      </c>
      <c r="L120" s="2">
        <f>ff_portfolios25!L120-ff_factors!$E120</f>
        <v>-2.2747E-2</v>
      </c>
      <c r="M120" s="2">
        <f>ff_portfolios25!M120-ff_factors!$E120</f>
        <v>-3.2377999999999997E-2</v>
      </c>
      <c r="N120" s="2">
        <f>ff_portfolios25!N120-ff_factors!$E120</f>
        <v>-1.3146E-2</v>
      </c>
      <c r="O120" s="2">
        <f>ff_portfolios25!O120-ff_factors!$E120</f>
        <v>-2.1711999999999999E-2</v>
      </c>
      <c r="P120" s="2">
        <f>ff_portfolios25!P120-ff_factors!$E120</f>
        <v>-3.2593999999999998E-2</v>
      </c>
      <c r="Q120" s="2">
        <f>ff_portfolios25!Q120-ff_factors!$E120</f>
        <v>-1.98E-3</v>
      </c>
      <c r="R120" s="2">
        <f>ff_portfolios25!R120-ff_factors!$E120</f>
        <v>-5.8629000000000001E-2</v>
      </c>
      <c r="S120" s="2">
        <f>ff_portfolios25!S120-ff_factors!$E120</f>
        <v>-7.6649999999999999E-3</v>
      </c>
      <c r="T120" s="2">
        <f>ff_portfolios25!T120-ff_factors!$E120</f>
        <v>-2.0327000000000001E-2</v>
      </c>
      <c r="U120" s="2">
        <f>ff_portfolios25!U120-ff_factors!$E120</f>
        <v>-1.8834E-2</v>
      </c>
      <c r="V120" s="2">
        <f>ff_portfolios25!V120-ff_factors!$E120</f>
        <v>-9.7710000000000002E-3</v>
      </c>
      <c r="W120" s="2">
        <f>ff_portfolios25!W120-ff_factors!$E120</f>
        <v>-3.1314000000000002E-2</v>
      </c>
      <c r="X120" s="2">
        <f>ff_portfolios25!X120-ff_factors!$E120</f>
        <v>-1.8858E-2</v>
      </c>
      <c r="Y120" s="2">
        <f>ff_portfolios25!Y120-ff_factors!$E120</f>
        <v>-2.7E-2</v>
      </c>
      <c r="Z120" s="2">
        <f>ff_portfolios25!Z120-ff_factors!$E120</f>
        <v>7.1009999999999997E-3</v>
      </c>
      <c r="AA120" s="2">
        <f>ff_portfolios25!AA120-ff_factors!$E120</f>
        <v>-1.8246999999999999E-2</v>
      </c>
      <c r="AB120" s="2">
        <f>ff_portfolios25!AB120-ff_factors!$E120</f>
        <v>-2.691E-2</v>
      </c>
    </row>
    <row r="121" spans="1:28" x14ac:dyDescent="0.2">
      <c r="A121">
        <v>19411231</v>
      </c>
      <c r="B121">
        <v>1941</v>
      </c>
      <c r="C121">
        <v>12</v>
      </c>
      <c r="D121" s="2">
        <f>ff_portfolios25!D121-ff_factors!$E121</f>
        <v>-0.18547999999999998</v>
      </c>
      <c r="E121" s="2">
        <f>ff_portfolios25!E121-ff_factors!$E121</f>
        <v>-0.19343299999999999</v>
      </c>
      <c r="F121" s="2">
        <f>ff_portfolios25!F121-ff_factors!$E121</f>
        <v>-0.10335900000000001</v>
      </c>
      <c r="G121" s="2">
        <f>ff_portfolios25!G121-ff_factors!$E121</f>
        <v>-0.146867</v>
      </c>
      <c r="H121" s="2">
        <f>ff_portfolios25!H121-ff_factors!$E121</f>
        <v>-0.145174</v>
      </c>
      <c r="I121" s="2">
        <f>ff_portfolios25!I121-ff_factors!$E121</f>
        <v>-8.1383999999999998E-2</v>
      </c>
      <c r="J121" s="2">
        <f>ff_portfolios25!J121-ff_factors!$E121</f>
        <v>-5.2576000000000005E-2</v>
      </c>
      <c r="K121" s="2">
        <f>ff_portfolios25!K121-ff_factors!$E121</f>
        <v>-7.900900000000001E-2</v>
      </c>
      <c r="L121" s="2">
        <f>ff_portfolios25!L121-ff_factors!$E121</f>
        <v>-9.1547000000000003E-2</v>
      </c>
      <c r="M121" s="2">
        <f>ff_portfolios25!M121-ff_factors!$E121</f>
        <v>-0.152142</v>
      </c>
      <c r="N121" s="2">
        <f>ff_portfolios25!N121-ff_factors!$E121</f>
        <v>-6.9824999999999998E-2</v>
      </c>
      <c r="O121" s="2">
        <f>ff_portfolios25!O121-ff_factors!$E121</f>
        <v>-3.7530000000000001E-2</v>
      </c>
      <c r="P121" s="2">
        <f>ff_portfolios25!P121-ff_factors!$E121</f>
        <v>-5.1311000000000002E-2</v>
      </c>
      <c r="Q121" s="2">
        <f>ff_portfolios25!Q121-ff_factors!$E121</f>
        <v>-6.7268000000000008E-2</v>
      </c>
      <c r="R121" s="2">
        <f>ff_portfolios25!R121-ff_factors!$E121</f>
        <v>-8.3196000000000006E-2</v>
      </c>
      <c r="S121" s="2">
        <f>ff_portfolios25!S121-ff_factors!$E121</f>
        <v>-3.6315E-2</v>
      </c>
      <c r="T121" s="2">
        <f>ff_portfolios25!T121-ff_factors!$E121</f>
        <v>-5.3641000000000001E-2</v>
      </c>
      <c r="U121" s="2">
        <f>ff_portfolios25!U121-ff_factors!$E121</f>
        <v>-6.54E-2</v>
      </c>
      <c r="V121" s="2">
        <f>ff_portfolios25!V121-ff_factors!$E121</f>
        <v>-5.994E-2</v>
      </c>
      <c r="W121" s="2">
        <f>ff_portfolios25!W121-ff_factors!$E121</f>
        <v>-9.0109000000000009E-2</v>
      </c>
      <c r="X121" s="2">
        <f>ff_portfolios25!X121-ff_factors!$E121</f>
        <v>-3.3971000000000001E-2</v>
      </c>
      <c r="Y121" s="2">
        <f>ff_portfolios25!Y121-ff_factors!$E121</f>
        <v>-4.9795000000000006E-2</v>
      </c>
      <c r="Z121" s="2">
        <f>ff_portfolios25!Z121-ff_factors!$E121</f>
        <v>-4.2934E-2</v>
      </c>
      <c r="AA121" s="2">
        <f>ff_portfolios25!AA121-ff_factors!$E121</f>
        <v>-9.5046000000000005E-2</v>
      </c>
      <c r="AB121" s="2">
        <f>ff_portfolios25!AB121-ff_factors!$E121</f>
        <v>-6.8733000000000002E-2</v>
      </c>
    </row>
    <row r="122" spans="1:28" x14ac:dyDescent="0.2">
      <c r="A122">
        <v>19420131</v>
      </c>
      <c r="B122">
        <v>1942</v>
      </c>
      <c r="C122">
        <v>1</v>
      </c>
      <c r="D122" s="2">
        <f>ff_portfolios25!D122-ff_factors!$E122</f>
        <v>0.34560800000000003</v>
      </c>
      <c r="E122" s="2">
        <f>ff_portfolios25!E122-ff_factors!$E122</f>
        <v>0.12971299999999999</v>
      </c>
      <c r="F122" s="2">
        <f>ff_portfolios25!F122-ff_factors!$E122</f>
        <v>0.16036699999999998</v>
      </c>
      <c r="G122" s="2">
        <f>ff_portfolios25!G122-ff_factors!$E122</f>
        <v>0.197549</v>
      </c>
      <c r="H122" s="2">
        <f>ff_portfolios25!H122-ff_factors!$E122</f>
        <v>0.25604700000000002</v>
      </c>
      <c r="I122" s="2">
        <f>ff_portfolios25!I122-ff_factors!$E122</f>
        <v>9.0602999999999989E-2</v>
      </c>
      <c r="J122" s="2">
        <f>ff_portfolios25!J122-ff_factors!$E122</f>
        <v>7.0211999999999997E-2</v>
      </c>
      <c r="K122" s="2">
        <f>ff_portfolios25!K122-ff_factors!$E122</f>
        <v>0.10020999999999999</v>
      </c>
      <c r="L122" s="2">
        <f>ff_portfolios25!L122-ff_factors!$E122</f>
        <v>0.11529099999999999</v>
      </c>
      <c r="M122" s="2">
        <f>ff_portfolios25!M122-ff_factors!$E122</f>
        <v>0.168042</v>
      </c>
      <c r="N122" s="2">
        <f>ff_portfolios25!N122-ff_factors!$E122</f>
        <v>3.9202000000000001E-2</v>
      </c>
      <c r="O122" s="2">
        <f>ff_portfolios25!O122-ff_factors!$E122</f>
        <v>3.1167E-2</v>
      </c>
      <c r="P122" s="2">
        <f>ff_portfolios25!P122-ff_factors!$E122</f>
        <v>4.9450000000000001E-2</v>
      </c>
      <c r="Q122" s="2">
        <f>ff_portfolios25!Q122-ff_factors!$E122</f>
        <v>7.2131999999999988E-2</v>
      </c>
      <c r="R122" s="2">
        <f>ff_portfolios25!R122-ff_factors!$E122</f>
        <v>0.13675899999999999</v>
      </c>
      <c r="S122" s="2">
        <f>ff_portfolios25!S122-ff_factors!$E122</f>
        <v>-2.4528999999999999E-2</v>
      </c>
      <c r="T122" s="2">
        <f>ff_portfolios25!T122-ff_factors!$E122</f>
        <v>4.2508999999999998E-2</v>
      </c>
      <c r="U122" s="2">
        <f>ff_portfolios25!U122-ff_factors!$E122</f>
        <v>6.2750999999999987E-2</v>
      </c>
      <c r="V122" s="2">
        <f>ff_portfolios25!V122-ff_factors!$E122</f>
        <v>6.3973999999999989E-2</v>
      </c>
      <c r="W122" s="2">
        <f>ff_portfolios25!W122-ff_factors!$E122</f>
        <v>8.9880999999999989E-2</v>
      </c>
      <c r="X122" s="2">
        <f>ff_portfolios25!X122-ff_factors!$E122</f>
        <v>-3.015E-2</v>
      </c>
      <c r="Y122" s="2">
        <f>ff_portfolios25!Y122-ff_factors!$E122</f>
        <v>8.0399999999999992E-4</v>
      </c>
      <c r="Z122" s="2">
        <f>ff_portfolios25!Z122-ff_factors!$E122</f>
        <v>-4.1199999999999995E-3</v>
      </c>
      <c r="AA122" s="2">
        <f>ff_portfolios25!AA122-ff_factors!$E122</f>
        <v>6.8037E-2</v>
      </c>
      <c r="AB122" s="2">
        <f>ff_portfolios25!AB122-ff_factors!$E122</f>
        <v>0.13869899999999999</v>
      </c>
    </row>
    <row r="123" spans="1:28" x14ac:dyDescent="0.2">
      <c r="A123">
        <v>19420228</v>
      </c>
      <c r="B123">
        <v>1942</v>
      </c>
      <c r="C123">
        <v>2</v>
      </c>
      <c r="D123" s="2">
        <f>ff_portfolios25!D123-ff_factors!$E123</f>
        <v>-6.7796999999999996E-2</v>
      </c>
      <c r="E123" s="2">
        <f>ff_portfolios25!E123-ff_factors!$E123</f>
        <v>-8.6266999999999996E-2</v>
      </c>
      <c r="F123" s="2">
        <f>ff_portfolios25!F123-ff_factors!$E123</f>
        <v>-1.6021000000000001E-2</v>
      </c>
      <c r="G123" s="2">
        <f>ff_portfolios25!G123-ff_factors!$E123</f>
        <v>6.2290000000000002E-3</v>
      </c>
      <c r="H123" s="2">
        <f>ff_portfolios25!H123-ff_factors!$E123</f>
        <v>-2.5488999999999998E-2</v>
      </c>
      <c r="I123" s="2">
        <f>ff_portfolios25!I123-ff_factors!$E123</f>
        <v>2.0590000000000001E-3</v>
      </c>
      <c r="J123" s="2">
        <f>ff_portfolios25!J123-ff_factors!$E123</f>
        <v>-1.2402E-2</v>
      </c>
      <c r="K123" s="2">
        <f>ff_portfolios25!K123-ff_factors!$E123</f>
        <v>-1.5528E-2</v>
      </c>
      <c r="L123" s="2">
        <f>ff_portfolios25!L123-ff_factors!$E123</f>
        <v>-1.7814E-2</v>
      </c>
      <c r="M123" s="2">
        <f>ff_portfolios25!M123-ff_factors!$E123</f>
        <v>-1.5689999999999999E-2</v>
      </c>
      <c r="N123" s="2">
        <f>ff_portfolios25!N123-ff_factors!$E123</f>
        <v>-9.9759999999999988E-3</v>
      </c>
      <c r="O123" s="2">
        <f>ff_portfolios25!O123-ff_factors!$E123</f>
        <v>-1.4962999999999999E-2</v>
      </c>
      <c r="P123" s="2">
        <f>ff_portfolios25!P123-ff_factors!$E123</f>
        <v>-1.1155999999999999E-2</v>
      </c>
      <c r="Q123" s="2">
        <f>ff_portfolios25!Q123-ff_factors!$E123</f>
        <v>-1.5103E-2</v>
      </c>
      <c r="R123" s="2">
        <f>ff_portfolios25!R123-ff_factors!$E123</f>
        <v>-2.86E-2</v>
      </c>
      <c r="S123" s="2">
        <f>ff_portfolios25!S123-ff_factors!$E123</f>
        <v>-1.7714000000000001E-2</v>
      </c>
      <c r="T123" s="2">
        <f>ff_portfolios25!T123-ff_factors!$E123</f>
        <v>-1.7727E-2</v>
      </c>
      <c r="U123" s="2">
        <f>ff_portfolios25!U123-ff_factors!$E123</f>
        <v>-2.9159999999999998E-2</v>
      </c>
      <c r="V123" s="2">
        <f>ff_portfolios25!V123-ff_factors!$E123</f>
        <v>-2.155E-2</v>
      </c>
      <c r="W123" s="2">
        <f>ff_portfolios25!W123-ff_factors!$E123</f>
        <v>3.3640000000000002E-3</v>
      </c>
      <c r="X123" s="2">
        <f>ff_portfolios25!X123-ff_factors!$E123</f>
        <v>-2.6192E-2</v>
      </c>
      <c r="Y123" s="2">
        <f>ff_portfolios25!Y123-ff_factors!$E123</f>
        <v>-2.0461E-2</v>
      </c>
      <c r="Z123" s="2">
        <f>ff_portfolios25!Z123-ff_factors!$E123</f>
        <v>-3.4230000000000003E-2</v>
      </c>
      <c r="AA123" s="2">
        <f>ff_portfolios25!AA123-ff_factors!$E123</f>
        <v>-2.4458000000000001E-2</v>
      </c>
      <c r="AB123" s="2">
        <f>ff_portfolios25!AB123-ff_factors!$E123</f>
        <v>-1.1013999999999999E-2</v>
      </c>
    </row>
    <row r="124" spans="1:28" x14ac:dyDescent="0.2">
      <c r="A124">
        <v>19420331</v>
      </c>
      <c r="B124">
        <v>1942</v>
      </c>
      <c r="C124">
        <v>3</v>
      </c>
      <c r="D124" s="2">
        <f>ff_portfolios25!D124-ff_factors!$E124</f>
        <v>-7.7232000000000009E-2</v>
      </c>
      <c r="E124" s="2">
        <f>ff_portfolios25!E124-ff_factors!$E124</f>
        <v>-7.1447999999999998E-2</v>
      </c>
      <c r="F124" s="2">
        <f>ff_portfolios25!F124-ff_factors!$E124</f>
        <v>-6.2064000000000001E-2</v>
      </c>
      <c r="G124" s="2">
        <f>ff_portfolios25!G124-ff_factors!$E124</f>
        <v>-3.751E-3</v>
      </c>
      <c r="H124" s="2">
        <f>ff_portfolios25!H124-ff_factors!$E124</f>
        <v>-6.5439999999999998E-2</v>
      </c>
      <c r="I124" s="2">
        <f>ff_portfolios25!I124-ff_factors!$E124</f>
        <v>-4.8437000000000001E-2</v>
      </c>
      <c r="J124" s="2">
        <f>ff_portfolios25!J124-ff_factors!$E124</f>
        <v>1.4743000000000001E-2</v>
      </c>
      <c r="K124" s="2">
        <f>ff_portfolios25!K124-ff_factors!$E124</f>
        <v>-2.9111999999999999E-2</v>
      </c>
      <c r="L124" s="2">
        <f>ff_portfolios25!L124-ff_factors!$E124</f>
        <v>-5.8585000000000005E-2</v>
      </c>
      <c r="M124" s="2">
        <f>ff_portfolios25!M124-ff_factors!$E124</f>
        <v>-5.6979000000000002E-2</v>
      </c>
      <c r="N124" s="2">
        <f>ff_portfolios25!N124-ff_factors!$E124</f>
        <v>-2.5575000000000001E-2</v>
      </c>
      <c r="O124" s="2">
        <f>ff_portfolios25!O124-ff_factors!$E124</f>
        <v>-1.8298999999999999E-2</v>
      </c>
      <c r="P124" s="2">
        <f>ff_portfolios25!P124-ff_factors!$E124</f>
        <v>-6.4219999999999999E-2</v>
      </c>
      <c r="Q124" s="2">
        <f>ff_portfolios25!Q124-ff_factors!$E124</f>
        <v>-4.7491000000000005E-2</v>
      </c>
      <c r="R124" s="2">
        <f>ff_portfolios25!R124-ff_factors!$E124</f>
        <v>-7.4538000000000007E-2</v>
      </c>
      <c r="S124" s="2">
        <f>ff_portfolios25!S124-ff_factors!$E124</f>
        <v>-5.3025000000000003E-2</v>
      </c>
      <c r="T124" s="2">
        <f>ff_portfolios25!T124-ff_factors!$E124</f>
        <v>-5.9576000000000004E-2</v>
      </c>
      <c r="U124" s="2">
        <f>ff_portfolios25!U124-ff_factors!$E124</f>
        <v>-6.2290000000000005E-2</v>
      </c>
      <c r="V124" s="2">
        <f>ff_portfolios25!V124-ff_factors!$E124</f>
        <v>-4.1455000000000006E-2</v>
      </c>
      <c r="W124" s="2">
        <f>ff_portfolios25!W124-ff_factors!$E124</f>
        <v>-4.8983000000000006E-2</v>
      </c>
      <c r="X124" s="2">
        <f>ff_portfolios25!X124-ff_factors!$E124</f>
        <v>-5.5819000000000001E-2</v>
      </c>
      <c r="Y124" s="2">
        <f>ff_portfolios25!Y124-ff_factors!$E124</f>
        <v>-7.2645000000000001E-2</v>
      </c>
      <c r="Z124" s="2">
        <f>ff_portfolios25!Z124-ff_factors!$E124</f>
        <v>-8.3537E-2</v>
      </c>
      <c r="AA124" s="2">
        <f>ff_portfolios25!AA124-ff_factors!$E124</f>
        <v>-6.336E-2</v>
      </c>
      <c r="AB124" s="2">
        <f>ff_portfolios25!AB124-ff_factors!$E124</f>
        <v>-7.1959999999999996E-2</v>
      </c>
    </row>
    <row r="125" spans="1:28" x14ac:dyDescent="0.2">
      <c r="A125">
        <v>19420430</v>
      </c>
      <c r="B125">
        <v>1942</v>
      </c>
      <c r="C125">
        <v>4</v>
      </c>
      <c r="D125" s="2">
        <f>ff_portfolios25!D125-ff_factors!$E125</f>
        <v>-5.1324000000000002E-2</v>
      </c>
      <c r="E125" s="2">
        <f>ff_portfolios25!E125-ff_factors!$E125</f>
        <v>-3.9876000000000002E-2</v>
      </c>
      <c r="F125" s="2">
        <f>ff_portfolios25!F125-ff_factors!$E125</f>
        <v>-4.0987000000000003E-2</v>
      </c>
      <c r="G125" s="2">
        <f>ff_portfolios25!G125-ff_factors!$E125</f>
        <v>-4.5181000000000006E-2</v>
      </c>
      <c r="H125" s="2">
        <f>ff_portfolios25!H125-ff_factors!$E125</f>
        <v>-4.7739000000000004E-2</v>
      </c>
      <c r="I125" s="2">
        <f>ff_portfolios25!I125-ff_factors!$E125</f>
        <v>-6.5946000000000005E-2</v>
      </c>
      <c r="J125" s="2">
        <f>ff_portfolios25!J125-ff_factors!$E125</f>
        <v>-5.747E-2</v>
      </c>
      <c r="K125" s="2">
        <f>ff_portfolios25!K125-ff_factors!$E125</f>
        <v>-4.6471999999999999E-2</v>
      </c>
      <c r="L125" s="2">
        <f>ff_portfolios25!L125-ff_factors!$E125</f>
        <v>-3.4692000000000001E-2</v>
      </c>
      <c r="M125" s="2">
        <f>ff_portfolios25!M125-ff_factors!$E125</f>
        <v>-4.7837000000000005E-2</v>
      </c>
      <c r="N125" s="2">
        <f>ff_portfolios25!N125-ff_factors!$E125</f>
        <v>-5.2945000000000006E-2</v>
      </c>
      <c r="O125" s="2">
        <f>ff_portfolios25!O125-ff_factors!$E125</f>
        <v>-4.7129000000000004E-2</v>
      </c>
      <c r="P125" s="2">
        <f>ff_portfolios25!P125-ff_factors!$E125</f>
        <v>-4.6400000000000004E-2</v>
      </c>
      <c r="Q125" s="2">
        <f>ff_portfolios25!Q125-ff_factors!$E125</f>
        <v>-5.3143000000000003E-2</v>
      </c>
      <c r="R125" s="2">
        <f>ff_portfolios25!R125-ff_factors!$E125</f>
        <v>-4.1328000000000004E-2</v>
      </c>
      <c r="S125" s="2">
        <f>ff_portfolios25!S125-ff_factors!$E125</f>
        <v>-7.1487000000000009E-2</v>
      </c>
      <c r="T125" s="2">
        <f>ff_portfolios25!T125-ff_factors!$E125</f>
        <v>-5.8729000000000003E-2</v>
      </c>
      <c r="U125" s="2">
        <f>ff_portfolios25!U125-ff_factors!$E125</f>
        <v>-4.5768000000000003E-2</v>
      </c>
      <c r="V125" s="2">
        <f>ff_portfolios25!V125-ff_factors!$E125</f>
        <v>-5.7353000000000001E-2</v>
      </c>
      <c r="W125" s="2">
        <f>ff_portfolios25!W125-ff_factors!$E125</f>
        <v>-3.5264000000000004E-2</v>
      </c>
      <c r="X125" s="2">
        <f>ff_portfolios25!X125-ff_factors!$E125</f>
        <v>-3.3495000000000004E-2</v>
      </c>
      <c r="Y125" s="2">
        <f>ff_portfolios25!Y125-ff_factors!$E125</f>
        <v>-6.4921000000000006E-2</v>
      </c>
      <c r="Z125" s="2">
        <f>ff_portfolios25!Z125-ff_factors!$E125</f>
        <v>-3.5731000000000006E-2</v>
      </c>
      <c r="AA125" s="2">
        <f>ff_portfolios25!AA125-ff_factors!$E125</f>
        <v>-3.1855000000000001E-2</v>
      </c>
      <c r="AB125" s="2">
        <f>ff_portfolios25!AB125-ff_factors!$E125</f>
        <v>-1.7440000000000001E-3</v>
      </c>
    </row>
    <row r="126" spans="1:28" x14ac:dyDescent="0.2">
      <c r="A126">
        <v>19420529</v>
      </c>
      <c r="B126">
        <v>1942</v>
      </c>
      <c r="C126">
        <v>5</v>
      </c>
      <c r="D126" s="2">
        <f>ff_portfolios25!D126-ff_factors!$E126</f>
        <v>-5.9951999999999998E-2</v>
      </c>
      <c r="E126" s="2">
        <f>ff_portfolios25!E126-ff_factors!$E126</f>
        <v>5.0330000000000001E-3</v>
      </c>
      <c r="F126" s="2">
        <f>ff_portfolios25!F126-ff_factors!$E126</f>
        <v>1.7405999999999998E-2</v>
      </c>
      <c r="G126" s="2">
        <f>ff_portfolios25!G126-ff_factors!$E126</f>
        <v>-2.6921E-2</v>
      </c>
      <c r="H126" s="2">
        <f>ff_portfolios25!H126-ff_factors!$E126</f>
        <v>2.774E-3</v>
      </c>
      <c r="I126" s="2">
        <f>ff_portfolios25!I126-ff_factors!$E126</f>
        <v>-2.601E-3</v>
      </c>
      <c r="J126" s="2">
        <f>ff_portfolios25!J126-ff_factors!$E126</f>
        <v>5.7879999999999997E-3</v>
      </c>
      <c r="K126" s="2">
        <f>ff_portfolios25!K126-ff_factors!$E126</f>
        <v>8.1630000000000001E-3</v>
      </c>
      <c r="L126" s="2">
        <f>ff_portfolios25!L126-ff_factors!$E126</f>
        <v>4.7882999999999995E-2</v>
      </c>
      <c r="M126" s="2">
        <f>ff_portfolios25!M126-ff_factors!$E126</f>
        <v>-6.0289999999999996E-3</v>
      </c>
      <c r="N126" s="2">
        <f>ff_portfolios25!N126-ff_factors!$E126</f>
        <v>5.0629999999999998E-3</v>
      </c>
      <c r="O126" s="2">
        <f>ff_portfolios25!O126-ff_factors!$E126</f>
        <v>2.2460999999999998E-2</v>
      </c>
      <c r="P126" s="2">
        <f>ff_portfolios25!P126-ff_factors!$E126</f>
        <v>2.3049E-2</v>
      </c>
      <c r="Q126" s="2">
        <f>ff_portfolios25!Q126-ff_factors!$E126</f>
        <v>4.3548999999999997E-2</v>
      </c>
      <c r="R126" s="2">
        <f>ff_portfolios25!R126-ff_factors!$E126</f>
        <v>-7.3439999999999998E-3</v>
      </c>
      <c r="S126" s="2">
        <f>ff_portfolios25!S126-ff_factors!$E126</f>
        <v>4.4426E-2</v>
      </c>
      <c r="T126" s="2">
        <f>ff_portfolios25!T126-ff_factors!$E126</f>
        <v>4.5649999999999996E-2</v>
      </c>
      <c r="U126" s="2">
        <f>ff_portfolios25!U126-ff_factors!$E126</f>
        <v>4.5433999999999995E-2</v>
      </c>
      <c r="V126" s="2">
        <f>ff_portfolios25!V126-ff_factors!$E126</f>
        <v>1.7602E-2</v>
      </c>
      <c r="W126" s="2">
        <f>ff_portfolios25!W126-ff_factors!$E126</f>
        <v>4.2507999999999997E-2</v>
      </c>
      <c r="X126" s="2">
        <f>ff_portfolios25!X126-ff_factors!$E126</f>
        <v>8.2127000000000006E-2</v>
      </c>
      <c r="Y126" s="2">
        <f>ff_portfolios25!Y126-ff_factors!$E126</f>
        <v>6.2371000000000003E-2</v>
      </c>
      <c r="Z126" s="2">
        <f>ff_portfolios25!Z126-ff_factors!$E126</f>
        <v>5.3615999999999997E-2</v>
      </c>
      <c r="AA126" s="2">
        <f>ff_portfolios25!AA126-ff_factors!$E126</f>
        <v>2.1519999999999997E-2</v>
      </c>
      <c r="AB126" s="2">
        <f>ff_portfolios25!AB126-ff_factors!$E126</f>
        <v>-4.6872000000000004E-2</v>
      </c>
    </row>
    <row r="127" spans="1:28" x14ac:dyDescent="0.2">
      <c r="A127">
        <v>19420630</v>
      </c>
      <c r="B127">
        <v>1942</v>
      </c>
      <c r="C127">
        <v>6</v>
      </c>
      <c r="D127" s="2">
        <f>ff_portfolios25!D127-ff_factors!$E127</f>
        <v>3.1342000000000002E-2</v>
      </c>
      <c r="E127" s="2">
        <f>ff_portfolios25!E127-ff_factors!$E127</f>
        <v>7.234E-3</v>
      </c>
      <c r="F127" s="2">
        <f>ff_portfolios25!F127-ff_factors!$E127</f>
        <v>-1.4029E-2</v>
      </c>
      <c r="G127" s="2">
        <f>ff_portfolios25!G127-ff_factors!$E127</f>
        <v>3.8469000000000003E-2</v>
      </c>
      <c r="H127" s="2">
        <f>ff_portfolios25!H127-ff_factors!$E127</f>
        <v>3.5638000000000003E-2</v>
      </c>
      <c r="I127" s="2">
        <f>ff_portfolios25!I127-ff_factors!$E127</f>
        <v>1.7100000000000001E-2</v>
      </c>
      <c r="J127" s="2">
        <f>ff_portfolios25!J127-ff_factors!$E127</f>
        <v>3.9026999999999999E-2</v>
      </c>
      <c r="K127" s="2">
        <f>ff_portfolios25!K127-ff_factors!$E127</f>
        <v>2.1649999999999998E-3</v>
      </c>
      <c r="L127" s="2">
        <f>ff_portfolios25!L127-ff_factors!$E127</f>
        <v>2.3033000000000001E-2</v>
      </c>
      <c r="M127" s="2">
        <f>ff_portfolios25!M127-ff_factors!$E127</f>
        <v>8.7419999999999998E-3</v>
      </c>
      <c r="N127" s="2">
        <f>ff_portfolios25!N127-ff_factors!$E127</f>
        <v>2.4857000000000001E-2</v>
      </c>
      <c r="O127" s="2">
        <f>ff_portfolios25!O127-ff_factors!$E127</f>
        <v>1.7242E-2</v>
      </c>
      <c r="P127" s="2">
        <f>ff_portfolios25!P127-ff_factors!$E127</f>
        <v>7.9319999999999998E-3</v>
      </c>
      <c r="Q127" s="2">
        <f>ff_portfolios25!Q127-ff_factors!$E127</f>
        <v>1.9306E-2</v>
      </c>
      <c r="R127" s="2">
        <f>ff_portfolios25!R127-ff_factors!$E127</f>
        <v>1.3719E-2</v>
      </c>
      <c r="S127" s="2">
        <f>ff_portfolios25!S127-ff_factors!$E127</f>
        <v>3.8635000000000003E-2</v>
      </c>
      <c r="T127" s="2">
        <f>ff_portfolios25!T127-ff_factors!$E127</f>
        <v>2.7116000000000001E-2</v>
      </c>
      <c r="U127" s="2">
        <f>ff_portfolios25!U127-ff_factors!$E127</f>
        <v>1.9820000000000001E-2</v>
      </c>
      <c r="V127" s="2">
        <f>ff_portfolios25!V127-ff_factors!$E127</f>
        <v>1.7778000000000002E-2</v>
      </c>
      <c r="W127" s="2">
        <f>ff_portfolios25!W127-ff_factors!$E127</f>
        <v>-6.0359999999999997E-3</v>
      </c>
      <c r="X127" s="2">
        <f>ff_portfolios25!X127-ff_factors!$E127</f>
        <v>4.4503000000000001E-2</v>
      </c>
      <c r="Y127" s="2">
        <f>ff_portfolios25!Y127-ff_factors!$E127</f>
        <v>8.5449999999999988E-3</v>
      </c>
      <c r="Z127" s="2">
        <f>ff_portfolios25!Z127-ff_factors!$E127</f>
        <v>2.0438000000000001E-2</v>
      </c>
      <c r="AA127" s="2">
        <f>ff_portfolios25!AA127-ff_factors!$E127</f>
        <v>3.0315000000000002E-2</v>
      </c>
      <c r="AB127" s="2">
        <f>ff_portfolios25!AB127-ff_factors!$E127</f>
        <v>5.6875000000000002E-2</v>
      </c>
    </row>
    <row r="128" spans="1:28" x14ac:dyDescent="0.2">
      <c r="A128">
        <v>19420731</v>
      </c>
      <c r="B128">
        <v>1942</v>
      </c>
      <c r="C128">
        <v>7</v>
      </c>
      <c r="D128" s="2">
        <f>ff_portfolios25!D128-ff_factors!$E128</f>
        <v>6.0467E-2</v>
      </c>
      <c r="E128" s="2">
        <f>ff_portfolios25!E128-ff_factors!$E128</f>
        <v>5.7166999999999996E-2</v>
      </c>
      <c r="F128" s="2">
        <f>ff_portfolios25!F128-ff_factors!$E128</f>
        <v>7.8702000000000008E-2</v>
      </c>
      <c r="G128" s="2">
        <f>ff_portfolios25!G128-ff_factors!$E128</f>
        <v>2.3007E-2</v>
      </c>
      <c r="H128" s="2">
        <f>ff_portfolios25!H128-ff_factors!$E128</f>
        <v>7.7384000000000008E-2</v>
      </c>
      <c r="I128" s="2">
        <f>ff_portfolios25!I128-ff_factors!$E128</f>
        <v>3.5654999999999999E-2</v>
      </c>
      <c r="J128" s="2">
        <f>ff_portfolios25!J128-ff_factors!$E128</f>
        <v>3.0292999999999997E-2</v>
      </c>
      <c r="K128" s="2">
        <f>ff_portfolios25!K128-ff_factors!$E128</f>
        <v>4.0982999999999999E-2</v>
      </c>
      <c r="L128" s="2">
        <f>ff_portfolios25!L128-ff_factors!$E128</f>
        <v>2.4438999999999999E-2</v>
      </c>
      <c r="M128" s="2">
        <f>ff_portfolios25!M128-ff_factors!$E128</f>
        <v>6.9565000000000002E-2</v>
      </c>
      <c r="N128" s="2">
        <f>ff_portfolios25!N128-ff_factors!$E128</f>
        <v>4.1047E-2</v>
      </c>
      <c r="O128" s="2">
        <f>ff_portfolios25!O128-ff_factors!$E128</f>
        <v>4.5298999999999999E-2</v>
      </c>
      <c r="P128" s="2">
        <f>ff_portfolios25!P128-ff_factors!$E128</f>
        <v>3.0220999999999998E-2</v>
      </c>
      <c r="Q128" s="2">
        <f>ff_portfolios25!Q128-ff_factors!$E128</f>
        <v>4.3903999999999999E-2</v>
      </c>
      <c r="R128" s="2">
        <f>ff_portfolios25!R128-ff_factors!$E128</f>
        <v>3.7047999999999998E-2</v>
      </c>
      <c r="S128" s="2">
        <f>ff_portfolios25!S128-ff_factors!$E128</f>
        <v>4.1140999999999997E-2</v>
      </c>
      <c r="T128" s="2">
        <f>ff_portfolios25!T128-ff_factors!$E128</f>
        <v>3.3316999999999999E-2</v>
      </c>
      <c r="U128" s="2">
        <f>ff_portfolios25!U128-ff_factors!$E128</f>
        <v>4.9985999999999996E-2</v>
      </c>
      <c r="V128" s="2">
        <f>ff_portfolios25!V128-ff_factors!$E128</f>
        <v>5.1223999999999999E-2</v>
      </c>
      <c r="W128" s="2">
        <f>ff_portfolios25!W128-ff_factors!$E128</f>
        <v>9.3143000000000004E-2</v>
      </c>
      <c r="X128" s="2">
        <f>ff_portfolios25!X128-ff_factors!$E128</f>
        <v>1.9331999999999998E-2</v>
      </c>
      <c r="Y128" s="2">
        <f>ff_portfolios25!Y128-ff_factors!$E128</f>
        <v>4.3417999999999998E-2</v>
      </c>
      <c r="Z128" s="2">
        <f>ff_portfolios25!Z128-ff_factors!$E128</f>
        <v>2.9833999999999999E-2</v>
      </c>
      <c r="AA128" s="2">
        <f>ff_portfolios25!AA128-ff_factors!$E128</f>
        <v>5.8677E-2</v>
      </c>
      <c r="AB128" s="2">
        <f>ff_portfolios25!AB128-ff_factors!$E128</f>
        <v>7.821800000000001E-2</v>
      </c>
    </row>
    <row r="129" spans="1:28" x14ac:dyDescent="0.2">
      <c r="A129">
        <v>19420831</v>
      </c>
      <c r="B129">
        <v>1942</v>
      </c>
      <c r="C129">
        <v>8</v>
      </c>
      <c r="D129" s="2">
        <f>ff_portfolios25!D129-ff_factors!$E129</f>
        <v>1.0616E-2</v>
      </c>
      <c r="E129" s="2">
        <f>ff_portfolios25!E129-ff_factors!$E129</f>
        <v>5.0488999999999999E-2</v>
      </c>
      <c r="F129" s="2">
        <f>ff_portfolios25!F129-ff_factors!$E129</f>
        <v>1.8141999999999998E-2</v>
      </c>
      <c r="G129" s="2">
        <f>ff_portfolios25!G129-ff_factors!$E129</f>
        <v>1.9258999999999998E-2</v>
      </c>
      <c r="H129" s="2">
        <f>ff_portfolios25!H129-ff_factors!$E129</f>
        <v>1.1254E-2</v>
      </c>
      <c r="I129" s="2">
        <f>ff_portfolios25!I129-ff_factors!$E129</f>
        <v>-1.3939999999999998E-3</v>
      </c>
      <c r="J129" s="2">
        <f>ff_portfolios25!J129-ff_factors!$E129</f>
        <v>2.9161999999999997E-2</v>
      </c>
      <c r="K129" s="2">
        <f>ff_portfolios25!K129-ff_factors!$E129</f>
        <v>3.6968999999999995E-2</v>
      </c>
      <c r="L129" s="2">
        <f>ff_portfolios25!L129-ff_factors!$E129</f>
        <v>3.1038999999999997E-2</v>
      </c>
      <c r="M129" s="2">
        <f>ff_portfolios25!M129-ff_factors!$E129</f>
        <v>2.3295999999999997E-2</v>
      </c>
      <c r="N129" s="2">
        <f>ff_portfolios25!N129-ff_factors!$E129</f>
        <v>5.8311000000000002E-2</v>
      </c>
      <c r="O129" s="2">
        <f>ff_portfolios25!O129-ff_factors!$E129</f>
        <v>2.8308E-2</v>
      </c>
      <c r="P129" s="2">
        <f>ff_portfolios25!P129-ff_factors!$E129</f>
        <v>8.3730000000000002E-3</v>
      </c>
      <c r="Q129" s="2">
        <f>ff_portfolios25!Q129-ff_factors!$E129</f>
        <v>2.0808999999999998E-2</v>
      </c>
      <c r="R129" s="2">
        <f>ff_portfolios25!R129-ff_factors!$E129</f>
        <v>3.9647000000000002E-2</v>
      </c>
      <c r="S129" s="2">
        <f>ff_portfolios25!S129-ff_factors!$E129</f>
        <v>2.9088999999999997E-2</v>
      </c>
      <c r="T129" s="2">
        <f>ff_portfolios25!T129-ff_factors!$E129</f>
        <v>1.4071999999999999E-2</v>
      </c>
      <c r="U129" s="2">
        <f>ff_portfolios25!U129-ff_factors!$E129</f>
        <v>2.2046E-2</v>
      </c>
      <c r="V129" s="2">
        <f>ff_portfolios25!V129-ff_factors!$E129</f>
        <v>1.1122E-2</v>
      </c>
      <c r="W129" s="2">
        <f>ff_portfolios25!W129-ff_factors!$E129</f>
        <v>2.7269999999999999E-2</v>
      </c>
      <c r="X129" s="2">
        <f>ff_portfolios25!X129-ff_factors!$E129</f>
        <v>1.1482000000000001E-2</v>
      </c>
      <c r="Y129" s="2">
        <f>ff_portfolios25!Y129-ff_factors!$E129</f>
        <v>1.9386999999999998E-2</v>
      </c>
      <c r="Z129" s="2">
        <f>ff_portfolios25!Z129-ff_factors!$E129</f>
        <v>1.1225000000000001E-2</v>
      </c>
      <c r="AA129" s="2">
        <f>ff_portfolios25!AA129-ff_factors!$E129</f>
        <v>4.0136999999999999E-2</v>
      </c>
      <c r="AB129" s="2">
        <f>ff_portfolios25!AB129-ff_factors!$E129</f>
        <v>5.4925000000000002E-2</v>
      </c>
    </row>
    <row r="130" spans="1:28" x14ac:dyDescent="0.2">
      <c r="A130">
        <v>19420930</v>
      </c>
      <c r="B130">
        <v>1942</v>
      </c>
      <c r="C130">
        <v>9</v>
      </c>
      <c r="D130" s="2">
        <f>ff_portfolios25!D130-ff_factors!$E130</f>
        <v>6.8162E-2</v>
      </c>
      <c r="E130" s="2">
        <f>ff_portfolios25!E130-ff_factors!$E130</f>
        <v>8.7462999999999999E-2</v>
      </c>
      <c r="F130" s="2">
        <f>ff_portfolios25!F130-ff_factors!$E130</f>
        <v>1.5994999999999999E-2</v>
      </c>
      <c r="G130" s="2">
        <f>ff_portfolios25!G130-ff_factors!$E130</f>
        <v>8.157600000000001E-2</v>
      </c>
      <c r="H130" s="2">
        <f>ff_portfolios25!H130-ff_factors!$E130</f>
        <v>9.0401000000000009E-2</v>
      </c>
      <c r="I130" s="2">
        <f>ff_portfolios25!I130-ff_factors!$E130</f>
        <v>4.8812999999999995E-2</v>
      </c>
      <c r="J130" s="2">
        <f>ff_portfolios25!J130-ff_factors!$E130</f>
        <v>1.8466999999999997E-2</v>
      </c>
      <c r="K130" s="2">
        <f>ff_portfolios25!K130-ff_factors!$E130</f>
        <v>4.7507000000000001E-2</v>
      </c>
      <c r="L130" s="2">
        <f>ff_portfolios25!L130-ff_factors!$E130</f>
        <v>4.4358999999999996E-2</v>
      </c>
      <c r="M130" s="2">
        <f>ff_portfolios25!M130-ff_factors!$E130</f>
        <v>3.2488999999999997E-2</v>
      </c>
      <c r="N130" s="2">
        <f>ff_portfolios25!N130-ff_factors!$E130</f>
        <v>1.3316E-2</v>
      </c>
      <c r="O130" s="2">
        <f>ff_portfolios25!O130-ff_factors!$E130</f>
        <v>1.9920999999999998E-2</v>
      </c>
      <c r="P130" s="2">
        <f>ff_portfolios25!P130-ff_factors!$E130</f>
        <v>1.4147E-2</v>
      </c>
      <c r="Q130" s="2">
        <f>ff_portfolios25!Q130-ff_factors!$E130</f>
        <v>3.8614999999999997E-2</v>
      </c>
      <c r="R130" s="2">
        <f>ff_portfolios25!R130-ff_factors!$E130</f>
        <v>3.7525999999999997E-2</v>
      </c>
      <c r="S130" s="2">
        <f>ff_portfolios25!S130-ff_factors!$E130</f>
        <v>2.4999999999999998E-2</v>
      </c>
      <c r="T130" s="2">
        <f>ff_portfolios25!T130-ff_factors!$E130</f>
        <v>3.2299999999999995E-2</v>
      </c>
      <c r="U130" s="2">
        <f>ff_portfolios25!U130-ff_factors!$E130</f>
        <v>3.0594E-2</v>
      </c>
      <c r="V130" s="2">
        <f>ff_portfolios25!V130-ff_factors!$E130</f>
        <v>2.4105999999999999E-2</v>
      </c>
      <c r="W130" s="2">
        <f>ff_portfolios25!W130-ff_factors!$E130</f>
        <v>6.8919000000000008E-2</v>
      </c>
      <c r="X130" s="2">
        <f>ff_portfolios25!X130-ff_factors!$E130</f>
        <v>2.9475999999999999E-2</v>
      </c>
      <c r="Y130" s="2">
        <f>ff_portfolios25!Y130-ff_factors!$E130</f>
        <v>2.6571999999999998E-2</v>
      </c>
      <c r="Z130" s="2">
        <f>ff_portfolios25!Z130-ff_factors!$E130</f>
        <v>1.4382000000000001E-2</v>
      </c>
      <c r="AA130" s="2">
        <f>ff_portfolios25!AA130-ff_factors!$E130</f>
        <v>2.2313E-2</v>
      </c>
      <c r="AB130" s="2">
        <f>ff_portfolios25!AB130-ff_factors!$E130</f>
        <v>5.6390999999999997E-2</v>
      </c>
    </row>
    <row r="131" spans="1:28" x14ac:dyDescent="0.2">
      <c r="A131">
        <v>19421031</v>
      </c>
      <c r="B131">
        <v>1942</v>
      </c>
      <c r="C131">
        <v>10</v>
      </c>
      <c r="D131" s="2">
        <f>ff_portfolios25!D131-ff_factors!$E131</f>
        <v>1.4352E-2</v>
      </c>
      <c r="E131" s="2">
        <f>ff_portfolios25!E131-ff_factors!$E131</f>
        <v>0.115868</v>
      </c>
      <c r="F131" s="2">
        <f>ff_portfolios25!F131-ff_factors!$E131</f>
        <v>0.16073400000000002</v>
      </c>
      <c r="G131" s="2">
        <f>ff_portfolios25!G131-ff_factors!$E131</f>
        <v>9.0972000000000011E-2</v>
      </c>
      <c r="H131" s="2">
        <f>ff_portfolios25!H131-ff_factors!$E131</f>
        <v>0.11983500000000001</v>
      </c>
      <c r="I131" s="2">
        <f>ff_portfolios25!I131-ff_factors!$E131</f>
        <v>0.105327</v>
      </c>
      <c r="J131" s="2">
        <f>ff_portfolios25!J131-ff_factors!$E131</f>
        <v>7.8393000000000004E-2</v>
      </c>
      <c r="K131" s="2">
        <f>ff_portfolios25!K131-ff_factors!$E131</f>
        <v>6.8511000000000002E-2</v>
      </c>
      <c r="L131" s="2">
        <f>ff_portfolios25!L131-ff_factors!$E131</f>
        <v>0.10258700000000001</v>
      </c>
      <c r="M131" s="2">
        <f>ff_portfolios25!M131-ff_factors!$E131</f>
        <v>0.19537100000000002</v>
      </c>
      <c r="N131" s="2">
        <f>ff_portfolios25!N131-ff_factors!$E131</f>
        <v>0.11315500000000001</v>
      </c>
      <c r="O131" s="2">
        <f>ff_portfolios25!O131-ff_factors!$E131</f>
        <v>6.2276000000000005E-2</v>
      </c>
      <c r="P131" s="2">
        <f>ff_portfolios25!P131-ff_factors!$E131</f>
        <v>9.3562000000000006E-2</v>
      </c>
      <c r="Q131" s="2">
        <f>ff_portfolios25!Q131-ff_factors!$E131</f>
        <v>8.7618000000000001E-2</v>
      </c>
      <c r="R131" s="2">
        <f>ff_portfolios25!R131-ff_factors!$E131</f>
        <v>0.14154700000000001</v>
      </c>
      <c r="S131" s="2">
        <f>ff_portfolios25!S131-ff_factors!$E131</f>
        <v>7.209900000000001E-2</v>
      </c>
      <c r="T131" s="2">
        <f>ff_portfolios25!T131-ff_factors!$E131</f>
        <v>7.3147000000000004E-2</v>
      </c>
      <c r="U131" s="2">
        <f>ff_portfolios25!U131-ff_factors!$E131</f>
        <v>6.3936000000000007E-2</v>
      </c>
      <c r="V131" s="2">
        <f>ff_portfolios25!V131-ff_factors!$E131</f>
        <v>0.10356800000000001</v>
      </c>
      <c r="W131" s="2">
        <f>ff_portfolios25!W131-ff_factors!$E131</f>
        <v>0.13977500000000001</v>
      </c>
      <c r="X131" s="2">
        <f>ff_portfolios25!X131-ff_factors!$E131</f>
        <v>4.9445999999999997E-2</v>
      </c>
      <c r="Y131" s="2">
        <f>ff_portfolios25!Y131-ff_factors!$E131</f>
        <v>5.3343000000000002E-2</v>
      </c>
      <c r="Z131" s="2">
        <f>ff_portfolios25!Z131-ff_factors!$E131</f>
        <v>9.8427000000000001E-2</v>
      </c>
      <c r="AA131" s="2">
        <f>ff_portfolios25!AA131-ff_factors!$E131</f>
        <v>0.10562100000000001</v>
      </c>
      <c r="AB131" s="2">
        <f>ff_portfolios25!AB131-ff_factors!$E131</f>
        <v>0.13352700000000001</v>
      </c>
    </row>
    <row r="132" spans="1:28" x14ac:dyDescent="0.2">
      <c r="A132">
        <v>19421130</v>
      </c>
      <c r="B132">
        <v>1942</v>
      </c>
      <c r="C132">
        <v>11</v>
      </c>
      <c r="D132" s="2">
        <f>ff_portfolios25!D132-ff_factors!$E132</f>
        <v>8.6065000000000003E-2</v>
      </c>
      <c r="E132" s="2">
        <f>ff_portfolios25!E132-ff_factors!$E132</f>
        <v>-1.5115999999999999E-2</v>
      </c>
      <c r="F132" s="2">
        <f>ff_portfolios25!F132-ff_factors!$E132</f>
        <v>-7.1795999999999999E-2</v>
      </c>
      <c r="G132" s="2">
        <f>ff_portfolios25!G132-ff_factors!$E132</f>
        <v>-1.1306999999999999E-2</v>
      </c>
      <c r="H132" s="2">
        <f>ff_portfolios25!H132-ff_factors!$E132</f>
        <v>-6.2447000000000003E-2</v>
      </c>
      <c r="I132" s="2">
        <f>ff_portfolios25!I132-ff_factors!$E132</f>
        <v>4.1229999999999999E-3</v>
      </c>
      <c r="J132" s="2">
        <f>ff_portfolios25!J132-ff_factors!$E132</f>
        <v>-2.0569E-2</v>
      </c>
      <c r="K132" s="2">
        <f>ff_portfolios25!K132-ff_factors!$E132</f>
        <v>-7.9509999999999997E-3</v>
      </c>
      <c r="L132" s="2">
        <f>ff_portfolios25!L132-ff_factors!$E132</f>
        <v>-3.7994E-2</v>
      </c>
      <c r="M132" s="2">
        <f>ff_portfolios25!M132-ff_factors!$E132</f>
        <v>-5.9942000000000002E-2</v>
      </c>
      <c r="N132" s="2">
        <f>ff_portfolios25!N132-ff_factors!$E132</f>
        <v>-1.7881000000000001E-2</v>
      </c>
      <c r="O132" s="2">
        <f>ff_portfolios25!O132-ff_factors!$E132</f>
        <v>-1.486E-2</v>
      </c>
      <c r="P132" s="2">
        <f>ff_portfolios25!P132-ff_factors!$E132</f>
        <v>-1.3589E-2</v>
      </c>
      <c r="Q132" s="2">
        <f>ff_portfolios25!Q132-ff_factors!$E132</f>
        <v>-5.9699999999999998E-4</v>
      </c>
      <c r="R132" s="2">
        <f>ff_portfolios25!R132-ff_factors!$E132</f>
        <v>-2.4316000000000001E-2</v>
      </c>
      <c r="S132" s="2">
        <f>ff_portfolios25!S132-ff_factors!$E132</f>
        <v>3.1390000000000003E-3</v>
      </c>
      <c r="T132" s="2">
        <f>ff_portfolios25!T132-ff_factors!$E132</f>
        <v>-4.0480000000000004E-3</v>
      </c>
      <c r="U132" s="2">
        <f>ff_portfolios25!U132-ff_factors!$E132</f>
        <v>-8.7169999999999991E-3</v>
      </c>
      <c r="V132" s="2">
        <f>ff_portfolios25!V132-ff_factors!$E132</f>
        <v>-2.5964000000000001E-2</v>
      </c>
      <c r="W132" s="2">
        <f>ff_portfolios25!W132-ff_factors!$E132</f>
        <v>-1.3637999999999999E-2</v>
      </c>
      <c r="X132" s="2">
        <f>ff_portfolios25!X132-ff_factors!$E132</f>
        <v>1.0307E-2</v>
      </c>
      <c r="Y132" s="2">
        <f>ff_portfolios25!Y132-ff_factors!$E132</f>
        <v>1.9323E-2</v>
      </c>
      <c r="Z132" s="2">
        <f>ff_portfolios25!Z132-ff_factors!$E132</f>
        <v>4.4140000000000004E-3</v>
      </c>
      <c r="AA132" s="2">
        <f>ff_portfolios25!AA132-ff_factors!$E132</f>
        <v>-4.0923000000000001E-2</v>
      </c>
      <c r="AB132" s="2">
        <f>ff_portfolios25!AB132-ff_factors!$E132</f>
        <v>-6.5716999999999998E-2</v>
      </c>
    </row>
    <row r="133" spans="1:28" x14ac:dyDescent="0.2">
      <c r="A133">
        <v>19421231</v>
      </c>
      <c r="B133">
        <v>1942</v>
      </c>
      <c r="C133">
        <v>12</v>
      </c>
      <c r="D133" s="2">
        <f>ff_portfolios25!D133-ff_factors!$E133</f>
        <v>-4.87E-2</v>
      </c>
      <c r="E133" s="2">
        <f>ff_portfolios25!E133-ff_factors!$E133</f>
        <v>7.0000000000000001E-3</v>
      </c>
      <c r="F133" s="2">
        <f>ff_portfolios25!F133-ff_factors!$E133</f>
        <v>3.2389999999999995E-2</v>
      </c>
      <c r="G133" s="2">
        <f>ff_portfolios25!G133-ff_factors!$E133</f>
        <v>-9.0200000000000002E-3</v>
      </c>
      <c r="H133" s="2">
        <f>ff_portfolios25!H133-ff_factors!$E133</f>
        <v>-1.0584E-2</v>
      </c>
      <c r="I133" s="2">
        <f>ff_portfolios25!I133-ff_factors!$E133</f>
        <v>1.6301E-2</v>
      </c>
      <c r="J133" s="2">
        <f>ff_portfolios25!J133-ff_factors!$E133</f>
        <v>5.6626999999999997E-2</v>
      </c>
      <c r="K133" s="2">
        <f>ff_portfolios25!K133-ff_factors!$E133</f>
        <v>2.9518999999999997E-2</v>
      </c>
      <c r="L133" s="2">
        <f>ff_portfolios25!L133-ff_factors!$E133</f>
        <v>1.9991999999999999E-2</v>
      </c>
      <c r="M133" s="2">
        <f>ff_portfolios25!M133-ff_factors!$E133</f>
        <v>5.1053999999999995E-2</v>
      </c>
      <c r="N133" s="2">
        <f>ff_portfolios25!N133-ff_factors!$E133</f>
        <v>3.6804999999999997E-2</v>
      </c>
      <c r="O133" s="2">
        <f>ff_portfolios25!O133-ff_factors!$E133</f>
        <v>2.3401999999999999E-2</v>
      </c>
      <c r="P133" s="2">
        <f>ff_portfolios25!P133-ff_factors!$E133</f>
        <v>2.9807999999999998E-2</v>
      </c>
      <c r="Q133" s="2">
        <f>ff_portfolios25!Q133-ff_factors!$E133</f>
        <v>5.0484000000000001E-2</v>
      </c>
      <c r="R133" s="2">
        <f>ff_portfolios25!R133-ff_factors!$E133</f>
        <v>3.4518E-2</v>
      </c>
      <c r="S133" s="2">
        <f>ff_portfolios25!S133-ff_factors!$E133</f>
        <v>6.5739000000000006E-2</v>
      </c>
      <c r="T133" s="2">
        <f>ff_portfolios25!T133-ff_factors!$E133</f>
        <v>4.6328000000000001E-2</v>
      </c>
      <c r="U133" s="2">
        <f>ff_portfolios25!U133-ff_factors!$E133</f>
        <v>5.0567000000000001E-2</v>
      </c>
      <c r="V133" s="2">
        <f>ff_portfolios25!V133-ff_factors!$E133</f>
        <v>4.6876000000000001E-2</v>
      </c>
      <c r="W133" s="2">
        <f>ff_portfolios25!W133-ff_factors!$E133</f>
        <v>6.3078000000000009E-2</v>
      </c>
      <c r="X133" s="2">
        <f>ff_portfolios25!X133-ff_factors!$E133</f>
        <v>5.8446999999999999E-2</v>
      </c>
      <c r="Y133" s="2">
        <f>ff_portfolios25!Y133-ff_factors!$E133</f>
        <v>3.8377000000000001E-2</v>
      </c>
      <c r="Z133" s="2">
        <f>ff_portfolios25!Z133-ff_factors!$E133</f>
        <v>6.3419000000000003E-2</v>
      </c>
      <c r="AA133" s="2">
        <f>ff_portfolios25!AA133-ff_factors!$E133</f>
        <v>6.8695000000000006E-2</v>
      </c>
      <c r="AB133" s="2">
        <f>ff_portfolios25!AB133-ff_factors!$E133</f>
        <v>3.7964999999999999E-2</v>
      </c>
    </row>
    <row r="134" spans="1:28" x14ac:dyDescent="0.2">
      <c r="A134">
        <v>19430130</v>
      </c>
      <c r="B134">
        <v>1943</v>
      </c>
      <c r="C134">
        <v>1</v>
      </c>
      <c r="D134" s="2">
        <f>ff_portfolios25!D134-ff_factors!$E134</f>
        <v>0.321129</v>
      </c>
      <c r="E134" s="2">
        <f>ff_portfolios25!E134-ff_factors!$E134</f>
        <v>0.25184999999999996</v>
      </c>
      <c r="F134" s="2">
        <f>ff_portfolios25!F134-ff_factors!$E134</f>
        <v>0.21429500000000001</v>
      </c>
      <c r="G134" s="2">
        <f>ff_portfolios25!G134-ff_factors!$E134</f>
        <v>0.20569400000000002</v>
      </c>
      <c r="H134" s="2">
        <f>ff_portfolios25!H134-ff_factors!$E134</f>
        <v>0.32574799999999998</v>
      </c>
      <c r="I134" s="2">
        <f>ff_portfolios25!I134-ff_factors!$E134</f>
        <v>0.13438</v>
      </c>
      <c r="J134" s="2">
        <f>ff_portfolios25!J134-ff_factors!$E134</f>
        <v>0.12030100000000001</v>
      </c>
      <c r="K134" s="2">
        <f>ff_portfolios25!K134-ff_factors!$E134</f>
        <v>0.12559700000000001</v>
      </c>
      <c r="L134" s="2">
        <f>ff_portfolios25!L134-ff_factors!$E134</f>
        <v>0.187168</v>
      </c>
      <c r="M134" s="2">
        <f>ff_portfolios25!M134-ff_factors!$E134</f>
        <v>0.245002</v>
      </c>
      <c r="N134" s="2">
        <f>ff_portfolios25!N134-ff_factors!$E134</f>
        <v>6.9525000000000003E-2</v>
      </c>
      <c r="O134" s="2">
        <f>ff_portfolios25!O134-ff_factors!$E134</f>
        <v>9.7914000000000001E-2</v>
      </c>
      <c r="P134" s="2">
        <f>ff_portfolios25!P134-ff_factors!$E134</f>
        <v>0.13586600000000001</v>
      </c>
      <c r="Q134" s="2">
        <f>ff_portfolios25!Q134-ff_factors!$E134</f>
        <v>0.125003</v>
      </c>
      <c r="R134" s="2">
        <f>ff_portfolios25!R134-ff_factors!$E134</f>
        <v>0.212199</v>
      </c>
      <c r="S134" s="2">
        <f>ff_portfolios25!S134-ff_factors!$E134</f>
        <v>4.7886999999999999E-2</v>
      </c>
      <c r="T134" s="2">
        <f>ff_portfolios25!T134-ff_factors!$E134</f>
        <v>8.6098000000000008E-2</v>
      </c>
      <c r="U134" s="2">
        <f>ff_portfolios25!U134-ff_factors!$E134</f>
        <v>8.7448999999999999E-2</v>
      </c>
      <c r="V134" s="2">
        <f>ff_portfolios25!V134-ff_factors!$E134</f>
        <v>0.124213</v>
      </c>
      <c r="W134" s="2">
        <f>ff_portfolios25!W134-ff_factors!$E134</f>
        <v>0.12079300000000001</v>
      </c>
      <c r="X134" s="2">
        <f>ff_portfolios25!X134-ff_factors!$E134</f>
        <v>5.5788999999999998E-2</v>
      </c>
      <c r="Y134" s="2">
        <f>ff_portfolios25!Y134-ff_factors!$E134</f>
        <v>5.4481999999999996E-2</v>
      </c>
      <c r="Z134" s="2">
        <f>ff_portfolios25!Z134-ff_factors!$E134</f>
        <v>8.2675999999999999E-2</v>
      </c>
      <c r="AA134" s="2">
        <f>ff_portfolios25!AA134-ff_factors!$E134</f>
        <v>7.5914000000000009E-2</v>
      </c>
      <c r="AB134" s="2">
        <f>ff_portfolios25!AB134-ff_factors!$E134</f>
        <v>0.117564</v>
      </c>
    </row>
    <row r="135" spans="1:28" x14ac:dyDescent="0.2">
      <c r="A135">
        <v>19430227</v>
      </c>
      <c r="B135">
        <v>1943</v>
      </c>
      <c r="C135">
        <v>2</v>
      </c>
      <c r="D135" s="2">
        <f>ff_portfolios25!D135-ff_factors!$E135</f>
        <v>0.17074300000000001</v>
      </c>
      <c r="E135" s="2">
        <f>ff_portfolios25!E135-ff_factors!$E135</f>
        <v>0.173952</v>
      </c>
      <c r="F135" s="2">
        <f>ff_portfolios25!F135-ff_factors!$E135</f>
        <v>0.120394</v>
      </c>
      <c r="G135" s="2">
        <f>ff_portfolios25!G135-ff_factors!$E135</f>
        <v>0.177344</v>
      </c>
      <c r="H135" s="2">
        <f>ff_portfolios25!H135-ff_factors!$E135</f>
        <v>0.26844799999999996</v>
      </c>
      <c r="I135" s="2">
        <f>ff_portfolios25!I135-ff_factors!$E135</f>
        <v>0.164655</v>
      </c>
      <c r="J135" s="2">
        <f>ff_portfolios25!J135-ff_factors!$E135</f>
        <v>9.432900000000001E-2</v>
      </c>
      <c r="K135" s="2">
        <f>ff_portfolios25!K135-ff_factors!$E135</f>
        <v>6.9692000000000004E-2</v>
      </c>
      <c r="L135" s="2">
        <f>ff_portfolios25!L135-ff_factors!$E135</f>
        <v>0.12470600000000001</v>
      </c>
      <c r="M135" s="2">
        <f>ff_portfolios25!M135-ff_factors!$E135</f>
        <v>0.15279500000000001</v>
      </c>
      <c r="N135" s="2">
        <f>ff_portfolios25!N135-ff_factors!$E135</f>
        <v>6.3272000000000009E-2</v>
      </c>
      <c r="O135" s="2">
        <f>ff_portfolios25!O135-ff_factors!$E135</f>
        <v>7.3497000000000007E-2</v>
      </c>
      <c r="P135" s="2">
        <f>ff_portfolios25!P135-ff_factors!$E135</f>
        <v>9.5216000000000009E-2</v>
      </c>
      <c r="Q135" s="2">
        <f>ff_portfolios25!Q135-ff_factors!$E135</f>
        <v>0.10048600000000001</v>
      </c>
      <c r="R135" s="2">
        <f>ff_portfolios25!R135-ff_factors!$E135</f>
        <v>0.19461900000000001</v>
      </c>
      <c r="S135" s="2">
        <f>ff_portfolios25!S135-ff_factors!$E135</f>
        <v>4.8751999999999997E-2</v>
      </c>
      <c r="T135" s="2">
        <f>ff_portfolios25!T135-ff_factors!$E135</f>
        <v>6.7276000000000002E-2</v>
      </c>
      <c r="U135" s="2">
        <f>ff_portfolios25!U135-ff_factors!$E135</f>
        <v>7.0971000000000006E-2</v>
      </c>
      <c r="V135" s="2">
        <f>ff_portfolios25!V135-ff_factors!$E135</f>
        <v>9.9447000000000008E-2</v>
      </c>
      <c r="W135" s="2">
        <f>ff_portfolios25!W135-ff_factors!$E135</f>
        <v>0.11618100000000001</v>
      </c>
      <c r="X135" s="2">
        <f>ff_portfolios25!X135-ff_factors!$E135</f>
        <v>3.5402999999999997E-2</v>
      </c>
      <c r="Y135" s="2">
        <f>ff_portfolios25!Y135-ff_factors!$E135</f>
        <v>6.1681E-2</v>
      </c>
      <c r="Z135" s="2">
        <f>ff_portfolios25!Z135-ff_factors!$E135</f>
        <v>8.2724000000000006E-2</v>
      </c>
      <c r="AA135" s="2">
        <f>ff_portfolios25!AA135-ff_factors!$E135</f>
        <v>9.754800000000001E-2</v>
      </c>
      <c r="AB135" s="2">
        <f>ff_portfolios25!AB135-ff_factors!$E135</f>
        <v>0.12346700000000001</v>
      </c>
    </row>
    <row r="136" spans="1:28" x14ac:dyDescent="0.2">
      <c r="A136">
        <v>19430331</v>
      </c>
      <c r="B136">
        <v>1943</v>
      </c>
      <c r="C136">
        <v>3</v>
      </c>
      <c r="D136" s="2">
        <f>ff_portfolios25!D136-ff_factors!$E136</f>
        <v>0.20859800000000001</v>
      </c>
      <c r="E136" s="2">
        <f>ff_portfolios25!E136-ff_factors!$E136</f>
        <v>-2.0830000000000002E-3</v>
      </c>
      <c r="F136" s="2">
        <f>ff_portfolios25!F136-ff_factors!$E136</f>
        <v>0.16208500000000001</v>
      </c>
      <c r="G136" s="2">
        <f>ff_portfolios25!G136-ff_factors!$E136</f>
        <v>0.158279</v>
      </c>
      <c r="H136" s="2">
        <f>ff_portfolios25!H136-ff_factors!$E136</f>
        <v>0.15146899999999999</v>
      </c>
      <c r="I136" s="2">
        <f>ff_portfolios25!I136-ff_factors!$E136</f>
        <v>0.138678</v>
      </c>
      <c r="J136" s="2">
        <f>ff_portfolios25!J136-ff_factors!$E136</f>
        <v>0.11827800000000001</v>
      </c>
      <c r="K136" s="2">
        <f>ff_portfolios25!K136-ff_factors!$E136</f>
        <v>0.152147</v>
      </c>
      <c r="L136" s="2">
        <f>ff_portfolios25!L136-ff_factors!$E136</f>
        <v>0.13244300000000001</v>
      </c>
      <c r="M136" s="2">
        <f>ff_portfolios25!M136-ff_factors!$E136</f>
        <v>0.19283700000000001</v>
      </c>
      <c r="N136" s="2">
        <f>ff_portfolios25!N136-ff_factors!$E136</f>
        <v>9.2268000000000003E-2</v>
      </c>
      <c r="O136" s="2">
        <f>ff_portfolios25!O136-ff_factors!$E136</f>
        <v>7.5121000000000007E-2</v>
      </c>
      <c r="P136" s="2">
        <f>ff_portfolios25!P136-ff_factors!$E136</f>
        <v>9.8619999999999999E-2</v>
      </c>
      <c r="Q136" s="2">
        <f>ff_portfolios25!Q136-ff_factors!$E136</f>
        <v>0.12366300000000001</v>
      </c>
      <c r="R136" s="2">
        <f>ff_portfolios25!R136-ff_factors!$E136</f>
        <v>0.14402900000000002</v>
      </c>
      <c r="S136" s="2">
        <f>ff_portfolios25!S136-ff_factors!$E136</f>
        <v>8.8194000000000008E-2</v>
      </c>
      <c r="T136" s="2">
        <f>ff_portfolios25!T136-ff_factors!$E136</f>
        <v>7.3355000000000004E-2</v>
      </c>
      <c r="U136" s="2">
        <f>ff_portfolios25!U136-ff_factors!$E136</f>
        <v>8.5249000000000005E-2</v>
      </c>
      <c r="V136" s="2">
        <f>ff_portfolios25!V136-ff_factors!$E136</f>
        <v>0.11396300000000001</v>
      </c>
      <c r="W136" s="2">
        <f>ff_portfolios25!W136-ff_factors!$E136</f>
        <v>0.149226</v>
      </c>
      <c r="X136" s="2">
        <f>ff_portfolios25!X136-ff_factors!$E136</f>
        <v>3.5948000000000001E-2</v>
      </c>
      <c r="Y136" s="2">
        <f>ff_portfolios25!Y136-ff_factors!$E136</f>
        <v>4.6896E-2</v>
      </c>
      <c r="Z136" s="2">
        <f>ff_portfolios25!Z136-ff_factors!$E136</f>
        <v>7.4758000000000005E-2</v>
      </c>
      <c r="AA136" s="2">
        <f>ff_portfolios25!AA136-ff_factors!$E136</f>
        <v>7.794100000000001E-2</v>
      </c>
      <c r="AB136" s="2">
        <f>ff_portfolios25!AB136-ff_factors!$E136</f>
        <v>0.106616</v>
      </c>
    </row>
    <row r="137" spans="1:28" x14ac:dyDescent="0.2">
      <c r="A137">
        <v>19430430</v>
      </c>
      <c r="B137">
        <v>1943</v>
      </c>
      <c r="C137">
        <v>4</v>
      </c>
      <c r="D137" s="2">
        <f>ff_portfolios25!D137-ff_factors!$E137</f>
        <v>5.6836999999999999E-2</v>
      </c>
      <c r="E137" s="2">
        <f>ff_portfolios25!E137-ff_factors!$E137</f>
        <v>8.6560000000000005E-3</v>
      </c>
      <c r="F137" s="2">
        <f>ff_portfolios25!F137-ff_factors!$E137</f>
        <v>9.7789999999999995E-3</v>
      </c>
      <c r="G137" s="2">
        <f>ff_portfolios25!G137-ff_factors!$E137</f>
        <v>4.7605999999999996E-2</v>
      </c>
      <c r="H137" s="2">
        <f>ff_portfolios25!H137-ff_factors!$E137</f>
        <v>0.11745700000000001</v>
      </c>
      <c r="I137" s="2">
        <f>ff_portfolios25!I137-ff_factors!$E137</f>
        <v>-8.1659999999999996E-3</v>
      </c>
      <c r="J137" s="2">
        <f>ff_portfolios25!J137-ff_factors!$E137</f>
        <v>2.2565999999999999E-2</v>
      </c>
      <c r="K137" s="2">
        <f>ff_portfolios25!K137-ff_factors!$E137</f>
        <v>7.6609999999999994E-3</v>
      </c>
      <c r="L137" s="2">
        <f>ff_portfolios25!L137-ff_factors!$E137</f>
        <v>7.0207000000000006E-2</v>
      </c>
      <c r="M137" s="2">
        <f>ff_portfolios25!M137-ff_factors!$E137</f>
        <v>8.3135000000000001E-2</v>
      </c>
      <c r="N137" s="2">
        <f>ff_portfolios25!N137-ff_factors!$E137</f>
        <v>2.3549999999999999E-3</v>
      </c>
      <c r="O137" s="2">
        <f>ff_portfolios25!O137-ff_factors!$E137</f>
        <v>-6.535E-3</v>
      </c>
      <c r="P137" s="2">
        <f>ff_portfolios25!P137-ff_factors!$E137</f>
        <v>2.7532999999999998E-2</v>
      </c>
      <c r="Q137" s="2">
        <f>ff_portfolios25!Q137-ff_factors!$E137</f>
        <v>3.7706999999999997E-2</v>
      </c>
      <c r="R137" s="2">
        <f>ff_portfolios25!R137-ff_factors!$E137</f>
        <v>8.3173000000000011E-2</v>
      </c>
      <c r="S137" s="2">
        <f>ff_portfolios25!S137-ff_factors!$E137</f>
        <v>8.3040000000000006E-3</v>
      </c>
      <c r="T137" s="2">
        <f>ff_portfolios25!T137-ff_factors!$E137</f>
        <v>-4.7780000000000001E-3</v>
      </c>
      <c r="U137" s="2">
        <f>ff_portfolios25!U137-ff_factors!$E137</f>
        <v>5.5560000000000002E-3</v>
      </c>
      <c r="V137" s="2">
        <f>ff_portfolios25!V137-ff_factors!$E137</f>
        <v>3.3648999999999998E-2</v>
      </c>
      <c r="W137" s="2">
        <f>ff_portfolios25!W137-ff_factors!$E137</f>
        <v>0.14588100000000001</v>
      </c>
      <c r="X137" s="2">
        <f>ff_portfolios25!X137-ff_factors!$E137</f>
        <v>-7.6860000000000001E-3</v>
      </c>
      <c r="Y137" s="2">
        <f>ff_portfolios25!Y137-ff_factors!$E137</f>
        <v>1.1490999999999999E-2</v>
      </c>
      <c r="Z137" s="2">
        <f>ff_portfolios25!Z137-ff_factors!$E137</f>
        <v>1.1084999999999999E-2</v>
      </c>
      <c r="AA137" s="2">
        <f>ff_portfolios25!AA137-ff_factors!$E137</f>
        <v>-1.66E-3</v>
      </c>
      <c r="AB137" s="2">
        <f>ff_portfolios25!AB137-ff_factors!$E137</f>
        <v>3.9459999999999995E-2</v>
      </c>
    </row>
    <row r="138" spans="1:28" x14ac:dyDescent="0.2">
      <c r="A138">
        <v>19430529</v>
      </c>
      <c r="B138">
        <v>1943</v>
      </c>
      <c r="C138">
        <v>5</v>
      </c>
      <c r="D138" s="2">
        <f>ff_portfolios25!D138-ff_factors!$E138</f>
        <v>5.7648999999999999E-2</v>
      </c>
      <c r="E138" s="2">
        <f>ff_portfolios25!E138-ff_factors!$E138</f>
        <v>8.5561999999999999E-2</v>
      </c>
      <c r="F138" s="2">
        <f>ff_portfolios25!F138-ff_factors!$E138</f>
        <v>0.12975500000000001</v>
      </c>
      <c r="G138" s="2">
        <f>ff_portfolios25!G138-ff_factors!$E138</f>
        <v>0.106006</v>
      </c>
      <c r="H138" s="2">
        <f>ff_portfolios25!H138-ff_factors!$E138</f>
        <v>0.149224</v>
      </c>
      <c r="I138" s="2">
        <f>ff_portfolios25!I138-ff_factors!$E138</f>
        <v>0.162747</v>
      </c>
      <c r="J138" s="2">
        <f>ff_portfolios25!J138-ff_factors!$E138</f>
        <v>0.105488</v>
      </c>
      <c r="K138" s="2">
        <f>ff_portfolios25!K138-ff_factors!$E138</f>
        <v>9.3690000000000009E-2</v>
      </c>
      <c r="L138" s="2">
        <f>ff_portfolios25!L138-ff_factors!$E138</f>
        <v>8.1967999999999999E-2</v>
      </c>
      <c r="M138" s="2">
        <f>ff_portfolios25!M138-ff_factors!$E138</f>
        <v>0.14802899999999999</v>
      </c>
      <c r="N138" s="2">
        <f>ff_portfolios25!N138-ff_factors!$E138</f>
        <v>5.1637999999999996E-2</v>
      </c>
      <c r="O138" s="2">
        <f>ff_portfolios25!O138-ff_factors!$E138</f>
        <v>4.8633999999999997E-2</v>
      </c>
      <c r="P138" s="2">
        <f>ff_portfolios25!P138-ff_factors!$E138</f>
        <v>8.1155000000000005E-2</v>
      </c>
      <c r="Q138" s="2">
        <f>ff_portfolios25!Q138-ff_factors!$E138</f>
        <v>6.2789999999999999E-2</v>
      </c>
      <c r="R138" s="2">
        <f>ff_portfolios25!R138-ff_factors!$E138</f>
        <v>0.12892300000000001</v>
      </c>
      <c r="S138" s="2">
        <f>ff_portfolios25!S138-ff_factors!$E138</f>
        <v>3.1315999999999997E-2</v>
      </c>
      <c r="T138" s="2">
        <f>ff_portfolios25!T138-ff_factors!$E138</f>
        <v>7.001700000000001E-2</v>
      </c>
      <c r="U138" s="2">
        <f>ff_portfolios25!U138-ff_factors!$E138</f>
        <v>5.5488999999999997E-2</v>
      </c>
      <c r="V138" s="2">
        <f>ff_portfolios25!V138-ff_factors!$E138</f>
        <v>8.5493E-2</v>
      </c>
      <c r="W138" s="2">
        <f>ff_portfolios25!W138-ff_factors!$E138</f>
        <v>9.9843000000000001E-2</v>
      </c>
      <c r="X138" s="2">
        <f>ff_portfolios25!X138-ff_factors!$E138</f>
        <v>5.3525999999999997E-2</v>
      </c>
      <c r="Y138" s="2">
        <f>ff_portfolios25!Y138-ff_factors!$E138</f>
        <v>4.5019999999999998E-2</v>
      </c>
      <c r="Z138" s="2">
        <f>ff_portfolios25!Z138-ff_factors!$E138</f>
        <v>6.9841E-2</v>
      </c>
      <c r="AA138" s="2">
        <f>ff_portfolios25!AA138-ff_factors!$E138</f>
        <v>6.0422999999999998E-2</v>
      </c>
      <c r="AB138" s="2">
        <f>ff_portfolios25!AB138-ff_factors!$E138</f>
        <v>5.0658000000000002E-2</v>
      </c>
    </row>
    <row r="139" spans="1:28" x14ac:dyDescent="0.2">
      <c r="A139">
        <v>19430630</v>
      </c>
      <c r="B139">
        <v>1943</v>
      </c>
      <c r="C139">
        <v>6</v>
      </c>
      <c r="D139" s="2">
        <f>ff_portfolios25!D139-ff_factors!$E139</f>
        <v>9.2530000000000008E-3</v>
      </c>
      <c r="E139" s="2">
        <f>ff_portfolios25!E139-ff_factors!$E139</f>
        <v>7.319E-3</v>
      </c>
      <c r="F139" s="2">
        <f>ff_portfolios25!F139-ff_factors!$E139</f>
        <v>-7.3590000000000001E-3</v>
      </c>
      <c r="G139" s="2">
        <f>ff_portfolios25!G139-ff_factors!$E139</f>
        <v>2.7866999999999999E-2</v>
      </c>
      <c r="H139" s="2">
        <f>ff_portfolios25!H139-ff_factors!$E139</f>
        <v>-1.9288000000000003E-2</v>
      </c>
      <c r="I139" s="2">
        <f>ff_portfolios25!I139-ff_factors!$E139</f>
        <v>-1.2713E-2</v>
      </c>
      <c r="J139" s="2">
        <f>ff_portfolios25!J139-ff_factors!$E139</f>
        <v>1.7168999999999997E-2</v>
      </c>
      <c r="K139" s="2">
        <f>ff_portfolios25!K139-ff_factors!$E139</f>
        <v>3.9700000000000005E-4</v>
      </c>
      <c r="L139" s="2">
        <f>ff_portfolios25!L139-ff_factors!$E139</f>
        <v>9.6450000000000008E-3</v>
      </c>
      <c r="M139" s="2">
        <f>ff_portfolios25!M139-ff_factors!$E139</f>
        <v>1.6636999999999999E-2</v>
      </c>
      <c r="N139" s="2">
        <f>ff_portfolios25!N139-ff_factors!$E139</f>
        <v>2.8409999999999998E-2</v>
      </c>
      <c r="O139" s="2">
        <f>ff_portfolios25!O139-ff_factors!$E139</f>
        <v>1.2999E-2</v>
      </c>
      <c r="P139" s="2">
        <f>ff_portfolios25!P139-ff_factors!$E139</f>
        <v>7.809E-3</v>
      </c>
      <c r="Q139" s="2">
        <f>ff_portfolios25!Q139-ff_factors!$E139</f>
        <v>3.2828999999999997E-2</v>
      </c>
      <c r="R139" s="2">
        <f>ff_portfolios25!R139-ff_factors!$E139</f>
        <v>-2.4810000000000002E-2</v>
      </c>
      <c r="S139" s="2">
        <f>ff_portfolios25!S139-ff_factors!$E139</f>
        <v>1.7772999999999997E-2</v>
      </c>
      <c r="T139" s="2">
        <f>ff_portfolios25!T139-ff_factors!$E139</f>
        <v>2.333E-2</v>
      </c>
      <c r="U139" s="2">
        <f>ff_portfolios25!U139-ff_factors!$E139</f>
        <v>7.7350000000000006E-3</v>
      </c>
      <c r="V139" s="2">
        <f>ff_portfolios25!V139-ff_factors!$E139</f>
        <v>2.5257999999999999E-2</v>
      </c>
      <c r="W139" s="2">
        <f>ff_portfolios25!W139-ff_factors!$E139</f>
        <v>-3.9733999999999998E-2</v>
      </c>
      <c r="X139" s="2">
        <f>ff_portfolios25!X139-ff_factors!$E139</f>
        <v>1.9843999999999997E-2</v>
      </c>
      <c r="Y139" s="2">
        <f>ff_portfolios25!Y139-ff_factors!$E139</f>
        <v>3.0590999999999997E-2</v>
      </c>
      <c r="Z139" s="2">
        <f>ff_portfolios25!Z139-ff_factors!$E139</f>
        <v>2.5379999999999999E-3</v>
      </c>
      <c r="AA139" s="2">
        <f>ff_portfolios25!AA139-ff_factors!$E139</f>
        <v>3.5040000000000002E-3</v>
      </c>
      <c r="AB139" s="2">
        <f>ff_portfolios25!AB139-ff_factors!$E139</f>
        <v>7.2170000000000003E-3</v>
      </c>
    </row>
    <row r="140" spans="1:28" x14ac:dyDescent="0.2">
      <c r="A140">
        <v>19430731</v>
      </c>
      <c r="B140">
        <v>1943</v>
      </c>
      <c r="C140">
        <v>7</v>
      </c>
      <c r="D140" s="2">
        <f>ff_portfolios25!D140-ff_factors!$E140</f>
        <v>-0.16519599999999998</v>
      </c>
      <c r="E140" s="2">
        <f>ff_portfolios25!E140-ff_factors!$E140</f>
        <v>-1.8045000000000002E-2</v>
      </c>
      <c r="F140" s="2">
        <f>ff_portfolios25!F140-ff_factors!$E140</f>
        <v>-8.0263000000000001E-2</v>
      </c>
      <c r="G140" s="2">
        <f>ff_portfolios25!G140-ff_factors!$E140</f>
        <v>-5.9692000000000002E-2</v>
      </c>
      <c r="H140" s="2">
        <f>ff_portfolios25!H140-ff_factors!$E140</f>
        <v>-7.8578999999999996E-2</v>
      </c>
      <c r="I140" s="2">
        <f>ff_portfolios25!I140-ff_factors!$E140</f>
        <v>-3.4443000000000001E-2</v>
      </c>
      <c r="J140" s="2">
        <f>ff_portfolios25!J140-ff_factors!$E140</f>
        <v>-5.0425000000000005E-2</v>
      </c>
      <c r="K140" s="2">
        <f>ff_portfolios25!K140-ff_factors!$E140</f>
        <v>-5.2999000000000004E-2</v>
      </c>
      <c r="L140" s="2">
        <f>ff_portfolios25!L140-ff_factors!$E140</f>
        <v>-8.9219999999999994E-2</v>
      </c>
      <c r="M140" s="2">
        <f>ff_portfolios25!M140-ff_factors!$E140</f>
        <v>-0.11792599999999999</v>
      </c>
      <c r="N140" s="2">
        <f>ff_portfolios25!N140-ff_factors!$E140</f>
        <v>-4.6498999999999999E-2</v>
      </c>
      <c r="O140" s="2">
        <f>ff_portfolios25!O140-ff_factors!$E140</f>
        <v>-6.3884999999999997E-2</v>
      </c>
      <c r="P140" s="2">
        <f>ff_portfolios25!P140-ff_factors!$E140</f>
        <v>-5.5749E-2</v>
      </c>
      <c r="Q140" s="2">
        <f>ff_portfolios25!Q140-ff_factors!$E140</f>
        <v>-6.6092999999999999E-2</v>
      </c>
      <c r="R140" s="2">
        <f>ff_portfolios25!R140-ff_factors!$E140</f>
        <v>-9.4503999999999991E-2</v>
      </c>
      <c r="S140" s="2">
        <f>ff_portfolios25!S140-ff_factors!$E140</f>
        <v>-5.3017000000000002E-2</v>
      </c>
      <c r="T140" s="2">
        <f>ff_portfolios25!T140-ff_factors!$E140</f>
        <v>-3.9844000000000004E-2</v>
      </c>
      <c r="U140" s="2">
        <f>ff_portfolios25!U140-ff_factors!$E140</f>
        <v>-6.4599999999999991E-2</v>
      </c>
      <c r="V140" s="2">
        <f>ff_portfolios25!V140-ff_factors!$E140</f>
        <v>-9.0556999999999999E-2</v>
      </c>
      <c r="W140" s="2">
        <f>ff_portfolios25!W140-ff_factors!$E140</f>
        <v>-0.103627</v>
      </c>
      <c r="X140" s="2">
        <f>ff_portfolios25!X140-ff_factors!$E140</f>
        <v>-5.5079000000000003E-2</v>
      </c>
      <c r="Y140" s="2">
        <f>ff_portfolios25!Y140-ff_factors!$E140</f>
        <v>-3.4855000000000004E-2</v>
      </c>
      <c r="Z140" s="2">
        <f>ff_portfolios25!Z140-ff_factors!$E140</f>
        <v>-1.9068000000000002E-2</v>
      </c>
      <c r="AA140" s="2">
        <f>ff_portfolios25!AA140-ff_factors!$E140</f>
        <v>-4.5346999999999998E-2</v>
      </c>
      <c r="AB140" s="2">
        <f>ff_portfolios25!AB140-ff_factors!$E140</f>
        <v>-4.3826000000000004E-2</v>
      </c>
    </row>
    <row r="141" spans="1:28" x14ac:dyDescent="0.2">
      <c r="A141">
        <v>19430831</v>
      </c>
      <c r="B141">
        <v>1943</v>
      </c>
      <c r="C141">
        <v>8</v>
      </c>
      <c r="D141" s="2">
        <f>ff_portfolios25!D141-ff_factors!$E141</f>
        <v>-6.7083999999999991E-2</v>
      </c>
      <c r="E141" s="2">
        <f>ff_portfolios25!E141-ff_factors!$E141</f>
        <v>-4.3476000000000001E-2</v>
      </c>
      <c r="F141" s="2">
        <f>ff_portfolios25!F141-ff_factors!$E141</f>
        <v>-5.6140000000000001E-3</v>
      </c>
      <c r="G141" s="2">
        <f>ff_portfolios25!G141-ff_factors!$E141</f>
        <v>-1.2855E-2</v>
      </c>
      <c r="H141" s="2">
        <f>ff_portfolios25!H141-ff_factors!$E141</f>
        <v>-8.8679999999999991E-3</v>
      </c>
      <c r="I141" s="2">
        <f>ff_portfolios25!I141-ff_factors!$E141</f>
        <v>5.0569999999999999E-3</v>
      </c>
      <c r="J141" s="2">
        <f>ff_portfolios25!J141-ff_factors!$E141</f>
        <v>-7.1760000000000001E-3</v>
      </c>
      <c r="K141" s="2">
        <f>ff_portfolios25!K141-ff_factors!$E141</f>
        <v>-5.3480000000000003E-3</v>
      </c>
      <c r="L141" s="2">
        <f>ff_portfolios25!L141-ff_factors!$E141</f>
        <v>6.2970000000000005E-3</v>
      </c>
      <c r="M141" s="2">
        <f>ff_portfolios25!M141-ff_factors!$E141</f>
        <v>2.3085999999999999E-2</v>
      </c>
      <c r="N141" s="2">
        <f>ff_portfolios25!N141-ff_factors!$E141</f>
        <v>2.3081999999999998E-2</v>
      </c>
      <c r="O141" s="2">
        <f>ff_portfolios25!O141-ff_factors!$E141</f>
        <v>5.7730000000000004E-3</v>
      </c>
      <c r="P141" s="2">
        <f>ff_portfolios25!P141-ff_factors!$E141</f>
        <v>3.0869999999999999E-3</v>
      </c>
      <c r="Q141" s="2">
        <f>ff_portfolios25!Q141-ff_factors!$E141</f>
        <v>2.4599999999999997E-2</v>
      </c>
      <c r="R141" s="2">
        <f>ff_portfolios25!R141-ff_factors!$E141</f>
        <v>1.6330000000000001E-3</v>
      </c>
      <c r="S141" s="2">
        <f>ff_portfolios25!S141-ff_factors!$E141</f>
        <v>2.3377999999999999E-2</v>
      </c>
      <c r="T141" s="2">
        <f>ff_portfolios25!T141-ff_factors!$E141</f>
        <v>1.3741E-2</v>
      </c>
      <c r="U141" s="2">
        <f>ff_portfolios25!U141-ff_factors!$E141</f>
        <v>2.6780000000000003E-3</v>
      </c>
      <c r="V141" s="2">
        <f>ff_portfolios25!V141-ff_factors!$E141</f>
        <v>9.5759999999999994E-3</v>
      </c>
      <c r="W141" s="2">
        <f>ff_portfolios25!W141-ff_factors!$E141</f>
        <v>-1.4104999999999999E-2</v>
      </c>
      <c r="X141" s="2">
        <f>ff_portfolios25!X141-ff_factors!$E141</f>
        <v>1.3776999999999999E-2</v>
      </c>
      <c r="Y141" s="2">
        <f>ff_portfolios25!Y141-ff_factors!$E141</f>
        <v>1.4571000000000001E-2</v>
      </c>
      <c r="Z141" s="2">
        <f>ff_portfolios25!Z141-ff_factors!$E141</f>
        <v>1.6763999999999998E-2</v>
      </c>
      <c r="AA141" s="2">
        <f>ff_portfolios25!AA141-ff_factors!$E141</f>
        <v>2.8059999999999999E-3</v>
      </c>
      <c r="AB141" s="2">
        <f>ff_portfolios25!AB141-ff_factors!$E141</f>
        <v>1.1436E-2</v>
      </c>
    </row>
    <row r="142" spans="1:28" x14ac:dyDescent="0.2">
      <c r="A142">
        <v>19430930</v>
      </c>
      <c r="B142">
        <v>1943</v>
      </c>
      <c r="C142">
        <v>9</v>
      </c>
      <c r="D142" s="2">
        <f>ff_portfolios25!D142-ff_factors!$E142</f>
        <v>8.4394000000000011E-2</v>
      </c>
      <c r="E142" s="2">
        <f>ff_portfolios25!E142-ff_factors!$E142</f>
        <v>1.5628E-2</v>
      </c>
      <c r="F142" s="2">
        <f>ff_portfolios25!F142-ff_factors!$E142</f>
        <v>2.7490999999999998E-2</v>
      </c>
      <c r="G142" s="2">
        <f>ff_portfolios25!G142-ff_factors!$E142</f>
        <v>3.2031999999999998E-2</v>
      </c>
      <c r="H142" s="2">
        <f>ff_portfolios25!H142-ff_factors!$E142</f>
        <v>5.9477999999999996E-2</v>
      </c>
      <c r="I142" s="2">
        <f>ff_portfolios25!I142-ff_factors!$E142</f>
        <v>5.3988999999999995E-2</v>
      </c>
      <c r="J142" s="2">
        <f>ff_portfolios25!J142-ff_factors!$E142</f>
        <v>2.8382999999999999E-2</v>
      </c>
      <c r="K142" s="2">
        <f>ff_portfolios25!K142-ff_factors!$E142</f>
        <v>2.8533999999999997E-2</v>
      </c>
      <c r="L142" s="2">
        <f>ff_portfolios25!L142-ff_factors!$E142</f>
        <v>3.8804999999999999E-2</v>
      </c>
      <c r="M142" s="2">
        <f>ff_portfolios25!M142-ff_factors!$E142</f>
        <v>8.1420000000000006E-2</v>
      </c>
      <c r="N142" s="2">
        <f>ff_portfolios25!N142-ff_factors!$E142</f>
        <v>1.3440000000000001E-2</v>
      </c>
      <c r="O142" s="2">
        <f>ff_portfolios25!O142-ff_factors!$E142</f>
        <v>2.5593999999999999E-2</v>
      </c>
      <c r="P142" s="2">
        <f>ff_portfolios25!P142-ff_factors!$E142</f>
        <v>3.7400999999999997E-2</v>
      </c>
      <c r="Q142" s="2">
        <f>ff_portfolios25!Q142-ff_factors!$E142</f>
        <v>1.2543E-2</v>
      </c>
      <c r="R142" s="2">
        <f>ff_portfolios25!R142-ff_factors!$E142</f>
        <v>6.5865000000000007E-2</v>
      </c>
      <c r="S142" s="2">
        <f>ff_portfolios25!S142-ff_factors!$E142</f>
        <v>8.3650000000000009E-3</v>
      </c>
      <c r="T142" s="2">
        <f>ff_portfolios25!T142-ff_factors!$E142</f>
        <v>3.3398999999999998E-2</v>
      </c>
      <c r="U142" s="2">
        <f>ff_portfolios25!U142-ff_factors!$E142</f>
        <v>4.7357999999999997E-2</v>
      </c>
      <c r="V142" s="2">
        <f>ff_portfolios25!V142-ff_factors!$E142</f>
        <v>3.5290999999999996E-2</v>
      </c>
      <c r="W142" s="2">
        <f>ff_portfolios25!W142-ff_factors!$E142</f>
        <v>2.4799999999999999E-2</v>
      </c>
      <c r="X142" s="2">
        <f>ff_portfolios25!X142-ff_factors!$E142</f>
        <v>2.4673999999999998E-2</v>
      </c>
      <c r="Y142" s="2">
        <f>ff_portfolios25!Y142-ff_factors!$E142</f>
        <v>1.7416999999999998E-2</v>
      </c>
      <c r="Z142" s="2">
        <f>ff_portfolios25!Z142-ff_factors!$E142</f>
        <v>2.2421E-2</v>
      </c>
      <c r="AA142" s="2">
        <f>ff_portfolios25!AA142-ff_factors!$E142</f>
        <v>3.0106999999999998E-2</v>
      </c>
      <c r="AB142" s="2">
        <f>ff_portfolios25!AB142-ff_factors!$E142</f>
        <v>3.2121999999999998E-2</v>
      </c>
    </row>
    <row r="143" spans="1:28" x14ac:dyDescent="0.2">
      <c r="A143">
        <v>19431030</v>
      </c>
      <c r="B143">
        <v>1943</v>
      </c>
      <c r="C143">
        <v>10</v>
      </c>
      <c r="D143" s="2">
        <f>ff_portfolios25!D143-ff_factors!$E143</f>
        <v>-2.171E-2</v>
      </c>
      <c r="E143" s="2">
        <f>ff_portfolios25!E143-ff_factors!$E143</f>
        <v>-3.3579999999999999E-3</v>
      </c>
      <c r="F143" s="2">
        <f>ff_portfolios25!F143-ff_factors!$E143</f>
        <v>4.718E-3</v>
      </c>
      <c r="G143" s="2">
        <f>ff_portfolios25!G143-ff_factors!$E143</f>
        <v>2.3647999999999999E-2</v>
      </c>
      <c r="H143" s="2">
        <f>ff_portfolios25!H143-ff_factors!$E143</f>
        <v>-1.7459000000000002E-2</v>
      </c>
      <c r="I143" s="2">
        <f>ff_portfolios25!I143-ff_factors!$E143</f>
        <v>-3.2628999999999998E-2</v>
      </c>
      <c r="J143" s="2">
        <f>ff_portfolios25!J143-ff_factors!$E143</f>
        <v>7.9649999999999999E-3</v>
      </c>
      <c r="K143" s="2">
        <f>ff_portfolios25!K143-ff_factors!$E143</f>
        <v>1.2862E-2</v>
      </c>
      <c r="L143" s="2">
        <f>ff_portfolios25!L143-ff_factors!$E143</f>
        <v>4.0738999999999997E-2</v>
      </c>
      <c r="M143" s="2">
        <f>ff_portfolios25!M143-ff_factors!$E143</f>
        <v>-2.7901000000000002E-2</v>
      </c>
      <c r="N143" s="2">
        <f>ff_portfolios25!N143-ff_factors!$E143</f>
        <v>-8.5789999999999998E-3</v>
      </c>
      <c r="O143" s="2">
        <f>ff_portfolios25!O143-ff_factors!$E143</f>
        <v>-6.0169999999999998E-3</v>
      </c>
      <c r="P143" s="2">
        <f>ff_portfolios25!P143-ff_factors!$E143</f>
        <v>-2.8E-3</v>
      </c>
      <c r="Q143" s="2">
        <f>ff_portfolios25!Q143-ff_factors!$E143</f>
        <v>9.4789999999999996E-3</v>
      </c>
      <c r="R143" s="2">
        <f>ff_portfolios25!R143-ff_factors!$E143</f>
        <v>-1.6977000000000003E-2</v>
      </c>
      <c r="S143" s="2">
        <f>ff_portfolios25!S143-ff_factors!$E143</f>
        <v>-2.1082E-2</v>
      </c>
      <c r="T143" s="2">
        <f>ff_portfolios25!T143-ff_factors!$E143</f>
        <v>-1.4765E-2</v>
      </c>
      <c r="U143" s="2">
        <f>ff_portfolios25!U143-ff_factors!$E143</f>
        <v>-1.4902E-2</v>
      </c>
      <c r="V143" s="2">
        <f>ff_portfolios25!V143-ff_factors!$E143</f>
        <v>1.5555999999999999E-2</v>
      </c>
      <c r="W143" s="2">
        <f>ff_portfolios25!W143-ff_factors!$E143</f>
        <v>2.4257999999999998E-2</v>
      </c>
      <c r="X143" s="2">
        <f>ff_portfolios25!X143-ff_factors!$E143</f>
        <v>-1.7759E-2</v>
      </c>
      <c r="Y143" s="2">
        <f>ff_portfolios25!Y143-ff_factors!$E143</f>
        <v>-1.1632999999999999E-2</v>
      </c>
      <c r="Z143" s="2">
        <f>ff_portfolios25!Z143-ff_factors!$E143</f>
        <v>-1.1103E-2</v>
      </c>
      <c r="AA143" s="2">
        <f>ff_portfolios25!AA143-ff_factors!$E143</f>
        <v>5.1240000000000001E-3</v>
      </c>
      <c r="AB143" s="2">
        <f>ff_portfolios25!AB143-ff_factors!$E143</f>
        <v>-8.8880000000000001E-3</v>
      </c>
    </row>
    <row r="144" spans="1:28" x14ac:dyDescent="0.2">
      <c r="A144">
        <v>19431130</v>
      </c>
      <c r="B144">
        <v>1943</v>
      </c>
      <c r="C144">
        <v>11</v>
      </c>
      <c r="D144" s="2">
        <f>ff_portfolios25!D144-ff_factors!$E144</f>
        <v>-0.140426</v>
      </c>
      <c r="E144" s="2">
        <f>ff_portfolios25!E144-ff_factors!$E144</f>
        <v>-5.4232000000000002E-2</v>
      </c>
      <c r="F144" s="2">
        <f>ff_portfolios25!F144-ff_factors!$E144</f>
        <v>-7.1998999999999994E-2</v>
      </c>
      <c r="G144" s="2">
        <f>ff_portfolios25!G144-ff_factors!$E144</f>
        <v>-0.10133199999999999</v>
      </c>
      <c r="H144" s="2">
        <f>ff_portfolios25!H144-ff_factors!$E144</f>
        <v>-0.141344</v>
      </c>
      <c r="I144" s="2">
        <f>ff_portfolios25!I144-ff_factors!$E144</f>
        <v>-7.5448000000000001E-2</v>
      </c>
      <c r="J144" s="2">
        <f>ff_portfolios25!J144-ff_factors!$E144</f>
        <v>-7.8892999999999991E-2</v>
      </c>
      <c r="K144" s="2">
        <f>ff_portfolios25!K144-ff_factors!$E144</f>
        <v>-5.6246999999999998E-2</v>
      </c>
      <c r="L144" s="2">
        <f>ff_portfolios25!L144-ff_factors!$E144</f>
        <v>-4.7379000000000004E-2</v>
      </c>
      <c r="M144" s="2">
        <f>ff_portfolios25!M144-ff_factors!$E144</f>
        <v>-0.149392</v>
      </c>
      <c r="N144" s="2">
        <f>ff_portfolios25!N144-ff_factors!$E144</f>
        <v>-7.0988999999999997E-2</v>
      </c>
      <c r="O144" s="2">
        <f>ff_portfolios25!O144-ff_factors!$E144</f>
        <v>-6.902599999999999E-2</v>
      </c>
      <c r="P144" s="2">
        <f>ff_portfolios25!P144-ff_factors!$E144</f>
        <v>-8.3437999999999998E-2</v>
      </c>
      <c r="Q144" s="2">
        <f>ff_portfolios25!Q144-ff_factors!$E144</f>
        <v>-7.9295999999999991E-2</v>
      </c>
      <c r="R144" s="2">
        <f>ff_portfolios25!R144-ff_factors!$E144</f>
        <v>-0.12864400000000001</v>
      </c>
      <c r="S144" s="2">
        <f>ff_portfolios25!S144-ff_factors!$E144</f>
        <v>-6.9509000000000001E-2</v>
      </c>
      <c r="T144" s="2">
        <f>ff_portfolios25!T144-ff_factors!$E144</f>
        <v>-5.6878000000000005E-2</v>
      </c>
      <c r="U144" s="2">
        <f>ff_portfolios25!U144-ff_factors!$E144</f>
        <v>-8.1112999999999991E-2</v>
      </c>
      <c r="V144" s="2">
        <f>ff_portfolios25!V144-ff_factors!$E144</f>
        <v>-9.1837999999999989E-2</v>
      </c>
      <c r="W144" s="2">
        <f>ff_portfolios25!W144-ff_factors!$E144</f>
        <v>-0.14227399999999998</v>
      </c>
      <c r="X144" s="2">
        <f>ff_portfolios25!X144-ff_factors!$E144</f>
        <v>-4.8376000000000002E-2</v>
      </c>
      <c r="Y144" s="2">
        <f>ff_portfolios25!Y144-ff_factors!$E144</f>
        <v>-4.3012000000000002E-2</v>
      </c>
      <c r="Z144" s="2">
        <f>ff_portfolios25!Z144-ff_factors!$E144</f>
        <v>-6.5176999999999999E-2</v>
      </c>
      <c r="AA144" s="2">
        <f>ff_portfolios25!AA144-ff_factors!$E144</f>
        <v>-7.9100999999999991E-2</v>
      </c>
      <c r="AB144" s="2">
        <f>ff_portfolios25!AB144-ff_factors!$E144</f>
        <v>-0.12797999999999998</v>
      </c>
    </row>
    <row r="145" spans="1:28" x14ac:dyDescent="0.2">
      <c r="A145">
        <v>19431231</v>
      </c>
      <c r="B145">
        <v>1943</v>
      </c>
      <c r="C145">
        <v>12</v>
      </c>
      <c r="D145" s="2">
        <f>ff_portfolios25!D145-ff_factors!$E145</f>
        <v>8.9376000000000011E-2</v>
      </c>
      <c r="E145" s="2">
        <f>ff_portfolios25!E145-ff_factors!$E145</f>
        <v>4.8948999999999999E-2</v>
      </c>
      <c r="F145" s="2">
        <f>ff_portfolios25!F145-ff_factors!$E145</f>
        <v>0.10706900000000001</v>
      </c>
      <c r="G145" s="2">
        <f>ff_portfolios25!G145-ff_factors!$E145</f>
        <v>0.13484200000000002</v>
      </c>
      <c r="H145" s="2">
        <f>ff_portfolios25!H145-ff_factors!$E145</f>
        <v>0.126107</v>
      </c>
      <c r="I145" s="2">
        <f>ff_portfolios25!I145-ff_factors!$E145</f>
        <v>7.0418000000000008E-2</v>
      </c>
      <c r="J145" s="2">
        <f>ff_portfolios25!J145-ff_factors!$E145</f>
        <v>6.6780000000000006E-2</v>
      </c>
      <c r="K145" s="2">
        <f>ff_portfolios25!K145-ff_factors!$E145</f>
        <v>0.125421</v>
      </c>
      <c r="L145" s="2">
        <f>ff_portfolios25!L145-ff_factors!$E145</f>
        <v>0.11720800000000001</v>
      </c>
      <c r="M145" s="2">
        <f>ff_portfolios25!M145-ff_factors!$E145</f>
        <v>0.12481800000000001</v>
      </c>
      <c r="N145" s="2">
        <f>ff_portfolios25!N145-ff_factors!$E145</f>
        <v>7.9519000000000006E-2</v>
      </c>
      <c r="O145" s="2">
        <f>ff_portfolios25!O145-ff_factors!$E145</f>
        <v>9.0559000000000001E-2</v>
      </c>
      <c r="P145" s="2">
        <f>ff_portfolios25!P145-ff_factors!$E145</f>
        <v>8.3082000000000003E-2</v>
      </c>
      <c r="Q145" s="2">
        <f>ff_portfolios25!Q145-ff_factors!$E145</f>
        <v>8.7994000000000003E-2</v>
      </c>
      <c r="R145" s="2">
        <f>ff_portfolios25!R145-ff_factors!$E145</f>
        <v>0.157226</v>
      </c>
      <c r="S145" s="2">
        <f>ff_portfolios25!S145-ff_factors!$E145</f>
        <v>7.2374000000000008E-2</v>
      </c>
      <c r="T145" s="2">
        <f>ff_portfolios25!T145-ff_factors!$E145</f>
        <v>8.0586000000000005E-2</v>
      </c>
      <c r="U145" s="2">
        <f>ff_portfolios25!U145-ff_factors!$E145</f>
        <v>8.9832000000000009E-2</v>
      </c>
      <c r="V145" s="2">
        <f>ff_portfolios25!V145-ff_factors!$E145</f>
        <v>9.7761000000000001E-2</v>
      </c>
      <c r="W145" s="2">
        <f>ff_portfolios25!W145-ff_factors!$E145</f>
        <v>0.121895</v>
      </c>
      <c r="X145" s="2">
        <f>ff_portfolios25!X145-ff_factors!$E145</f>
        <v>5.2754999999999996E-2</v>
      </c>
      <c r="Y145" s="2">
        <f>ff_portfolios25!Y145-ff_factors!$E145</f>
        <v>5.8008999999999998E-2</v>
      </c>
      <c r="Z145" s="2">
        <f>ff_portfolios25!Z145-ff_factors!$E145</f>
        <v>6.3598000000000002E-2</v>
      </c>
      <c r="AA145" s="2">
        <f>ff_portfolios25!AA145-ff_factors!$E145</f>
        <v>6.191E-2</v>
      </c>
      <c r="AB145" s="2">
        <f>ff_portfolios25!AB145-ff_factors!$E145</f>
        <v>7.8086000000000003E-2</v>
      </c>
    </row>
    <row r="146" spans="1:28" x14ac:dyDescent="0.2">
      <c r="A146">
        <v>19440131</v>
      </c>
      <c r="B146">
        <v>1944</v>
      </c>
      <c r="C146">
        <v>1</v>
      </c>
      <c r="D146" s="2">
        <f>ff_portfolios25!D146-ff_factors!$E146</f>
        <v>8.0177999999999999E-2</v>
      </c>
      <c r="E146" s="2">
        <f>ff_portfolios25!E146-ff_factors!$E146</f>
        <v>8.0121000000000012E-2</v>
      </c>
      <c r="F146" s="2">
        <f>ff_portfolios25!F146-ff_factors!$E146</f>
        <v>5.0443000000000002E-2</v>
      </c>
      <c r="G146" s="2">
        <f>ff_portfolios25!G146-ff_factors!$E146</f>
        <v>3.0581999999999998E-2</v>
      </c>
      <c r="H146" s="2">
        <f>ff_portfolios25!H146-ff_factors!$E146</f>
        <v>8.0365000000000006E-2</v>
      </c>
      <c r="I146" s="2">
        <f>ff_portfolios25!I146-ff_factors!$E146</f>
        <v>4.2053E-2</v>
      </c>
      <c r="J146" s="2">
        <f>ff_portfolios25!J146-ff_factors!$E146</f>
        <v>5.475E-2</v>
      </c>
      <c r="K146" s="2">
        <f>ff_portfolios25!K146-ff_factors!$E146</f>
        <v>3.9341999999999995E-2</v>
      </c>
      <c r="L146" s="2">
        <f>ff_portfolios25!L146-ff_factors!$E146</f>
        <v>5.0208999999999997E-2</v>
      </c>
      <c r="M146" s="2">
        <f>ff_portfolios25!M146-ff_factors!$E146</f>
        <v>7.6402999999999999E-2</v>
      </c>
      <c r="N146" s="2">
        <f>ff_portfolios25!N146-ff_factors!$E146</f>
        <v>3.8863999999999996E-2</v>
      </c>
      <c r="O146" s="2">
        <f>ff_portfolios25!O146-ff_factors!$E146</f>
        <v>3.4891999999999999E-2</v>
      </c>
      <c r="P146" s="2">
        <f>ff_portfolios25!P146-ff_factors!$E146</f>
        <v>3.1009999999999996E-2</v>
      </c>
      <c r="Q146" s="2">
        <f>ff_portfolios25!Q146-ff_factors!$E146</f>
        <v>3.4486999999999997E-2</v>
      </c>
      <c r="R146" s="2">
        <f>ff_portfolios25!R146-ff_factors!$E146</f>
        <v>5.9617999999999997E-2</v>
      </c>
      <c r="S146" s="2">
        <f>ff_portfolios25!S146-ff_factors!$E146</f>
        <v>2.0306999999999999E-2</v>
      </c>
      <c r="T146" s="2">
        <f>ff_portfolios25!T146-ff_factors!$E146</f>
        <v>1.5004E-2</v>
      </c>
      <c r="U146" s="2">
        <f>ff_portfolios25!U146-ff_factors!$E146</f>
        <v>2.6466E-2</v>
      </c>
      <c r="V146" s="2">
        <f>ff_portfolios25!V146-ff_factors!$E146</f>
        <v>2.8979999999999999E-2</v>
      </c>
      <c r="W146" s="2">
        <f>ff_portfolios25!W146-ff_factors!$E146</f>
        <v>5.2378000000000001E-2</v>
      </c>
      <c r="X146" s="2">
        <f>ff_portfolios25!X146-ff_factors!$E146</f>
        <v>6.3330000000000001E-3</v>
      </c>
      <c r="Y146" s="2">
        <f>ff_portfolios25!Y146-ff_factors!$E146</f>
        <v>8.3850000000000001E-3</v>
      </c>
      <c r="Z146" s="2">
        <f>ff_portfolios25!Z146-ff_factors!$E146</f>
        <v>2.1007999999999999E-2</v>
      </c>
      <c r="AA146" s="2">
        <f>ff_portfolios25!AA146-ff_factors!$E146</f>
        <v>2.0544E-2</v>
      </c>
      <c r="AB146" s="2">
        <f>ff_portfolios25!AB146-ff_factors!$E146</f>
        <v>9.0975E-2</v>
      </c>
    </row>
    <row r="147" spans="1:28" x14ac:dyDescent="0.2">
      <c r="A147">
        <v>19440229</v>
      </c>
      <c r="B147">
        <v>1944</v>
      </c>
      <c r="C147">
        <v>2</v>
      </c>
      <c r="D147" s="2">
        <f>ff_portfolios25!D147-ff_factors!$E147</f>
        <v>4.1791000000000002E-2</v>
      </c>
      <c r="E147" s="2">
        <f>ff_portfolios25!E147-ff_factors!$E147</f>
        <v>1.7676999999999998E-2</v>
      </c>
      <c r="F147" s="2">
        <f>ff_portfolios25!F147-ff_factors!$E147</f>
        <v>2.2185E-2</v>
      </c>
      <c r="G147" s="2">
        <f>ff_portfolios25!G147-ff_factors!$E147</f>
        <v>2.9106999999999997E-2</v>
      </c>
      <c r="H147" s="2">
        <f>ff_portfolios25!H147-ff_factors!$E147</f>
        <v>4.1763000000000002E-2</v>
      </c>
      <c r="I147" s="2">
        <f>ff_portfolios25!I147-ff_factors!$E147</f>
        <v>2.3503999999999997E-2</v>
      </c>
      <c r="J147" s="2">
        <f>ff_portfolios25!J147-ff_factors!$E147</f>
        <v>2.078E-3</v>
      </c>
      <c r="K147" s="2">
        <f>ff_portfolios25!K147-ff_factors!$E147</f>
        <v>1.3129E-2</v>
      </c>
      <c r="L147" s="2">
        <f>ff_portfolios25!L147-ff_factors!$E147</f>
        <v>-4.7514000000000001E-2</v>
      </c>
      <c r="M147" s="2">
        <f>ff_portfolios25!M147-ff_factors!$E147</f>
        <v>3.8411000000000001E-2</v>
      </c>
      <c r="N147" s="2">
        <f>ff_portfolios25!N147-ff_factors!$E147</f>
        <v>2.7734999999999999E-2</v>
      </c>
      <c r="O147" s="2">
        <f>ff_portfolios25!O147-ff_factors!$E147</f>
        <v>8.9770000000000006E-3</v>
      </c>
      <c r="P147" s="2">
        <f>ff_portfolios25!P147-ff_factors!$E147</f>
        <v>-9.9899999999999989E-4</v>
      </c>
      <c r="Q147" s="2">
        <f>ff_portfolios25!Q147-ff_factors!$E147</f>
        <v>8.2690000000000003E-3</v>
      </c>
      <c r="R147" s="2">
        <f>ff_portfolios25!R147-ff_factors!$E147</f>
        <v>4.8771999999999996E-2</v>
      </c>
      <c r="S147" s="2">
        <f>ff_portfolios25!S147-ff_factors!$E147</f>
        <v>9.9260000000000008E-3</v>
      </c>
      <c r="T147" s="2">
        <f>ff_portfolios25!T147-ff_factors!$E147</f>
        <v>1.3468000000000001E-2</v>
      </c>
      <c r="U147" s="2">
        <f>ff_portfolios25!U147-ff_factors!$E147</f>
        <v>7.8899999999999994E-3</v>
      </c>
      <c r="V147" s="2">
        <f>ff_portfolios25!V147-ff_factors!$E147</f>
        <v>-1.2596E-2</v>
      </c>
      <c r="W147" s="2">
        <f>ff_portfolios25!W147-ff_factors!$E147</f>
        <v>5.9935999999999996E-2</v>
      </c>
      <c r="X147" s="2">
        <f>ff_portfolios25!X147-ff_factors!$E147</f>
        <v>6.6900000000000011E-4</v>
      </c>
      <c r="Y147" s="2">
        <f>ff_portfolios25!Y147-ff_factors!$E147</f>
        <v>-1.3829999999999999E-3</v>
      </c>
      <c r="Z147" s="2">
        <f>ff_portfolios25!Z147-ff_factors!$E147</f>
        <v>5.8120000000000003E-3</v>
      </c>
      <c r="AA147" s="2">
        <f>ff_portfolios25!AA147-ff_factors!$E147</f>
        <v>1.4286E-2</v>
      </c>
      <c r="AB147" s="2">
        <f>ff_portfolios25!AB147-ff_factors!$E147</f>
        <v>4.6795999999999997E-2</v>
      </c>
    </row>
    <row r="148" spans="1:28" x14ac:dyDescent="0.2">
      <c r="A148">
        <v>19440331</v>
      </c>
      <c r="B148">
        <v>1944</v>
      </c>
      <c r="C148">
        <v>3</v>
      </c>
      <c r="D148" s="2">
        <f>ff_portfolios25!D148-ff_factors!$E148</f>
        <v>8.2316E-2</v>
      </c>
      <c r="E148" s="2">
        <f>ff_portfolios25!E148-ff_factors!$E148</f>
        <v>0.11919399999999999</v>
      </c>
      <c r="F148" s="2">
        <f>ff_portfolios25!F148-ff_factors!$E148</f>
        <v>5.2690000000000001E-2</v>
      </c>
      <c r="G148" s="2">
        <f>ff_portfolios25!G148-ff_factors!$E148</f>
        <v>5.0688000000000004E-2</v>
      </c>
      <c r="H148" s="2">
        <f>ff_portfolios25!H148-ff_factors!$E148</f>
        <v>7.6127E-2</v>
      </c>
      <c r="I148" s="2">
        <f>ff_portfolios25!I148-ff_factors!$E148</f>
        <v>1.6076E-2</v>
      </c>
      <c r="J148" s="2">
        <f>ff_portfolios25!J148-ff_factors!$E148</f>
        <v>2.4195000000000001E-2</v>
      </c>
      <c r="K148" s="2">
        <f>ff_portfolios25!K148-ff_factors!$E148</f>
        <v>3.7073000000000002E-2</v>
      </c>
      <c r="L148" s="2">
        <f>ff_portfolios25!L148-ff_factors!$E148</f>
        <v>4.0107999999999998E-2</v>
      </c>
      <c r="M148" s="2">
        <f>ff_portfolios25!M148-ff_factors!$E148</f>
        <v>0.14134099999999999</v>
      </c>
      <c r="N148" s="2">
        <f>ff_portfolios25!N148-ff_factors!$E148</f>
        <v>2.8564000000000003E-2</v>
      </c>
      <c r="O148" s="2">
        <f>ff_portfolios25!O148-ff_factors!$E148</f>
        <v>3.7259E-2</v>
      </c>
      <c r="P148" s="2">
        <f>ff_portfolios25!P148-ff_factors!$E148</f>
        <v>4.2337E-2</v>
      </c>
      <c r="Q148" s="2">
        <f>ff_portfolios25!Q148-ff_factors!$E148</f>
        <v>4.5227000000000003E-2</v>
      </c>
      <c r="R148" s="2">
        <f>ff_portfolios25!R148-ff_factors!$E148</f>
        <v>4.3138000000000003E-2</v>
      </c>
      <c r="S148" s="2">
        <f>ff_portfolios25!S148-ff_factors!$E148</f>
        <v>1.0303999999999999E-2</v>
      </c>
      <c r="T148" s="2">
        <f>ff_portfolios25!T148-ff_factors!$E148</f>
        <v>2.8405E-2</v>
      </c>
      <c r="U148" s="2">
        <f>ff_portfolios25!U148-ff_factors!$E148</f>
        <v>2.9128000000000001E-2</v>
      </c>
      <c r="V148" s="2">
        <f>ff_portfolios25!V148-ff_factors!$E148</f>
        <v>5.0341999999999998E-2</v>
      </c>
      <c r="W148" s="2">
        <f>ff_portfolios25!W148-ff_factors!$E148</f>
        <v>2.7928000000000001E-2</v>
      </c>
      <c r="X148" s="2">
        <f>ff_portfolios25!X148-ff_factors!$E148</f>
        <v>2.6572000000000002E-2</v>
      </c>
      <c r="Y148" s="2">
        <f>ff_portfolios25!Y148-ff_factors!$E148</f>
        <v>1.6717000000000003E-2</v>
      </c>
      <c r="Z148" s="2">
        <f>ff_portfolios25!Z148-ff_factors!$E148</f>
        <v>1.7238E-2</v>
      </c>
      <c r="AA148" s="2">
        <f>ff_portfolios25!AA148-ff_factors!$E148</f>
        <v>2.9872000000000003E-2</v>
      </c>
      <c r="AB148" s="2">
        <f>ff_portfolios25!AB148-ff_factors!$E148</f>
        <v>5.0539000000000001E-2</v>
      </c>
    </row>
    <row r="149" spans="1:28" x14ac:dyDescent="0.2">
      <c r="A149">
        <v>19440429</v>
      </c>
      <c r="B149">
        <v>1944</v>
      </c>
      <c r="C149">
        <v>4</v>
      </c>
      <c r="D149" s="2">
        <f>ff_portfolios25!D149-ff_factors!$E149</f>
        <v>-5.4790999999999999E-2</v>
      </c>
      <c r="E149" s="2">
        <f>ff_portfolios25!E149-ff_factors!$E149</f>
        <v>1.3068E-2</v>
      </c>
      <c r="F149" s="2">
        <f>ff_portfolios25!F149-ff_factors!$E149</f>
        <v>-2.9385000000000001E-2</v>
      </c>
      <c r="G149" s="2">
        <f>ff_portfolios25!G149-ff_factors!$E149</f>
        <v>-2.0245000000000003E-2</v>
      </c>
      <c r="H149" s="2">
        <f>ff_portfolios25!H149-ff_factors!$E149</f>
        <v>-4.1576000000000002E-2</v>
      </c>
      <c r="I149" s="2">
        <f>ff_portfolios25!I149-ff_factors!$E149</f>
        <v>-1.5615E-2</v>
      </c>
      <c r="J149" s="2">
        <f>ff_portfolios25!J149-ff_factors!$E149</f>
        <v>-1.8229000000000002E-2</v>
      </c>
      <c r="K149" s="2">
        <f>ff_portfolios25!K149-ff_factors!$E149</f>
        <v>-2.8072000000000003E-2</v>
      </c>
      <c r="L149" s="2">
        <f>ff_portfolios25!L149-ff_factors!$E149</f>
        <v>-3.9469000000000004E-2</v>
      </c>
      <c r="M149" s="2">
        <f>ff_portfolios25!M149-ff_factors!$E149</f>
        <v>-5.6514000000000002E-2</v>
      </c>
      <c r="N149" s="2">
        <f>ff_portfolios25!N149-ff_factors!$E149</f>
        <v>-3.0449E-2</v>
      </c>
      <c r="O149" s="2">
        <f>ff_portfolios25!O149-ff_factors!$E149</f>
        <v>-3.1337999999999998E-2</v>
      </c>
      <c r="P149" s="2">
        <f>ff_portfolios25!P149-ff_factors!$E149</f>
        <v>-3.5038E-2</v>
      </c>
      <c r="Q149" s="2">
        <f>ff_portfolios25!Q149-ff_factors!$E149</f>
        <v>-2.3268E-2</v>
      </c>
      <c r="R149" s="2">
        <f>ff_portfolios25!R149-ff_factors!$E149</f>
        <v>-1.3873999999999999E-2</v>
      </c>
      <c r="S149" s="2">
        <f>ff_portfolios25!S149-ff_factors!$E149</f>
        <v>-2.6916000000000002E-2</v>
      </c>
      <c r="T149" s="2">
        <f>ff_portfolios25!T149-ff_factors!$E149</f>
        <v>-2.0961E-2</v>
      </c>
      <c r="U149" s="2">
        <f>ff_portfolios25!U149-ff_factors!$E149</f>
        <v>-3.6574000000000002E-2</v>
      </c>
      <c r="V149" s="2">
        <f>ff_portfolios25!V149-ff_factors!$E149</f>
        <v>-2.9354000000000002E-2</v>
      </c>
      <c r="W149" s="2">
        <f>ff_portfolios25!W149-ff_factors!$E149</f>
        <v>-5.2825000000000004E-2</v>
      </c>
      <c r="X149" s="2">
        <f>ff_portfolios25!X149-ff_factors!$E149</f>
        <v>-1.2739E-2</v>
      </c>
      <c r="Y149" s="2">
        <f>ff_portfolios25!Y149-ff_factors!$E149</f>
        <v>-1.464E-2</v>
      </c>
      <c r="Z149" s="2">
        <f>ff_portfolios25!Z149-ff_factors!$E149</f>
        <v>-1.6143000000000001E-2</v>
      </c>
      <c r="AA149" s="2">
        <f>ff_portfolios25!AA149-ff_factors!$E149</f>
        <v>-1.0746E-2</v>
      </c>
      <c r="AB149" s="2">
        <f>ff_portfolios25!AB149-ff_factors!$E149</f>
        <v>-1.2481000000000001E-2</v>
      </c>
    </row>
    <row r="150" spans="1:28" x14ac:dyDescent="0.2">
      <c r="A150">
        <v>19440531</v>
      </c>
      <c r="B150">
        <v>1944</v>
      </c>
      <c r="C150">
        <v>5</v>
      </c>
      <c r="D150" s="2">
        <f>ff_portfolios25!D150-ff_factors!$E150</f>
        <v>7.3932000000000012E-2</v>
      </c>
      <c r="E150" s="2">
        <f>ff_portfolios25!E150-ff_factors!$E150</f>
        <v>3.1572999999999997E-2</v>
      </c>
      <c r="F150" s="2">
        <f>ff_portfolios25!F150-ff_factors!$E150</f>
        <v>0.11795</v>
      </c>
      <c r="G150" s="2">
        <f>ff_portfolios25!G150-ff_factors!$E150</f>
        <v>6.2687000000000007E-2</v>
      </c>
      <c r="H150" s="2">
        <f>ff_portfolios25!H150-ff_factors!$E150</f>
        <v>8.9282E-2</v>
      </c>
      <c r="I150" s="2">
        <f>ff_portfolios25!I150-ff_factors!$E150</f>
        <v>4.7792000000000001E-2</v>
      </c>
      <c r="J150" s="2">
        <f>ff_portfolios25!J150-ff_factors!$E150</f>
        <v>5.9204E-2</v>
      </c>
      <c r="K150" s="2">
        <f>ff_portfolios25!K150-ff_factors!$E150</f>
        <v>5.4901999999999999E-2</v>
      </c>
      <c r="L150" s="2">
        <f>ff_portfolios25!L150-ff_factors!$E150</f>
        <v>5.9886999999999996E-2</v>
      </c>
      <c r="M150" s="2">
        <f>ff_portfolios25!M150-ff_factors!$E150</f>
        <v>8.0555000000000002E-2</v>
      </c>
      <c r="N150" s="2">
        <f>ff_portfolios25!N150-ff_factors!$E150</f>
        <v>6.0167999999999999E-2</v>
      </c>
      <c r="O150" s="2">
        <f>ff_portfolios25!O150-ff_factors!$E150</f>
        <v>7.255700000000001E-2</v>
      </c>
      <c r="P150" s="2">
        <f>ff_portfolios25!P150-ff_factors!$E150</f>
        <v>6.9985000000000006E-2</v>
      </c>
      <c r="Q150" s="2">
        <f>ff_portfolios25!Q150-ff_factors!$E150</f>
        <v>5.7305999999999996E-2</v>
      </c>
      <c r="R150" s="2">
        <f>ff_portfolios25!R150-ff_factors!$E150</f>
        <v>8.8816000000000006E-2</v>
      </c>
      <c r="S150" s="2">
        <f>ff_portfolios25!S150-ff_factors!$E150</f>
        <v>4.6982999999999997E-2</v>
      </c>
      <c r="T150" s="2">
        <f>ff_portfolios25!T150-ff_factors!$E150</f>
        <v>5.6855999999999997E-2</v>
      </c>
      <c r="U150" s="2">
        <f>ff_portfolios25!U150-ff_factors!$E150</f>
        <v>6.1002000000000001E-2</v>
      </c>
      <c r="V150" s="2">
        <f>ff_portfolios25!V150-ff_factors!$E150</f>
        <v>8.6931000000000008E-2</v>
      </c>
      <c r="W150" s="2">
        <f>ff_portfolios25!W150-ff_factors!$E150</f>
        <v>7.9332E-2</v>
      </c>
      <c r="X150" s="2">
        <f>ff_portfolios25!X150-ff_factors!$E150</f>
        <v>4.3943999999999997E-2</v>
      </c>
      <c r="Y150" s="2">
        <f>ff_portfolios25!Y150-ff_factors!$E150</f>
        <v>4.6114999999999996E-2</v>
      </c>
      <c r="Z150" s="2">
        <f>ff_portfolios25!Z150-ff_factors!$E150</f>
        <v>4.5393999999999997E-2</v>
      </c>
      <c r="AA150" s="2">
        <f>ff_portfolios25!AA150-ff_factors!$E150</f>
        <v>4.4375999999999999E-2</v>
      </c>
      <c r="AB150" s="2">
        <f>ff_portfolios25!AB150-ff_factors!$E150</f>
        <v>6.9333000000000006E-2</v>
      </c>
    </row>
    <row r="151" spans="1:28" x14ac:dyDescent="0.2">
      <c r="A151">
        <v>19440630</v>
      </c>
      <c r="B151">
        <v>1944</v>
      </c>
      <c r="C151">
        <v>6</v>
      </c>
      <c r="D151" s="2">
        <f>ff_portfolios25!D151-ff_factors!$E151</f>
        <v>0.25567599999999996</v>
      </c>
      <c r="E151" s="2">
        <f>ff_portfolios25!E151-ff_factors!$E151</f>
        <v>0.13456400000000002</v>
      </c>
      <c r="F151" s="2">
        <f>ff_portfolios25!F151-ff_factors!$E151</f>
        <v>0.11039900000000001</v>
      </c>
      <c r="G151" s="2">
        <f>ff_portfolios25!G151-ff_factors!$E151</f>
        <v>0.148449</v>
      </c>
      <c r="H151" s="2">
        <f>ff_portfolios25!H151-ff_factors!$E151</f>
        <v>0.164467</v>
      </c>
      <c r="I151" s="2">
        <f>ff_portfolios25!I151-ff_factors!$E151</f>
        <v>0.120614</v>
      </c>
      <c r="J151" s="2">
        <f>ff_portfolios25!J151-ff_factors!$E151</f>
        <v>0.12185800000000001</v>
      </c>
      <c r="K151" s="2">
        <f>ff_portfolios25!K151-ff_factors!$E151</f>
        <v>5.0542999999999998E-2</v>
      </c>
      <c r="L151" s="2">
        <f>ff_portfolios25!L151-ff_factors!$E151</f>
        <v>8.049400000000001E-2</v>
      </c>
      <c r="M151" s="2">
        <f>ff_portfolios25!M151-ff_factors!$E151</f>
        <v>9.0980000000000005E-2</v>
      </c>
      <c r="N151" s="2">
        <f>ff_portfolios25!N151-ff_factors!$E151</f>
        <v>5.493E-2</v>
      </c>
      <c r="O151" s="2">
        <f>ff_portfolios25!O151-ff_factors!$E151</f>
        <v>8.6310999999999999E-2</v>
      </c>
      <c r="P151" s="2">
        <f>ff_portfolios25!P151-ff_factors!$E151</f>
        <v>8.9022000000000004E-2</v>
      </c>
      <c r="Q151" s="2">
        <f>ff_portfolios25!Q151-ff_factors!$E151</f>
        <v>9.5258000000000009E-2</v>
      </c>
      <c r="R151" s="2">
        <f>ff_portfolios25!R151-ff_factors!$E151</f>
        <v>0.100534</v>
      </c>
      <c r="S151" s="2">
        <f>ff_portfolios25!S151-ff_factors!$E151</f>
        <v>6.5195000000000003E-2</v>
      </c>
      <c r="T151" s="2">
        <f>ff_portfolios25!T151-ff_factors!$E151</f>
        <v>7.9501000000000002E-2</v>
      </c>
      <c r="U151" s="2">
        <f>ff_portfolios25!U151-ff_factors!$E151</f>
        <v>8.3194000000000004E-2</v>
      </c>
      <c r="V151" s="2">
        <f>ff_portfolios25!V151-ff_factors!$E151</f>
        <v>0.13763400000000001</v>
      </c>
      <c r="W151" s="2">
        <f>ff_portfolios25!W151-ff_factors!$E151</f>
        <v>9.9468000000000001E-2</v>
      </c>
      <c r="X151" s="2">
        <f>ff_portfolios25!X151-ff_factors!$E151</f>
        <v>5.4848999999999995E-2</v>
      </c>
      <c r="Y151" s="2">
        <f>ff_portfolios25!Y151-ff_factors!$E151</f>
        <v>3.6337000000000001E-2</v>
      </c>
      <c r="Z151" s="2">
        <f>ff_portfolios25!Z151-ff_factors!$E151</f>
        <v>3.2981999999999997E-2</v>
      </c>
      <c r="AA151" s="2">
        <f>ff_portfolios25!AA151-ff_factors!$E151</f>
        <v>5.8370999999999999E-2</v>
      </c>
      <c r="AB151" s="2">
        <f>ff_portfolios25!AB151-ff_factors!$E151</f>
        <v>5.2224E-2</v>
      </c>
    </row>
    <row r="152" spans="1:28" x14ac:dyDescent="0.2">
      <c r="A152">
        <v>19440731</v>
      </c>
      <c r="B152">
        <v>1944</v>
      </c>
      <c r="C152">
        <v>7</v>
      </c>
      <c r="D152" s="2">
        <f>ff_portfolios25!D152-ff_factors!$E152</f>
        <v>-4.1647000000000003E-2</v>
      </c>
      <c r="E152" s="2">
        <f>ff_portfolios25!E152-ff_factors!$E152</f>
        <v>-2.4062E-2</v>
      </c>
      <c r="F152" s="2">
        <f>ff_portfolios25!F152-ff_factors!$E152</f>
        <v>-8.1549999999999991E-3</v>
      </c>
      <c r="G152" s="2">
        <f>ff_portfolios25!G152-ff_factors!$E152</f>
        <v>8.8999999999999999E-3</v>
      </c>
      <c r="H152" s="2">
        <f>ff_portfolios25!H152-ff_factors!$E152</f>
        <v>-3.8432000000000001E-2</v>
      </c>
      <c r="I152" s="2">
        <f>ff_portfolios25!I152-ff_factors!$E152</f>
        <v>-9.2060000000000006E-3</v>
      </c>
      <c r="J152" s="2">
        <f>ff_portfolios25!J152-ff_factors!$E152</f>
        <v>1.397E-3</v>
      </c>
      <c r="K152" s="2">
        <f>ff_portfolios25!K152-ff_factors!$E152</f>
        <v>-2.3808000000000003E-2</v>
      </c>
      <c r="L152" s="2">
        <f>ff_portfolios25!L152-ff_factors!$E152</f>
        <v>-2.5070000000000002E-2</v>
      </c>
      <c r="M152" s="2">
        <f>ff_portfolios25!M152-ff_factors!$E152</f>
        <v>-1.0970000000000001E-2</v>
      </c>
      <c r="N152" s="2">
        <f>ff_portfolios25!N152-ff_factors!$E152</f>
        <v>-1.4059999999999999E-3</v>
      </c>
      <c r="O152" s="2">
        <f>ff_portfolios25!O152-ff_factors!$E152</f>
        <v>-7.1869999999999998E-3</v>
      </c>
      <c r="P152" s="2">
        <f>ff_portfolios25!P152-ff_factors!$E152</f>
        <v>-6.3239999999999998E-3</v>
      </c>
      <c r="Q152" s="2">
        <f>ff_portfolios25!Q152-ff_factors!$E152</f>
        <v>-1.4312E-2</v>
      </c>
      <c r="R152" s="2">
        <f>ff_portfolios25!R152-ff_factors!$E152</f>
        <v>-1.2156E-2</v>
      </c>
      <c r="S152" s="2">
        <f>ff_portfolios25!S152-ff_factors!$E152</f>
        <v>5.0799999999999999E-4</v>
      </c>
      <c r="T152" s="2">
        <f>ff_portfolios25!T152-ff_factors!$E152</f>
        <v>-1.1769E-2</v>
      </c>
      <c r="U152" s="2">
        <f>ff_portfolios25!U152-ff_factors!$E152</f>
        <v>-1.3977999999999999E-2</v>
      </c>
      <c r="V152" s="2">
        <f>ff_portfolios25!V152-ff_factors!$E152</f>
        <v>-2.7061000000000002E-2</v>
      </c>
      <c r="W152" s="2">
        <f>ff_portfolios25!W152-ff_factors!$E152</f>
        <v>-4.8679999999999999E-3</v>
      </c>
      <c r="X152" s="2">
        <f>ff_portfolios25!X152-ff_factors!$E152</f>
        <v>-2.0023000000000003E-2</v>
      </c>
      <c r="Y152" s="2">
        <f>ff_portfolios25!Y152-ff_factors!$E152</f>
        <v>-1.5767E-2</v>
      </c>
      <c r="Z152" s="2">
        <f>ff_portfolios25!Z152-ff_factors!$E152</f>
        <v>-1.2049000000000001E-2</v>
      </c>
      <c r="AA152" s="2">
        <f>ff_portfolios25!AA152-ff_factors!$E152</f>
        <v>-1.1415999999999999E-2</v>
      </c>
      <c r="AB152" s="2">
        <f>ff_portfolios25!AB152-ff_factors!$E152</f>
        <v>-5.5950000000000001E-3</v>
      </c>
    </row>
    <row r="153" spans="1:28" x14ac:dyDescent="0.2">
      <c r="A153">
        <v>19440831</v>
      </c>
      <c r="B153">
        <v>1944</v>
      </c>
      <c r="C153">
        <v>8</v>
      </c>
      <c r="D153" s="2">
        <f>ff_portfolios25!D153-ff_factors!$E153</f>
        <v>7.1424000000000001E-2</v>
      </c>
      <c r="E153" s="2">
        <f>ff_portfolios25!E153-ff_factors!$E153</f>
        <v>2.4603E-2</v>
      </c>
      <c r="F153" s="2">
        <f>ff_portfolios25!F153-ff_factors!$E153</f>
        <v>1.9754999999999998E-2</v>
      </c>
      <c r="G153" s="2">
        <f>ff_portfolios25!G153-ff_factors!$E153</f>
        <v>2.6461999999999999E-2</v>
      </c>
      <c r="H153" s="2">
        <f>ff_portfolios25!H153-ff_factors!$E153</f>
        <v>3.2223999999999996E-2</v>
      </c>
      <c r="I153" s="2">
        <f>ff_portfolios25!I153-ff_factors!$E153</f>
        <v>2.8170999999999998E-2</v>
      </c>
      <c r="J153" s="2">
        <f>ff_portfolios25!J153-ff_factors!$E153</f>
        <v>4.2443999999999996E-2</v>
      </c>
      <c r="K153" s="2">
        <f>ff_portfolios25!K153-ff_factors!$E153</f>
        <v>4.5003999999999995E-2</v>
      </c>
      <c r="L153" s="2">
        <f>ff_portfolios25!L153-ff_factors!$E153</f>
        <v>4.6389E-2</v>
      </c>
      <c r="M153" s="2">
        <f>ff_portfolios25!M153-ff_factors!$E153</f>
        <v>-1.176E-2</v>
      </c>
      <c r="N153" s="2">
        <f>ff_portfolios25!N153-ff_factors!$E153</f>
        <v>2.8090999999999998E-2</v>
      </c>
      <c r="O153" s="2">
        <f>ff_portfolios25!O153-ff_factors!$E153</f>
        <v>4.4115000000000001E-2</v>
      </c>
      <c r="P153" s="2">
        <f>ff_portfolios25!P153-ff_factors!$E153</f>
        <v>3.8155999999999995E-2</v>
      </c>
      <c r="Q153" s="2">
        <f>ff_portfolios25!Q153-ff_factors!$E153</f>
        <v>3.4623000000000001E-2</v>
      </c>
      <c r="R153" s="2">
        <f>ff_portfolios25!R153-ff_factors!$E153</f>
        <v>2.1625999999999999E-2</v>
      </c>
      <c r="S153" s="2">
        <f>ff_portfolios25!S153-ff_factors!$E153</f>
        <v>6.5550000000000001E-3</v>
      </c>
      <c r="T153" s="2">
        <f>ff_portfolios25!T153-ff_factors!$E153</f>
        <v>3.2510999999999998E-2</v>
      </c>
      <c r="U153" s="2">
        <f>ff_portfolios25!U153-ff_factors!$E153</f>
        <v>2.5536E-2</v>
      </c>
      <c r="V153" s="2">
        <f>ff_portfolios25!V153-ff_factors!$E153</f>
        <v>3.7539999999999997E-2</v>
      </c>
      <c r="W153" s="2">
        <f>ff_portfolios25!W153-ff_factors!$E153</f>
        <v>1.0802000000000001E-2</v>
      </c>
      <c r="X153" s="2">
        <f>ff_portfolios25!X153-ff_factors!$E153</f>
        <v>1.7078999999999997E-2</v>
      </c>
      <c r="Y153" s="2">
        <f>ff_portfolios25!Y153-ff_factors!$E153</f>
        <v>1.7240000000000003E-3</v>
      </c>
      <c r="Z153" s="2">
        <f>ff_portfolios25!Z153-ff_factors!$E153</f>
        <v>1.9994999999999999E-2</v>
      </c>
      <c r="AA153" s="2">
        <f>ff_portfolios25!AA153-ff_factors!$E153</f>
        <v>1.0735E-2</v>
      </c>
      <c r="AB153" s="2">
        <f>ff_portfolios25!AB153-ff_factors!$E153</f>
        <v>7.2500000000000017E-4</v>
      </c>
    </row>
    <row r="154" spans="1:28" x14ac:dyDescent="0.2">
      <c r="A154">
        <v>19440930</v>
      </c>
      <c r="B154">
        <v>1944</v>
      </c>
      <c r="C154">
        <v>9</v>
      </c>
      <c r="D154" s="2">
        <f>ff_portfolios25!D154-ff_factors!$E154</f>
        <v>-1.4281E-2</v>
      </c>
      <c r="E154" s="2">
        <f>ff_portfolios25!E154-ff_factors!$E154</f>
        <v>2.3903000000000001E-2</v>
      </c>
      <c r="F154" s="2">
        <f>ff_portfolios25!F154-ff_factors!$E154</f>
        <v>2.9329000000000001E-2</v>
      </c>
      <c r="G154" s="2">
        <f>ff_portfolios25!G154-ff_factors!$E154</f>
        <v>-1.06E-3</v>
      </c>
      <c r="H154" s="2">
        <f>ff_portfolios25!H154-ff_factors!$E154</f>
        <v>-4.3829999999999997E-3</v>
      </c>
      <c r="I154" s="2">
        <f>ff_portfolios25!I154-ff_factors!$E154</f>
        <v>2.4524000000000001E-2</v>
      </c>
      <c r="J154" s="2">
        <f>ff_portfolios25!J154-ff_factors!$E154</f>
        <v>-3.1840000000000002E-3</v>
      </c>
      <c r="K154" s="2">
        <f>ff_portfolios25!K154-ff_factors!$E154</f>
        <v>-1.5069000000000001E-2</v>
      </c>
      <c r="L154" s="2">
        <f>ff_portfolios25!L154-ff_factors!$E154</f>
        <v>1.2000000000000002E-4</v>
      </c>
      <c r="M154" s="2">
        <f>ff_portfolios25!M154-ff_factors!$E154</f>
        <v>1.2761E-2</v>
      </c>
      <c r="N154" s="2">
        <f>ff_portfolios25!N154-ff_factors!$E154</f>
        <v>7.0940000000000005E-3</v>
      </c>
      <c r="O154" s="2">
        <f>ff_portfolios25!O154-ff_factors!$E154</f>
        <v>8.7609999999999997E-3</v>
      </c>
      <c r="P154" s="2">
        <f>ff_portfolios25!P154-ff_factors!$E154</f>
        <v>-1.1796000000000001E-2</v>
      </c>
      <c r="Q154" s="2">
        <f>ff_portfolios25!Q154-ff_factors!$E154</f>
        <v>2.0501000000000002E-2</v>
      </c>
      <c r="R154" s="2">
        <f>ff_portfolios25!R154-ff_factors!$E154</f>
        <v>2.598E-3</v>
      </c>
      <c r="S154" s="2">
        <f>ff_portfolios25!S154-ff_factors!$E154</f>
        <v>-2.0709999999999999E-3</v>
      </c>
      <c r="T154" s="2">
        <f>ff_portfolios25!T154-ff_factors!$E154</f>
        <v>-1.0468E-2</v>
      </c>
      <c r="U154" s="2">
        <f>ff_portfolios25!U154-ff_factors!$E154</f>
        <v>-1.784E-3</v>
      </c>
      <c r="V154" s="2">
        <f>ff_portfolios25!V154-ff_factors!$E154</f>
        <v>1.6966000000000002E-2</v>
      </c>
      <c r="W154" s="2">
        <f>ff_portfolios25!W154-ff_factors!$E154</f>
        <v>-6.4819999999999999E-3</v>
      </c>
      <c r="X154" s="2">
        <f>ff_portfolios25!X154-ff_factors!$E154</f>
        <v>4.64E-3</v>
      </c>
      <c r="Y154" s="2">
        <f>ff_portfolios25!Y154-ff_factors!$E154</f>
        <v>-3.5509999999999999E-3</v>
      </c>
      <c r="Z154" s="2">
        <f>ff_portfolios25!Z154-ff_factors!$E154</f>
        <v>1.2799999999999999E-3</v>
      </c>
      <c r="AA154" s="2">
        <f>ff_portfolios25!AA154-ff_factors!$E154</f>
        <v>-3.7599999999999999E-3</v>
      </c>
      <c r="AB154" s="2">
        <f>ff_portfolios25!AB154-ff_factors!$E154</f>
        <v>1.3269999999999998E-3</v>
      </c>
    </row>
    <row r="155" spans="1:28" x14ac:dyDescent="0.2">
      <c r="A155">
        <v>19441031</v>
      </c>
      <c r="B155">
        <v>1944</v>
      </c>
      <c r="C155">
        <v>10</v>
      </c>
      <c r="D155" s="2">
        <f>ff_portfolios25!D155-ff_factors!$E155</f>
        <v>1.9750000000000002E-3</v>
      </c>
      <c r="E155" s="2">
        <f>ff_portfolios25!E155-ff_factors!$E155</f>
        <v>1.3002E-2</v>
      </c>
      <c r="F155" s="2">
        <f>ff_portfolios25!F155-ff_factors!$E155</f>
        <v>1.0939000000000001E-2</v>
      </c>
      <c r="G155" s="2">
        <f>ff_portfolios25!G155-ff_factors!$E155</f>
        <v>3.2010000000000003E-3</v>
      </c>
      <c r="H155" s="2">
        <f>ff_portfolios25!H155-ff_factors!$E155</f>
        <v>5.8710000000000004E-3</v>
      </c>
      <c r="I155" s="2">
        <f>ff_portfolios25!I155-ff_factors!$E155</f>
        <v>-1.1609E-2</v>
      </c>
      <c r="J155" s="2">
        <f>ff_portfolios25!J155-ff_factors!$E155</f>
        <v>6.1660000000000005E-3</v>
      </c>
      <c r="K155" s="2">
        <f>ff_portfolios25!K155-ff_factors!$E155</f>
        <v>7.9419999999999994E-3</v>
      </c>
      <c r="L155" s="2">
        <f>ff_portfolios25!L155-ff_factors!$E155</f>
        <v>6.1549999999999999E-3</v>
      </c>
      <c r="M155" s="2">
        <f>ff_portfolios25!M155-ff_factors!$E155</f>
        <v>-9.5169999999999994E-3</v>
      </c>
      <c r="N155" s="2">
        <f>ff_portfolios25!N155-ff_factors!$E155</f>
        <v>-1.3160999999999999E-2</v>
      </c>
      <c r="O155" s="2">
        <f>ff_portfolios25!O155-ff_factors!$E155</f>
        <v>1.2511E-2</v>
      </c>
      <c r="P155" s="2">
        <f>ff_portfolios25!P155-ff_factors!$E155</f>
        <v>-7.3999999999999983E-5</v>
      </c>
      <c r="Q155" s="2">
        <f>ff_portfolios25!Q155-ff_factors!$E155</f>
        <v>-9.6220000000000003E-3</v>
      </c>
      <c r="R155" s="2">
        <f>ff_portfolios25!R155-ff_factors!$E155</f>
        <v>-5.0489999999999997E-3</v>
      </c>
      <c r="S155" s="2">
        <f>ff_portfolios25!S155-ff_factors!$E155</f>
        <v>-2.2139999999999998E-3</v>
      </c>
      <c r="T155" s="2">
        <f>ff_portfolios25!T155-ff_factors!$E155</f>
        <v>-6.012E-3</v>
      </c>
      <c r="U155" s="2">
        <f>ff_portfolios25!U155-ff_factors!$E155</f>
        <v>-9.7059999999999994E-3</v>
      </c>
      <c r="V155" s="2">
        <f>ff_portfolios25!V155-ff_factors!$E155</f>
        <v>4.1720000000000004E-3</v>
      </c>
      <c r="W155" s="2">
        <f>ff_portfolios25!W155-ff_factors!$E155</f>
        <v>-1.128E-2</v>
      </c>
      <c r="X155" s="2">
        <f>ff_portfolios25!X155-ff_factors!$E155</f>
        <v>-3.2819999999999998E-3</v>
      </c>
      <c r="Y155" s="2">
        <f>ff_portfolios25!Y155-ff_factors!$E155</f>
        <v>9.0710000000000009E-3</v>
      </c>
      <c r="Z155" s="2">
        <f>ff_portfolios25!Z155-ff_factors!$E155</f>
        <v>1.2662E-2</v>
      </c>
      <c r="AA155" s="2">
        <f>ff_portfolios25!AA155-ff_factors!$E155</f>
        <v>-3.483E-3</v>
      </c>
      <c r="AB155" s="2">
        <f>ff_portfolios25!AB155-ff_factors!$E155</f>
        <v>7.9410000000000001E-3</v>
      </c>
    </row>
    <row r="156" spans="1:28" x14ac:dyDescent="0.2">
      <c r="A156">
        <v>19441130</v>
      </c>
      <c r="B156">
        <v>1944</v>
      </c>
      <c r="C156">
        <v>11</v>
      </c>
      <c r="D156" s="2">
        <f>ff_portfolios25!D156-ff_factors!$E156</f>
        <v>2.2341E-2</v>
      </c>
      <c r="E156" s="2">
        <f>ff_portfolios25!E156-ff_factors!$E156</f>
        <v>-8.489E-3</v>
      </c>
      <c r="F156" s="2">
        <f>ff_portfolios25!F156-ff_factors!$E156</f>
        <v>2.9021999999999999E-2</v>
      </c>
      <c r="G156" s="2">
        <f>ff_portfolios25!G156-ff_factors!$E156</f>
        <v>4.8849999999999998E-2</v>
      </c>
      <c r="H156" s="2">
        <f>ff_portfolios25!H156-ff_factors!$E156</f>
        <v>1.6451999999999998E-2</v>
      </c>
      <c r="I156" s="2">
        <f>ff_portfolios25!I156-ff_factors!$E156</f>
        <v>2.3143999999999998E-2</v>
      </c>
      <c r="J156" s="2">
        <f>ff_portfolios25!J156-ff_factors!$E156</f>
        <v>1.4012E-2</v>
      </c>
      <c r="K156" s="2">
        <f>ff_portfolios25!K156-ff_factors!$E156</f>
        <v>3.4009999999999999E-2</v>
      </c>
      <c r="L156" s="2">
        <f>ff_portfolios25!L156-ff_factors!$E156</f>
        <v>3.2531999999999998E-2</v>
      </c>
      <c r="M156" s="2">
        <f>ff_portfolios25!M156-ff_factors!$E156</f>
        <v>4.0315999999999998E-2</v>
      </c>
      <c r="N156" s="2">
        <f>ff_portfolios25!N156-ff_factors!$E156</f>
        <v>4.4520000000000002E-3</v>
      </c>
      <c r="O156" s="2">
        <f>ff_portfolios25!O156-ff_factors!$E156</f>
        <v>2.5787999999999998E-2</v>
      </c>
      <c r="P156" s="2">
        <f>ff_portfolios25!P156-ff_factors!$E156</f>
        <v>1.2972000000000001E-2</v>
      </c>
      <c r="Q156" s="2">
        <f>ff_portfolios25!Q156-ff_factors!$E156</f>
        <v>1.6697E-2</v>
      </c>
      <c r="R156" s="2">
        <f>ff_portfolios25!R156-ff_factors!$E156</f>
        <v>3.6815000000000001E-2</v>
      </c>
      <c r="S156" s="2">
        <f>ff_portfolios25!S156-ff_factors!$E156</f>
        <v>1.5958E-2</v>
      </c>
      <c r="T156" s="2">
        <f>ff_portfolios25!T156-ff_factors!$E156</f>
        <v>2.2497E-2</v>
      </c>
      <c r="U156" s="2">
        <f>ff_portfolios25!U156-ff_factors!$E156</f>
        <v>2.3846999999999997E-2</v>
      </c>
      <c r="V156" s="2">
        <f>ff_portfolios25!V156-ff_factors!$E156</f>
        <v>4.7506E-2</v>
      </c>
      <c r="W156" s="2">
        <f>ff_portfolios25!W156-ff_factors!$E156</f>
        <v>1.5205E-2</v>
      </c>
      <c r="X156" s="2">
        <f>ff_portfolios25!X156-ff_factors!$E156</f>
        <v>1.0385999999999999E-2</v>
      </c>
      <c r="Y156" s="2">
        <f>ff_portfolios25!Y156-ff_factors!$E156</f>
        <v>1.6419E-2</v>
      </c>
      <c r="Z156" s="2">
        <f>ff_portfolios25!Z156-ff_factors!$E156</f>
        <v>2.0639999999999999E-2</v>
      </c>
      <c r="AA156" s="2">
        <f>ff_portfolios25!AA156-ff_factors!$E156</f>
        <v>2.4977999999999997E-2</v>
      </c>
      <c r="AB156" s="2">
        <f>ff_portfolios25!AB156-ff_factors!$E156</f>
        <v>3.8526999999999999E-2</v>
      </c>
    </row>
    <row r="157" spans="1:28" x14ac:dyDescent="0.2">
      <c r="A157">
        <v>19441230</v>
      </c>
      <c r="B157">
        <v>1944</v>
      </c>
      <c r="C157">
        <v>12</v>
      </c>
      <c r="D157" s="2">
        <f>ff_portfolios25!D157-ff_factors!$E157</f>
        <v>2.3757E-2</v>
      </c>
      <c r="E157" s="2">
        <f>ff_portfolios25!E157-ff_factors!$E157</f>
        <v>2.2069000000000002E-2</v>
      </c>
      <c r="F157" s="2">
        <f>ff_portfolios25!F157-ff_factors!$E157</f>
        <v>6.5093999999999999E-2</v>
      </c>
      <c r="G157" s="2">
        <f>ff_portfolios25!G157-ff_factors!$E157</f>
        <v>7.242599999999999E-2</v>
      </c>
      <c r="H157" s="2">
        <f>ff_portfolios25!H157-ff_factors!$E157</f>
        <v>0.152308</v>
      </c>
      <c r="I157" s="2">
        <f>ff_portfolios25!I157-ff_factors!$E157</f>
        <v>6.8171999999999996E-2</v>
      </c>
      <c r="J157" s="2">
        <f>ff_portfolios25!J157-ff_factors!$E157</f>
        <v>5.4255000000000005E-2</v>
      </c>
      <c r="K157" s="2">
        <f>ff_portfolios25!K157-ff_factors!$E157</f>
        <v>7.5738E-2</v>
      </c>
      <c r="L157" s="2">
        <f>ff_portfolios25!L157-ff_factors!$E157</f>
        <v>6.8683999999999995E-2</v>
      </c>
      <c r="M157" s="2">
        <f>ff_portfolios25!M157-ff_factors!$E157</f>
        <v>0.14015</v>
      </c>
      <c r="N157" s="2">
        <f>ff_portfolios25!N157-ff_factors!$E157</f>
        <v>5.2557E-2</v>
      </c>
      <c r="O157" s="2">
        <f>ff_portfolios25!O157-ff_factors!$E157</f>
        <v>7.9505999999999993E-2</v>
      </c>
      <c r="P157" s="2">
        <f>ff_portfolios25!P157-ff_factors!$E157</f>
        <v>5.8668999999999999E-2</v>
      </c>
      <c r="Q157" s="2">
        <f>ff_portfolios25!Q157-ff_factors!$E157</f>
        <v>5.4005999999999998E-2</v>
      </c>
      <c r="R157" s="2">
        <f>ff_portfolios25!R157-ff_factors!$E157</f>
        <v>0.10831499999999999</v>
      </c>
      <c r="S157" s="2">
        <f>ff_portfolios25!S157-ff_factors!$E157</f>
        <v>3.3280000000000004E-2</v>
      </c>
      <c r="T157" s="2">
        <f>ff_portfolios25!T157-ff_factors!$E157</f>
        <v>4.8689000000000003E-2</v>
      </c>
      <c r="U157" s="2">
        <f>ff_portfolios25!U157-ff_factors!$E157</f>
        <v>5.6318E-2</v>
      </c>
      <c r="V157" s="2">
        <f>ff_portfolios25!V157-ff_factors!$E157</f>
        <v>6.4940999999999999E-2</v>
      </c>
      <c r="W157" s="2">
        <f>ff_portfolios25!W157-ff_factors!$E157</f>
        <v>0.1215</v>
      </c>
      <c r="X157" s="2">
        <f>ff_portfolios25!X157-ff_factors!$E157</f>
        <v>2.1336000000000001E-2</v>
      </c>
      <c r="Y157" s="2">
        <f>ff_portfolios25!Y157-ff_factors!$E157</f>
        <v>3.1355000000000001E-2</v>
      </c>
      <c r="Z157" s="2">
        <f>ff_portfolios25!Z157-ff_factors!$E157</f>
        <v>4.8266000000000003E-2</v>
      </c>
      <c r="AA157" s="2">
        <f>ff_portfolios25!AA157-ff_factors!$E157</f>
        <v>4.7181000000000001E-2</v>
      </c>
      <c r="AB157" s="2">
        <f>ff_portfolios25!AB157-ff_factors!$E157</f>
        <v>0.117835</v>
      </c>
    </row>
    <row r="158" spans="1:28" x14ac:dyDescent="0.2">
      <c r="A158">
        <v>19450131</v>
      </c>
      <c r="B158">
        <v>1945</v>
      </c>
      <c r="C158">
        <v>1</v>
      </c>
      <c r="D158" s="2">
        <f>ff_portfolios25!D158-ff_factors!$E158</f>
        <v>0.21667600000000001</v>
      </c>
      <c r="E158" s="2">
        <f>ff_portfolios25!E158-ff_factors!$E158</f>
        <v>5.5773999999999997E-2</v>
      </c>
      <c r="F158" s="2">
        <f>ff_portfolios25!F158-ff_factors!$E158</f>
        <v>6.0642000000000001E-2</v>
      </c>
      <c r="G158" s="2">
        <f>ff_portfolios25!G158-ff_factors!$E158</f>
        <v>4.7482999999999997E-2</v>
      </c>
      <c r="H158" s="2">
        <f>ff_portfolios25!H158-ff_factors!$E158</f>
        <v>3.8012999999999998E-2</v>
      </c>
      <c r="I158" s="2">
        <f>ff_portfolios25!I158-ff_factors!$E158</f>
        <v>4.7071000000000002E-2</v>
      </c>
      <c r="J158" s="2">
        <f>ff_portfolios25!J158-ff_factors!$E158</f>
        <v>3.7413999999999996E-2</v>
      </c>
      <c r="K158" s="2">
        <f>ff_portfolios25!K158-ff_factors!$E158</f>
        <v>5.0931999999999998E-2</v>
      </c>
      <c r="L158" s="2">
        <f>ff_portfolios25!L158-ff_factors!$E158</f>
        <v>6.7462000000000008E-2</v>
      </c>
      <c r="M158" s="2">
        <f>ff_portfolios25!M158-ff_factors!$E158</f>
        <v>3.4035999999999997E-2</v>
      </c>
      <c r="N158" s="2">
        <f>ff_portfolios25!N158-ff_factors!$E158</f>
        <v>4.0496999999999998E-2</v>
      </c>
      <c r="O158" s="2">
        <f>ff_portfolios25!O158-ff_factors!$E158</f>
        <v>4.2867999999999996E-2</v>
      </c>
      <c r="P158" s="2">
        <f>ff_portfolios25!P158-ff_factors!$E158</f>
        <v>3.8175000000000001E-2</v>
      </c>
      <c r="Q158" s="2">
        <f>ff_portfolios25!Q158-ff_factors!$E158</f>
        <v>3.3216999999999997E-2</v>
      </c>
      <c r="R158" s="2">
        <f>ff_portfolios25!R158-ff_factors!$E158</f>
        <v>4.6117999999999999E-2</v>
      </c>
      <c r="S158" s="2">
        <f>ff_portfolios25!S158-ff_factors!$E158</f>
        <v>2.8208999999999998E-2</v>
      </c>
      <c r="T158" s="2">
        <f>ff_portfolios25!T158-ff_factors!$E158</f>
        <v>3.0285999999999997E-2</v>
      </c>
      <c r="U158" s="2">
        <f>ff_portfolios25!U158-ff_factors!$E158</f>
        <v>3.0359999999999998E-2</v>
      </c>
      <c r="V158" s="2">
        <f>ff_portfolios25!V158-ff_factors!$E158</f>
        <v>1.5919999999999997E-2</v>
      </c>
      <c r="W158" s="2">
        <f>ff_portfolios25!W158-ff_factors!$E158</f>
        <v>3.5128E-2</v>
      </c>
      <c r="X158" s="2">
        <f>ff_portfolios25!X158-ff_factors!$E158</f>
        <v>9.9469999999999992E-3</v>
      </c>
      <c r="Y158" s="2">
        <f>ff_portfolios25!Y158-ff_factors!$E158</f>
        <v>7.1029999999999999E-3</v>
      </c>
      <c r="Z158" s="2">
        <f>ff_portfolios25!Z158-ff_factors!$E158</f>
        <v>2.9904999999999998E-2</v>
      </c>
      <c r="AA158" s="2">
        <f>ff_portfolios25!AA158-ff_factors!$E158</f>
        <v>5.9741999999999996E-2</v>
      </c>
      <c r="AB158" s="2">
        <f>ff_portfolios25!AB158-ff_factors!$E158</f>
        <v>1.1286000000000001E-2</v>
      </c>
    </row>
    <row r="159" spans="1:28" x14ac:dyDescent="0.2">
      <c r="A159">
        <v>19450228</v>
      </c>
      <c r="B159">
        <v>1945</v>
      </c>
      <c r="C159">
        <v>2</v>
      </c>
      <c r="D159" s="2">
        <f>ff_portfolios25!D159-ff_factors!$E159</f>
        <v>6.2151999999999999E-2</v>
      </c>
      <c r="E159" s="2">
        <f>ff_portfolios25!E159-ff_factors!$E159</f>
        <v>4.6996000000000003E-2</v>
      </c>
      <c r="F159" s="2">
        <f>ff_portfolios25!F159-ff_factors!$E159</f>
        <v>9.4686999999999993E-2</v>
      </c>
      <c r="G159" s="2">
        <f>ff_portfolios25!G159-ff_factors!$E159</f>
        <v>7.7816999999999997E-2</v>
      </c>
      <c r="H159" s="2">
        <f>ff_portfolios25!H159-ff_factors!$E159</f>
        <v>0.11389099999999999</v>
      </c>
      <c r="I159" s="2">
        <f>ff_portfolios25!I159-ff_factors!$E159</f>
        <v>7.3972999999999997E-2</v>
      </c>
      <c r="J159" s="2">
        <f>ff_portfolios25!J159-ff_factors!$E159</f>
        <v>7.3691999999999994E-2</v>
      </c>
      <c r="K159" s="2">
        <f>ff_portfolios25!K159-ff_factors!$E159</f>
        <v>0.10572799999999999</v>
      </c>
      <c r="L159" s="2">
        <f>ff_portfolios25!L159-ff_factors!$E159</f>
        <v>8.0403999999999989E-2</v>
      </c>
      <c r="M159" s="2">
        <f>ff_portfolios25!M159-ff_factors!$E159</f>
        <v>0.120072</v>
      </c>
      <c r="N159" s="2">
        <f>ff_portfolios25!N159-ff_factors!$E159</f>
        <v>6.6688999999999998E-2</v>
      </c>
      <c r="O159" s="2">
        <f>ff_portfolios25!O159-ff_factors!$E159</f>
        <v>5.7422000000000001E-2</v>
      </c>
      <c r="P159" s="2">
        <f>ff_portfolios25!P159-ff_factors!$E159</f>
        <v>9.2051999999999995E-2</v>
      </c>
      <c r="Q159" s="2">
        <f>ff_portfolios25!Q159-ff_factors!$E159</f>
        <v>9.081199999999999E-2</v>
      </c>
      <c r="R159" s="2">
        <f>ff_portfolios25!R159-ff_factors!$E159</f>
        <v>0.10428399999999999</v>
      </c>
      <c r="S159" s="2">
        <f>ff_portfolios25!S159-ff_factors!$E159</f>
        <v>6.7419999999999994E-2</v>
      </c>
      <c r="T159" s="2">
        <f>ff_portfolios25!T159-ff_factors!$E159</f>
        <v>6.4024999999999999E-2</v>
      </c>
      <c r="U159" s="2">
        <f>ff_portfolios25!U159-ff_factors!$E159</f>
        <v>7.103799999999999E-2</v>
      </c>
      <c r="V159" s="2">
        <f>ff_portfolios25!V159-ff_factors!$E159</f>
        <v>0.107541</v>
      </c>
      <c r="W159" s="2">
        <f>ff_portfolios25!W159-ff_factors!$E159</f>
        <v>0.143286</v>
      </c>
      <c r="X159" s="2">
        <f>ff_portfolios25!X159-ff_factors!$E159</f>
        <v>5.2250999999999999E-2</v>
      </c>
      <c r="Y159" s="2">
        <f>ff_portfolios25!Y159-ff_factors!$E159</f>
        <v>5.1624000000000003E-2</v>
      </c>
      <c r="Z159" s="2">
        <f>ff_portfolios25!Z159-ff_factors!$E159</f>
        <v>5.1206000000000002E-2</v>
      </c>
      <c r="AA159" s="2">
        <f>ff_portfolios25!AA159-ff_factors!$E159</f>
        <v>7.5365999999999989E-2</v>
      </c>
      <c r="AB159" s="2">
        <f>ff_portfolios25!AB159-ff_factors!$E159</f>
        <v>8.8169999999999998E-2</v>
      </c>
    </row>
    <row r="160" spans="1:28" x14ac:dyDescent="0.2">
      <c r="A160">
        <v>19450331</v>
      </c>
      <c r="B160">
        <v>1945</v>
      </c>
      <c r="C160">
        <v>3</v>
      </c>
      <c r="D160" s="2">
        <f>ff_portfolios25!D160-ff_factors!$E160</f>
        <v>-8.3310000000000009E-2</v>
      </c>
      <c r="E160" s="2">
        <f>ff_portfolios25!E160-ff_factors!$E160</f>
        <v>-7.0037000000000002E-2</v>
      </c>
      <c r="F160" s="2">
        <f>ff_portfolios25!F160-ff_factors!$E160</f>
        <v>-9.1688000000000006E-2</v>
      </c>
      <c r="G160" s="2">
        <f>ff_portfolios25!G160-ff_factors!$E160</f>
        <v>-8.2836000000000007E-2</v>
      </c>
      <c r="H160" s="2">
        <f>ff_portfolios25!H160-ff_factors!$E160</f>
        <v>-0.11843000000000001</v>
      </c>
      <c r="I160" s="2">
        <f>ff_portfolios25!I160-ff_factors!$E160</f>
        <v>-3.7908999999999998E-2</v>
      </c>
      <c r="J160" s="2">
        <f>ff_portfolios25!J160-ff_factors!$E160</f>
        <v>-5.6485E-2</v>
      </c>
      <c r="K160" s="2">
        <f>ff_portfolios25!K160-ff_factors!$E160</f>
        <v>-6.9990000000000011E-2</v>
      </c>
      <c r="L160" s="2">
        <f>ff_portfolios25!L160-ff_factors!$E160</f>
        <v>-4.3882999999999998E-2</v>
      </c>
      <c r="M160" s="2">
        <f>ff_portfolios25!M160-ff_factors!$E160</f>
        <v>-1.5406000000000001E-2</v>
      </c>
      <c r="N160" s="2">
        <f>ff_portfolios25!N160-ff_factors!$E160</f>
        <v>-4.2252999999999999E-2</v>
      </c>
      <c r="O160" s="2">
        <f>ff_portfolios25!O160-ff_factors!$E160</f>
        <v>-5.8283999999999996E-2</v>
      </c>
      <c r="P160" s="2">
        <f>ff_portfolios25!P160-ff_factors!$E160</f>
        <v>-5.3644999999999998E-2</v>
      </c>
      <c r="Q160" s="2">
        <f>ff_portfolios25!Q160-ff_factors!$E160</f>
        <v>-6.0371000000000001E-2</v>
      </c>
      <c r="R160" s="2">
        <f>ff_portfolios25!R160-ff_factors!$E160</f>
        <v>-7.4597000000000011E-2</v>
      </c>
      <c r="S160" s="2">
        <f>ff_portfolios25!S160-ff_factors!$E160</f>
        <v>-4.0050999999999996E-2</v>
      </c>
      <c r="T160" s="2">
        <f>ff_portfolios25!T160-ff_factors!$E160</f>
        <v>-3.8096999999999999E-2</v>
      </c>
      <c r="U160" s="2">
        <f>ff_portfolios25!U160-ff_factors!$E160</f>
        <v>-3.5624999999999997E-2</v>
      </c>
      <c r="V160" s="2">
        <f>ff_portfolios25!V160-ff_factors!$E160</f>
        <v>-5.0481999999999999E-2</v>
      </c>
      <c r="W160" s="2">
        <f>ff_portfolios25!W160-ff_factors!$E160</f>
        <v>-4.9347000000000002E-2</v>
      </c>
      <c r="X160" s="2">
        <f>ff_portfolios25!X160-ff_factors!$E160</f>
        <v>-3.8601999999999997E-2</v>
      </c>
      <c r="Y160" s="2">
        <f>ff_portfolios25!Y160-ff_factors!$E160</f>
        <v>-2.7549999999999998E-2</v>
      </c>
      <c r="Z160" s="2">
        <f>ff_portfolios25!Z160-ff_factors!$E160</f>
        <v>-3.7588999999999997E-2</v>
      </c>
      <c r="AA160" s="2">
        <f>ff_portfolios25!AA160-ff_factors!$E160</f>
        <v>-5.6697999999999998E-2</v>
      </c>
      <c r="AB160" s="2">
        <f>ff_portfolios25!AB160-ff_factors!$E160</f>
        <v>-3.6747999999999996E-2</v>
      </c>
    </row>
    <row r="161" spans="1:28" x14ac:dyDescent="0.2">
      <c r="A161">
        <v>19450430</v>
      </c>
      <c r="B161">
        <v>1945</v>
      </c>
      <c r="C161">
        <v>4</v>
      </c>
      <c r="D161" s="2">
        <f>ff_portfolios25!D161-ff_factors!$E161</f>
        <v>3.5921999999999996E-2</v>
      </c>
      <c r="E161" s="2">
        <f>ff_portfolios25!E161-ff_factors!$E161</f>
        <v>8.0432000000000003E-2</v>
      </c>
      <c r="F161" s="2">
        <f>ff_portfolios25!F161-ff_factors!$E161</f>
        <v>9.6319000000000002E-2</v>
      </c>
      <c r="G161" s="2">
        <f>ff_portfolios25!G161-ff_factors!$E161</f>
        <v>8.623900000000001E-2</v>
      </c>
      <c r="H161" s="2">
        <f>ff_portfolios25!H161-ff_factors!$E161</f>
        <v>8.4792000000000006E-2</v>
      </c>
      <c r="I161" s="2">
        <f>ff_portfolios25!I161-ff_factors!$E161</f>
        <v>6.7813000000000012E-2</v>
      </c>
      <c r="J161" s="2">
        <f>ff_portfolios25!J161-ff_factors!$E161</f>
        <v>6.9800000000000001E-2</v>
      </c>
      <c r="K161" s="2">
        <f>ff_portfolios25!K161-ff_factors!$E161</f>
        <v>9.9001000000000006E-2</v>
      </c>
      <c r="L161" s="2">
        <f>ff_portfolios25!L161-ff_factors!$E161</f>
        <v>8.3670000000000008E-2</v>
      </c>
      <c r="M161" s="2">
        <f>ff_portfolios25!M161-ff_factors!$E161</f>
        <v>0.15420600000000001</v>
      </c>
      <c r="N161" s="2">
        <f>ff_portfolios25!N161-ff_factors!$E161</f>
        <v>8.6782000000000012E-2</v>
      </c>
      <c r="O161" s="2">
        <f>ff_portfolios25!O161-ff_factors!$E161</f>
        <v>0.10190300000000001</v>
      </c>
      <c r="P161" s="2">
        <f>ff_portfolios25!P161-ff_factors!$E161</f>
        <v>6.8246000000000001E-2</v>
      </c>
      <c r="Q161" s="2">
        <f>ff_portfolios25!Q161-ff_factors!$E161</f>
        <v>8.3520000000000011E-2</v>
      </c>
      <c r="R161" s="2">
        <f>ff_portfolios25!R161-ff_factors!$E161</f>
        <v>0.119937</v>
      </c>
      <c r="S161" s="2">
        <f>ff_portfolios25!S161-ff_factors!$E161</f>
        <v>6.8811000000000011E-2</v>
      </c>
      <c r="T161" s="2">
        <f>ff_portfolios25!T161-ff_factors!$E161</f>
        <v>8.4485000000000005E-2</v>
      </c>
      <c r="U161" s="2">
        <f>ff_portfolios25!U161-ff_factors!$E161</f>
        <v>8.0601000000000006E-2</v>
      </c>
      <c r="V161" s="2">
        <f>ff_portfolios25!V161-ff_factors!$E161</f>
        <v>7.7488000000000001E-2</v>
      </c>
      <c r="W161" s="2">
        <f>ff_portfolios25!W161-ff_factors!$E161</f>
        <v>0.12759200000000001</v>
      </c>
      <c r="X161" s="2">
        <f>ff_portfolios25!X161-ff_factors!$E161</f>
        <v>7.570700000000001E-2</v>
      </c>
      <c r="Y161" s="2">
        <f>ff_portfolios25!Y161-ff_factors!$E161</f>
        <v>6.0836000000000001E-2</v>
      </c>
      <c r="Z161" s="2">
        <f>ff_portfolios25!Z161-ff_factors!$E161</f>
        <v>7.7462000000000003E-2</v>
      </c>
      <c r="AA161" s="2">
        <f>ff_portfolios25!AA161-ff_factors!$E161</f>
        <v>8.5908000000000012E-2</v>
      </c>
      <c r="AB161" s="2">
        <f>ff_portfolios25!AB161-ff_factors!$E161</f>
        <v>0.110084</v>
      </c>
    </row>
    <row r="162" spans="1:28" x14ac:dyDescent="0.2">
      <c r="A162">
        <v>19450531</v>
      </c>
      <c r="B162">
        <v>1945</v>
      </c>
      <c r="C162">
        <v>5</v>
      </c>
      <c r="D162" s="2">
        <f>ff_portfolios25!D162-ff_factors!$E162</f>
        <v>8.9709999999999998E-3</v>
      </c>
      <c r="E162" s="2">
        <f>ff_portfolios25!E162-ff_factors!$E162</f>
        <v>9.1355000000000006E-2</v>
      </c>
      <c r="F162" s="2">
        <f>ff_portfolios25!F162-ff_factors!$E162</f>
        <v>3.6891E-2</v>
      </c>
      <c r="G162" s="2">
        <f>ff_portfolios25!G162-ff_factors!$E162</f>
        <v>2.4322E-2</v>
      </c>
      <c r="H162" s="2">
        <f>ff_portfolios25!H162-ff_factors!$E162</f>
        <v>6.1312999999999999E-2</v>
      </c>
      <c r="I162" s="2">
        <f>ff_portfolios25!I162-ff_factors!$E162</f>
        <v>3.3750999999999996E-2</v>
      </c>
      <c r="J162" s="2">
        <f>ff_portfolios25!J162-ff_factors!$E162</f>
        <v>2.385E-2</v>
      </c>
      <c r="K162" s="2">
        <f>ff_portfolios25!K162-ff_factors!$E162</f>
        <v>1.0592000000000001E-2</v>
      </c>
      <c r="L162" s="2">
        <f>ff_portfolios25!L162-ff_factors!$E162</f>
        <v>2.4301999999999997E-2</v>
      </c>
      <c r="M162" s="2">
        <f>ff_portfolios25!M162-ff_factors!$E162</f>
        <v>7.5704000000000007E-2</v>
      </c>
      <c r="N162" s="2">
        <f>ff_portfolios25!N162-ff_factors!$E162</f>
        <v>4.7060000000000001E-3</v>
      </c>
      <c r="O162" s="2">
        <f>ff_portfolios25!O162-ff_factors!$E162</f>
        <v>8.9429999999999996E-3</v>
      </c>
      <c r="P162" s="2">
        <f>ff_portfolios25!P162-ff_factors!$E162</f>
        <v>3.1591999999999995E-2</v>
      </c>
      <c r="Q162" s="2">
        <f>ff_portfolios25!Q162-ff_factors!$E162</f>
        <v>4.6143999999999998E-2</v>
      </c>
      <c r="R162" s="2">
        <f>ff_portfolios25!R162-ff_factors!$E162</f>
        <v>2.0461999999999998E-2</v>
      </c>
      <c r="S162" s="2">
        <f>ff_portfolios25!S162-ff_factors!$E162</f>
        <v>2.3986999999999998E-2</v>
      </c>
      <c r="T162" s="2">
        <f>ff_portfolios25!T162-ff_factors!$E162</f>
        <v>1.2198000000000001E-2</v>
      </c>
      <c r="U162" s="2">
        <f>ff_portfolios25!U162-ff_factors!$E162</f>
        <v>2.8939999999999997E-2</v>
      </c>
      <c r="V162" s="2">
        <f>ff_portfolios25!V162-ff_factors!$E162</f>
        <v>1.0070000000000001E-2</v>
      </c>
      <c r="W162" s="2">
        <f>ff_portfolios25!W162-ff_factors!$E162</f>
        <v>3.2354000000000001E-2</v>
      </c>
      <c r="X162" s="2">
        <f>ff_portfolios25!X162-ff_factors!$E162</f>
        <v>1.6136999999999999E-2</v>
      </c>
      <c r="Y162" s="2">
        <f>ff_portfolios25!Y162-ff_factors!$E162</f>
        <v>2.0204E-2</v>
      </c>
      <c r="Z162" s="2">
        <f>ff_portfolios25!Z162-ff_factors!$E162</f>
        <v>7.5050000000000004E-3</v>
      </c>
      <c r="AA162" s="2">
        <f>ff_portfolios25!AA162-ff_factors!$E162</f>
        <v>-3.052E-3</v>
      </c>
      <c r="AB162" s="2">
        <f>ff_portfolios25!AB162-ff_factors!$E162</f>
        <v>1.5067000000000001E-2</v>
      </c>
    </row>
    <row r="163" spans="1:28" x14ac:dyDescent="0.2">
      <c r="A163">
        <v>19450630</v>
      </c>
      <c r="B163">
        <v>1945</v>
      </c>
      <c r="C163">
        <v>6</v>
      </c>
      <c r="D163" s="2">
        <f>ff_portfolios25!D163-ff_factors!$E163</f>
        <v>0.18234699999999998</v>
      </c>
      <c r="E163" s="2">
        <f>ff_portfolios25!E163-ff_factors!$E163</f>
        <v>2.1523E-2</v>
      </c>
      <c r="F163" s="2">
        <f>ff_portfolios25!F163-ff_factors!$E163</f>
        <v>4.7989000000000004E-2</v>
      </c>
      <c r="G163" s="2">
        <f>ff_portfolios25!G163-ff_factors!$E163</f>
        <v>6.1748999999999998E-2</v>
      </c>
      <c r="H163" s="2">
        <f>ff_portfolios25!H163-ff_factors!$E163</f>
        <v>0.15069299999999999</v>
      </c>
      <c r="I163" s="2">
        <f>ff_portfolios25!I163-ff_factors!$E163</f>
        <v>8.6413999999999991E-2</v>
      </c>
      <c r="J163" s="2">
        <f>ff_portfolios25!J163-ff_factors!$E163</f>
        <v>1.0379999999999999E-3</v>
      </c>
      <c r="K163" s="2">
        <f>ff_portfolios25!K163-ff_factors!$E163</f>
        <v>7.6499999999999997E-3</v>
      </c>
      <c r="L163" s="2">
        <f>ff_portfolios25!L163-ff_factors!$E163</f>
        <v>1.3857999999999999E-2</v>
      </c>
      <c r="M163" s="2">
        <f>ff_portfolios25!M163-ff_factors!$E163</f>
        <v>7.042699999999999E-2</v>
      </c>
      <c r="N163" s="2">
        <f>ff_portfolios25!N163-ff_factors!$E163</f>
        <v>1.6207000000000003E-2</v>
      </c>
      <c r="O163" s="2">
        <f>ff_portfolios25!O163-ff_factors!$E163</f>
        <v>1.9889E-2</v>
      </c>
      <c r="P163" s="2">
        <f>ff_portfolios25!P163-ff_factors!$E163</f>
        <v>5.4820000000000008E-3</v>
      </c>
      <c r="Q163" s="2">
        <f>ff_portfolios25!Q163-ff_factors!$E163</f>
        <v>2.6465000000000002E-2</v>
      </c>
      <c r="R163" s="2">
        <f>ff_portfolios25!R163-ff_factors!$E163</f>
        <v>4.9772999999999998E-2</v>
      </c>
      <c r="S163" s="2">
        <f>ff_portfolios25!S163-ff_factors!$E163</f>
        <v>-7.1919999999999996E-3</v>
      </c>
      <c r="T163" s="2">
        <f>ff_portfolios25!T163-ff_factors!$E163</f>
        <v>-1.2260000000000001E-3</v>
      </c>
      <c r="U163" s="2">
        <f>ff_portfolios25!U163-ff_factors!$E163</f>
        <v>1.6445000000000001E-2</v>
      </c>
      <c r="V163" s="2">
        <f>ff_portfolios25!V163-ff_factors!$E163</f>
        <v>3.2776E-2</v>
      </c>
      <c r="W163" s="2">
        <f>ff_portfolios25!W163-ff_factors!$E163</f>
        <v>0.113843</v>
      </c>
      <c r="X163" s="2">
        <f>ff_portfolios25!X163-ff_factors!$E163</f>
        <v>-2.1002999999999997E-2</v>
      </c>
      <c r="Y163" s="2">
        <f>ff_portfolios25!Y163-ff_factors!$E163</f>
        <v>1.9979999999999998E-3</v>
      </c>
      <c r="Z163" s="2">
        <f>ff_portfolios25!Z163-ff_factors!$E163</f>
        <v>8.5679999999999992E-3</v>
      </c>
      <c r="AA163" s="2">
        <f>ff_portfolios25!AA163-ff_factors!$E163</f>
        <v>1.4577E-2</v>
      </c>
      <c r="AB163" s="2">
        <f>ff_portfolios25!AB163-ff_factors!$E163</f>
        <v>2.0552000000000001E-2</v>
      </c>
    </row>
    <row r="164" spans="1:28" x14ac:dyDescent="0.2">
      <c r="A164">
        <v>19450731</v>
      </c>
      <c r="B164">
        <v>1945</v>
      </c>
      <c r="C164">
        <v>7</v>
      </c>
      <c r="D164" s="2">
        <f>ff_portfolios25!D164-ff_factors!$E164</f>
        <v>-3.3846000000000001E-2</v>
      </c>
      <c r="E164" s="2">
        <f>ff_portfolios25!E164-ff_factors!$E164</f>
        <v>-3.7602000000000003E-2</v>
      </c>
      <c r="F164" s="2">
        <f>ff_portfolios25!F164-ff_factors!$E164</f>
        <v>-4.3618000000000004E-2</v>
      </c>
      <c r="G164" s="2">
        <f>ff_portfolios25!G164-ff_factors!$E164</f>
        <v>-3.6728000000000004E-2</v>
      </c>
      <c r="H164" s="2">
        <f>ff_portfolios25!H164-ff_factors!$E164</f>
        <v>-4.2433999999999999E-2</v>
      </c>
      <c r="I164" s="2">
        <f>ff_portfolios25!I164-ff_factors!$E164</f>
        <v>-1.5554E-2</v>
      </c>
      <c r="J164" s="2">
        <f>ff_portfolios25!J164-ff_factors!$E164</f>
        <v>-4.1431000000000003E-2</v>
      </c>
      <c r="K164" s="2">
        <f>ff_portfolios25!K164-ff_factors!$E164</f>
        <v>-4.0584000000000002E-2</v>
      </c>
      <c r="L164" s="2">
        <f>ff_portfolios25!L164-ff_factors!$E164</f>
        <v>-3.4430000000000002E-2</v>
      </c>
      <c r="M164" s="2">
        <f>ff_portfolios25!M164-ff_factors!$E164</f>
        <v>-5.9344000000000001E-2</v>
      </c>
      <c r="N164" s="2">
        <f>ff_portfolios25!N164-ff_factors!$E164</f>
        <v>-4.1135999999999999E-2</v>
      </c>
      <c r="O164" s="2">
        <f>ff_portfolios25!O164-ff_factors!$E164</f>
        <v>-2.6066000000000002E-2</v>
      </c>
      <c r="P164" s="2">
        <f>ff_portfolios25!P164-ff_factors!$E164</f>
        <v>-3.7055999999999999E-2</v>
      </c>
      <c r="Q164" s="2">
        <f>ff_portfolios25!Q164-ff_factors!$E164</f>
        <v>-3.9997999999999999E-2</v>
      </c>
      <c r="R164" s="2">
        <f>ff_portfolios25!R164-ff_factors!$E164</f>
        <v>-6.7077999999999999E-2</v>
      </c>
      <c r="S164" s="2">
        <f>ff_portfolios25!S164-ff_factors!$E164</f>
        <v>-1.0472E-2</v>
      </c>
      <c r="T164" s="2">
        <f>ff_portfolios25!T164-ff_factors!$E164</f>
        <v>-4.4157000000000002E-2</v>
      </c>
      <c r="U164" s="2">
        <f>ff_portfolios25!U164-ff_factors!$E164</f>
        <v>-1.5726E-2</v>
      </c>
      <c r="V164" s="2">
        <f>ff_portfolios25!V164-ff_factors!$E164</f>
        <v>-3.8435000000000004E-2</v>
      </c>
      <c r="W164" s="2">
        <f>ff_portfolios25!W164-ff_factors!$E164</f>
        <v>-6.1961000000000002E-2</v>
      </c>
      <c r="X164" s="2">
        <f>ff_portfolios25!X164-ff_factors!$E164</f>
        <v>-1.4101000000000001E-2</v>
      </c>
      <c r="Y164" s="2">
        <f>ff_portfolios25!Y164-ff_factors!$E164</f>
        <v>1.6600000000000002E-4</v>
      </c>
      <c r="Z164" s="2">
        <f>ff_portfolios25!Z164-ff_factors!$E164</f>
        <v>-3.0845000000000001E-2</v>
      </c>
      <c r="AA164" s="2">
        <f>ff_portfolios25!AA164-ff_factors!$E164</f>
        <v>-2.0544000000000003E-2</v>
      </c>
      <c r="AB164" s="2">
        <f>ff_portfolios25!AB164-ff_factors!$E164</f>
        <v>-4.5658999999999998E-2</v>
      </c>
    </row>
    <row r="165" spans="1:28" x14ac:dyDescent="0.2">
      <c r="A165">
        <v>19450831</v>
      </c>
      <c r="B165">
        <v>1945</v>
      </c>
      <c r="C165">
        <v>8</v>
      </c>
      <c r="D165" s="2">
        <f>ff_portfolios25!D165-ff_factors!$E165</f>
        <v>-8.5599999999999999E-3</v>
      </c>
      <c r="E165" s="2">
        <f>ff_portfolios25!E165-ff_factors!$E165</f>
        <v>0.115982</v>
      </c>
      <c r="F165" s="2">
        <f>ff_portfolios25!F165-ff_factors!$E165</f>
        <v>7.5946E-2</v>
      </c>
      <c r="G165" s="2">
        <f>ff_portfolios25!G165-ff_factors!$E165</f>
        <v>5.1756999999999997E-2</v>
      </c>
      <c r="H165" s="2">
        <f>ff_portfolios25!H165-ff_factors!$E165</f>
        <v>4.8494999999999996E-2</v>
      </c>
      <c r="I165" s="2">
        <f>ff_portfolios25!I165-ff_factors!$E165</f>
        <v>5.2400999999999996E-2</v>
      </c>
      <c r="J165" s="2">
        <f>ff_portfolios25!J165-ff_factors!$E165</f>
        <v>7.7005000000000004E-2</v>
      </c>
      <c r="K165" s="2">
        <f>ff_portfolios25!K165-ff_factors!$E165</f>
        <v>7.1285000000000001E-2</v>
      </c>
      <c r="L165" s="2">
        <f>ff_portfolios25!L165-ff_factors!$E165</f>
        <v>6.3733999999999999E-2</v>
      </c>
      <c r="M165" s="2">
        <f>ff_portfolios25!M165-ff_factors!$E165</f>
        <v>5.0292999999999997E-2</v>
      </c>
      <c r="N165" s="2">
        <f>ff_portfolios25!N165-ff_factors!$E165</f>
        <v>9.7664000000000001E-2</v>
      </c>
      <c r="O165" s="2">
        <f>ff_portfolios25!O165-ff_factors!$E165</f>
        <v>6.7542000000000005E-2</v>
      </c>
      <c r="P165" s="2">
        <f>ff_portfolios25!P165-ff_factors!$E165</f>
        <v>8.4451999999999999E-2</v>
      </c>
      <c r="Q165" s="2">
        <f>ff_portfolios25!Q165-ff_factors!$E165</f>
        <v>7.2650000000000006E-2</v>
      </c>
      <c r="R165" s="2">
        <f>ff_portfolios25!R165-ff_factors!$E165</f>
        <v>2.6906999999999997E-2</v>
      </c>
      <c r="S165" s="2">
        <f>ff_portfolios25!S165-ff_factors!$E165</f>
        <v>6.4094999999999999E-2</v>
      </c>
      <c r="T165" s="2">
        <f>ff_portfolios25!T165-ff_factors!$E165</f>
        <v>9.1990000000000002E-2</v>
      </c>
      <c r="U165" s="2">
        <f>ff_portfolios25!U165-ff_factors!$E165</f>
        <v>9.3029000000000001E-2</v>
      </c>
      <c r="V165" s="2">
        <f>ff_portfolios25!V165-ff_factors!$E165</f>
        <v>6.2474999999999996E-2</v>
      </c>
      <c r="W165" s="2">
        <f>ff_portfolios25!W165-ff_factors!$E165</f>
        <v>8.4089999999999998E-3</v>
      </c>
      <c r="X165" s="2">
        <f>ff_portfolios25!X165-ff_factors!$E165</f>
        <v>8.8708000000000009E-2</v>
      </c>
      <c r="Y165" s="2">
        <f>ff_portfolios25!Y165-ff_factors!$E165</f>
        <v>5.0460999999999999E-2</v>
      </c>
      <c r="Z165" s="2">
        <f>ff_portfolios25!Z165-ff_factors!$E165</f>
        <v>4.0888000000000001E-2</v>
      </c>
      <c r="AA165" s="2">
        <f>ff_portfolios25!AA165-ff_factors!$E165</f>
        <v>2.4079999999999997E-2</v>
      </c>
      <c r="AB165" s="2">
        <f>ff_portfolios25!AB165-ff_factors!$E165</f>
        <v>2.5578999999999998E-2</v>
      </c>
    </row>
    <row r="166" spans="1:28" x14ac:dyDescent="0.2">
      <c r="A166">
        <v>19450929</v>
      </c>
      <c r="B166">
        <v>1945</v>
      </c>
      <c r="C166">
        <v>9</v>
      </c>
      <c r="D166" s="2">
        <f>ff_portfolios25!D166-ff_factors!$E166</f>
        <v>0.14822399999999999</v>
      </c>
      <c r="E166" s="2">
        <f>ff_portfolios25!E166-ff_factors!$E166</f>
        <v>8.2527000000000003E-2</v>
      </c>
      <c r="F166" s="2">
        <f>ff_portfolios25!F166-ff_factors!$E166</f>
        <v>3.5748999999999996E-2</v>
      </c>
      <c r="G166" s="2">
        <f>ff_portfolios25!G166-ff_factors!$E166</f>
        <v>6.7340000000000011E-2</v>
      </c>
      <c r="H166" s="2">
        <f>ff_portfolios25!H166-ff_factors!$E166</f>
        <v>7.6540000000000011E-2</v>
      </c>
      <c r="I166" s="2">
        <f>ff_portfolios25!I166-ff_factors!$E166</f>
        <v>3.4714000000000002E-2</v>
      </c>
      <c r="J166" s="2">
        <f>ff_portfolios25!J166-ff_factors!$E166</f>
        <v>8.138200000000001E-2</v>
      </c>
      <c r="K166" s="2">
        <f>ff_portfolios25!K166-ff_factors!$E166</f>
        <v>6.9638000000000005E-2</v>
      </c>
      <c r="L166" s="2">
        <f>ff_portfolios25!L166-ff_factors!$E166</f>
        <v>6.9908000000000012E-2</v>
      </c>
      <c r="M166" s="2">
        <f>ff_portfolios25!M166-ff_factors!$E166</f>
        <v>8.1078000000000011E-2</v>
      </c>
      <c r="N166" s="2">
        <f>ff_portfolios25!N166-ff_factors!$E166</f>
        <v>6.5859000000000001E-2</v>
      </c>
      <c r="O166" s="2">
        <f>ff_portfolios25!O166-ff_factors!$E166</f>
        <v>6.2487999999999995E-2</v>
      </c>
      <c r="P166" s="2">
        <f>ff_portfolios25!P166-ff_factors!$E166</f>
        <v>6.2948000000000004E-2</v>
      </c>
      <c r="Q166" s="2">
        <f>ff_portfolios25!Q166-ff_factors!$E166</f>
        <v>7.5310000000000002E-2</v>
      </c>
      <c r="R166" s="2">
        <f>ff_portfolios25!R166-ff_factors!$E166</f>
        <v>5.0369999999999998E-2</v>
      </c>
      <c r="S166" s="2">
        <f>ff_portfolios25!S166-ff_factors!$E166</f>
        <v>4.4229999999999998E-2</v>
      </c>
      <c r="T166" s="2">
        <f>ff_portfolios25!T166-ff_factors!$E166</f>
        <v>6.9569000000000006E-2</v>
      </c>
      <c r="U166" s="2">
        <f>ff_portfolios25!U166-ff_factors!$E166</f>
        <v>5.7633999999999998E-2</v>
      </c>
      <c r="V166" s="2">
        <f>ff_portfolios25!V166-ff_factors!$E166</f>
        <v>5.8623000000000001E-2</v>
      </c>
      <c r="W166" s="2">
        <f>ff_portfolios25!W166-ff_factors!$E166</f>
        <v>0.10403000000000001</v>
      </c>
      <c r="X166" s="2">
        <f>ff_portfolios25!X166-ff_factors!$E166</f>
        <v>5.0223999999999998E-2</v>
      </c>
      <c r="Y166" s="2">
        <f>ff_portfolios25!Y166-ff_factors!$E166</f>
        <v>2.3482999999999997E-2</v>
      </c>
      <c r="Z166" s="2">
        <f>ff_portfolios25!Z166-ff_factors!$E166</f>
        <v>3.9057999999999995E-2</v>
      </c>
      <c r="AA166" s="2">
        <f>ff_portfolios25!AA166-ff_factors!$E166</f>
        <v>5.0168999999999998E-2</v>
      </c>
      <c r="AB166" s="2">
        <f>ff_portfolios25!AB166-ff_factors!$E166</f>
        <v>5.7489999999999999E-2</v>
      </c>
    </row>
    <row r="167" spans="1:28" x14ac:dyDescent="0.2">
      <c r="A167">
        <v>19451031</v>
      </c>
      <c r="B167">
        <v>1945</v>
      </c>
      <c r="C167">
        <v>10</v>
      </c>
      <c r="D167" s="2">
        <f>ff_portfolios25!D167-ff_factors!$E167</f>
        <v>0.159994</v>
      </c>
      <c r="E167" s="2">
        <f>ff_portfolios25!E167-ff_factors!$E167</f>
        <v>0.10077</v>
      </c>
      <c r="F167" s="2">
        <f>ff_portfolios25!F167-ff_factors!$E167</f>
        <v>0.112029</v>
      </c>
      <c r="G167" s="2">
        <f>ff_portfolios25!G167-ff_factors!$E167</f>
        <v>0.12510000000000002</v>
      </c>
      <c r="H167" s="2">
        <f>ff_portfolios25!H167-ff_factors!$E167</f>
        <v>0.101312</v>
      </c>
      <c r="I167" s="2">
        <f>ff_portfolios25!I167-ff_factors!$E167</f>
        <v>6.4045000000000005E-2</v>
      </c>
      <c r="J167" s="2">
        <f>ff_portfolios25!J167-ff_factors!$E167</f>
        <v>6.2895000000000006E-2</v>
      </c>
      <c r="K167" s="2">
        <f>ff_portfolios25!K167-ff_factors!$E167</f>
        <v>5.8956999999999996E-2</v>
      </c>
      <c r="L167" s="2">
        <f>ff_portfolios25!L167-ff_factors!$E167</f>
        <v>5.7407E-2</v>
      </c>
      <c r="M167" s="2">
        <f>ff_portfolios25!M167-ff_factors!$E167</f>
        <v>5.6947999999999999E-2</v>
      </c>
      <c r="N167" s="2">
        <f>ff_portfolios25!N167-ff_factors!$E167</f>
        <v>5.2374999999999998E-2</v>
      </c>
      <c r="O167" s="2">
        <f>ff_portfolios25!O167-ff_factors!$E167</f>
        <v>2.9495999999999998E-2</v>
      </c>
      <c r="P167" s="2">
        <f>ff_portfolios25!P167-ff_factors!$E167</f>
        <v>6.3081000000000012E-2</v>
      </c>
      <c r="Q167" s="2">
        <f>ff_portfolios25!Q167-ff_factors!$E167</f>
        <v>5.4449999999999998E-2</v>
      </c>
      <c r="R167" s="2">
        <f>ff_portfolios25!R167-ff_factors!$E167</f>
        <v>5.7995999999999999E-2</v>
      </c>
      <c r="S167" s="2">
        <f>ff_portfolios25!S167-ff_factors!$E167</f>
        <v>4.5166999999999999E-2</v>
      </c>
      <c r="T167" s="2">
        <f>ff_portfolios25!T167-ff_factors!$E167</f>
        <v>3.0773999999999999E-2</v>
      </c>
      <c r="U167" s="2">
        <f>ff_portfolios25!U167-ff_factors!$E167</f>
        <v>6.0027999999999998E-2</v>
      </c>
      <c r="V167" s="2">
        <f>ff_portfolios25!V167-ff_factors!$E167</f>
        <v>5.7815999999999999E-2</v>
      </c>
      <c r="W167" s="2">
        <f>ff_portfolios25!W167-ff_factors!$E167</f>
        <v>6.3200000000000006E-2</v>
      </c>
      <c r="X167" s="2">
        <f>ff_portfolios25!X167-ff_factors!$E167</f>
        <v>2.0563999999999999E-2</v>
      </c>
      <c r="Y167" s="2">
        <f>ff_portfolios25!Y167-ff_factors!$E167</f>
        <v>3.0771E-2</v>
      </c>
      <c r="Z167" s="2">
        <f>ff_portfolios25!Z167-ff_factors!$E167</f>
        <v>5.4729E-2</v>
      </c>
      <c r="AA167" s="2">
        <f>ff_portfolios25!AA167-ff_factors!$E167</f>
        <v>7.1490999999999999E-2</v>
      </c>
      <c r="AB167" s="2">
        <f>ff_portfolios25!AB167-ff_factors!$E167</f>
        <v>4.2958999999999997E-2</v>
      </c>
    </row>
    <row r="168" spans="1:28" x14ac:dyDescent="0.2">
      <c r="A168">
        <v>19451130</v>
      </c>
      <c r="B168">
        <v>1945</v>
      </c>
      <c r="C168">
        <v>11</v>
      </c>
      <c r="D168" s="2">
        <f>ff_portfolios25!D168-ff_factors!$E168</f>
        <v>7.8020999999999993E-2</v>
      </c>
      <c r="E168" s="2">
        <f>ff_portfolios25!E168-ff_factors!$E168</f>
        <v>9.0902999999999998E-2</v>
      </c>
      <c r="F168" s="2">
        <f>ff_portfolios25!F168-ff_factors!$E168</f>
        <v>0.14057799999999998</v>
      </c>
      <c r="G168" s="2">
        <f>ff_portfolios25!G168-ff_factors!$E168</f>
        <v>0.13098899999999999</v>
      </c>
      <c r="H168" s="2">
        <f>ff_portfolios25!H168-ff_factors!$E168</f>
        <v>0.116352</v>
      </c>
      <c r="I168" s="2">
        <f>ff_portfolios25!I168-ff_factors!$E168</f>
        <v>0.13580799999999998</v>
      </c>
      <c r="J168" s="2">
        <f>ff_portfolios25!J168-ff_factors!$E168</f>
        <v>8.0912999999999999E-2</v>
      </c>
      <c r="K168" s="2">
        <f>ff_portfolios25!K168-ff_factors!$E168</f>
        <v>7.2644E-2</v>
      </c>
      <c r="L168" s="2">
        <f>ff_portfolios25!L168-ff_factors!$E168</f>
        <v>0.13084599999999999</v>
      </c>
      <c r="M168" s="2">
        <f>ff_portfolios25!M168-ff_factors!$E168</f>
        <v>9.6442E-2</v>
      </c>
      <c r="N168" s="2">
        <f>ff_portfolios25!N168-ff_factors!$E168</f>
        <v>7.0514999999999994E-2</v>
      </c>
      <c r="O168" s="2">
        <f>ff_portfolios25!O168-ff_factors!$E168</f>
        <v>0.12088399999999999</v>
      </c>
      <c r="P168" s="2">
        <f>ff_portfolios25!P168-ff_factors!$E168</f>
        <v>6.2530999999999989E-2</v>
      </c>
      <c r="Q168" s="2">
        <f>ff_portfolios25!Q168-ff_factors!$E168</f>
        <v>9.3383999999999995E-2</v>
      </c>
      <c r="R168" s="2">
        <f>ff_portfolios25!R168-ff_factors!$E168</f>
        <v>8.7829999999999991E-2</v>
      </c>
      <c r="S168" s="2">
        <f>ff_portfolios25!S168-ff_factors!$E168</f>
        <v>7.4741999999999989E-2</v>
      </c>
      <c r="T168" s="2">
        <f>ff_portfolios25!T168-ff_factors!$E168</f>
        <v>0.10495699999999999</v>
      </c>
      <c r="U168" s="2">
        <f>ff_portfolios25!U168-ff_factors!$E168</f>
        <v>8.655199999999999E-2</v>
      </c>
      <c r="V168" s="2">
        <f>ff_portfolios25!V168-ff_factors!$E168</f>
        <v>0.10734099999999999</v>
      </c>
      <c r="W168" s="2">
        <f>ff_portfolios25!W168-ff_factors!$E168</f>
        <v>0.171629</v>
      </c>
      <c r="X168" s="2">
        <f>ff_portfolios25!X168-ff_factors!$E168</f>
        <v>2.0988E-2</v>
      </c>
      <c r="Y168" s="2">
        <f>ff_portfolios25!Y168-ff_factors!$E168</f>
        <v>3.4472000000000003E-2</v>
      </c>
      <c r="Z168" s="2">
        <f>ff_portfolios25!Z168-ff_factors!$E168</f>
        <v>5.1725E-2</v>
      </c>
      <c r="AA168" s="2">
        <f>ff_portfolios25!AA168-ff_factors!$E168</f>
        <v>5.4712999999999998E-2</v>
      </c>
      <c r="AB168" s="2">
        <f>ff_portfolios25!AB168-ff_factors!$E168</f>
        <v>9.1220999999999997E-2</v>
      </c>
    </row>
    <row r="169" spans="1:28" x14ac:dyDescent="0.2">
      <c r="A169">
        <v>19451231</v>
      </c>
      <c r="B169">
        <v>1945</v>
      </c>
      <c r="C169">
        <v>12</v>
      </c>
      <c r="D169" s="2">
        <f>ff_portfolios25!D169-ff_factors!$E169</f>
        <v>5.9272999999999999E-2</v>
      </c>
      <c r="E169" s="2">
        <f>ff_portfolios25!E169-ff_factors!$E169</f>
        <v>2.7772999999999999E-2</v>
      </c>
      <c r="F169" s="2">
        <f>ff_portfolios25!F169-ff_factors!$E169</f>
        <v>4.9433999999999999E-2</v>
      </c>
      <c r="G169" s="2">
        <f>ff_portfolios25!G169-ff_factors!$E169</f>
        <v>2.9663999999999999E-2</v>
      </c>
      <c r="H169" s="2">
        <f>ff_portfolios25!H169-ff_factors!$E169</f>
        <v>3.0109999999999998E-2</v>
      </c>
      <c r="I169" s="2">
        <f>ff_portfolios25!I169-ff_factors!$E169</f>
        <v>5.0476E-2</v>
      </c>
      <c r="J169" s="2">
        <f>ff_portfolios25!J169-ff_factors!$E169</f>
        <v>5.2241999999999997E-2</v>
      </c>
      <c r="K169" s="2">
        <f>ff_portfolios25!K169-ff_factors!$E169</f>
        <v>3.134E-2</v>
      </c>
      <c r="L169" s="2">
        <f>ff_portfolios25!L169-ff_factors!$E169</f>
        <v>3.4735999999999996E-2</v>
      </c>
      <c r="M169" s="2">
        <f>ff_portfolios25!M169-ff_factors!$E169</f>
        <v>3.1132E-2</v>
      </c>
      <c r="N169" s="2">
        <f>ff_portfolios25!N169-ff_factors!$E169</f>
        <v>2.2952999999999998E-2</v>
      </c>
      <c r="O169" s="2">
        <f>ff_portfolios25!O169-ff_factors!$E169</f>
        <v>-2.4289999999999997E-3</v>
      </c>
      <c r="P169" s="2">
        <f>ff_portfolios25!P169-ff_factors!$E169</f>
        <v>1.9678999999999999E-2</v>
      </c>
      <c r="Q169" s="2">
        <f>ff_portfolios25!Q169-ff_factors!$E169</f>
        <v>4.7919999999999997E-2</v>
      </c>
      <c r="R169" s="2">
        <f>ff_portfolios25!R169-ff_factors!$E169</f>
        <v>-7.6909999999999999E-3</v>
      </c>
      <c r="S169" s="2">
        <f>ff_portfolios25!S169-ff_factors!$E169</f>
        <v>2.1572999999999998E-2</v>
      </c>
      <c r="T169" s="2">
        <f>ff_portfolios25!T169-ff_factors!$E169</f>
        <v>2.4819999999999998E-2</v>
      </c>
      <c r="U169" s="2">
        <f>ff_portfolios25!U169-ff_factors!$E169</f>
        <v>2.4183999999999997E-2</v>
      </c>
      <c r="V169" s="2">
        <f>ff_portfolios25!V169-ff_factors!$E169</f>
        <v>2.8061999999999997E-2</v>
      </c>
      <c r="W169" s="2">
        <f>ff_portfolios25!W169-ff_factors!$E169</f>
        <v>-6.5499999999999998E-4</v>
      </c>
      <c r="X169" s="2">
        <f>ff_portfolios25!X169-ff_factors!$E169</f>
        <v>1.7344999999999999E-2</v>
      </c>
      <c r="Y169" s="2">
        <f>ff_portfolios25!Y169-ff_factors!$E169</f>
        <v>7.9819999999999995E-3</v>
      </c>
      <c r="Z169" s="2">
        <f>ff_portfolios25!Z169-ff_factors!$E169</f>
        <v>1.4092E-2</v>
      </c>
      <c r="AA169" s="2">
        <f>ff_portfolios25!AA169-ff_factors!$E169</f>
        <v>-9.0939999999999997E-3</v>
      </c>
      <c r="AB169" s="2">
        <f>ff_portfolios25!AB169-ff_factors!$E169</f>
        <v>-1.0657999999999999E-2</v>
      </c>
    </row>
    <row r="170" spans="1:28" x14ac:dyDescent="0.2">
      <c r="A170">
        <v>19460131</v>
      </c>
      <c r="B170">
        <v>1946</v>
      </c>
      <c r="C170">
        <v>1</v>
      </c>
      <c r="D170" s="2">
        <f>ff_portfolios25!D170-ff_factors!$E170</f>
        <v>0.35700399999999999</v>
      </c>
      <c r="E170" s="2">
        <f>ff_portfolios25!E170-ff_factors!$E170</f>
        <v>9.3258000000000008E-2</v>
      </c>
      <c r="F170" s="2">
        <f>ff_portfolios25!F170-ff_factors!$E170</f>
        <v>0.11904300000000001</v>
      </c>
      <c r="G170" s="2">
        <f>ff_portfolios25!G170-ff_factors!$E170</f>
        <v>0.116646</v>
      </c>
      <c r="H170" s="2">
        <f>ff_portfolios25!H170-ff_factors!$E170</f>
        <v>0.16709599999999999</v>
      </c>
      <c r="I170" s="2">
        <f>ff_portfolios25!I170-ff_factors!$E170</f>
        <v>7.4002000000000012E-2</v>
      </c>
      <c r="J170" s="2">
        <f>ff_portfolios25!J170-ff_factors!$E170</f>
        <v>9.3231000000000008E-2</v>
      </c>
      <c r="K170" s="2">
        <f>ff_portfolios25!K170-ff_factors!$E170</f>
        <v>7.719100000000001E-2</v>
      </c>
      <c r="L170" s="2">
        <f>ff_portfolios25!L170-ff_factors!$E170</f>
        <v>8.0329000000000012E-2</v>
      </c>
      <c r="M170" s="2">
        <f>ff_portfolios25!M170-ff_factors!$E170</f>
        <v>0.125273</v>
      </c>
      <c r="N170" s="2">
        <f>ff_portfolios25!N170-ff_factors!$E170</f>
        <v>6.0616999999999997E-2</v>
      </c>
      <c r="O170" s="2">
        <f>ff_portfolios25!O170-ff_factors!$E170</f>
        <v>9.1750999999999999E-2</v>
      </c>
      <c r="P170" s="2">
        <f>ff_portfolios25!P170-ff_factors!$E170</f>
        <v>6.5432000000000004E-2</v>
      </c>
      <c r="Q170" s="2">
        <f>ff_portfolios25!Q170-ff_factors!$E170</f>
        <v>5.3469999999999997E-2</v>
      </c>
      <c r="R170" s="2">
        <f>ff_portfolios25!R170-ff_factors!$E170</f>
        <v>0.15479899999999999</v>
      </c>
      <c r="S170" s="2">
        <f>ff_portfolios25!S170-ff_factors!$E170</f>
        <v>5.0332999999999996E-2</v>
      </c>
      <c r="T170" s="2">
        <f>ff_portfolios25!T170-ff_factors!$E170</f>
        <v>8.3566000000000001E-2</v>
      </c>
      <c r="U170" s="2">
        <f>ff_portfolios25!U170-ff_factors!$E170</f>
        <v>9.1451000000000005E-2</v>
      </c>
      <c r="V170" s="2">
        <f>ff_portfolios25!V170-ff_factors!$E170</f>
        <v>7.4367000000000003E-2</v>
      </c>
      <c r="W170" s="2">
        <f>ff_portfolios25!W170-ff_factors!$E170</f>
        <v>9.5288000000000012E-2</v>
      </c>
      <c r="X170" s="2">
        <f>ff_portfolios25!X170-ff_factors!$E170</f>
        <v>6.1147E-2</v>
      </c>
      <c r="Y170" s="2">
        <f>ff_portfolios25!Y170-ff_factors!$E170</f>
        <v>4.4047999999999997E-2</v>
      </c>
      <c r="Z170" s="2">
        <f>ff_portfolios25!Z170-ff_factors!$E170</f>
        <v>4.0167000000000001E-2</v>
      </c>
      <c r="AA170" s="2">
        <f>ff_portfolios25!AA170-ff_factors!$E170</f>
        <v>6.457800000000001E-2</v>
      </c>
      <c r="AB170" s="2">
        <f>ff_portfolios25!AB170-ff_factors!$E170</f>
        <v>7.8056E-2</v>
      </c>
    </row>
    <row r="171" spans="1:28" x14ac:dyDescent="0.2">
      <c r="A171">
        <v>19460228</v>
      </c>
      <c r="B171">
        <v>1946</v>
      </c>
      <c r="C171">
        <v>2</v>
      </c>
      <c r="D171" s="2">
        <f>ff_portfolios25!D171-ff_factors!$E171</f>
        <v>-4.7262999999999999E-2</v>
      </c>
      <c r="E171" s="2">
        <f>ff_portfolios25!E171-ff_factors!$E171</f>
        <v>-0.101395</v>
      </c>
      <c r="F171" s="2">
        <f>ff_portfolios25!F171-ff_factors!$E171</f>
        <v>-6.5000999999999989E-2</v>
      </c>
      <c r="G171" s="2">
        <f>ff_portfolios25!G171-ff_factors!$E171</f>
        <v>-6.699999999999999E-2</v>
      </c>
      <c r="H171" s="2">
        <f>ff_portfolios25!H171-ff_factors!$E171</f>
        <v>-6.2814999999999996E-2</v>
      </c>
      <c r="I171" s="2">
        <f>ff_portfolios25!I171-ff_factors!$E171</f>
        <v>-5.0668000000000005E-2</v>
      </c>
      <c r="J171" s="2">
        <f>ff_portfolios25!J171-ff_factors!$E171</f>
        <v>-6.6201999999999997E-2</v>
      </c>
      <c r="K171" s="2">
        <f>ff_portfolios25!K171-ff_factors!$E171</f>
        <v>-7.2284999999999988E-2</v>
      </c>
      <c r="L171" s="2">
        <f>ff_portfolios25!L171-ff_factors!$E171</f>
        <v>-6.2800999999999996E-2</v>
      </c>
      <c r="M171" s="2">
        <f>ff_portfolios25!M171-ff_factors!$E171</f>
        <v>-7.6632999999999993E-2</v>
      </c>
      <c r="N171" s="2">
        <f>ff_portfolios25!N171-ff_factors!$E171</f>
        <v>-6.3310999999999992E-2</v>
      </c>
      <c r="O171" s="2">
        <f>ff_portfolios25!O171-ff_factors!$E171</f>
        <v>-6.5604999999999997E-2</v>
      </c>
      <c r="P171" s="2">
        <f>ff_portfolios25!P171-ff_factors!$E171</f>
        <v>-5.9101000000000001E-2</v>
      </c>
      <c r="Q171" s="2">
        <f>ff_portfolios25!Q171-ff_factors!$E171</f>
        <v>-8.5239999999999996E-2</v>
      </c>
      <c r="R171" s="2">
        <f>ff_portfolios25!R171-ff_factors!$E171</f>
        <v>-9.5681999999999989E-2</v>
      </c>
      <c r="S171" s="2">
        <f>ff_portfolios25!S171-ff_factors!$E171</f>
        <v>-5.1536999999999999E-2</v>
      </c>
      <c r="T171" s="2">
        <f>ff_portfolios25!T171-ff_factors!$E171</f>
        <v>-6.1724000000000001E-2</v>
      </c>
      <c r="U171" s="2">
        <f>ff_portfolios25!U171-ff_factors!$E171</f>
        <v>-5.3610000000000005E-2</v>
      </c>
      <c r="V171" s="2">
        <f>ff_portfolios25!V171-ff_factors!$E171</f>
        <v>-6.8467E-2</v>
      </c>
      <c r="W171" s="2">
        <f>ff_portfolios25!W171-ff_factors!$E171</f>
        <v>-7.3828999999999992E-2</v>
      </c>
      <c r="X171" s="2">
        <f>ff_portfolios25!X171-ff_factors!$E171</f>
        <v>-5.8944000000000003E-2</v>
      </c>
      <c r="Y171" s="2">
        <f>ff_portfolios25!Y171-ff_factors!$E171</f>
        <v>-4.3916000000000004E-2</v>
      </c>
      <c r="Z171" s="2">
        <f>ff_portfolios25!Z171-ff_factors!$E171</f>
        <v>-4.9685E-2</v>
      </c>
      <c r="AA171" s="2">
        <f>ff_portfolios25!AA171-ff_factors!$E171</f>
        <v>-6.7271999999999998E-2</v>
      </c>
      <c r="AB171" s="2">
        <f>ff_portfolios25!AB171-ff_factors!$E171</f>
        <v>-7.6392999999999989E-2</v>
      </c>
    </row>
    <row r="172" spans="1:28" x14ac:dyDescent="0.2">
      <c r="A172">
        <v>19460330</v>
      </c>
      <c r="B172">
        <v>1946</v>
      </c>
      <c r="C172">
        <v>3</v>
      </c>
      <c r="D172" s="2">
        <f>ff_portfolios25!D172-ff_factors!$E172</f>
        <v>-4.6817000000000004E-2</v>
      </c>
      <c r="E172" s="2">
        <f>ff_portfolios25!E172-ff_factors!$E172</f>
        <v>3.6917999999999999E-2</v>
      </c>
      <c r="F172" s="2">
        <f>ff_portfolios25!F172-ff_factors!$E172</f>
        <v>4.5405000000000001E-2</v>
      </c>
      <c r="G172" s="2">
        <f>ff_portfolios25!G172-ff_factors!$E172</f>
        <v>4.5123999999999997E-2</v>
      </c>
      <c r="H172" s="2">
        <f>ff_portfolios25!H172-ff_factors!$E172</f>
        <v>4.0094999999999999E-2</v>
      </c>
      <c r="I172" s="2">
        <f>ff_portfolios25!I172-ff_factors!$E172</f>
        <v>3.6588999999999997E-2</v>
      </c>
      <c r="J172" s="2">
        <f>ff_portfolios25!J172-ff_factors!$E172</f>
        <v>8.0575000000000008E-2</v>
      </c>
      <c r="K172" s="2">
        <f>ff_portfolios25!K172-ff_factors!$E172</f>
        <v>5.4268999999999998E-2</v>
      </c>
      <c r="L172" s="2">
        <f>ff_portfolios25!L172-ff_factors!$E172</f>
        <v>8.1713000000000008E-2</v>
      </c>
      <c r="M172" s="2">
        <f>ff_portfolios25!M172-ff_factors!$E172</f>
        <v>4.1166000000000001E-2</v>
      </c>
      <c r="N172" s="2">
        <f>ff_portfolios25!N172-ff_factors!$E172</f>
        <v>6.700600000000001E-2</v>
      </c>
      <c r="O172" s="2">
        <f>ff_portfolios25!O172-ff_factors!$E172</f>
        <v>8.5566000000000003E-2</v>
      </c>
      <c r="P172" s="2">
        <f>ff_portfolios25!P172-ff_factors!$E172</f>
        <v>8.5679000000000005E-2</v>
      </c>
      <c r="Q172" s="2">
        <f>ff_portfolios25!Q172-ff_factors!$E172</f>
        <v>8.364400000000001E-2</v>
      </c>
      <c r="R172" s="2">
        <f>ff_portfolios25!R172-ff_factors!$E172</f>
        <v>5.7362999999999997E-2</v>
      </c>
      <c r="S172" s="2">
        <f>ff_portfolios25!S172-ff_factors!$E172</f>
        <v>9.1338000000000003E-2</v>
      </c>
      <c r="T172" s="2">
        <f>ff_portfolios25!T172-ff_factors!$E172</f>
        <v>8.3983000000000002E-2</v>
      </c>
      <c r="U172" s="2">
        <f>ff_portfolios25!U172-ff_factors!$E172</f>
        <v>8.2392000000000007E-2</v>
      </c>
      <c r="V172" s="2">
        <f>ff_portfolios25!V172-ff_factors!$E172</f>
        <v>6.3174000000000008E-2</v>
      </c>
      <c r="W172" s="2">
        <f>ff_portfolios25!W172-ff_factors!$E172</f>
        <v>4.4470999999999997E-2</v>
      </c>
      <c r="X172" s="2">
        <f>ff_portfolios25!X172-ff_factors!$E172</f>
        <v>4.5600999999999996E-2</v>
      </c>
      <c r="Y172" s="2">
        <f>ff_portfolios25!Y172-ff_factors!$E172</f>
        <v>4.4613E-2</v>
      </c>
      <c r="Z172" s="2">
        <f>ff_portfolios25!Z172-ff_factors!$E172</f>
        <v>8.2815E-2</v>
      </c>
      <c r="AA172" s="2">
        <f>ff_portfolios25!AA172-ff_factors!$E172</f>
        <v>7.5089000000000003E-2</v>
      </c>
      <c r="AB172" s="2">
        <f>ff_portfolios25!AB172-ff_factors!$E172</f>
        <v>3.7828000000000001E-2</v>
      </c>
    </row>
    <row r="173" spans="1:28" x14ac:dyDescent="0.2">
      <c r="A173">
        <v>19460430</v>
      </c>
      <c r="B173">
        <v>1946</v>
      </c>
      <c r="C173">
        <v>4</v>
      </c>
      <c r="D173" s="2">
        <f>ff_portfolios25!D173-ff_factors!$E173</f>
        <v>3.1779999999999996E-2</v>
      </c>
      <c r="E173" s="2">
        <f>ff_portfolios25!E173-ff_factors!$E173</f>
        <v>6.2283999999999999E-2</v>
      </c>
      <c r="F173" s="2">
        <f>ff_portfolios25!F173-ff_factors!$E173</f>
        <v>0.15293400000000001</v>
      </c>
      <c r="G173" s="2">
        <f>ff_portfolios25!G173-ff_factors!$E173</f>
        <v>6.8443000000000004E-2</v>
      </c>
      <c r="H173" s="2">
        <f>ff_portfolios25!H173-ff_factors!$E173</f>
        <v>6.6847000000000004E-2</v>
      </c>
      <c r="I173" s="2">
        <f>ff_portfolios25!I173-ff_factors!$E173</f>
        <v>4.2273999999999999E-2</v>
      </c>
      <c r="J173" s="2">
        <f>ff_portfolios25!J173-ff_factors!$E173</f>
        <v>8.4145000000000011E-2</v>
      </c>
      <c r="K173" s="2">
        <f>ff_portfolios25!K173-ff_factors!$E173</f>
        <v>7.5569000000000011E-2</v>
      </c>
      <c r="L173" s="2">
        <f>ff_portfolios25!L173-ff_factors!$E173</f>
        <v>6.7579E-2</v>
      </c>
      <c r="M173" s="2">
        <f>ff_portfolios25!M173-ff_factors!$E173</f>
        <v>7.6125000000000012E-2</v>
      </c>
      <c r="N173" s="2">
        <f>ff_portfolios25!N173-ff_factors!$E173</f>
        <v>4.1364999999999999E-2</v>
      </c>
      <c r="O173" s="2">
        <f>ff_portfolios25!O173-ff_factors!$E173</f>
        <v>5.2262999999999997E-2</v>
      </c>
      <c r="P173" s="2">
        <f>ff_portfolios25!P173-ff_factors!$E173</f>
        <v>5.4870999999999996E-2</v>
      </c>
      <c r="Q173" s="2">
        <f>ff_portfolios25!Q173-ff_factors!$E173</f>
        <v>6.6541000000000003E-2</v>
      </c>
      <c r="R173" s="2">
        <f>ff_portfolios25!R173-ff_factors!$E173</f>
        <v>3.7433000000000001E-2</v>
      </c>
      <c r="S173" s="2">
        <f>ff_portfolios25!S173-ff_factors!$E173</f>
        <v>6.3344999999999999E-2</v>
      </c>
      <c r="T173" s="2">
        <f>ff_portfolios25!T173-ff_factors!$E173</f>
        <v>3.7329000000000001E-2</v>
      </c>
      <c r="U173" s="2">
        <f>ff_portfolios25!U173-ff_factors!$E173</f>
        <v>7.7602000000000004E-2</v>
      </c>
      <c r="V173" s="2">
        <f>ff_portfolios25!V173-ff_factors!$E173</f>
        <v>2.7632999999999998E-2</v>
      </c>
      <c r="W173" s="2">
        <f>ff_portfolios25!W173-ff_factors!$E173</f>
        <v>1.0871E-2</v>
      </c>
      <c r="X173" s="2">
        <f>ff_portfolios25!X173-ff_factors!$E173</f>
        <v>3.3774999999999999E-2</v>
      </c>
      <c r="Y173" s="2">
        <f>ff_portfolios25!Y173-ff_factors!$E173</f>
        <v>3.9355999999999995E-2</v>
      </c>
      <c r="Z173" s="2">
        <f>ff_portfolios25!Z173-ff_factors!$E173</f>
        <v>5.4769999999999999E-2</v>
      </c>
      <c r="AA173" s="2">
        <f>ff_portfolios25!AA173-ff_factors!$E173</f>
        <v>5.7086999999999999E-2</v>
      </c>
      <c r="AB173" s="2">
        <f>ff_portfolios25!AB173-ff_factors!$E173</f>
        <v>1.8682999999999998E-2</v>
      </c>
    </row>
    <row r="174" spans="1:28" x14ac:dyDescent="0.2">
      <c r="A174">
        <v>19460531</v>
      </c>
      <c r="B174">
        <v>1946</v>
      </c>
      <c r="C174">
        <v>5</v>
      </c>
      <c r="D174" s="2">
        <f>ff_portfolios25!D174-ff_factors!$E174</f>
        <v>9.241400000000001E-2</v>
      </c>
      <c r="E174" s="2">
        <f>ff_portfolios25!E174-ff_factors!$E174</f>
        <v>7.5072E-2</v>
      </c>
      <c r="F174" s="2">
        <f>ff_portfolios25!F174-ff_factors!$E174</f>
        <v>4.6497999999999998E-2</v>
      </c>
      <c r="G174" s="2">
        <f>ff_portfolios25!G174-ff_factors!$E174</f>
        <v>2.0308E-2</v>
      </c>
      <c r="H174" s="2">
        <f>ff_portfolios25!H174-ff_factors!$E174</f>
        <v>6.4219999999999999E-2</v>
      </c>
      <c r="I174" s="2">
        <f>ff_portfolios25!I174-ff_factors!$E174</f>
        <v>6.1649999999999996E-2</v>
      </c>
      <c r="J174" s="2">
        <f>ff_portfolios25!J174-ff_factors!$E174</f>
        <v>5.0173999999999996E-2</v>
      </c>
      <c r="K174" s="2">
        <f>ff_portfolios25!K174-ff_factors!$E174</f>
        <v>6.0365999999999996E-2</v>
      </c>
      <c r="L174" s="2">
        <f>ff_portfolios25!L174-ff_factors!$E174</f>
        <v>4.0480999999999996E-2</v>
      </c>
      <c r="M174" s="2">
        <f>ff_portfolios25!M174-ff_factors!$E174</f>
        <v>8.8530000000000011E-2</v>
      </c>
      <c r="N174" s="2">
        <f>ff_portfolios25!N174-ff_factors!$E174</f>
        <v>5.0016999999999999E-2</v>
      </c>
      <c r="O174" s="2">
        <f>ff_portfolios25!O174-ff_factors!$E174</f>
        <v>8.1599000000000005E-2</v>
      </c>
      <c r="P174" s="2">
        <f>ff_portfolios25!P174-ff_factors!$E174</f>
        <v>7.509600000000001E-2</v>
      </c>
      <c r="Q174" s="2">
        <f>ff_portfolios25!Q174-ff_factors!$E174</f>
        <v>5.7263999999999995E-2</v>
      </c>
      <c r="R174" s="2">
        <f>ff_portfolios25!R174-ff_factors!$E174</f>
        <v>4.4503999999999995E-2</v>
      </c>
      <c r="S174" s="2">
        <f>ff_portfolios25!S174-ff_factors!$E174</f>
        <v>5.1097999999999998E-2</v>
      </c>
      <c r="T174" s="2">
        <f>ff_portfolios25!T174-ff_factors!$E174</f>
        <v>4.2502999999999999E-2</v>
      </c>
      <c r="U174" s="2">
        <f>ff_portfolios25!U174-ff_factors!$E174</f>
        <v>5.0910999999999998E-2</v>
      </c>
      <c r="V174" s="2">
        <f>ff_portfolios25!V174-ff_factors!$E174</f>
        <v>7.1421999999999999E-2</v>
      </c>
      <c r="W174" s="2">
        <f>ff_portfolios25!W174-ff_factors!$E174</f>
        <v>0.112944</v>
      </c>
      <c r="X174" s="2">
        <f>ff_portfolios25!X174-ff_factors!$E174</f>
        <v>2.5251999999999997E-2</v>
      </c>
      <c r="Y174" s="2">
        <f>ff_portfolios25!Y174-ff_factors!$E174</f>
        <v>3.9896000000000001E-2</v>
      </c>
      <c r="Z174" s="2">
        <f>ff_portfolios25!Z174-ff_factors!$E174</f>
        <v>1.8671999999999998E-2</v>
      </c>
      <c r="AA174" s="2">
        <f>ff_portfolios25!AA174-ff_factors!$E174</f>
        <v>5.6556999999999996E-2</v>
      </c>
      <c r="AB174" s="2">
        <f>ff_portfolios25!AB174-ff_factors!$E174</f>
        <v>5.6583999999999995E-2</v>
      </c>
    </row>
    <row r="175" spans="1:28" x14ac:dyDescent="0.2">
      <c r="A175">
        <v>19460628</v>
      </c>
      <c r="B175">
        <v>1946</v>
      </c>
      <c r="C175">
        <v>6</v>
      </c>
      <c r="D175" s="2">
        <f>ff_portfolios25!D175-ff_factors!$E175</f>
        <v>-6.3668999999999989E-2</v>
      </c>
      <c r="E175" s="2">
        <f>ff_portfolios25!E175-ff_factors!$E175</f>
        <v>-3.9012000000000005E-2</v>
      </c>
      <c r="F175" s="2">
        <f>ff_portfolios25!F175-ff_factors!$E175</f>
        <v>-5.5628000000000004E-2</v>
      </c>
      <c r="G175" s="2">
        <f>ff_portfolios25!G175-ff_factors!$E175</f>
        <v>-4.5770999999999999E-2</v>
      </c>
      <c r="H175" s="2">
        <f>ff_portfolios25!H175-ff_factors!$E175</f>
        <v>-6.1081000000000003E-2</v>
      </c>
      <c r="I175" s="2">
        <f>ff_portfolios25!I175-ff_factors!$E175</f>
        <v>-4.1943000000000001E-2</v>
      </c>
      <c r="J175" s="2">
        <f>ff_portfolios25!J175-ff_factors!$E175</f>
        <v>-5.7847000000000003E-2</v>
      </c>
      <c r="K175" s="2">
        <f>ff_portfolios25!K175-ff_factors!$E175</f>
        <v>-5.3094000000000002E-2</v>
      </c>
      <c r="L175" s="2">
        <f>ff_portfolios25!L175-ff_factors!$E175</f>
        <v>-5.5251000000000001E-2</v>
      </c>
      <c r="M175" s="2">
        <f>ff_portfolios25!M175-ff_factors!$E175</f>
        <v>-5.9566000000000001E-2</v>
      </c>
      <c r="N175" s="2">
        <f>ff_portfolios25!N175-ff_factors!$E175</f>
        <v>-5.0224999999999999E-2</v>
      </c>
      <c r="O175" s="2">
        <f>ff_portfolios25!O175-ff_factors!$E175</f>
        <v>-6.0044E-2</v>
      </c>
      <c r="P175" s="2">
        <f>ff_portfolios25!P175-ff_factors!$E175</f>
        <v>-4.6814000000000001E-2</v>
      </c>
      <c r="Q175" s="2">
        <f>ff_portfolios25!Q175-ff_factors!$E175</f>
        <v>-6.3660999999999995E-2</v>
      </c>
      <c r="R175" s="2">
        <f>ff_portfolios25!R175-ff_factors!$E175</f>
        <v>-4.7947000000000004E-2</v>
      </c>
      <c r="S175" s="2">
        <f>ff_portfolios25!S175-ff_factors!$E175</f>
        <v>-5.4627000000000002E-2</v>
      </c>
      <c r="T175" s="2">
        <f>ff_portfolios25!T175-ff_factors!$E175</f>
        <v>-6.2648999999999996E-2</v>
      </c>
      <c r="U175" s="2">
        <f>ff_portfolios25!U175-ff_factors!$E175</f>
        <v>-5.5032999999999999E-2</v>
      </c>
      <c r="V175" s="2">
        <f>ff_portfolios25!V175-ff_factors!$E175</f>
        <v>-6.1448000000000003E-2</v>
      </c>
      <c r="W175" s="2">
        <f>ff_portfolios25!W175-ff_factors!$E175</f>
        <v>-5.4164000000000004E-2</v>
      </c>
      <c r="X175" s="2">
        <f>ff_portfolios25!X175-ff_factors!$E175</f>
        <v>-4.3354000000000004E-2</v>
      </c>
      <c r="Y175" s="2">
        <f>ff_portfolios25!Y175-ff_factors!$E175</f>
        <v>-2.5421000000000003E-2</v>
      </c>
      <c r="Z175" s="2">
        <f>ff_portfolios25!Z175-ff_factors!$E175</f>
        <v>-9.9520000000000008E-3</v>
      </c>
      <c r="AA175" s="2">
        <f>ff_portfolios25!AA175-ff_factors!$E175</f>
        <v>-5.6478E-2</v>
      </c>
      <c r="AB175" s="2">
        <f>ff_portfolios25!AB175-ff_factors!$E175</f>
        <v>-2.8036000000000002E-2</v>
      </c>
    </row>
    <row r="176" spans="1:28" x14ac:dyDescent="0.2">
      <c r="A176">
        <v>19460731</v>
      </c>
      <c r="B176">
        <v>1946</v>
      </c>
      <c r="C176">
        <v>7</v>
      </c>
      <c r="D176" s="2">
        <f>ff_portfolios25!D176-ff_factors!$E176</f>
        <v>-6.5709999999999991E-2</v>
      </c>
      <c r="E176" s="2">
        <f>ff_portfolios25!E176-ff_factors!$E176</f>
        <v>-6.7844000000000002E-2</v>
      </c>
      <c r="F176" s="2">
        <f>ff_portfolios25!F176-ff_factors!$E176</f>
        <v>-4.2835999999999999E-2</v>
      </c>
      <c r="G176" s="2">
        <f>ff_portfolios25!G176-ff_factors!$E176</f>
        <v>-3.3259000000000004E-2</v>
      </c>
      <c r="H176" s="2">
        <f>ff_portfolios25!H176-ff_factors!$E176</f>
        <v>-6.5549999999999997E-2</v>
      </c>
      <c r="I176" s="2">
        <f>ff_portfolios25!I176-ff_factors!$E176</f>
        <v>-4.1966000000000003E-2</v>
      </c>
      <c r="J176" s="2">
        <f>ff_portfolios25!J176-ff_factors!$E176</f>
        <v>-5.0917000000000004E-2</v>
      </c>
      <c r="K176" s="2">
        <f>ff_portfolios25!K176-ff_factors!$E176</f>
        <v>-3.6301E-2</v>
      </c>
      <c r="L176" s="2">
        <f>ff_portfolios25!L176-ff_factors!$E176</f>
        <v>-4.199E-2</v>
      </c>
      <c r="M176" s="2">
        <f>ff_portfolios25!M176-ff_factors!$E176</f>
        <v>-4.7488000000000002E-2</v>
      </c>
      <c r="N176" s="2">
        <f>ff_portfolios25!N176-ff_factors!$E176</f>
        <v>-5.4472E-2</v>
      </c>
      <c r="O176" s="2">
        <f>ff_portfolios25!O176-ff_factors!$E176</f>
        <v>-2.4170000000000001E-2</v>
      </c>
      <c r="P176" s="2">
        <f>ff_portfolios25!P176-ff_factors!$E176</f>
        <v>-4.5586000000000002E-2</v>
      </c>
      <c r="Q176" s="2">
        <f>ff_portfolios25!Q176-ff_factors!$E176</f>
        <v>-3.329E-2</v>
      </c>
      <c r="R176" s="2">
        <f>ff_portfolios25!R176-ff_factors!$E176</f>
        <v>-4.6179999999999999E-2</v>
      </c>
      <c r="S176" s="2">
        <f>ff_portfolios25!S176-ff_factors!$E176</f>
        <v>-3.5427E-2</v>
      </c>
      <c r="T176" s="2">
        <f>ff_portfolios25!T176-ff_factors!$E176</f>
        <v>-2.5745000000000001E-2</v>
      </c>
      <c r="U176" s="2">
        <f>ff_portfolios25!U176-ff_factors!$E176</f>
        <v>-4.2040000000000001E-2</v>
      </c>
      <c r="V176" s="2">
        <f>ff_portfolios25!V176-ff_factors!$E176</f>
        <v>-3.8131999999999999E-2</v>
      </c>
      <c r="W176" s="2">
        <f>ff_portfolios25!W176-ff_factors!$E176</f>
        <v>-6.2845999999999999E-2</v>
      </c>
      <c r="X176" s="2">
        <f>ff_portfolios25!X176-ff_factors!$E176</f>
        <v>-2.1416000000000001E-2</v>
      </c>
      <c r="Y176" s="2">
        <f>ff_portfolios25!Y176-ff_factors!$E176</f>
        <v>-4.2881000000000002E-2</v>
      </c>
      <c r="Z176" s="2">
        <f>ff_portfolios25!Z176-ff_factors!$E176</f>
        <v>-1.6871000000000001E-2</v>
      </c>
      <c r="AA176" s="2">
        <f>ff_portfolios25!AA176-ff_factors!$E176</f>
        <v>-1.2460000000000001E-2</v>
      </c>
      <c r="AB176" s="2">
        <f>ff_portfolios25!AB176-ff_factors!$E176</f>
        <v>-2.5325E-2</v>
      </c>
    </row>
    <row r="177" spans="1:28" x14ac:dyDescent="0.2">
      <c r="A177">
        <v>19460830</v>
      </c>
      <c r="B177">
        <v>1946</v>
      </c>
      <c r="C177">
        <v>8</v>
      </c>
      <c r="D177" s="2">
        <f>ff_portfolios25!D177-ff_factors!$E177</f>
        <v>-9.5495999999999998E-2</v>
      </c>
      <c r="E177" s="2">
        <f>ff_portfolios25!E177-ff_factors!$E177</f>
        <v>-8.759299999999999E-2</v>
      </c>
      <c r="F177" s="2">
        <f>ff_portfolios25!F177-ff_factors!$E177</f>
        <v>-9.503099999999999E-2</v>
      </c>
      <c r="G177" s="2">
        <f>ff_portfolios25!G177-ff_factors!$E177</f>
        <v>-7.7163999999999996E-2</v>
      </c>
      <c r="H177" s="2">
        <f>ff_portfolios25!H177-ff_factors!$E177</f>
        <v>-9.1686999999999991E-2</v>
      </c>
      <c r="I177" s="2">
        <f>ff_portfolios25!I177-ff_factors!$E177</f>
        <v>-6.8922999999999998E-2</v>
      </c>
      <c r="J177" s="2">
        <f>ff_portfolios25!J177-ff_factors!$E177</f>
        <v>-7.8311999999999993E-2</v>
      </c>
      <c r="K177" s="2">
        <f>ff_portfolios25!K177-ff_factors!$E177</f>
        <v>-8.5397999999999988E-2</v>
      </c>
      <c r="L177" s="2">
        <f>ff_portfolios25!L177-ff_factors!$E177</f>
        <v>-8.3705000000000002E-2</v>
      </c>
      <c r="M177" s="2">
        <f>ff_portfolios25!M177-ff_factors!$E177</f>
        <v>-7.9818E-2</v>
      </c>
      <c r="N177" s="2">
        <f>ff_portfolios25!N177-ff_factors!$E177</f>
        <v>-9.2377999999999988E-2</v>
      </c>
      <c r="O177" s="2">
        <f>ff_portfolios25!O177-ff_factors!$E177</f>
        <v>-8.0811999999999995E-2</v>
      </c>
      <c r="P177" s="2">
        <f>ff_portfolios25!P177-ff_factors!$E177</f>
        <v>-7.2073999999999999E-2</v>
      </c>
      <c r="Q177" s="2">
        <f>ff_portfolios25!Q177-ff_factors!$E177</f>
        <v>-6.547E-2</v>
      </c>
      <c r="R177" s="2">
        <f>ff_portfolios25!R177-ff_factors!$E177</f>
        <v>-8.4889999999999993E-2</v>
      </c>
      <c r="S177" s="2">
        <f>ff_portfolios25!S177-ff_factors!$E177</f>
        <v>-6.7685999999999996E-2</v>
      </c>
      <c r="T177" s="2">
        <f>ff_portfolios25!T177-ff_factors!$E177</f>
        <v>-6.1594000000000003E-2</v>
      </c>
      <c r="U177" s="2">
        <f>ff_portfolios25!U177-ff_factors!$E177</f>
        <v>-6.645899999999999E-2</v>
      </c>
      <c r="V177" s="2">
        <f>ff_portfolios25!V177-ff_factors!$E177</f>
        <v>-5.4871000000000003E-2</v>
      </c>
      <c r="W177" s="2">
        <f>ff_portfolios25!W177-ff_factors!$E177</f>
        <v>-9.2100000000000001E-2</v>
      </c>
      <c r="X177" s="2">
        <f>ff_portfolios25!X177-ff_factors!$E177</f>
        <v>-5.9885000000000001E-2</v>
      </c>
      <c r="Y177" s="2">
        <f>ff_portfolios25!Y177-ff_factors!$E177</f>
        <v>-6.6976999999999995E-2</v>
      </c>
      <c r="Z177" s="2">
        <f>ff_portfolios25!Z177-ff_factors!$E177</f>
        <v>-6.6697999999999993E-2</v>
      </c>
      <c r="AA177" s="2">
        <f>ff_portfolios25!AA177-ff_factors!$E177</f>
        <v>-5.0568000000000002E-2</v>
      </c>
      <c r="AB177" s="2">
        <f>ff_portfolios25!AB177-ff_factors!$E177</f>
        <v>-6.7406999999999995E-2</v>
      </c>
    </row>
    <row r="178" spans="1:28" x14ac:dyDescent="0.2">
      <c r="A178">
        <v>19460930</v>
      </c>
      <c r="B178">
        <v>1946</v>
      </c>
      <c r="C178">
        <v>9</v>
      </c>
      <c r="D178" s="2">
        <f>ff_portfolios25!D178-ff_factors!$E178</f>
        <v>-0.16009999999999999</v>
      </c>
      <c r="E178" s="2">
        <f>ff_portfolios25!E178-ff_factors!$E178</f>
        <v>-0.183369</v>
      </c>
      <c r="F178" s="2">
        <f>ff_portfolios25!F178-ff_factors!$E178</f>
        <v>-0.151362</v>
      </c>
      <c r="G178" s="2">
        <f>ff_portfolios25!G178-ff_factors!$E178</f>
        <v>-0.15179799999999999</v>
      </c>
      <c r="H178" s="2">
        <f>ff_portfolios25!H178-ff_factors!$E178</f>
        <v>-0.18335899999999999</v>
      </c>
      <c r="I178" s="2">
        <f>ff_portfolios25!I178-ff_factors!$E178</f>
        <v>-0.14028299999999999</v>
      </c>
      <c r="J178" s="2">
        <f>ff_portfolios25!J178-ff_factors!$E178</f>
        <v>-0.13536499999999999</v>
      </c>
      <c r="K178" s="2">
        <f>ff_portfolios25!K178-ff_factors!$E178</f>
        <v>-0.137878</v>
      </c>
      <c r="L178" s="2">
        <f>ff_portfolios25!L178-ff_factors!$E178</f>
        <v>-0.13125899999999999</v>
      </c>
      <c r="M178" s="2">
        <f>ff_portfolios25!M178-ff_factors!$E178</f>
        <v>-0.16394400000000001</v>
      </c>
      <c r="N178" s="2">
        <f>ff_portfolios25!N178-ff_factors!$E178</f>
        <v>-0.13836499999999999</v>
      </c>
      <c r="O178" s="2">
        <f>ff_portfolios25!O178-ff_factors!$E178</f>
        <v>-0.11887499999999999</v>
      </c>
      <c r="P178" s="2">
        <f>ff_portfolios25!P178-ff_factors!$E178</f>
        <v>-0.129416</v>
      </c>
      <c r="Q178" s="2">
        <f>ff_portfolios25!Q178-ff_factors!$E178</f>
        <v>-0.119351</v>
      </c>
      <c r="R178" s="2">
        <f>ff_portfolios25!R178-ff_factors!$E178</f>
        <v>-0.14798700000000001</v>
      </c>
      <c r="S178" s="2">
        <f>ff_portfolios25!S178-ff_factors!$E178</f>
        <v>-0.11050099999999999</v>
      </c>
      <c r="T178" s="2">
        <f>ff_portfolios25!T178-ff_factors!$E178</f>
        <v>-0.10206899999999999</v>
      </c>
      <c r="U178" s="2">
        <f>ff_portfolios25!U178-ff_factors!$E178</f>
        <v>-0.14223</v>
      </c>
      <c r="V178" s="2">
        <f>ff_portfolios25!V178-ff_factors!$E178</f>
        <v>-8.5204999999999989E-2</v>
      </c>
      <c r="W178" s="2">
        <f>ff_portfolios25!W178-ff_factors!$E178</f>
        <v>-0.16356199999999999</v>
      </c>
      <c r="X178" s="2">
        <f>ff_portfolios25!X178-ff_factors!$E178</f>
        <v>-9.8347999999999991E-2</v>
      </c>
      <c r="Y178" s="2">
        <f>ff_portfolios25!Y178-ff_factors!$E178</f>
        <v>-8.8374999999999995E-2</v>
      </c>
      <c r="Z178" s="2">
        <f>ff_portfolios25!Z178-ff_factors!$E178</f>
        <v>-6.4269999999999994E-2</v>
      </c>
      <c r="AA178" s="2">
        <f>ff_portfolios25!AA178-ff_factors!$E178</f>
        <v>-8.3799999999999999E-2</v>
      </c>
      <c r="AB178" s="2">
        <f>ff_portfolios25!AB178-ff_factors!$E178</f>
        <v>-0.131161</v>
      </c>
    </row>
    <row r="179" spans="1:28" x14ac:dyDescent="0.2">
      <c r="A179">
        <v>19461031</v>
      </c>
      <c r="B179">
        <v>1946</v>
      </c>
      <c r="C179">
        <v>10</v>
      </c>
      <c r="D179" s="2">
        <f>ff_portfolios25!D179-ff_factors!$E179</f>
        <v>-4.1731000000000004E-2</v>
      </c>
      <c r="E179" s="2">
        <f>ff_portfolios25!E179-ff_factors!$E179</f>
        <v>-3.6552000000000001E-2</v>
      </c>
      <c r="F179" s="2">
        <f>ff_portfolios25!F179-ff_factors!$E179</f>
        <v>1.5644999999999999E-2</v>
      </c>
      <c r="G179" s="2">
        <f>ff_portfolios25!G179-ff_factors!$E179</f>
        <v>-1.5694E-2</v>
      </c>
      <c r="H179" s="2">
        <f>ff_portfolios25!H179-ff_factors!$E179</f>
        <v>2.2420000000000001E-3</v>
      </c>
      <c r="I179" s="2">
        <f>ff_portfolios25!I179-ff_factors!$E179</f>
        <v>-4.6893000000000004E-2</v>
      </c>
      <c r="J179" s="2">
        <f>ff_portfolios25!J179-ff_factors!$E179</f>
        <v>-2.6403000000000003E-2</v>
      </c>
      <c r="K179" s="2">
        <f>ff_portfolios25!K179-ff_factors!$E179</f>
        <v>-1.0663000000000001E-2</v>
      </c>
      <c r="L179" s="2">
        <f>ff_portfolios25!L179-ff_factors!$E179</f>
        <v>-8.5909999999999997E-3</v>
      </c>
      <c r="M179" s="2">
        <f>ff_portfolios25!M179-ff_factors!$E179</f>
        <v>-7.4910000000000003E-3</v>
      </c>
      <c r="N179" s="2">
        <f>ff_portfolios25!N179-ff_factors!$E179</f>
        <v>-1.3872000000000001E-2</v>
      </c>
      <c r="O179" s="2">
        <f>ff_portfolios25!O179-ff_factors!$E179</f>
        <v>-2.5476000000000002E-2</v>
      </c>
      <c r="P179" s="2">
        <f>ff_portfolios25!P179-ff_factors!$E179</f>
        <v>-3.0638000000000002E-2</v>
      </c>
      <c r="Q179" s="2">
        <f>ff_portfolios25!Q179-ff_factors!$E179</f>
        <v>-4.0080000000000003E-3</v>
      </c>
      <c r="R179" s="2">
        <f>ff_portfolios25!R179-ff_factors!$E179</f>
        <v>8.2979999999999998E-3</v>
      </c>
      <c r="S179" s="2">
        <f>ff_portfolios25!S179-ff_factors!$E179</f>
        <v>-3.6236000000000004E-2</v>
      </c>
      <c r="T179" s="2">
        <f>ff_portfolios25!T179-ff_factors!$E179</f>
        <v>-8.7550000000000006E-3</v>
      </c>
      <c r="U179" s="2">
        <f>ff_portfolios25!U179-ff_factors!$E179</f>
        <v>-2.1855000000000003E-2</v>
      </c>
      <c r="V179" s="2">
        <f>ff_portfolios25!V179-ff_factors!$E179</f>
        <v>-9.9290000000000003E-3</v>
      </c>
      <c r="W179" s="2">
        <f>ff_portfolios25!W179-ff_factors!$E179</f>
        <v>2.8958999999999999E-2</v>
      </c>
      <c r="X179" s="2">
        <f>ff_portfolios25!X179-ff_factors!$E179</f>
        <v>-2.4052E-2</v>
      </c>
      <c r="Y179" s="2">
        <f>ff_portfolios25!Y179-ff_factors!$E179</f>
        <v>-2.6538000000000003E-2</v>
      </c>
      <c r="Z179" s="2">
        <f>ff_portfolios25!Z179-ff_factors!$E179</f>
        <v>-3.4396000000000003E-2</v>
      </c>
      <c r="AA179" s="2">
        <f>ff_portfolios25!AA179-ff_factors!$E179</f>
        <v>1.2740000000000002E-3</v>
      </c>
      <c r="AB179" s="2">
        <f>ff_portfolios25!AB179-ff_factors!$E179</f>
        <v>9.4719999999999995E-3</v>
      </c>
    </row>
    <row r="180" spans="1:28" x14ac:dyDescent="0.2">
      <c r="A180">
        <v>19461130</v>
      </c>
      <c r="B180">
        <v>1946</v>
      </c>
      <c r="C180">
        <v>11</v>
      </c>
      <c r="D180" s="2">
        <f>ff_portfolios25!D180-ff_factors!$E180</f>
        <v>-2.9195000000000002E-2</v>
      </c>
      <c r="E180" s="2">
        <f>ff_portfolios25!E180-ff_factors!$E180</f>
        <v>9.332E-3</v>
      </c>
      <c r="F180" s="2">
        <f>ff_portfolios25!F180-ff_factors!$E180</f>
        <v>-2.7398000000000002E-2</v>
      </c>
      <c r="G180" s="2">
        <f>ff_portfolios25!G180-ff_factors!$E180</f>
        <v>-1.9421000000000001E-2</v>
      </c>
      <c r="H180" s="2">
        <f>ff_portfolios25!H180-ff_factors!$E180</f>
        <v>3.2940000000000001E-3</v>
      </c>
      <c r="I180" s="2">
        <f>ff_portfolios25!I180-ff_factors!$E180</f>
        <v>-4.4829000000000001E-2</v>
      </c>
      <c r="J180" s="2">
        <f>ff_portfolios25!J180-ff_factors!$E180</f>
        <v>7.8300000000000006E-4</v>
      </c>
      <c r="K180" s="2">
        <f>ff_portfolios25!K180-ff_factors!$E180</f>
        <v>-3.797E-3</v>
      </c>
      <c r="L180" s="2">
        <f>ff_portfolios25!L180-ff_factors!$E180</f>
        <v>-7.2589999999999998E-3</v>
      </c>
      <c r="M180" s="2">
        <f>ff_portfolios25!M180-ff_factors!$E180</f>
        <v>1.8986999999999997E-2</v>
      </c>
      <c r="N180" s="2">
        <f>ff_portfolios25!N180-ff_factors!$E180</f>
        <v>4.2500000000000003E-3</v>
      </c>
      <c r="O180" s="2">
        <f>ff_portfolios25!O180-ff_factors!$E180</f>
        <v>5.0689999999999997E-3</v>
      </c>
      <c r="P180" s="2">
        <f>ff_portfolios25!P180-ff_factors!$E180</f>
        <v>1.3842E-2</v>
      </c>
      <c r="Q180" s="2">
        <f>ff_portfolios25!Q180-ff_factors!$E180</f>
        <v>-8.0879999999999997E-3</v>
      </c>
      <c r="R180" s="2">
        <f>ff_portfolios25!R180-ff_factors!$E180</f>
        <v>2.2088E-2</v>
      </c>
      <c r="S180" s="2">
        <f>ff_portfolios25!S180-ff_factors!$E180</f>
        <v>1.7514999999999999E-2</v>
      </c>
      <c r="T180" s="2">
        <f>ff_portfolios25!T180-ff_factors!$E180</f>
        <v>5.8E-4</v>
      </c>
      <c r="U180" s="2">
        <f>ff_portfolios25!U180-ff_factors!$E180</f>
        <v>1.1436E-2</v>
      </c>
      <c r="V180" s="2">
        <f>ff_portfolios25!V180-ff_factors!$E180</f>
        <v>-8.1460000000000005E-3</v>
      </c>
      <c r="W180" s="2">
        <f>ff_portfolios25!W180-ff_factors!$E180</f>
        <v>8.267E-3</v>
      </c>
      <c r="X180" s="2">
        <f>ff_portfolios25!X180-ff_factors!$E180</f>
        <v>-2.8049999999999998E-3</v>
      </c>
      <c r="Y180" s="2">
        <f>ff_portfolios25!Y180-ff_factors!$E180</f>
        <v>-1.6569999999999998E-3</v>
      </c>
      <c r="Z180" s="2">
        <f>ff_portfolios25!Z180-ff_factors!$E180</f>
        <v>2.7320000000000001E-3</v>
      </c>
      <c r="AA180" s="2">
        <f>ff_portfolios25!AA180-ff_factors!$E180</f>
        <v>8.4659999999999996E-3</v>
      </c>
      <c r="AB180" s="2">
        <f>ff_portfolios25!AB180-ff_factors!$E180</f>
        <v>-7.3959999999999998E-3</v>
      </c>
    </row>
    <row r="181" spans="1:28" x14ac:dyDescent="0.2">
      <c r="A181">
        <v>19461231</v>
      </c>
      <c r="B181">
        <v>1946</v>
      </c>
      <c r="C181">
        <v>12</v>
      </c>
      <c r="D181" s="2">
        <f>ff_portfolios25!D181-ff_factors!$E181</f>
        <v>1.6660999999999999E-2</v>
      </c>
      <c r="E181" s="2">
        <f>ff_portfolios25!E181-ff_factors!$E181</f>
        <v>8.4225000000000008E-2</v>
      </c>
      <c r="F181" s="2">
        <f>ff_portfolios25!F181-ff_factors!$E181</f>
        <v>3.4798999999999997E-2</v>
      </c>
      <c r="G181" s="2">
        <f>ff_portfolios25!G181-ff_factors!$E181</f>
        <v>3.2597000000000001E-2</v>
      </c>
      <c r="H181" s="2">
        <f>ff_portfolios25!H181-ff_factors!$E181</f>
        <v>3.0542999999999997E-2</v>
      </c>
      <c r="I181" s="2">
        <f>ff_portfolios25!I181-ff_factors!$E181</f>
        <v>4.5231E-2</v>
      </c>
      <c r="J181" s="2">
        <f>ff_portfolios25!J181-ff_factors!$E181</f>
        <v>7.4013000000000009E-2</v>
      </c>
      <c r="K181" s="2">
        <f>ff_portfolios25!K181-ff_factors!$E181</f>
        <v>3.4096000000000001E-2</v>
      </c>
      <c r="L181" s="2">
        <f>ff_portfolios25!L181-ff_factors!$E181</f>
        <v>4.7208E-2</v>
      </c>
      <c r="M181" s="2">
        <f>ff_portfolios25!M181-ff_factors!$E181</f>
        <v>4.1875999999999997E-2</v>
      </c>
      <c r="N181" s="2">
        <f>ff_portfolios25!N181-ff_factors!$E181</f>
        <v>5.3075999999999998E-2</v>
      </c>
      <c r="O181" s="2">
        <f>ff_portfolios25!O181-ff_factors!$E181</f>
        <v>4.4319999999999998E-2</v>
      </c>
      <c r="P181" s="2">
        <f>ff_portfolios25!P181-ff_factors!$E181</f>
        <v>6.0454000000000001E-2</v>
      </c>
      <c r="Q181" s="2">
        <f>ff_portfolios25!Q181-ff_factors!$E181</f>
        <v>7.0527000000000006E-2</v>
      </c>
      <c r="R181" s="2">
        <f>ff_portfolios25!R181-ff_factors!$E181</f>
        <v>3.2729000000000001E-2</v>
      </c>
      <c r="S181" s="2">
        <f>ff_portfolios25!S181-ff_factors!$E181</f>
        <v>7.2576000000000002E-2</v>
      </c>
      <c r="T181" s="2">
        <f>ff_portfolios25!T181-ff_factors!$E181</f>
        <v>5.7338E-2</v>
      </c>
      <c r="U181" s="2">
        <f>ff_portfolios25!U181-ff_factors!$E181</f>
        <v>8.2531000000000007E-2</v>
      </c>
      <c r="V181" s="2">
        <f>ff_portfolios25!V181-ff_factors!$E181</f>
        <v>2.6117999999999999E-2</v>
      </c>
      <c r="W181" s="2">
        <f>ff_portfolios25!W181-ff_factors!$E181</f>
        <v>4.2777999999999997E-2</v>
      </c>
      <c r="X181" s="2">
        <f>ff_portfolios25!X181-ff_factors!$E181</f>
        <v>5.2698999999999996E-2</v>
      </c>
      <c r="Y181" s="2">
        <f>ff_portfolios25!Y181-ff_factors!$E181</f>
        <v>6.2325999999999999E-2</v>
      </c>
      <c r="Z181" s="2">
        <f>ff_portfolios25!Z181-ff_factors!$E181</f>
        <v>3.9879999999999999E-2</v>
      </c>
      <c r="AA181" s="2">
        <f>ff_portfolios25!AA181-ff_factors!$E181</f>
        <v>4.4096999999999997E-2</v>
      </c>
      <c r="AB181" s="2">
        <f>ff_portfolios25!AB181-ff_factors!$E181</f>
        <v>3.6253000000000001E-2</v>
      </c>
    </row>
    <row r="182" spans="1:28" x14ac:dyDescent="0.2">
      <c r="A182">
        <v>19470131</v>
      </c>
      <c r="B182">
        <v>1947</v>
      </c>
      <c r="C182">
        <v>1</v>
      </c>
      <c r="D182" s="2">
        <f>ff_portfolios25!D182-ff_factors!$E182</f>
        <v>5.7035999999999996E-2</v>
      </c>
      <c r="E182" s="2">
        <f>ff_portfolios25!E182-ff_factors!$E182</f>
        <v>5.7896999999999997E-2</v>
      </c>
      <c r="F182" s="2">
        <f>ff_portfolios25!F182-ff_factors!$E182</f>
        <v>3.0197999999999999E-2</v>
      </c>
      <c r="G182" s="2">
        <f>ff_portfolios25!G182-ff_factors!$E182</f>
        <v>4.9874000000000002E-2</v>
      </c>
      <c r="H182" s="2">
        <f>ff_portfolios25!H182-ff_factors!$E182</f>
        <v>5.1057999999999999E-2</v>
      </c>
      <c r="I182" s="2">
        <f>ff_portfolios25!I182-ff_factors!$E182</f>
        <v>6.3756000000000007E-2</v>
      </c>
      <c r="J182" s="2">
        <f>ff_portfolios25!J182-ff_factors!$E182</f>
        <v>2.4865999999999999E-2</v>
      </c>
      <c r="K182" s="2">
        <f>ff_portfolios25!K182-ff_factors!$E182</f>
        <v>2.9731999999999998E-2</v>
      </c>
      <c r="L182" s="2">
        <f>ff_portfolios25!L182-ff_factors!$E182</f>
        <v>1.9103999999999999E-2</v>
      </c>
      <c r="M182" s="2">
        <f>ff_portfolios25!M182-ff_factors!$E182</f>
        <v>4.3976000000000001E-2</v>
      </c>
      <c r="N182" s="2">
        <f>ff_portfolios25!N182-ff_factors!$E182</f>
        <v>1.1939999999999999E-2</v>
      </c>
      <c r="O182" s="2">
        <f>ff_portfolios25!O182-ff_factors!$E182</f>
        <v>2.7087E-2</v>
      </c>
      <c r="P182" s="2">
        <f>ff_portfolios25!P182-ff_factors!$E182</f>
        <v>2.283E-2</v>
      </c>
      <c r="Q182" s="2">
        <f>ff_portfolios25!Q182-ff_factors!$E182</f>
        <v>3.4230000000000003E-3</v>
      </c>
      <c r="R182" s="2">
        <f>ff_portfolios25!R182-ff_factors!$E182</f>
        <v>4.5017000000000001E-2</v>
      </c>
      <c r="S182" s="2">
        <f>ff_portfolios25!S182-ff_factors!$E182</f>
        <v>-1.5169999999999999E-2</v>
      </c>
      <c r="T182" s="2">
        <f>ff_portfolios25!T182-ff_factors!$E182</f>
        <v>5.0090000000000004E-3</v>
      </c>
      <c r="U182" s="2">
        <f>ff_portfolios25!U182-ff_factors!$E182</f>
        <v>1.5544000000000001E-2</v>
      </c>
      <c r="V182" s="2">
        <f>ff_portfolios25!V182-ff_factors!$E182</f>
        <v>3.3222999999999996E-2</v>
      </c>
      <c r="W182" s="2">
        <f>ff_portfolios25!W182-ff_factors!$E182</f>
        <v>1.8698999999999997E-2</v>
      </c>
      <c r="X182" s="2">
        <f>ff_portfolios25!X182-ff_factors!$E182</f>
        <v>2.3490999999999998E-2</v>
      </c>
      <c r="Y182" s="2">
        <f>ff_portfolios25!Y182-ff_factors!$E182</f>
        <v>-1.7979999999999999E-3</v>
      </c>
      <c r="Z182" s="2">
        <f>ff_portfolios25!Z182-ff_factors!$E182</f>
        <v>1.2949E-2</v>
      </c>
      <c r="AA182" s="2">
        <f>ff_portfolios25!AA182-ff_factors!$E182</f>
        <v>-5.7669999999999996E-3</v>
      </c>
      <c r="AB182" s="2">
        <f>ff_portfolios25!AB182-ff_factors!$E182</f>
        <v>1.3564E-2</v>
      </c>
    </row>
    <row r="183" spans="1:28" x14ac:dyDescent="0.2">
      <c r="A183">
        <v>19470228</v>
      </c>
      <c r="B183">
        <v>1947</v>
      </c>
      <c r="C183">
        <v>2</v>
      </c>
      <c r="D183" s="2">
        <f>ff_portfolios25!D183-ff_factors!$E183</f>
        <v>1.0165E-2</v>
      </c>
      <c r="E183" s="2">
        <f>ff_portfolios25!E183-ff_factors!$E183</f>
        <v>-2.0608000000000001E-2</v>
      </c>
      <c r="F183" s="2">
        <f>ff_portfolios25!F183-ff_factors!$E183</f>
        <v>-9.9340000000000001E-3</v>
      </c>
      <c r="G183" s="2">
        <f>ff_portfolios25!G183-ff_factors!$E183</f>
        <v>9.3340000000000003E-3</v>
      </c>
      <c r="H183" s="2">
        <f>ff_portfolios25!H183-ff_factors!$E183</f>
        <v>2.65E-3</v>
      </c>
      <c r="I183" s="2">
        <f>ff_portfolios25!I183-ff_factors!$E183</f>
        <v>-2.3534000000000003E-2</v>
      </c>
      <c r="J183" s="2">
        <f>ff_portfolios25!J183-ff_factors!$E183</f>
        <v>2.4970000000000001E-3</v>
      </c>
      <c r="K183" s="2">
        <f>ff_portfolios25!K183-ff_factors!$E183</f>
        <v>1.3423000000000001E-2</v>
      </c>
      <c r="L183" s="2">
        <f>ff_portfolios25!L183-ff_factors!$E183</f>
        <v>-1.2493000000000001E-2</v>
      </c>
      <c r="M183" s="2">
        <f>ff_portfolios25!M183-ff_factors!$E183</f>
        <v>9.6010000000000002E-3</v>
      </c>
      <c r="N183" s="2">
        <f>ff_portfolios25!N183-ff_factors!$E183</f>
        <v>-1.7490000000000002E-2</v>
      </c>
      <c r="O183" s="2">
        <f>ff_portfolios25!O183-ff_factors!$E183</f>
        <v>-1.4867999999999999E-2</v>
      </c>
      <c r="P183" s="2">
        <f>ff_portfolios25!P183-ff_factors!$E183</f>
        <v>-1.393E-2</v>
      </c>
      <c r="Q183" s="2">
        <f>ff_portfolios25!Q183-ff_factors!$E183</f>
        <v>-8.2620000000000002E-3</v>
      </c>
      <c r="R183" s="2">
        <f>ff_portfolios25!R183-ff_factors!$E183</f>
        <v>7.6699999999999997E-3</v>
      </c>
      <c r="S183" s="2">
        <f>ff_portfolios25!S183-ff_factors!$E183</f>
        <v>-1.8850000000000002E-2</v>
      </c>
      <c r="T183" s="2">
        <f>ff_portfolios25!T183-ff_factors!$E183</f>
        <v>-9.9659999999999992E-3</v>
      </c>
      <c r="U183" s="2">
        <f>ff_portfolios25!U183-ff_factors!$E183</f>
        <v>-2.0905E-2</v>
      </c>
      <c r="V183" s="2">
        <f>ff_portfolios25!V183-ff_factors!$E183</f>
        <v>-1.8663000000000003E-2</v>
      </c>
      <c r="W183" s="2">
        <f>ff_portfolios25!W183-ff_factors!$E183</f>
        <v>1.5250000000000001E-3</v>
      </c>
      <c r="X183" s="2">
        <f>ff_portfolios25!X183-ff_factors!$E183</f>
        <v>6.6940000000000003E-3</v>
      </c>
      <c r="Y183" s="2">
        <f>ff_portfolios25!Y183-ff_factors!$E183</f>
        <v>-5.0080000000000003E-3</v>
      </c>
      <c r="Z183" s="2">
        <f>ff_portfolios25!Z183-ff_factors!$E183</f>
        <v>-1.5780000000000002E-2</v>
      </c>
      <c r="AA183" s="2">
        <f>ff_portfolios25!AA183-ff_factors!$E183</f>
        <v>-1.6402000000000003E-2</v>
      </c>
      <c r="AB183" s="2">
        <f>ff_portfolios25!AB183-ff_factors!$E183</f>
        <v>-2.5215000000000001E-2</v>
      </c>
    </row>
    <row r="184" spans="1:28" x14ac:dyDescent="0.2">
      <c r="A184">
        <v>19470331</v>
      </c>
      <c r="B184">
        <v>1947</v>
      </c>
      <c r="C184">
        <v>3</v>
      </c>
      <c r="D184" s="2">
        <f>ff_portfolios25!D184-ff_factors!$E184</f>
        <v>-5.2722000000000005E-2</v>
      </c>
      <c r="E184" s="2">
        <f>ff_portfolios25!E184-ff_factors!$E184</f>
        <v>-4.5006000000000004E-2</v>
      </c>
      <c r="F184" s="2">
        <f>ff_portfolios25!F184-ff_factors!$E184</f>
        <v>-5.0887000000000002E-2</v>
      </c>
      <c r="G184" s="2">
        <f>ff_portfolios25!G184-ff_factors!$E184</f>
        <v>-4.6478999999999999E-2</v>
      </c>
      <c r="H184" s="2">
        <f>ff_portfolios25!H184-ff_factors!$E184</f>
        <v>-1.7782000000000003E-2</v>
      </c>
      <c r="I184" s="2">
        <f>ff_portfolios25!I184-ff_factors!$E184</f>
        <v>-4.3506000000000003E-2</v>
      </c>
      <c r="J184" s="2">
        <f>ff_portfolios25!J184-ff_factors!$E184</f>
        <v>-4.2893000000000001E-2</v>
      </c>
      <c r="K184" s="2">
        <f>ff_portfolios25!K184-ff_factors!$E184</f>
        <v>-3.5203000000000005E-2</v>
      </c>
      <c r="L184" s="2">
        <f>ff_portfolios25!L184-ff_factors!$E184</f>
        <v>-2.5881000000000001E-2</v>
      </c>
      <c r="M184" s="2">
        <f>ff_portfolios25!M184-ff_factors!$E184</f>
        <v>-3.0344000000000003E-2</v>
      </c>
      <c r="N184" s="2">
        <f>ff_portfolios25!N184-ff_factors!$E184</f>
        <v>-2.3449000000000001E-2</v>
      </c>
      <c r="O184" s="2">
        <f>ff_portfolios25!O184-ff_factors!$E184</f>
        <v>-2.7708E-2</v>
      </c>
      <c r="P184" s="2">
        <f>ff_portfolios25!P184-ff_factors!$E184</f>
        <v>-2.7488000000000002E-2</v>
      </c>
      <c r="Q184" s="2">
        <f>ff_portfolios25!Q184-ff_factors!$E184</f>
        <v>-1.2867E-2</v>
      </c>
      <c r="R184" s="2">
        <f>ff_portfolios25!R184-ff_factors!$E184</f>
        <v>-2.4966000000000002E-2</v>
      </c>
      <c r="S184" s="2">
        <f>ff_portfolios25!S184-ff_factors!$E184</f>
        <v>-4.1330000000000004E-3</v>
      </c>
      <c r="T184" s="2">
        <f>ff_portfolios25!T184-ff_factors!$E184</f>
        <v>-1.5240999999999999E-2</v>
      </c>
      <c r="U184" s="2">
        <f>ff_portfolios25!U184-ff_factors!$E184</f>
        <v>-2.7123000000000001E-2</v>
      </c>
      <c r="V184" s="2">
        <f>ff_portfolios25!V184-ff_factors!$E184</f>
        <v>-7.6239999999999997E-3</v>
      </c>
      <c r="W184" s="2">
        <f>ff_portfolios25!W184-ff_factors!$E184</f>
        <v>-2.7032E-2</v>
      </c>
      <c r="X184" s="2">
        <f>ff_portfolios25!X184-ff_factors!$E184</f>
        <v>-1.7598000000000003E-2</v>
      </c>
      <c r="Y184" s="2">
        <f>ff_portfolios25!Y184-ff_factors!$E184</f>
        <v>-2.1734000000000003E-2</v>
      </c>
      <c r="Z184" s="2">
        <f>ff_portfolios25!Z184-ff_factors!$E184</f>
        <v>-2.0992E-2</v>
      </c>
      <c r="AA184" s="2">
        <f>ff_portfolios25!AA184-ff_factors!$E184</f>
        <v>6.1960000000000001E-3</v>
      </c>
      <c r="AB184" s="2">
        <f>ff_portfolios25!AB184-ff_factors!$E184</f>
        <v>-2.1832000000000001E-2</v>
      </c>
    </row>
    <row r="185" spans="1:28" x14ac:dyDescent="0.2">
      <c r="A185">
        <v>19470430</v>
      </c>
      <c r="B185">
        <v>1947</v>
      </c>
      <c r="C185">
        <v>4</v>
      </c>
      <c r="D185" s="2">
        <f>ff_portfolios25!D185-ff_factors!$E185</f>
        <v>-0.114301</v>
      </c>
      <c r="E185" s="2">
        <f>ff_portfolios25!E185-ff_factors!$E185</f>
        <v>-9.7445999999999991E-2</v>
      </c>
      <c r="F185" s="2">
        <f>ff_portfolios25!F185-ff_factors!$E185</f>
        <v>-9.8802999999999988E-2</v>
      </c>
      <c r="G185" s="2">
        <f>ff_portfolios25!G185-ff_factors!$E185</f>
        <v>-9.2622999999999997E-2</v>
      </c>
      <c r="H185" s="2">
        <f>ff_portfolios25!H185-ff_factors!$E185</f>
        <v>-9.3716999999999995E-2</v>
      </c>
      <c r="I185" s="2">
        <f>ff_portfolios25!I185-ff_factors!$E185</f>
        <v>-9.1517999999999988E-2</v>
      </c>
      <c r="J185" s="2">
        <f>ff_portfolios25!J185-ff_factors!$E185</f>
        <v>-6.2799999999999995E-2</v>
      </c>
      <c r="K185" s="2">
        <f>ff_portfolios25!K185-ff_factors!$E185</f>
        <v>-8.2655999999999993E-2</v>
      </c>
      <c r="L185" s="2">
        <f>ff_portfolios25!L185-ff_factors!$E185</f>
        <v>-9.4435999999999992E-2</v>
      </c>
      <c r="M185" s="2">
        <f>ff_portfolios25!M185-ff_factors!$E185</f>
        <v>-8.9914999999999995E-2</v>
      </c>
      <c r="N185" s="2">
        <f>ff_portfolios25!N185-ff_factors!$E185</f>
        <v>-9.3993999999999994E-2</v>
      </c>
      <c r="O185" s="2">
        <f>ff_portfolios25!O185-ff_factors!$E185</f>
        <v>-8.5664999999999991E-2</v>
      </c>
      <c r="P185" s="2">
        <f>ff_portfolios25!P185-ff_factors!$E185</f>
        <v>-7.6876E-2</v>
      </c>
      <c r="Q185" s="2">
        <f>ff_portfolios25!Q185-ff_factors!$E185</f>
        <v>-6.5738999999999992E-2</v>
      </c>
      <c r="R185" s="2">
        <f>ff_portfolios25!R185-ff_factors!$E185</f>
        <v>-6.5808999999999993E-2</v>
      </c>
      <c r="S185" s="2">
        <f>ff_portfolios25!S185-ff_factors!$E185</f>
        <v>-6.7656999999999995E-2</v>
      </c>
      <c r="T185" s="2">
        <f>ff_portfolios25!T185-ff_factors!$E185</f>
        <v>-6.4028999999999989E-2</v>
      </c>
      <c r="U185" s="2">
        <f>ff_portfolios25!U185-ff_factors!$E185</f>
        <v>-7.4837000000000001E-2</v>
      </c>
      <c r="V185" s="2">
        <f>ff_portfolios25!V185-ff_factors!$E185</f>
        <v>-8.5639999999999994E-2</v>
      </c>
      <c r="W185" s="2">
        <f>ff_portfolios25!W185-ff_factors!$E185</f>
        <v>-8.1050999999999998E-2</v>
      </c>
      <c r="X185" s="2">
        <f>ff_portfolios25!X185-ff_factors!$E185</f>
        <v>-4.7541E-2</v>
      </c>
      <c r="Y185" s="2">
        <f>ff_portfolios25!Y185-ff_factors!$E185</f>
        <v>-5.3282000000000003E-2</v>
      </c>
      <c r="Z185" s="2">
        <f>ff_portfolios25!Z185-ff_factors!$E185</f>
        <v>-2.4266000000000003E-2</v>
      </c>
      <c r="AA185" s="2">
        <f>ff_portfolios25!AA185-ff_factors!$E185</f>
        <v>-2.7781E-2</v>
      </c>
      <c r="AB185" s="2">
        <f>ff_portfolios25!AB185-ff_factors!$E185</f>
        <v>-3.9212000000000004E-2</v>
      </c>
    </row>
    <row r="186" spans="1:28" x14ac:dyDescent="0.2">
      <c r="A186">
        <v>19470529</v>
      </c>
      <c r="B186">
        <v>1947</v>
      </c>
      <c r="C186">
        <v>5</v>
      </c>
      <c r="D186" s="2">
        <f>ff_portfolios25!D186-ff_factors!$E186</f>
        <v>-6.2670000000000003E-2</v>
      </c>
      <c r="E186" s="2">
        <f>ff_portfolios25!E186-ff_factors!$E186</f>
        <v>-7.0670999999999998E-2</v>
      </c>
      <c r="F186" s="2">
        <f>ff_portfolios25!F186-ff_factors!$E186</f>
        <v>-7.2936999999999988E-2</v>
      </c>
      <c r="G186" s="2">
        <f>ff_portfolios25!G186-ff_factors!$E186</f>
        <v>-5.1459999999999999E-2</v>
      </c>
      <c r="H186" s="2">
        <f>ff_portfolios25!H186-ff_factors!$E186</f>
        <v>-5.6848000000000003E-2</v>
      </c>
      <c r="I186" s="2">
        <f>ff_portfolios25!I186-ff_factors!$E186</f>
        <v>-7.1327000000000002E-2</v>
      </c>
      <c r="J186" s="2">
        <f>ff_portfolios25!J186-ff_factors!$E186</f>
        <v>-4.6595999999999999E-2</v>
      </c>
      <c r="K186" s="2">
        <f>ff_portfolios25!K186-ff_factors!$E186</f>
        <v>-3.9948000000000004E-2</v>
      </c>
      <c r="L186" s="2">
        <f>ff_portfolios25!L186-ff_factors!$E186</f>
        <v>-3.4123000000000001E-2</v>
      </c>
      <c r="M186" s="2">
        <f>ff_portfolios25!M186-ff_factors!$E186</f>
        <v>-1.8962000000000003E-2</v>
      </c>
      <c r="N186" s="2">
        <f>ff_portfolios25!N186-ff_factors!$E186</f>
        <v>-4.6401999999999999E-2</v>
      </c>
      <c r="O186" s="2">
        <f>ff_portfolios25!O186-ff_factors!$E186</f>
        <v>-3.0326000000000002E-2</v>
      </c>
      <c r="P186" s="2">
        <f>ff_portfolios25!P186-ff_factors!$E186</f>
        <v>-4.4681999999999999E-2</v>
      </c>
      <c r="Q186" s="2">
        <f>ff_portfolios25!Q186-ff_factors!$E186</f>
        <v>-2.5306000000000002E-2</v>
      </c>
      <c r="R186" s="2">
        <f>ff_portfolios25!R186-ff_factors!$E186</f>
        <v>-3.8122000000000003E-2</v>
      </c>
      <c r="S186" s="2">
        <f>ff_portfolios25!S186-ff_factors!$E186</f>
        <v>-3.1534E-2</v>
      </c>
      <c r="T186" s="2">
        <f>ff_portfolios25!T186-ff_factors!$E186</f>
        <v>-3.7464000000000004E-2</v>
      </c>
      <c r="U186" s="2">
        <f>ff_portfolios25!U186-ff_factors!$E186</f>
        <v>-1.2458E-2</v>
      </c>
      <c r="V186" s="2">
        <f>ff_portfolios25!V186-ff_factors!$E186</f>
        <v>-4.4696E-2</v>
      </c>
      <c r="W186" s="2">
        <f>ff_portfolios25!W186-ff_factors!$E186</f>
        <v>-2.6196000000000001E-2</v>
      </c>
      <c r="X186" s="2">
        <f>ff_portfolios25!X186-ff_factors!$E186</f>
        <v>-8.8170000000000002E-3</v>
      </c>
      <c r="Y186" s="2">
        <f>ff_portfolios25!Y186-ff_factors!$E186</f>
        <v>2.61E-4</v>
      </c>
      <c r="Z186" s="2">
        <f>ff_portfolios25!Z186-ff_factors!$E186</f>
        <v>-1.2418E-2</v>
      </c>
      <c r="AA186" s="2">
        <f>ff_portfolios25!AA186-ff_factors!$E186</f>
        <v>1.8349999999999998E-2</v>
      </c>
      <c r="AB186" s="2">
        <f>ff_portfolios25!AB186-ff_factors!$E186</f>
        <v>-2.1504000000000002E-2</v>
      </c>
    </row>
    <row r="187" spans="1:28" x14ac:dyDescent="0.2">
      <c r="A187">
        <v>19470630</v>
      </c>
      <c r="B187">
        <v>1947</v>
      </c>
      <c r="C187">
        <v>6</v>
      </c>
      <c r="D187" s="2">
        <f>ff_portfolios25!D187-ff_factors!$E187</f>
        <v>6.8117000000000011E-2</v>
      </c>
      <c r="E187" s="2">
        <f>ff_portfolios25!E187-ff_factors!$E187</f>
        <v>3.1711999999999997E-2</v>
      </c>
      <c r="F187" s="2">
        <f>ff_portfolios25!F187-ff_factors!$E187</f>
        <v>7.7685000000000004E-2</v>
      </c>
      <c r="G187" s="2">
        <f>ff_portfolios25!G187-ff_factors!$E187</f>
        <v>2.8454999999999998E-2</v>
      </c>
      <c r="H187" s="2">
        <f>ff_portfolios25!H187-ff_factors!$E187</f>
        <v>6.2772000000000008E-2</v>
      </c>
      <c r="I187" s="2">
        <f>ff_portfolios25!I187-ff_factors!$E187</f>
        <v>4.7766999999999997E-2</v>
      </c>
      <c r="J187" s="2">
        <f>ff_portfolios25!J187-ff_factors!$E187</f>
        <v>4.5130999999999998E-2</v>
      </c>
      <c r="K187" s="2">
        <f>ff_portfolios25!K187-ff_factors!$E187</f>
        <v>6.1720999999999998E-2</v>
      </c>
      <c r="L187" s="2">
        <f>ff_portfolios25!L187-ff_factors!$E187</f>
        <v>6.0427999999999996E-2</v>
      </c>
      <c r="M187" s="2">
        <f>ff_portfolios25!M187-ff_factors!$E187</f>
        <v>4.6120999999999995E-2</v>
      </c>
      <c r="N187" s="2">
        <f>ff_portfolios25!N187-ff_factors!$E187</f>
        <v>3.3270000000000001E-2</v>
      </c>
      <c r="O187" s="2">
        <f>ff_portfolios25!O187-ff_factors!$E187</f>
        <v>5.5348000000000001E-2</v>
      </c>
      <c r="P187" s="2">
        <f>ff_portfolios25!P187-ff_factors!$E187</f>
        <v>5.9045E-2</v>
      </c>
      <c r="Q187" s="2">
        <f>ff_portfolios25!Q187-ff_factors!$E187</f>
        <v>6.0136999999999996E-2</v>
      </c>
      <c r="R187" s="2">
        <f>ff_portfolios25!R187-ff_factors!$E187</f>
        <v>5.4890999999999995E-2</v>
      </c>
      <c r="S187" s="2">
        <f>ff_portfolios25!S187-ff_factors!$E187</f>
        <v>7.1177000000000004E-2</v>
      </c>
      <c r="T187" s="2">
        <f>ff_portfolios25!T187-ff_factors!$E187</f>
        <v>6.3368000000000008E-2</v>
      </c>
      <c r="U187" s="2">
        <f>ff_portfolios25!U187-ff_factors!$E187</f>
        <v>5.2829000000000001E-2</v>
      </c>
      <c r="V187" s="2">
        <f>ff_portfolios25!V187-ff_factors!$E187</f>
        <v>5.0599999999999999E-2</v>
      </c>
      <c r="W187" s="2">
        <f>ff_portfolios25!W187-ff_factors!$E187</f>
        <v>6.0548999999999999E-2</v>
      </c>
      <c r="X187" s="2">
        <f>ff_portfolios25!X187-ff_factors!$E187</f>
        <v>6.1041999999999999E-2</v>
      </c>
      <c r="Y187" s="2">
        <f>ff_portfolios25!Y187-ff_factors!$E187</f>
        <v>7.2753999999999999E-2</v>
      </c>
      <c r="Z187" s="2">
        <f>ff_portfolios25!Z187-ff_factors!$E187</f>
        <v>7.1609999999999998E-3</v>
      </c>
      <c r="AA187" s="2">
        <f>ff_portfolios25!AA187-ff_factors!$E187</f>
        <v>6.0099E-2</v>
      </c>
      <c r="AB187" s="2">
        <f>ff_portfolios25!AB187-ff_factors!$E187</f>
        <v>4.3484999999999996E-2</v>
      </c>
    </row>
    <row r="188" spans="1:28" x14ac:dyDescent="0.2">
      <c r="A188">
        <v>19470731</v>
      </c>
      <c r="B188">
        <v>1947</v>
      </c>
      <c r="C188">
        <v>7</v>
      </c>
      <c r="D188" s="2">
        <f>ff_portfolios25!D188-ff_factors!$E188</f>
        <v>0.10142000000000001</v>
      </c>
      <c r="E188" s="2">
        <f>ff_portfolios25!E188-ff_factors!$E188</f>
        <v>7.9515000000000002E-2</v>
      </c>
      <c r="F188" s="2">
        <f>ff_portfolios25!F188-ff_factors!$E188</f>
        <v>7.8789999999999999E-2</v>
      </c>
      <c r="G188" s="2">
        <f>ff_portfolios25!G188-ff_factors!$E188</f>
        <v>5.1205000000000001E-2</v>
      </c>
      <c r="H188" s="2">
        <f>ff_portfolios25!H188-ff_factors!$E188</f>
        <v>8.9742000000000002E-2</v>
      </c>
      <c r="I188" s="2">
        <f>ff_portfolios25!I188-ff_factors!$E188</f>
        <v>4.6710999999999996E-2</v>
      </c>
      <c r="J188" s="2">
        <f>ff_portfolios25!J188-ff_factors!$E188</f>
        <v>6.7116000000000009E-2</v>
      </c>
      <c r="K188" s="2">
        <f>ff_portfolios25!K188-ff_factors!$E188</f>
        <v>5.7305999999999996E-2</v>
      </c>
      <c r="L188" s="2">
        <f>ff_portfolios25!L188-ff_factors!$E188</f>
        <v>6.3256000000000007E-2</v>
      </c>
      <c r="M188" s="2">
        <f>ff_portfolios25!M188-ff_factors!$E188</f>
        <v>8.1741000000000008E-2</v>
      </c>
      <c r="N188" s="2">
        <f>ff_portfolios25!N188-ff_factors!$E188</f>
        <v>6.2873000000000012E-2</v>
      </c>
      <c r="O188" s="2">
        <f>ff_portfolios25!O188-ff_factors!$E188</f>
        <v>3.952E-2</v>
      </c>
      <c r="P188" s="2">
        <f>ff_portfolios25!P188-ff_factors!$E188</f>
        <v>8.2171000000000008E-2</v>
      </c>
      <c r="Q188" s="2">
        <f>ff_portfolios25!Q188-ff_factors!$E188</f>
        <v>6.9933000000000009E-2</v>
      </c>
      <c r="R188" s="2">
        <f>ff_portfolios25!R188-ff_factors!$E188</f>
        <v>7.0175000000000001E-2</v>
      </c>
      <c r="S188" s="2">
        <f>ff_portfolios25!S188-ff_factors!$E188</f>
        <v>3.8244E-2</v>
      </c>
      <c r="T188" s="2">
        <f>ff_portfolios25!T188-ff_factors!$E188</f>
        <v>3.9293999999999996E-2</v>
      </c>
      <c r="U188" s="2">
        <f>ff_portfolios25!U188-ff_factors!$E188</f>
        <v>8.0016000000000004E-2</v>
      </c>
      <c r="V188" s="2">
        <f>ff_portfolios25!V188-ff_factors!$E188</f>
        <v>4.725E-2</v>
      </c>
      <c r="W188" s="2">
        <f>ff_portfolios25!W188-ff_factors!$E188</f>
        <v>9.9424999999999999E-2</v>
      </c>
      <c r="X188" s="2">
        <f>ff_portfolios25!X188-ff_factors!$E188</f>
        <v>3.3550999999999997E-2</v>
      </c>
      <c r="Y188" s="2">
        <f>ff_portfolios25!Y188-ff_factors!$E188</f>
        <v>3.7031999999999995E-2</v>
      </c>
      <c r="Z188" s="2">
        <f>ff_portfolios25!Z188-ff_factors!$E188</f>
        <v>2.6114999999999999E-2</v>
      </c>
      <c r="AA188" s="2">
        <f>ff_portfolios25!AA188-ff_factors!$E188</f>
        <v>3.4764999999999997E-2</v>
      </c>
      <c r="AB188" s="2">
        <f>ff_portfolios25!AB188-ff_factors!$E188</f>
        <v>7.2187000000000001E-2</v>
      </c>
    </row>
    <row r="189" spans="1:28" x14ac:dyDescent="0.2">
      <c r="A189">
        <v>19470829</v>
      </c>
      <c r="B189">
        <v>1947</v>
      </c>
      <c r="C189">
        <v>8</v>
      </c>
      <c r="D189" s="2">
        <f>ff_portfolios25!D189-ff_factors!$E189</f>
        <v>-2.5353000000000001E-2</v>
      </c>
      <c r="E189" s="2">
        <f>ff_portfolios25!E189-ff_factors!$E189</f>
        <v>-3.2124E-2</v>
      </c>
      <c r="F189" s="2">
        <f>ff_portfolios25!F189-ff_factors!$E189</f>
        <v>-3.4518E-2</v>
      </c>
      <c r="G189" s="2">
        <f>ff_portfolios25!G189-ff_factors!$E189</f>
        <v>-1.3691E-2</v>
      </c>
      <c r="H189" s="2">
        <f>ff_portfolios25!H189-ff_factors!$E189</f>
        <v>-2.4683E-2</v>
      </c>
      <c r="I189" s="2">
        <f>ff_portfolios25!I189-ff_factors!$E189</f>
        <v>-2.4196000000000002E-2</v>
      </c>
      <c r="J189" s="2">
        <f>ff_portfolios25!J189-ff_factors!$E189</f>
        <v>-1.2085E-2</v>
      </c>
      <c r="K189" s="2">
        <f>ff_portfolios25!K189-ff_factors!$E189</f>
        <v>-1.8729000000000003E-2</v>
      </c>
      <c r="L189" s="2">
        <f>ff_portfolios25!L189-ff_factors!$E189</f>
        <v>-6.6769999999999998E-3</v>
      </c>
      <c r="M189" s="2">
        <f>ff_portfolios25!M189-ff_factors!$E189</f>
        <v>-1.5816E-2</v>
      </c>
      <c r="N189" s="2">
        <f>ff_portfolios25!N189-ff_factors!$E189</f>
        <v>3.0330000000000001E-3</v>
      </c>
      <c r="O189" s="2">
        <f>ff_portfolios25!O189-ff_factors!$E189</f>
        <v>-1.5306E-2</v>
      </c>
      <c r="P189" s="2">
        <f>ff_portfolios25!P189-ff_factors!$E189</f>
        <v>-1.8286E-2</v>
      </c>
      <c r="Q189" s="2">
        <f>ff_portfolios25!Q189-ff_factors!$E189</f>
        <v>-1.5847E-2</v>
      </c>
      <c r="R189" s="2">
        <f>ff_portfolios25!R189-ff_factors!$E189</f>
        <v>-9.3089999999999996E-3</v>
      </c>
      <c r="S189" s="2">
        <f>ff_portfolios25!S189-ff_factors!$E189</f>
        <v>-1.4612999999999999E-2</v>
      </c>
      <c r="T189" s="2">
        <f>ff_portfolios25!T189-ff_factors!$E189</f>
        <v>-1.2447E-2</v>
      </c>
      <c r="U189" s="2">
        <f>ff_portfolios25!U189-ff_factors!$E189</f>
        <v>-3.0379000000000003E-2</v>
      </c>
      <c r="V189" s="2">
        <f>ff_portfolios25!V189-ff_factors!$E189</f>
        <v>-1.9185000000000001E-2</v>
      </c>
      <c r="W189" s="2">
        <f>ff_portfolios25!W189-ff_factors!$E189</f>
        <v>-1.9494000000000001E-2</v>
      </c>
      <c r="X189" s="2">
        <f>ff_portfolios25!X189-ff_factors!$E189</f>
        <v>-1.7935000000000003E-2</v>
      </c>
      <c r="Y189" s="2">
        <f>ff_portfolios25!Y189-ff_factors!$E189</f>
        <v>-1.8100000000000002E-2</v>
      </c>
      <c r="Z189" s="2">
        <f>ff_portfolios25!Z189-ff_factors!$E189</f>
        <v>-1.4799E-2</v>
      </c>
      <c r="AA189" s="2">
        <f>ff_portfolios25!AA189-ff_factors!$E189</f>
        <v>-1.0252000000000001E-2</v>
      </c>
      <c r="AB189" s="2">
        <f>ff_portfolios25!AB189-ff_factors!$E189</f>
        <v>-2.9998E-2</v>
      </c>
    </row>
    <row r="190" spans="1:28" x14ac:dyDescent="0.2">
      <c r="A190">
        <v>19470930</v>
      </c>
      <c r="B190">
        <v>1947</v>
      </c>
      <c r="C190">
        <v>9</v>
      </c>
      <c r="D190" s="2">
        <f>ff_portfolios25!D190-ff_factors!$E190</f>
        <v>1.1231E-2</v>
      </c>
      <c r="E190" s="2">
        <f>ff_portfolios25!E190-ff_factors!$E190</f>
        <v>4.6730000000000001E-3</v>
      </c>
      <c r="F190" s="2">
        <f>ff_portfolios25!F190-ff_factors!$E190</f>
        <v>-7.5589999999999997E-3</v>
      </c>
      <c r="G190" s="2">
        <f>ff_portfolios25!G190-ff_factors!$E190</f>
        <v>-2.421E-3</v>
      </c>
      <c r="H190" s="2">
        <f>ff_portfolios25!H190-ff_factors!$E190</f>
        <v>2.7813999999999998E-2</v>
      </c>
      <c r="I190" s="2">
        <f>ff_portfolios25!I190-ff_factors!$E190</f>
        <v>-8.267E-3</v>
      </c>
      <c r="J190" s="2">
        <f>ff_portfolios25!J190-ff_factors!$E190</f>
        <v>1.7944000000000002E-2</v>
      </c>
      <c r="K190" s="2">
        <f>ff_portfolios25!K190-ff_factors!$E190</f>
        <v>7.3010000000000002E-3</v>
      </c>
      <c r="L190" s="2">
        <f>ff_portfolios25!L190-ff_factors!$E190</f>
        <v>7.8010000000000006E-3</v>
      </c>
      <c r="M190" s="2">
        <f>ff_portfolios25!M190-ff_factors!$E190</f>
        <v>3.1906999999999998E-2</v>
      </c>
      <c r="N190" s="2">
        <f>ff_portfolios25!N190-ff_factors!$E190</f>
        <v>7.7180000000000009E-3</v>
      </c>
      <c r="O190" s="2">
        <f>ff_portfolios25!O190-ff_factors!$E190</f>
        <v>-1.4480999999999999E-2</v>
      </c>
      <c r="P190" s="2">
        <f>ff_portfolios25!P190-ff_factors!$E190</f>
        <v>7.4830000000000001E-3</v>
      </c>
      <c r="Q190" s="2">
        <f>ff_portfolios25!Q190-ff_factors!$E190</f>
        <v>1.3235E-2</v>
      </c>
      <c r="R190" s="2">
        <f>ff_portfolios25!R190-ff_factors!$E190</f>
        <v>1.9628E-2</v>
      </c>
      <c r="S190" s="2">
        <f>ff_portfolios25!S190-ff_factors!$E190</f>
        <v>-8.4589999999999995E-3</v>
      </c>
      <c r="T190" s="2">
        <f>ff_portfolios25!T190-ff_factors!$E190</f>
        <v>-8.5489999999999993E-3</v>
      </c>
      <c r="U190" s="2">
        <f>ff_portfolios25!U190-ff_factors!$E190</f>
        <v>2.4639999999999999E-2</v>
      </c>
      <c r="V190" s="2">
        <f>ff_portfolios25!V190-ff_factors!$E190</f>
        <v>2.2041000000000002E-2</v>
      </c>
      <c r="W190" s="2">
        <f>ff_portfolios25!W190-ff_factors!$E190</f>
        <v>8.3910000000000009E-3</v>
      </c>
      <c r="X190" s="2">
        <f>ff_portfolios25!X190-ff_factors!$E190</f>
        <v>-6.2849999999999998E-3</v>
      </c>
      <c r="Y190" s="2">
        <f>ff_portfolios25!Y190-ff_factors!$E190</f>
        <v>-8.6079999999999993E-3</v>
      </c>
      <c r="Z190" s="2">
        <f>ff_portfolios25!Z190-ff_factors!$E190</f>
        <v>-1.4378999999999999E-2</v>
      </c>
      <c r="AA190" s="2">
        <f>ff_portfolios25!AA190-ff_factors!$E190</f>
        <v>-4.0629999999999998E-3</v>
      </c>
      <c r="AB190" s="2">
        <f>ff_portfolios25!AB190-ff_factors!$E190</f>
        <v>-6.3470000000000002E-3</v>
      </c>
    </row>
    <row r="191" spans="1:28" x14ac:dyDescent="0.2">
      <c r="A191">
        <v>19471031</v>
      </c>
      <c r="B191">
        <v>1947</v>
      </c>
      <c r="C191">
        <v>10</v>
      </c>
      <c r="D191" s="2">
        <f>ff_portfolios25!D191-ff_factors!$E191</f>
        <v>2.4223000000000001E-2</v>
      </c>
      <c r="E191" s="2">
        <f>ff_portfolios25!E191-ff_factors!$E191</f>
        <v>5.6286999999999997E-2</v>
      </c>
      <c r="F191" s="2">
        <f>ff_portfolios25!F191-ff_factors!$E191</f>
        <v>7.8452999999999995E-2</v>
      </c>
      <c r="G191" s="2">
        <f>ff_portfolios25!G191-ff_factors!$E191</f>
        <v>4.2027999999999996E-2</v>
      </c>
      <c r="H191" s="2">
        <f>ff_portfolios25!H191-ff_factors!$E191</f>
        <v>2.4823999999999999E-2</v>
      </c>
      <c r="I191" s="2">
        <f>ff_portfolios25!I191-ff_factors!$E191</f>
        <v>3.1028999999999998E-2</v>
      </c>
      <c r="J191" s="2">
        <f>ff_portfolios25!J191-ff_factors!$E191</f>
        <v>3.1774999999999998E-2</v>
      </c>
      <c r="K191" s="2">
        <f>ff_portfolios25!K191-ff_factors!$E191</f>
        <v>2.7969000000000001E-2</v>
      </c>
      <c r="L191" s="2">
        <f>ff_portfolios25!L191-ff_factors!$E191</f>
        <v>4.3249999999999997E-2</v>
      </c>
      <c r="M191" s="2">
        <f>ff_portfolios25!M191-ff_factors!$E191</f>
        <v>3.0504E-2</v>
      </c>
      <c r="N191" s="2">
        <f>ff_portfolios25!N191-ff_factors!$E191</f>
        <v>5.0917999999999998E-2</v>
      </c>
      <c r="O191" s="2">
        <f>ff_portfolios25!O191-ff_factors!$E191</f>
        <v>3.1900999999999999E-2</v>
      </c>
      <c r="P191" s="2">
        <f>ff_portfolios25!P191-ff_factors!$E191</f>
        <v>3.6162999999999994E-2</v>
      </c>
      <c r="Q191" s="2">
        <f>ff_portfolios25!Q191-ff_factors!$E191</f>
        <v>4.4367999999999998E-2</v>
      </c>
      <c r="R191" s="2">
        <f>ff_portfolios25!R191-ff_factors!$E191</f>
        <v>7.9620000000000003E-3</v>
      </c>
      <c r="S191" s="2">
        <f>ff_portfolios25!S191-ff_factors!$E191</f>
        <v>3.4030999999999999E-2</v>
      </c>
      <c r="T191" s="2">
        <f>ff_portfolios25!T191-ff_factors!$E191</f>
        <v>2.6428E-2</v>
      </c>
      <c r="U191" s="2">
        <f>ff_portfolios25!U191-ff_factors!$E191</f>
        <v>4.1213999999999994E-2</v>
      </c>
      <c r="V191" s="2">
        <f>ff_portfolios25!V191-ff_factors!$E191</f>
        <v>1.5608E-2</v>
      </c>
      <c r="W191" s="2">
        <f>ff_portfolios25!W191-ff_factors!$E191</f>
        <v>-1.4229999999999998E-3</v>
      </c>
      <c r="X191" s="2">
        <f>ff_portfolios25!X191-ff_factors!$E191</f>
        <v>1.7215000000000001E-2</v>
      </c>
      <c r="Y191" s="2">
        <f>ff_portfolios25!Y191-ff_factors!$E191</f>
        <v>4.2020999999999996E-2</v>
      </c>
      <c r="Z191" s="2">
        <f>ff_portfolios25!Z191-ff_factors!$E191</f>
        <v>2.3639E-2</v>
      </c>
      <c r="AA191" s="2">
        <f>ff_portfolios25!AA191-ff_factors!$E191</f>
        <v>2.5316000000000002E-2</v>
      </c>
      <c r="AB191" s="2">
        <f>ff_portfolios25!AB191-ff_factors!$E191</f>
        <v>3.5362999999999999E-2</v>
      </c>
    </row>
    <row r="192" spans="1:28" x14ac:dyDescent="0.2">
      <c r="A192">
        <v>19471129</v>
      </c>
      <c r="B192">
        <v>1947</v>
      </c>
      <c r="C192">
        <v>11</v>
      </c>
      <c r="D192" s="2">
        <f>ff_portfolios25!D192-ff_factors!$E192</f>
        <v>-4.8300000000000003E-2</v>
      </c>
      <c r="E192" s="2">
        <f>ff_portfolios25!E192-ff_factors!$E192</f>
        <v>-6.0117000000000004E-2</v>
      </c>
      <c r="F192" s="2">
        <f>ff_portfolios25!F192-ff_factors!$E192</f>
        <v>-3.8039000000000003E-2</v>
      </c>
      <c r="G192" s="2">
        <f>ff_portfolios25!G192-ff_factors!$E192</f>
        <v>-2.1111000000000001E-2</v>
      </c>
      <c r="H192" s="2">
        <f>ff_portfolios25!H192-ff_factors!$E192</f>
        <v>-2.3535E-2</v>
      </c>
      <c r="I192" s="2">
        <f>ff_portfolios25!I192-ff_factors!$E192</f>
        <v>-5.2003000000000001E-2</v>
      </c>
      <c r="J192" s="2">
        <f>ff_portfolios25!J192-ff_factors!$E192</f>
        <v>-3.4208000000000002E-2</v>
      </c>
      <c r="K192" s="2">
        <f>ff_portfolios25!K192-ff_factors!$E192</f>
        <v>-2.6813E-2</v>
      </c>
      <c r="L192" s="2">
        <f>ff_portfolios25!L192-ff_factors!$E192</f>
        <v>-4.0004000000000005E-2</v>
      </c>
      <c r="M192" s="2">
        <f>ff_portfolios25!M192-ff_factors!$E192</f>
        <v>-2.9477E-2</v>
      </c>
      <c r="N192" s="2">
        <f>ff_portfolios25!N192-ff_factors!$E192</f>
        <v>-2.6172000000000001E-2</v>
      </c>
      <c r="O192" s="2">
        <f>ff_portfolios25!O192-ff_factors!$E192</f>
        <v>-3.7735000000000005E-2</v>
      </c>
      <c r="P192" s="2">
        <f>ff_portfolios25!P192-ff_factors!$E192</f>
        <v>-2.8905E-2</v>
      </c>
      <c r="Q192" s="2">
        <f>ff_portfolios25!Q192-ff_factors!$E192</f>
        <v>-2.9825000000000001E-2</v>
      </c>
      <c r="R192" s="2">
        <f>ff_portfolios25!R192-ff_factors!$E192</f>
        <v>-1.9869000000000001E-2</v>
      </c>
      <c r="S192" s="2">
        <f>ff_portfolios25!S192-ff_factors!$E192</f>
        <v>-2.9411E-2</v>
      </c>
      <c r="T192" s="2">
        <f>ff_portfolios25!T192-ff_factors!$E192</f>
        <v>-2.5611999999999999E-2</v>
      </c>
      <c r="U192" s="2">
        <f>ff_portfolios25!U192-ff_factors!$E192</f>
        <v>-1.9688000000000001E-2</v>
      </c>
      <c r="V192" s="2">
        <f>ff_portfolios25!V192-ff_factors!$E192</f>
        <v>-1.9137000000000001E-2</v>
      </c>
      <c r="W192" s="2">
        <f>ff_portfolios25!W192-ff_factors!$E192</f>
        <v>-3.9963000000000005E-2</v>
      </c>
      <c r="X192" s="2">
        <f>ff_portfolios25!X192-ff_factors!$E192</f>
        <v>-1.7821E-2</v>
      </c>
      <c r="Y192" s="2">
        <f>ff_portfolios25!Y192-ff_factors!$E192</f>
        <v>-1.7354000000000001E-2</v>
      </c>
      <c r="Z192" s="2">
        <f>ff_portfolios25!Z192-ff_factors!$E192</f>
        <v>-1.4305999999999999E-2</v>
      </c>
      <c r="AA192" s="2">
        <f>ff_portfolios25!AA192-ff_factors!$E192</f>
        <v>-2.3033999999999999E-2</v>
      </c>
      <c r="AB192" s="2">
        <f>ff_portfolios25!AB192-ff_factors!$E192</f>
        <v>-1.5263000000000001E-2</v>
      </c>
    </row>
    <row r="193" spans="1:28" x14ac:dyDescent="0.2">
      <c r="A193">
        <v>19471231</v>
      </c>
      <c r="B193">
        <v>1947</v>
      </c>
      <c r="C193">
        <v>12</v>
      </c>
      <c r="D193" s="2">
        <f>ff_portfolios25!D193-ff_factors!$E193</f>
        <v>-3.5610000000000003E-2</v>
      </c>
      <c r="E193" s="2">
        <f>ff_portfolios25!E193-ff_factors!$E193</f>
        <v>3.7429999999999998E-2</v>
      </c>
      <c r="F193" s="2">
        <f>ff_portfolios25!F193-ff_factors!$E193</f>
        <v>-1.8310999999999997E-2</v>
      </c>
      <c r="G193" s="2">
        <f>ff_portfolios25!G193-ff_factors!$E193</f>
        <v>-1.5100000000000009E-4</v>
      </c>
      <c r="H193" s="2">
        <f>ff_portfolios25!H193-ff_factors!$E193</f>
        <v>4.4114E-2</v>
      </c>
      <c r="I193" s="2">
        <f>ff_portfolios25!I193-ff_factors!$E193</f>
        <v>-1.2838E-2</v>
      </c>
      <c r="J193" s="2">
        <f>ff_portfolios25!J193-ff_factors!$E193</f>
        <v>1.3729E-2</v>
      </c>
      <c r="K193" s="2">
        <f>ff_portfolios25!K193-ff_factors!$E193</f>
        <v>1.3896E-2</v>
      </c>
      <c r="L193" s="2">
        <f>ff_portfolios25!L193-ff_factors!$E193</f>
        <v>-6.2500000000000003E-3</v>
      </c>
      <c r="M193" s="2">
        <f>ff_portfolios25!M193-ff_factors!$E193</f>
        <v>6.5880000000000008E-2</v>
      </c>
      <c r="N193" s="2">
        <f>ff_portfolios25!N193-ff_factors!$E193</f>
        <v>1.8689000000000001E-2</v>
      </c>
      <c r="O193" s="2">
        <f>ff_portfolios25!O193-ff_factors!$E193</f>
        <v>4.0632999999999996E-2</v>
      </c>
      <c r="P193" s="2">
        <f>ff_portfolios25!P193-ff_factors!$E193</f>
        <v>2.5300000000000001E-3</v>
      </c>
      <c r="Q193" s="2">
        <f>ff_portfolios25!Q193-ff_factors!$E193</f>
        <v>2.3688000000000001E-2</v>
      </c>
      <c r="R193" s="2">
        <f>ff_portfolios25!R193-ff_factors!$E193</f>
        <v>2.8857000000000001E-2</v>
      </c>
      <c r="S193" s="2">
        <f>ff_portfolios25!S193-ff_factors!$E193</f>
        <v>4.4144999999999997E-2</v>
      </c>
      <c r="T193" s="2">
        <f>ff_portfolios25!T193-ff_factors!$E193</f>
        <v>2.9190000000000001E-2</v>
      </c>
      <c r="U193" s="2">
        <f>ff_portfolios25!U193-ff_factors!$E193</f>
        <v>1.0416999999999999E-2</v>
      </c>
      <c r="V193" s="2">
        <f>ff_portfolios25!V193-ff_factors!$E193</f>
        <v>5.3E-3</v>
      </c>
      <c r="W193" s="2">
        <f>ff_portfolios25!W193-ff_factors!$E193</f>
        <v>3.4655999999999999E-2</v>
      </c>
      <c r="X193" s="2">
        <f>ff_portfolios25!X193-ff_factors!$E193</f>
        <v>1.5815000000000003E-2</v>
      </c>
      <c r="Y193" s="2">
        <f>ff_portfolios25!Y193-ff_factors!$E193</f>
        <v>3.5341999999999998E-2</v>
      </c>
      <c r="Z193" s="2">
        <f>ff_portfolios25!Z193-ff_factors!$E193</f>
        <v>3.6171999999999996E-2</v>
      </c>
      <c r="AA193" s="2">
        <f>ff_portfolios25!AA193-ff_factors!$E193</f>
        <v>4.6058999999999996E-2</v>
      </c>
      <c r="AB193" s="2">
        <f>ff_portfolios25!AB193-ff_factors!$E193</f>
        <v>7.4174000000000004E-2</v>
      </c>
    </row>
    <row r="194" spans="1:28" x14ac:dyDescent="0.2">
      <c r="A194">
        <v>19480131</v>
      </c>
      <c r="B194">
        <v>1948</v>
      </c>
      <c r="C194">
        <v>1</v>
      </c>
      <c r="D194" s="2">
        <f>ff_portfolios25!D194-ff_factors!$E194</f>
        <v>2.3466000000000001E-2</v>
      </c>
      <c r="E194" s="2">
        <f>ff_portfolios25!E194-ff_factors!$E194</f>
        <v>-1.2570999999999999E-2</v>
      </c>
      <c r="F194" s="2">
        <f>ff_portfolios25!F194-ff_factors!$E194</f>
        <v>-2.4954999999999998E-2</v>
      </c>
      <c r="G194" s="2">
        <f>ff_portfolios25!G194-ff_factors!$E194</f>
        <v>-1.2613999999999998E-2</v>
      </c>
      <c r="H194" s="2">
        <f>ff_portfolios25!H194-ff_factors!$E194</f>
        <v>1.1446000000000001E-2</v>
      </c>
      <c r="I194" s="2">
        <f>ff_portfolios25!I194-ff_factors!$E194</f>
        <v>-3.347E-2</v>
      </c>
      <c r="J194" s="2">
        <f>ff_portfolios25!J194-ff_factors!$E194</f>
        <v>-1.89E-2</v>
      </c>
      <c r="K194" s="2">
        <f>ff_portfolios25!K194-ff_factors!$E194</f>
        <v>-3.2945999999999996E-2</v>
      </c>
      <c r="L194" s="2">
        <f>ff_portfolios25!L194-ff_factors!$E194</f>
        <v>-1.2551E-2</v>
      </c>
      <c r="M194" s="2">
        <f>ff_portfolios25!M194-ff_factors!$E194</f>
        <v>-1.7169999999999998E-3</v>
      </c>
      <c r="N194" s="2">
        <f>ff_portfolios25!N194-ff_factors!$E194</f>
        <v>-3.9828000000000002E-2</v>
      </c>
      <c r="O194" s="2">
        <f>ff_portfolios25!O194-ff_factors!$E194</f>
        <v>-3.8274000000000002E-2</v>
      </c>
      <c r="P194" s="2">
        <f>ff_portfolios25!P194-ff_factors!$E194</f>
        <v>-2.2617999999999999E-2</v>
      </c>
      <c r="Q194" s="2">
        <f>ff_portfolios25!Q194-ff_factors!$E194</f>
        <v>-3.9468999999999997E-2</v>
      </c>
      <c r="R194" s="2">
        <f>ff_portfolios25!R194-ff_factors!$E194</f>
        <v>-2.274E-3</v>
      </c>
      <c r="S194" s="2">
        <f>ff_portfolios25!S194-ff_factors!$E194</f>
        <v>-3.2483999999999999E-2</v>
      </c>
      <c r="T194" s="2">
        <f>ff_portfolios25!T194-ff_factors!$E194</f>
        <v>-3.8591E-2</v>
      </c>
      <c r="U194" s="2">
        <f>ff_portfolios25!U194-ff_factors!$E194</f>
        <v>-3.4445999999999997E-2</v>
      </c>
      <c r="V194" s="2">
        <f>ff_portfolios25!V194-ff_factors!$E194</f>
        <v>5.5469999999999998E-3</v>
      </c>
      <c r="W194" s="2">
        <f>ff_portfolios25!W194-ff_factors!$E194</f>
        <v>1.957E-3</v>
      </c>
      <c r="X194" s="2">
        <f>ff_portfolios25!X194-ff_factors!$E194</f>
        <v>-4.9655999999999999E-2</v>
      </c>
      <c r="Y194" s="2">
        <f>ff_portfolios25!Y194-ff_factors!$E194</f>
        <v>-4.4152999999999998E-2</v>
      </c>
      <c r="Z194" s="2">
        <f>ff_portfolios25!Z194-ff_factors!$E194</f>
        <v>-4.3727000000000002E-2</v>
      </c>
      <c r="AA194" s="2">
        <f>ff_portfolios25!AA194-ff_factors!$E194</f>
        <v>-3.4231999999999999E-2</v>
      </c>
      <c r="AB194" s="2">
        <f>ff_portfolios25!AB194-ff_factors!$E194</f>
        <v>-4.2890999999999999E-2</v>
      </c>
    </row>
    <row r="195" spans="1:28" x14ac:dyDescent="0.2">
      <c r="A195">
        <v>19480228</v>
      </c>
      <c r="B195">
        <v>1948</v>
      </c>
      <c r="C195">
        <v>2</v>
      </c>
      <c r="D195" s="2">
        <f>ff_portfolios25!D195-ff_factors!$E195</f>
        <v>-8.8191000000000005E-2</v>
      </c>
      <c r="E195" s="2">
        <f>ff_portfolios25!E195-ff_factors!$E195</f>
        <v>-6.9937000000000013E-2</v>
      </c>
      <c r="F195" s="2">
        <f>ff_portfolios25!F195-ff_factors!$E195</f>
        <v>-7.9465000000000008E-2</v>
      </c>
      <c r="G195" s="2">
        <f>ff_portfolios25!G195-ff_factors!$E195</f>
        <v>-7.0036000000000001E-2</v>
      </c>
      <c r="H195" s="2">
        <f>ff_portfolios25!H195-ff_factors!$E195</f>
        <v>-6.4880000000000007E-2</v>
      </c>
      <c r="I195" s="2">
        <f>ff_portfolios25!I195-ff_factors!$E195</f>
        <v>-7.2018000000000013E-2</v>
      </c>
      <c r="J195" s="2">
        <f>ff_portfolios25!J195-ff_factors!$E195</f>
        <v>-6.0842E-2</v>
      </c>
      <c r="K195" s="2">
        <f>ff_portfolios25!K195-ff_factors!$E195</f>
        <v>-7.1324000000000012E-2</v>
      </c>
      <c r="L195" s="2">
        <f>ff_portfolios25!L195-ff_factors!$E195</f>
        <v>-5.6125000000000001E-2</v>
      </c>
      <c r="M195" s="2">
        <f>ff_portfolios25!M195-ff_factors!$E195</f>
        <v>-7.2402000000000008E-2</v>
      </c>
      <c r="N195" s="2">
        <f>ff_portfolios25!N195-ff_factors!$E195</f>
        <v>-4.9466999999999997E-2</v>
      </c>
      <c r="O195" s="2">
        <f>ff_portfolios25!O195-ff_factors!$E195</f>
        <v>-7.7489000000000002E-2</v>
      </c>
      <c r="P195" s="2">
        <f>ff_portfolios25!P195-ff_factors!$E195</f>
        <v>-6.3822000000000004E-2</v>
      </c>
      <c r="Q195" s="2">
        <f>ff_portfolios25!Q195-ff_factors!$E195</f>
        <v>-6.8187000000000011E-2</v>
      </c>
      <c r="R195" s="2">
        <f>ff_portfolios25!R195-ff_factors!$E195</f>
        <v>-5.0734000000000001E-2</v>
      </c>
      <c r="S195" s="2">
        <f>ff_portfolios25!S195-ff_factors!$E195</f>
        <v>-5.4461999999999997E-2</v>
      </c>
      <c r="T195" s="2">
        <f>ff_portfolios25!T195-ff_factors!$E195</f>
        <v>-5.5584000000000001E-2</v>
      </c>
      <c r="U195" s="2">
        <f>ff_portfolios25!U195-ff_factors!$E195</f>
        <v>-2.9732999999999999E-2</v>
      </c>
      <c r="V195" s="2">
        <f>ff_portfolios25!V195-ff_factors!$E195</f>
        <v>-6.7930000000000004E-2</v>
      </c>
      <c r="W195" s="2">
        <f>ff_portfolios25!W195-ff_factors!$E195</f>
        <v>-6.7265000000000005E-2</v>
      </c>
      <c r="X195" s="2">
        <f>ff_portfolios25!X195-ff_factors!$E195</f>
        <v>-4.6661000000000001E-2</v>
      </c>
      <c r="Y195" s="2">
        <f>ff_portfolios25!Y195-ff_factors!$E195</f>
        <v>-4.8493000000000001E-2</v>
      </c>
      <c r="Z195" s="2">
        <f>ff_portfolios25!Z195-ff_factors!$E195</f>
        <v>-2.8598999999999999E-2</v>
      </c>
      <c r="AA195" s="2">
        <f>ff_portfolios25!AA195-ff_factors!$E195</f>
        <v>-4.2007000000000003E-2</v>
      </c>
      <c r="AB195" s="2">
        <f>ff_portfolios25!AB195-ff_factors!$E195</f>
        <v>-3.8816999999999997E-2</v>
      </c>
    </row>
    <row r="196" spans="1:28" x14ac:dyDescent="0.2">
      <c r="A196">
        <v>19480331</v>
      </c>
      <c r="B196">
        <v>1948</v>
      </c>
      <c r="C196">
        <v>3</v>
      </c>
      <c r="D196" s="2">
        <f>ff_portfolios25!D196-ff_factors!$E196</f>
        <v>0.14329399999999998</v>
      </c>
      <c r="E196" s="2">
        <f>ff_portfolios25!E196-ff_factors!$E196</f>
        <v>8.0151E-2</v>
      </c>
      <c r="F196" s="2">
        <f>ff_portfolios25!F196-ff_factors!$E196</f>
        <v>9.9895999999999999E-2</v>
      </c>
      <c r="G196" s="2">
        <f>ff_portfolios25!G196-ff_factors!$E196</f>
        <v>9.8649000000000001E-2</v>
      </c>
      <c r="H196" s="2">
        <f>ff_portfolios25!H196-ff_factors!$E196</f>
        <v>0.10766300000000001</v>
      </c>
      <c r="I196" s="2">
        <f>ff_portfolios25!I196-ff_factors!$E196</f>
        <v>5.2871000000000001E-2</v>
      </c>
      <c r="J196" s="2">
        <f>ff_portfolios25!J196-ff_factors!$E196</f>
        <v>6.5076000000000009E-2</v>
      </c>
      <c r="K196" s="2">
        <f>ff_portfolios25!K196-ff_factors!$E196</f>
        <v>8.7709999999999996E-2</v>
      </c>
      <c r="L196" s="2">
        <f>ff_portfolios25!L196-ff_factors!$E196</f>
        <v>0.100442</v>
      </c>
      <c r="M196" s="2">
        <f>ff_portfolios25!M196-ff_factors!$E196</f>
        <v>0.129469</v>
      </c>
      <c r="N196" s="2">
        <f>ff_portfolios25!N196-ff_factors!$E196</f>
        <v>6.5686999999999995E-2</v>
      </c>
      <c r="O196" s="2">
        <f>ff_portfolios25!O196-ff_factors!$E196</f>
        <v>6.8933999999999995E-2</v>
      </c>
      <c r="P196" s="2">
        <f>ff_portfolios25!P196-ff_factors!$E196</f>
        <v>0.111887</v>
      </c>
      <c r="Q196" s="2">
        <f>ff_portfolios25!Q196-ff_factors!$E196</f>
        <v>0.11176900000000001</v>
      </c>
      <c r="R196" s="2">
        <f>ff_portfolios25!R196-ff_factors!$E196</f>
        <v>0.11638900000000001</v>
      </c>
      <c r="S196" s="2">
        <f>ff_portfolios25!S196-ff_factors!$E196</f>
        <v>8.9330000000000007E-2</v>
      </c>
      <c r="T196" s="2">
        <f>ff_portfolios25!T196-ff_factors!$E196</f>
        <v>8.1430000000000002E-2</v>
      </c>
      <c r="U196" s="2">
        <f>ff_portfolios25!U196-ff_factors!$E196</f>
        <v>8.2293000000000005E-2</v>
      </c>
      <c r="V196" s="2">
        <f>ff_portfolios25!V196-ff_factors!$E196</f>
        <v>0.107196</v>
      </c>
      <c r="W196" s="2">
        <f>ff_portfolios25!W196-ff_factors!$E196</f>
        <v>0.131324</v>
      </c>
      <c r="X196" s="2">
        <f>ff_portfolios25!X196-ff_factors!$E196</f>
        <v>7.2111999999999996E-2</v>
      </c>
      <c r="Y196" s="2">
        <f>ff_portfolios25!Y196-ff_factors!$E196</f>
        <v>0.10498500000000001</v>
      </c>
      <c r="Z196" s="2">
        <f>ff_portfolios25!Z196-ff_factors!$E196</f>
        <v>6.1290000000000004E-2</v>
      </c>
      <c r="AA196" s="2">
        <f>ff_portfolios25!AA196-ff_factors!$E196</f>
        <v>8.5699999999999998E-2</v>
      </c>
      <c r="AB196" s="2">
        <f>ff_portfolios25!AB196-ff_factors!$E196</f>
        <v>0.104521</v>
      </c>
    </row>
    <row r="197" spans="1:28" x14ac:dyDescent="0.2">
      <c r="A197">
        <v>19480430</v>
      </c>
      <c r="B197">
        <v>1948</v>
      </c>
      <c r="C197">
        <v>4</v>
      </c>
      <c r="D197" s="2">
        <f>ff_portfolios25!D197-ff_factors!$E197</f>
        <v>-4.6830000000000005E-3</v>
      </c>
      <c r="E197" s="2">
        <f>ff_portfolios25!E197-ff_factors!$E197</f>
        <v>5.6083999999999995E-2</v>
      </c>
      <c r="F197" s="2">
        <f>ff_portfolios25!F197-ff_factors!$E197</f>
        <v>1.4723E-2</v>
      </c>
      <c r="G197" s="2">
        <f>ff_portfolios25!G197-ff_factors!$E197</f>
        <v>5.0654999999999999E-2</v>
      </c>
      <c r="H197" s="2">
        <f>ff_portfolios25!H197-ff_factors!$E197</f>
        <v>5.3967000000000001E-2</v>
      </c>
      <c r="I197" s="2">
        <f>ff_portfolios25!I197-ff_factors!$E197</f>
        <v>4.4024999999999995E-2</v>
      </c>
      <c r="J197" s="2">
        <f>ff_portfolios25!J197-ff_factors!$E197</f>
        <v>1.4581999999999999E-2</v>
      </c>
      <c r="K197" s="2">
        <f>ff_portfolios25!K197-ff_factors!$E197</f>
        <v>6.8899999999999994E-3</v>
      </c>
      <c r="L197" s="2">
        <f>ff_portfolios25!L197-ff_factors!$E197</f>
        <v>5.2260999999999995E-2</v>
      </c>
      <c r="M197" s="2">
        <f>ff_portfolios25!M197-ff_factors!$E197</f>
        <v>5.3096999999999998E-2</v>
      </c>
      <c r="N197" s="2">
        <f>ff_portfolios25!N197-ff_factors!$E197</f>
        <v>2.2911000000000001E-2</v>
      </c>
      <c r="O197" s="2">
        <f>ff_portfolios25!O197-ff_factors!$E197</f>
        <v>2.3477000000000001E-2</v>
      </c>
      <c r="P197" s="2">
        <f>ff_portfolios25!P197-ff_factors!$E197</f>
        <v>2.3311000000000002E-2</v>
      </c>
      <c r="Q197" s="2">
        <f>ff_portfolios25!Q197-ff_factors!$E197</f>
        <v>2.7737000000000001E-2</v>
      </c>
      <c r="R197" s="2">
        <f>ff_portfolios25!R197-ff_factors!$E197</f>
        <v>3.7552999999999996E-2</v>
      </c>
      <c r="S197" s="2">
        <f>ff_portfolios25!S197-ff_factors!$E197</f>
        <v>5.0273999999999999E-2</v>
      </c>
      <c r="T197" s="2">
        <f>ff_portfolios25!T197-ff_factors!$E197</f>
        <v>3.6318999999999997E-2</v>
      </c>
      <c r="U197" s="2">
        <f>ff_portfolios25!U197-ff_factors!$E197</f>
        <v>6.8929000000000004E-2</v>
      </c>
      <c r="V197" s="2">
        <f>ff_portfolios25!V197-ff_factors!$E197</f>
        <v>1.4295E-2</v>
      </c>
      <c r="W197" s="2">
        <f>ff_portfolios25!W197-ff_factors!$E197</f>
        <v>7.0153000000000007E-2</v>
      </c>
      <c r="X197" s="2">
        <f>ff_portfolios25!X197-ff_factors!$E197</f>
        <v>1.8996000000000002E-2</v>
      </c>
      <c r="Y197" s="2">
        <f>ff_portfolios25!Y197-ff_factors!$E197</f>
        <v>2.8476000000000001E-2</v>
      </c>
      <c r="Z197" s="2">
        <f>ff_portfolios25!Z197-ff_factors!$E197</f>
        <v>4.7424000000000001E-2</v>
      </c>
      <c r="AA197" s="2">
        <f>ff_portfolios25!AA197-ff_factors!$E197</f>
        <v>3.8321999999999995E-2</v>
      </c>
      <c r="AB197" s="2">
        <f>ff_portfolios25!AB197-ff_factors!$E197</f>
        <v>7.7128000000000002E-2</v>
      </c>
    </row>
    <row r="198" spans="1:28" x14ac:dyDescent="0.2">
      <c r="A198">
        <v>19480528</v>
      </c>
      <c r="B198">
        <v>1948</v>
      </c>
      <c r="C198">
        <v>5</v>
      </c>
      <c r="D198" s="2">
        <f>ff_portfolios25!D198-ff_factors!$E198</f>
        <v>0.13092700000000002</v>
      </c>
      <c r="E198" s="2">
        <f>ff_portfolios25!E198-ff_factors!$E198</f>
        <v>0.112982</v>
      </c>
      <c r="F198" s="2">
        <f>ff_portfolios25!F198-ff_factors!$E198</f>
        <v>0.13403000000000001</v>
      </c>
      <c r="G198" s="2">
        <f>ff_portfolios25!G198-ff_factors!$E198</f>
        <v>5.8937999999999997E-2</v>
      </c>
      <c r="H198" s="2">
        <f>ff_portfolios25!H198-ff_factors!$E198</f>
        <v>8.4942000000000004E-2</v>
      </c>
      <c r="I198" s="2">
        <f>ff_portfolios25!I198-ff_factors!$E198</f>
        <v>8.2609000000000002E-2</v>
      </c>
      <c r="J198" s="2">
        <f>ff_portfolios25!J198-ff_factors!$E198</f>
        <v>9.1004000000000002E-2</v>
      </c>
      <c r="K198" s="2">
        <f>ff_portfolios25!K198-ff_factors!$E198</f>
        <v>0.10186000000000001</v>
      </c>
      <c r="L198" s="2">
        <f>ff_portfolios25!L198-ff_factors!$E198</f>
        <v>8.220100000000001E-2</v>
      </c>
      <c r="M198" s="2">
        <f>ff_portfolios25!M198-ff_factors!$E198</f>
        <v>7.6216000000000006E-2</v>
      </c>
      <c r="N198" s="2">
        <f>ff_portfolios25!N198-ff_factors!$E198</f>
        <v>7.9413999999999998E-2</v>
      </c>
      <c r="O198" s="2">
        <f>ff_portfolios25!O198-ff_factors!$E198</f>
        <v>8.2576000000000011E-2</v>
      </c>
      <c r="P198" s="2">
        <f>ff_portfolios25!P198-ff_factors!$E198</f>
        <v>0.101189</v>
      </c>
      <c r="Q198" s="2">
        <f>ff_portfolios25!Q198-ff_factors!$E198</f>
        <v>0.10424600000000001</v>
      </c>
      <c r="R198" s="2">
        <f>ff_portfolios25!R198-ff_factors!$E198</f>
        <v>6.9286E-2</v>
      </c>
      <c r="S198" s="2">
        <f>ff_portfolios25!S198-ff_factors!$E198</f>
        <v>5.6493999999999996E-2</v>
      </c>
      <c r="T198" s="2">
        <f>ff_portfolios25!T198-ff_factors!$E198</f>
        <v>7.8921000000000005E-2</v>
      </c>
      <c r="U198" s="2">
        <f>ff_portfolios25!U198-ff_factors!$E198</f>
        <v>8.2993999999999998E-2</v>
      </c>
      <c r="V198" s="2">
        <f>ff_portfolios25!V198-ff_factors!$E198</f>
        <v>6.886500000000001E-2</v>
      </c>
      <c r="W198" s="2">
        <f>ff_portfolios25!W198-ff_factors!$E198</f>
        <v>8.537900000000001E-2</v>
      </c>
      <c r="X198" s="2">
        <f>ff_portfolios25!X198-ff_factors!$E198</f>
        <v>8.5967000000000002E-2</v>
      </c>
      <c r="Y198" s="2">
        <f>ff_portfolios25!Y198-ff_factors!$E198</f>
        <v>9.3287000000000009E-2</v>
      </c>
      <c r="Z198" s="2">
        <f>ff_portfolios25!Z198-ff_factors!$E198</f>
        <v>5.0248999999999995E-2</v>
      </c>
      <c r="AA198" s="2">
        <f>ff_portfolios25!AA198-ff_factors!$E198</f>
        <v>5.9626999999999999E-2</v>
      </c>
      <c r="AB198" s="2">
        <f>ff_portfolios25!AB198-ff_factors!$E198</f>
        <v>7.5805000000000011E-2</v>
      </c>
    </row>
    <row r="199" spans="1:28" x14ac:dyDescent="0.2">
      <c r="A199">
        <v>19480630</v>
      </c>
      <c r="B199">
        <v>1948</v>
      </c>
      <c r="C199">
        <v>6</v>
      </c>
      <c r="D199" s="2">
        <f>ff_portfolios25!D199-ff_factors!$E199</f>
        <v>-4.7173E-2</v>
      </c>
      <c r="E199" s="2">
        <f>ff_portfolios25!E199-ff_factors!$E199</f>
        <v>9.136E-3</v>
      </c>
      <c r="F199" s="2">
        <f>ff_portfolios25!F199-ff_factors!$E199</f>
        <v>-2.2861000000000003E-2</v>
      </c>
      <c r="G199" s="2">
        <f>ff_portfolios25!G199-ff_factors!$E199</f>
        <v>-3.4479999999999997E-3</v>
      </c>
      <c r="H199" s="2">
        <f>ff_portfolios25!H199-ff_factors!$E199</f>
        <v>-1.9599999999999999E-3</v>
      </c>
      <c r="I199" s="2">
        <f>ff_portfolios25!I199-ff_factors!$E199</f>
        <v>-4.2687999999999997E-2</v>
      </c>
      <c r="J199" s="2">
        <f>ff_portfolios25!J199-ff_factors!$E199</f>
        <v>-1.8451000000000002E-2</v>
      </c>
      <c r="K199" s="2">
        <f>ff_portfolios25!K199-ff_factors!$E199</f>
        <v>-2.1092000000000003E-2</v>
      </c>
      <c r="L199" s="2">
        <f>ff_portfolios25!L199-ff_factors!$E199</f>
        <v>-1.7574000000000003E-2</v>
      </c>
      <c r="M199" s="2">
        <f>ff_portfolios25!M199-ff_factors!$E199</f>
        <v>3.9276999999999999E-2</v>
      </c>
      <c r="N199" s="2">
        <f>ff_portfolios25!N199-ff_factors!$E199</f>
        <v>-1.2135E-2</v>
      </c>
      <c r="O199" s="2">
        <f>ff_portfolios25!O199-ff_factors!$E199</f>
        <v>-1.2668E-2</v>
      </c>
      <c r="P199" s="2">
        <f>ff_portfolios25!P199-ff_factors!$E199</f>
        <v>-4.2495999999999999E-2</v>
      </c>
      <c r="Q199" s="2">
        <f>ff_portfolios25!Q199-ff_factors!$E199</f>
        <v>-2.3427E-2</v>
      </c>
      <c r="R199" s="2">
        <f>ff_portfolios25!R199-ff_factors!$E199</f>
        <v>-1.5149999999999999E-3</v>
      </c>
      <c r="S199" s="2">
        <f>ff_portfolios25!S199-ff_factors!$E199</f>
        <v>-1.3505999999999999E-2</v>
      </c>
      <c r="T199" s="2">
        <f>ff_portfolios25!T199-ff_factors!$E199</f>
        <v>-4.0870000000000004E-3</v>
      </c>
      <c r="U199" s="2">
        <f>ff_portfolios25!U199-ff_factors!$E199</f>
        <v>-1.9894000000000002E-2</v>
      </c>
      <c r="V199" s="2">
        <f>ff_portfolios25!V199-ff_factors!$E199</f>
        <v>-3.1247E-2</v>
      </c>
      <c r="W199" s="2">
        <f>ff_portfolios25!W199-ff_factors!$E199</f>
        <v>-5.3309999999999998E-3</v>
      </c>
      <c r="X199" s="2">
        <f>ff_portfolios25!X199-ff_factors!$E199</f>
        <v>-5.4120000000000001E-3</v>
      </c>
      <c r="Y199" s="2">
        <f>ff_portfolios25!Y199-ff_factors!$E199</f>
        <v>-8.7770000000000001E-3</v>
      </c>
      <c r="Z199" s="2">
        <f>ff_portfolios25!Z199-ff_factors!$E199</f>
        <v>1.3039E-2</v>
      </c>
      <c r="AA199" s="2">
        <f>ff_portfolios25!AA199-ff_factors!$E199</f>
        <v>5.4900000000000001E-4</v>
      </c>
      <c r="AB199" s="2">
        <f>ff_portfolios25!AB199-ff_factors!$E199</f>
        <v>2.7844999999999998E-2</v>
      </c>
    </row>
    <row r="200" spans="1:28" x14ac:dyDescent="0.2">
      <c r="A200">
        <v>19480730</v>
      </c>
      <c r="B200">
        <v>1948</v>
      </c>
      <c r="C200">
        <v>7</v>
      </c>
      <c r="D200" s="2">
        <f>ff_portfolios25!D200-ff_factors!$E200</f>
        <v>-6.4347000000000001E-2</v>
      </c>
      <c r="E200" s="2">
        <f>ff_portfolios25!E200-ff_factors!$E200</f>
        <v>-5.2309000000000001E-2</v>
      </c>
      <c r="F200" s="2">
        <f>ff_portfolios25!F200-ff_factors!$E200</f>
        <v>-7.6835000000000001E-2</v>
      </c>
      <c r="G200" s="2">
        <f>ff_portfolios25!G200-ff_factors!$E200</f>
        <v>-5.9301E-2</v>
      </c>
      <c r="H200" s="2">
        <f>ff_portfolios25!H200-ff_factors!$E200</f>
        <v>-4.8926000000000004E-2</v>
      </c>
      <c r="I200" s="2">
        <f>ff_portfolios25!I200-ff_factors!$E200</f>
        <v>-5.7473000000000003E-2</v>
      </c>
      <c r="J200" s="2">
        <f>ff_portfolios25!J200-ff_factors!$E200</f>
        <v>-4.1229000000000002E-2</v>
      </c>
      <c r="K200" s="2">
        <f>ff_portfolios25!K200-ff_factors!$E200</f>
        <v>-4.7425000000000002E-2</v>
      </c>
      <c r="L200" s="2">
        <f>ff_portfolios25!L200-ff_factors!$E200</f>
        <v>-4.8441999999999999E-2</v>
      </c>
      <c r="M200" s="2">
        <f>ff_portfolios25!M200-ff_factors!$E200</f>
        <v>-3.7450000000000004E-2</v>
      </c>
      <c r="N200" s="2">
        <f>ff_portfolios25!N200-ff_factors!$E200</f>
        <v>-4.2897000000000005E-2</v>
      </c>
      <c r="O200" s="2">
        <f>ff_portfolios25!O200-ff_factors!$E200</f>
        <v>-4.9907E-2</v>
      </c>
      <c r="P200" s="2">
        <f>ff_portfolios25!P200-ff_factors!$E200</f>
        <v>-5.4258000000000001E-2</v>
      </c>
      <c r="Q200" s="2">
        <f>ff_portfolios25!Q200-ff_factors!$E200</f>
        <v>-6.2552999999999997E-2</v>
      </c>
      <c r="R200" s="2">
        <f>ff_portfolios25!R200-ff_factors!$E200</f>
        <v>-6.4690999999999999E-2</v>
      </c>
      <c r="S200" s="2">
        <f>ff_portfolios25!S200-ff_factors!$E200</f>
        <v>-5.9823000000000001E-2</v>
      </c>
      <c r="T200" s="2">
        <f>ff_portfolios25!T200-ff_factors!$E200</f>
        <v>-4.7723000000000002E-2</v>
      </c>
      <c r="U200" s="2">
        <f>ff_portfolios25!U200-ff_factors!$E200</f>
        <v>-5.2542000000000005E-2</v>
      </c>
      <c r="V200" s="2">
        <f>ff_portfolios25!V200-ff_factors!$E200</f>
        <v>-5.2152000000000004E-2</v>
      </c>
      <c r="W200" s="2">
        <f>ff_portfolios25!W200-ff_factors!$E200</f>
        <v>-2.7188999999999998E-2</v>
      </c>
      <c r="X200" s="2">
        <f>ff_portfolios25!X200-ff_factors!$E200</f>
        <v>-5.2298000000000004E-2</v>
      </c>
      <c r="Y200" s="2">
        <f>ff_portfolios25!Y200-ff_factors!$E200</f>
        <v>-6.3510999999999998E-2</v>
      </c>
      <c r="Z200" s="2">
        <f>ff_portfolios25!Z200-ff_factors!$E200</f>
        <v>-3.8068000000000005E-2</v>
      </c>
      <c r="AA200" s="2">
        <f>ff_portfolios25!AA200-ff_factors!$E200</f>
        <v>-4.8170000000000004E-2</v>
      </c>
      <c r="AB200" s="2">
        <f>ff_portfolios25!AB200-ff_factors!$E200</f>
        <v>-5.4209E-2</v>
      </c>
    </row>
    <row r="201" spans="1:28" x14ac:dyDescent="0.2">
      <c r="A201">
        <v>19480831</v>
      </c>
      <c r="B201">
        <v>1948</v>
      </c>
      <c r="C201">
        <v>8</v>
      </c>
      <c r="D201" s="2">
        <f>ff_portfolios25!D201-ff_factors!$E201</f>
        <v>-4.8792999999999996E-2</v>
      </c>
      <c r="E201" s="2">
        <f>ff_portfolios25!E201-ff_factors!$E201</f>
        <v>-2.3730000000000001E-2</v>
      </c>
      <c r="F201" s="2">
        <f>ff_portfolios25!F201-ff_factors!$E201</f>
        <v>-9.868E-3</v>
      </c>
      <c r="G201" s="2">
        <f>ff_portfolios25!G201-ff_factors!$E201</f>
        <v>-2.1089E-2</v>
      </c>
      <c r="H201" s="2">
        <f>ff_portfolios25!H201-ff_factors!$E201</f>
        <v>-8.8710000000000004E-3</v>
      </c>
      <c r="I201" s="2">
        <f>ff_portfolios25!I201-ff_factors!$E201</f>
        <v>-1.0024999999999999E-2</v>
      </c>
      <c r="J201" s="2">
        <f>ff_portfolios25!J201-ff_factors!$E201</f>
        <v>-9.8729999999999998E-3</v>
      </c>
      <c r="K201" s="2">
        <f>ff_portfolios25!K201-ff_factors!$E201</f>
        <v>8.6699999999999993E-4</v>
      </c>
      <c r="L201" s="2">
        <f>ff_portfolios25!L201-ff_factors!$E201</f>
        <v>-5.6749999999999995E-3</v>
      </c>
      <c r="M201" s="2">
        <f>ff_portfolios25!M201-ff_factors!$E201</f>
        <v>-2.225E-3</v>
      </c>
      <c r="N201" s="2">
        <f>ff_portfolios25!N201-ff_factors!$E201</f>
        <v>-1.2019999999999999E-2</v>
      </c>
      <c r="O201" s="2">
        <f>ff_portfolios25!O201-ff_factors!$E201</f>
        <v>1.5100000000000001E-2</v>
      </c>
      <c r="P201" s="2">
        <f>ff_portfolios25!P201-ff_factors!$E201</f>
        <v>5.4840000000000002E-3</v>
      </c>
      <c r="Q201" s="2">
        <f>ff_portfolios25!Q201-ff_factors!$E201</f>
        <v>-8.7100000000000003E-4</v>
      </c>
      <c r="R201" s="2">
        <f>ff_portfolios25!R201-ff_factors!$E201</f>
        <v>6.149E-3</v>
      </c>
      <c r="S201" s="2">
        <f>ff_portfolios25!S201-ff_factors!$E201</f>
        <v>-1.255E-3</v>
      </c>
      <c r="T201" s="2">
        <f>ff_portfolios25!T201-ff_factors!$E201</f>
        <v>-2.722E-3</v>
      </c>
      <c r="U201" s="2">
        <f>ff_portfolios25!U201-ff_factors!$E201</f>
        <v>1.2269E-2</v>
      </c>
      <c r="V201" s="2">
        <f>ff_portfolios25!V201-ff_factors!$E201</f>
        <v>5.3790000000000001E-3</v>
      </c>
      <c r="W201" s="2">
        <f>ff_portfolios25!W201-ff_factors!$E201</f>
        <v>-6.3850000000000001E-3</v>
      </c>
      <c r="X201" s="2">
        <f>ff_portfolios25!X201-ff_factors!$E201</f>
        <v>1.0205000000000001E-2</v>
      </c>
      <c r="Y201" s="2">
        <f>ff_portfolios25!Y201-ff_factors!$E201</f>
        <v>-4.3229999999999996E-3</v>
      </c>
      <c r="Z201" s="2">
        <f>ff_portfolios25!Z201-ff_factors!$E201</f>
        <v>-1.923E-3</v>
      </c>
      <c r="AA201" s="2">
        <f>ff_portfolios25!AA201-ff_factors!$E201</f>
        <v>-7.326E-3</v>
      </c>
      <c r="AB201" s="2">
        <f>ff_portfolios25!AB201-ff_factors!$E201</f>
        <v>1.2394000000000001E-2</v>
      </c>
    </row>
    <row r="202" spans="1:28" x14ac:dyDescent="0.2">
      <c r="A202">
        <v>19480930</v>
      </c>
      <c r="B202">
        <v>1948</v>
      </c>
      <c r="C202">
        <v>9</v>
      </c>
      <c r="D202" s="2">
        <f>ff_portfolios25!D202-ff_factors!$E202</f>
        <v>-3.0258E-2</v>
      </c>
      <c r="E202" s="2">
        <f>ff_portfolios25!E202-ff_factors!$E202</f>
        <v>-6.2150999999999998E-2</v>
      </c>
      <c r="F202" s="2">
        <f>ff_portfolios25!F202-ff_factors!$E202</f>
        <v>-3.4291999999999996E-2</v>
      </c>
      <c r="G202" s="2">
        <f>ff_portfolios25!G202-ff_factors!$E202</f>
        <v>-5.7847999999999997E-2</v>
      </c>
      <c r="H202" s="2">
        <f>ff_portfolios25!H202-ff_factors!$E202</f>
        <v>-5.7733E-2</v>
      </c>
      <c r="I202" s="2">
        <f>ff_portfolios25!I202-ff_factors!$E202</f>
        <v>-1.2718999999999999E-2</v>
      </c>
      <c r="J202" s="2">
        <f>ff_portfolios25!J202-ff_factors!$E202</f>
        <v>-2.5905000000000001E-2</v>
      </c>
      <c r="K202" s="2">
        <f>ff_portfolios25!K202-ff_factors!$E202</f>
        <v>-3.8764E-2</v>
      </c>
      <c r="L202" s="2">
        <f>ff_portfolios25!L202-ff_factors!$E202</f>
        <v>-3.934E-2</v>
      </c>
      <c r="M202" s="2">
        <f>ff_portfolios25!M202-ff_factors!$E202</f>
        <v>-5.7236999999999996E-2</v>
      </c>
      <c r="N202" s="2">
        <f>ff_portfolios25!N202-ff_factors!$E202</f>
        <v>-3.5246E-2</v>
      </c>
      <c r="O202" s="2">
        <f>ff_portfolios25!O202-ff_factors!$E202</f>
        <v>-4.9714999999999995E-2</v>
      </c>
      <c r="P202" s="2">
        <f>ff_portfolios25!P202-ff_factors!$E202</f>
        <v>-4.2222999999999997E-2</v>
      </c>
      <c r="Q202" s="2">
        <f>ff_portfolios25!Q202-ff_factors!$E202</f>
        <v>-3.7766000000000001E-2</v>
      </c>
      <c r="R202" s="2">
        <f>ff_portfolios25!R202-ff_factors!$E202</f>
        <v>-5.6409999999999995E-2</v>
      </c>
      <c r="S202" s="2">
        <f>ff_portfolios25!S202-ff_factors!$E202</f>
        <v>-4.3837999999999995E-2</v>
      </c>
      <c r="T202" s="2">
        <f>ff_portfolios25!T202-ff_factors!$E202</f>
        <v>-2.7545E-2</v>
      </c>
      <c r="U202" s="2">
        <f>ff_portfolios25!U202-ff_factors!$E202</f>
        <v>-3.9789999999999999E-2</v>
      </c>
      <c r="V202" s="2">
        <f>ff_portfolios25!V202-ff_factors!$E202</f>
        <v>-5.1757999999999998E-2</v>
      </c>
      <c r="W202" s="2">
        <f>ff_portfolios25!W202-ff_factors!$E202</f>
        <v>-5.6006999999999994E-2</v>
      </c>
      <c r="X202" s="2">
        <f>ff_portfolios25!X202-ff_factors!$E202</f>
        <v>-2.4819000000000001E-2</v>
      </c>
      <c r="Y202" s="2">
        <f>ff_portfolios25!Y202-ff_factors!$E202</f>
        <v>-3.6122999999999995E-2</v>
      </c>
      <c r="Z202" s="2">
        <f>ff_portfolios25!Z202-ff_factors!$E202</f>
        <v>-9.3929999999999986E-3</v>
      </c>
      <c r="AA202" s="2">
        <f>ff_portfolios25!AA202-ff_factors!$E202</f>
        <v>-4.0459999999999996E-2</v>
      </c>
      <c r="AB202" s="2">
        <f>ff_portfolios25!AB202-ff_factors!$E202</f>
        <v>-2.8640000000000002E-2</v>
      </c>
    </row>
    <row r="203" spans="1:28" x14ac:dyDescent="0.2">
      <c r="A203">
        <v>19481030</v>
      </c>
      <c r="B203">
        <v>1948</v>
      </c>
      <c r="C203">
        <v>10</v>
      </c>
      <c r="D203" s="2">
        <f>ff_portfolios25!D203-ff_factors!$E203</f>
        <v>1.4144E-2</v>
      </c>
      <c r="E203" s="2">
        <f>ff_portfolios25!E203-ff_factors!$E203</f>
        <v>3.5169000000000006E-2</v>
      </c>
      <c r="F203" s="2">
        <f>ff_portfolios25!F203-ff_factors!$E203</f>
        <v>5.6381000000000001E-2</v>
      </c>
      <c r="G203" s="2">
        <f>ff_portfolios25!G203-ff_factors!$E203</f>
        <v>5.0010000000000006E-2</v>
      </c>
      <c r="H203" s="2">
        <f>ff_portfolios25!H203-ff_factors!$E203</f>
        <v>5.3645999999999999E-2</v>
      </c>
      <c r="I203" s="2">
        <f>ff_portfolios25!I203-ff_factors!$E203</f>
        <v>2.5087999999999999E-2</v>
      </c>
      <c r="J203" s="2">
        <f>ff_portfolios25!J203-ff_factors!$E203</f>
        <v>4.2816E-2</v>
      </c>
      <c r="K203" s="2">
        <f>ff_portfolios25!K203-ff_factors!$E203</f>
        <v>5.3658000000000004E-2</v>
      </c>
      <c r="L203" s="2">
        <f>ff_portfolios25!L203-ff_factors!$E203</f>
        <v>4.3535000000000004E-2</v>
      </c>
      <c r="M203" s="2">
        <f>ff_portfolios25!M203-ff_factors!$E203</f>
        <v>7.4088000000000001E-2</v>
      </c>
      <c r="N203" s="2">
        <f>ff_portfolios25!N203-ff_factors!$E203</f>
        <v>3.8328000000000001E-2</v>
      </c>
      <c r="O203" s="2">
        <f>ff_portfolios25!O203-ff_factors!$E203</f>
        <v>5.4945000000000001E-2</v>
      </c>
      <c r="P203" s="2">
        <f>ff_portfolios25!P203-ff_factors!$E203</f>
        <v>5.3949000000000004E-2</v>
      </c>
      <c r="Q203" s="2">
        <f>ff_portfolios25!Q203-ff_factors!$E203</f>
        <v>3.9438000000000001E-2</v>
      </c>
      <c r="R203" s="2">
        <f>ff_portfolios25!R203-ff_factors!$E203</f>
        <v>4.3145000000000003E-2</v>
      </c>
      <c r="S203" s="2">
        <f>ff_portfolios25!S203-ff_factors!$E203</f>
        <v>5.2238E-2</v>
      </c>
      <c r="T203" s="2">
        <f>ff_portfolios25!T203-ff_factors!$E203</f>
        <v>5.1421000000000001E-2</v>
      </c>
      <c r="U203" s="2">
        <f>ff_portfolios25!U203-ff_factors!$E203</f>
        <v>6.1076000000000005E-2</v>
      </c>
      <c r="V203" s="2">
        <f>ff_portfolios25!V203-ff_factors!$E203</f>
        <v>6.5617999999999996E-2</v>
      </c>
      <c r="W203" s="2">
        <f>ff_portfolios25!W203-ff_factors!$E203</f>
        <v>6.2271000000000007E-2</v>
      </c>
      <c r="X203" s="2">
        <f>ff_portfolios25!X203-ff_factors!$E203</f>
        <v>6.3773999999999997E-2</v>
      </c>
      <c r="Y203" s="2">
        <f>ff_portfolios25!Y203-ff_factors!$E203</f>
        <v>8.3517000000000008E-2</v>
      </c>
      <c r="Z203" s="2">
        <f>ff_portfolios25!Z203-ff_factors!$E203</f>
        <v>4.1772000000000004E-2</v>
      </c>
      <c r="AA203" s="2">
        <f>ff_portfolios25!AA203-ff_factors!$E203</f>
        <v>6.0517000000000001E-2</v>
      </c>
      <c r="AB203" s="2">
        <f>ff_portfolios25!AB203-ff_factors!$E203</f>
        <v>6.4698000000000006E-2</v>
      </c>
    </row>
    <row r="204" spans="1:28" x14ac:dyDescent="0.2">
      <c r="A204">
        <v>19481130</v>
      </c>
      <c r="B204">
        <v>1948</v>
      </c>
      <c r="C204">
        <v>11</v>
      </c>
      <c r="D204" s="2">
        <f>ff_portfolios25!D204-ff_factors!$E204</f>
        <v>-0.1333</v>
      </c>
      <c r="E204" s="2">
        <f>ff_portfolios25!E204-ff_factors!$E204</f>
        <v>-0.10664999999999999</v>
      </c>
      <c r="F204" s="2">
        <f>ff_portfolios25!F204-ff_factors!$E204</f>
        <v>-0.12671000000000002</v>
      </c>
      <c r="G204" s="2">
        <f>ff_portfolios25!G204-ff_factors!$E204</f>
        <v>-0.120424</v>
      </c>
      <c r="H204" s="2">
        <f>ff_portfolios25!H204-ff_factors!$E204</f>
        <v>-0.119004</v>
      </c>
      <c r="I204" s="2">
        <f>ff_portfolios25!I204-ff_factors!$E204</f>
        <v>-9.1708999999999999E-2</v>
      </c>
      <c r="J204" s="2">
        <f>ff_portfolios25!J204-ff_factors!$E204</f>
        <v>-9.4532999999999992E-2</v>
      </c>
      <c r="K204" s="2">
        <f>ff_portfolios25!K204-ff_factors!$E204</f>
        <v>-9.1581999999999997E-2</v>
      </c>
      <c r="L204" s="2">
        <f>ff_portfolios25!L204-ff_factors!$E204</f>
        <v>-0.113161</v>
      </c>
      <c r="M204" s="2">
        <f>ff_portfolios25!M204-ff_factors!$E204</f>
        <v>-0.1303</v>
      </c>
      <c r="N204" s="2">
        <f>ff_portfolios25!N204-ff_factors!$E204</f>
        <v>-9.6631999999999996E-2</v>
      </c>
      <c r="O204" s="2">
        <f>ff_portfolios25!O204-ff_factors!$E204</f>
        <v>-9.0204999999999994E-2</v>
      </c>
      <c r="P204" s="2">
        <f>ff_portfolios25!P204-ff_factors!$E204</f>
        <v>-7.9131999999999994E-2</v>
      </c>
      <c r="Q204" s="2">
        <f>ff_portfolios25!Q204-ff_factors!$E204</f>
        <v>-0.105172</v>
      </c>
      <c r="R204" s="2">
        <f>ff_portfolios25!R204-ff_factors!$E204</f>
        <v>-0.14123200000000002</v>
      </c>
      <c r="S204" s="2">
        <f>ff_portfolios25!S204-ff_factors!$E204</f>
        <v>-8.8715000000000002E-2</v>
      </c>
      <c r="T204" s="2">
        <f>ff_portfolios25!T204-ff_factors!$E204</f>
        <v>-8.3906999999999995E-2</v>
      </c>
      <c r="U204" s="2">
        <f>ff_portfolios25!U204-ff_factors!$E204</f>
        <v>-9.1652999999999998E-2</v>
      </c>
      <c r="V204" s="2">
        <f>ff_portfolios25!V204-ff_factors!$E204</f>
        <v>-0.122416</v>
      </c>
      <c r="W204" s="2">
        <f>ff_portfolios25!W204-ff_factors!$E204</f>
        <v>-0.14793800000000001</v>
      </c>
      <c r="X204" s="2">
        <f>ff_portfolios25!X204-ff_factors!$E204</f>
        <v>-8.3261000000000002E-2</v>
      </c>
      <c r="Y204" s="2">
        <f>ff_portfolios25!Y204-ff_factors!$E204</f>
        <v>-9.7316E-2</v>
      </c>
      <c r="Z204" s="2">
        <f>ff_portfolios25!Z204-ff_factors!$E204</f>
        <v>-6.9337999999999997E-2</v>
      </c>
      <c r="AA204" s="2">
        <f>ff_portfolios25!AA204-ff_factors!$E204</f>
        <v>-0.12349399999999999</v>
      </c>
      <c r="AB204" s="2">
        <f>ff_portfolios25!AB204-ff_factors!$E204</f>
        <v>-0.14109200000000002</v>
      </c>
    </row>
    <row r="205" spans="1:28" x14ac:dyDescent="0.2">
      <c r="A205">
        <v>19481231</v>
      </c>
      <c r="B205">
        <v>1948</v>
      </c>
      <c r="C205">
        <v>12</v>
      </c>
      <c r="D205" s="2">
        <f>ff_portfolios25!D205-ff_factors!$E205</f>
        <v>6.5398999999999999E-2</v>
      </c>
      <c r="E205" s="2">
        <f>ff_portfolios25!E205-ff_factors!$E205</f>
        <v>-3.8933999999999996E-2</v>
      </c>
      <c r="F205" s="2">
        <f>ff_portfolios25!F205-ff_factors!$E205</f>
        <v>-2.2301000000000001E-2</v>
      </c>
      <c r="G205" s="2">
        <f>ff_portfolios25!G205-ff_factors!$E205</f>
        <v>-3.0203000000000001E-2</v>
      </c>
      <c r="H205" s="2">
        <f>ff_portfolios25!H205-ff_factors!$E205</f>
        <v>8.006000000000001E-3</v>
      </c>
      <c r="I205" s="2">
        <f>ff_portfolios25!I205-ff_factors!$E205</f>
        <v>6.1240000000000001E-3</v>
      </c>
      <c r="J205" s="2">
        <f>ff_portfolios25!J205-ff_factors!$E205</f>
        <v>7.7650000000000002E-3</v>
      </c>
      <c r="K205" s="2">
        <f>ff_portfolios25!K205-ff_factors!$E205</f>
        <v>4.0720000000000001E-3</v>
      </c>
      <c r="L205" s="2">
        <f>ff_portfolios25!L205-ff_factors!$E205</f>
        <v>1.7540000000000001E-3</v>
      </c>
      <c r="M205" s="2">
        <f>ff_portfolios25!M205-ff_factors!$E205</f>
        <v>4.0549999999999996E-3</v>
      </c>
      <c r="N205" s="2">
        <f>ff_portfolios25!N205-ff_factors!$E205</f>
        <v>3.0440999999999999E-2</v>
      </c>
      <c r="O205" s="2">
        <f>ff_portfolios25!O205-ff_factors!$E205</f>
        <v>2.8323999999999998E-2</v>
      </c>
      <c r="P205" s="2">
        <f>ff_portfolios25!P205-ff_factors!$E205</f>
        <v>8.3560000000000006E-3</v>
      </c>
      <c r="Q205" s="2">
        <f>ff_portfolios25!Q205-ff_factors!$E205</f>
        <v>3.9459999999999999E-3</v>
      </c>
      <c r="R205" s="2">
        <f>ff_portfolios25!R205-ff_factors!$E205</f>
        <v>1.9667E-2</v>
      </c>
      <c r="S205" s="2">
        <f>ff_portfolios25!S205-ff_factors!$E205</f>
        <v>4.0643000000000006E-2</v>
      </c>
      <c r="T205" s="2">
        <f>ff_portfolios25!T205-ff_factors!$E205</f>
        <v>2.8209999999999999E-2</v>
      </c>
      <c r="U205" s="2">
        <f>ff_portfolios25!U205-ff_factors!$E205</f>
        <v>6.1199999999999996E-3</v>
      </c>
      <c r="V205" s="2">
        <f>ff_portfolios25!V205-ff_factors!$E205</f>
        <v>2.7511999999999998E-2</v>
      </c>
      <c r="W205" s="2">
        <f>ff_portfolios25!W205-ff_factors!$E205</f>
        <v>1.6289999999999999E-2</v>
      </c>
      <c r="X205" s="2">
        <f>ff_portfolios25!X205-ff_factors!$E205</f>
        <v>5.2445000000000006E-2</v>
      </c>
      <c r="Y205" s="2">
        <f>ff_portfolios25!Y205-ff_factors!$E205</f>
        <v>3.5299000000000004E-2</v>
      </c>
      <c r="Z205" s="2">
        <f>ff_portfolios25!Z205-ff_factors!$E205</f>
        <v>2.9697999999999999E-2</v>
      </c>
      <c r="AA205" s="2">
        <f>ff_portfolios25!AA205-ff_factors!$E205</f>
        <v>2.4374999999999997E-2</v>
      </c>
      <c r="AB205" s="2">
        <f>ff_portfolios25!AB205-ff_factors!$E205</f>
        <v>2.2291999999999999E-2</v>
      </c>
    </row>
    <row r="206" spans="1:28" x14ac:dyDescent="0.2">
      <c r="A206">
        <v>19490131</v>
      </c>
      <c r="B206">
        <v>1949</v>
      </c>
      <c r="C206">
        <v>1</v>
      </c>
      <c r="D206" s="2">
        <f>ff_portfolios25!D206-ff_factors!$E206</f>
        <v>-8.1199999999999987E-3</v>
      </c>
      <c r="E206" s="2">
        <f>ff_portfolios25!E206-ff_factors!$E206</f>
        <v>5.2984999999999997E-2</v>
      </c>
      <c r="F206" s="2">
        <f>ff_portfolios25!F206-ff_factors!$E206</f>
        <v>5.2385000000000001E-2</v>
      </c>
      <c r="G206" s="2">
        <f>ff_portfolios25!G206-ff_factors!$E206</f>
        <v>2.7503E-2</v>
      </c>
      <c r="H206" s="2">
        <f>ff_portfolios25!H206-ff_factors!$E206</f>
        <v>4.2450000000000002E-2</v>
      </c>
      <c r="I206" s="2">
        <f>ff_portfolios25!I206-ff_factors!$E206</f>
        <v>1.4679999999999999E-2</v>
      </c>
      <c r="J206" s="2">
        <f>ff_portfolios25!J206-ff_factors!$E206</f>
        <v>9.7929999999999996E-3</v>
      </c>
      <c r="K206" s="2">
        <f>ff_portfolios25!K206-ff_factors!$E206</f>
        <v>3.895E-3</v>
      </c>
      <c r="L206" s="2">
        <f>ff_portfolios25!L206-ff_factors!$E206</f>
        <v>2.6721999999999999E-2</v>
      </c>
      <c r="M206" s="2">
        <f>ff_portfolios25!M206-ff_factors!$E206</f>
        <v>2.3632E-2</v>
      </c>
      <c r="N206" s="2">
        <f>ff_portfolios25!N206-ff_factors!$E206</f>
        <v>8.317999999999999E-3</v>
      </c>
      <c r="O206" s="2">
        <f>ff_portfolios25!O206-ff_factors!$E206</f>
        <v>-7.5250000000000004E-3</v>
      </c>
      <c r="P206" s="2">
        <f>ff_portfolios25!P206-ff_factors!$E206</f>
        <v>1.0842000000000001E-2</v>
      </c>
      <c r="Q206" s="2">
        <f>ff_portfolios25!Q206-ff_factors!$E206</f>
        <v>4.8149999999999998E-3</v>
      </c>
      <c r="R206" s="2">
        <f>ff_portfolios25!R206-ff_factors!$E206</f>
        <v>5.7400000000000007E-4</v>
      </c>
      <c r="S206" s="2">
        <f>ff_portfolios25!S206-ff_factors!$E206</f>
        <v>1.1564999999999999E-2</v>
      </c>
      <c r="T206" s="2">
        <f>ff_portfolios25!T206-ff_factors!$E206</f>
        <v>1.3874999999999998E-2</v>
      </c>
      <c r="U206" s="2">
        <f>ff_portfolios25!U206-ff_factors!$E206</f>
        <v>3.2306000000000001E-2</v>
      </c>
      <c r="V206" s="2">
        <f>ff_portfolios25!V206-ff_factors!$E206</f>
        <v>-1.34E-4</v>
      </c>
      <c r="W206" s="2">
        <f>ff_portfolios25!W206-ff_factors!$E206</f>
        <v>2.2657999999999998E-2</v>
      </c>
      <c r="X206" s="2">
        <f>ff_portfolios25!X206-ff_factors!$E206</f>
        <v>6.646E-3</v>
      </c>
      <c r="Y206" s="2">
        <f>ff_portfolios25!Y206-ff_factors!$E206</f>
        <v>-2.0070000000000001E-2</v>
      </c>
      <c r="Z206" s="2">
        <f>ff_portfolios25!Z206-ff_factors!$E206</f>
        <v>-1.6383999999999999E-2</v>
      </c>
      <c r="AA206" s="2">
        <f>ff_portfolios25!AA206-ff_factors!$E206</f>
        <v>1.0409000000000002E-2</v>
      </c>
      <c r="AB206" s="2">
        <f>ff_portfolios25!AB206-ff_factors!$E206</f>
        <v>1.6704999999999998E-2</v>
      </c>
    </row>
    <row r="207" spans="1:28" x14ac:dyDescent="0.2">
      <c r="A207">
        <v>19490228</v>
      </c>
      <c r="B207">
        <v>1949</v>
      </c>
      <c r="C207">
        <v>2</v>
      </c>
      <c r="D207" s="2">
        <f>ff_portfolios25!D207-ff_factors!$E207</f>
        <v>-5.8853999999999997E-2</v>
      </c>
      <c r="E207" s="2">
        <f>ff_portfolios25!E207-ff_factors!$E207</f>
        <v>-3.8733999999999998E-2</v>
      </c>
      <c r="F207" s="2">
        <f>ff_portfolios25!F207-ff_factors!$E207</f>
        <v>-4.7677999999999998E-2</v>
      </c>
      <c r="G207" s="2">
        <f>ff_portfolios25!G207-ff_factors!$E207</f>
        <v>-5.7208999999999996E-2</v>
      </c>
      <c r="H207" s="2">
        <f>ff_portfolios25!H207-ff_factors!$E207</f>
        <v>-3.6531000000000001E-2</v>
      </c>
      <c r="I207" s="2">
        <f>ff_portfolios25!I207-ff_factors!$E207</f>
        <v>-8.0362000000000003E-2</v>
      </c>
      <c r="J207" s="2">
        <f>ff_portfolios25!J207-ff_factors!$E207</f>
        <v>-3.8651999999999999E-2</v>
      </c>
      <c r="K207" s="2">
        <f>ff_portfolios25!K207-ff_factors!$E207</f>
        <v>-4.7889999999999995E-2</v>
      </c>
      <c r="L207" s="2">
        <f>ff_portfolios25!L207-ff_factors!$E207</f>
        <v>-4.9200999999999995E-2</v>
      </c>
      <c r="M207" s="2">
        <f>ff_portfolios25!M207-ff_factors!$E207</f>
        <v>-6.6253999999999993E-2</v>
      </c>
      <c r="N207" s="2">
        <f>ff_portfolios25!N207-ff_factors!$E207</f>
        <v>-2.5082E-2</v>
      </c>
      <c r="O207" s="2">
        <f>ff_portfolios25!O207-ff_factors!$E207</f>
        <v>-4.7780999999999997E-2</v>
      </c>
      <c r="P207" s="2">
        <f>ff_portfolios25!P207-ff_factors!$E207</f>
        <v>-2.3923E-2</v>
      </c>
      <c r="Q207" s="2">
        <f>ff_portfolios25!Q207-ff_factors!$E207</f>
        <v>-3.0623000000000001E-2</v>
      </c>
      <c r="R207" s="2">
        <f>ff_portfolios25!R207-ff_factors!$E207</f>
        <v>-6.1981999999999995E-2</v>
      </c>
      <c r="S207" s="2">
        <f>ff_portfolios25!S207-ff_factors!$E207</f>
        <v>-1.2012999999999999E-2</v>
      </c>
      <c r="T207" s="2">
        <f>ff_portfolios25!T207-ff_factors!$E207</f>
        <v>-2.3661000000000001E-2</v>
      </c>
      <c r="U207" s="2">
        <f>ff_portfolios25!U207-ff_factors!$E207</f>
        <v>-2.3822000000000003E-2</v>
      </c>
      <c r="V207" s="2">
        <f>ff_portfolios25!V207-ff_factors!$E207</f>
        <v>-3.8637999999999999E-2</v>
      </c>
      <c r="W207" s="2">
        <f>ff_portfolios25!W207-ff_factors!$E207</f>
        <v>-3.3596000000000001E-2</v>
      </c>
      <c r="X207" s="2">
        <f>ff_portfolios25!X207-ff_factors!$E207</f>
        <v>-2.6813E-2</v>
      </c>
      <c r="Y207" s="2">
        <f>ff_portfolios25!Y207-ff_factors!$E207</f>
        <v>-3.7926000000000001E-2</v>
      </c>
      <c r="Z207" s="2">
        <f>ff_portfolios25!Z207-ff_factors!$E207</f>
        <v>-1.9658000000000002E-2</v>
      </c>
      <c r="AA207" s="2">
        <f>ff_portfolios25!AA207-ff_factors!$E207</f>
        <v>-1.8769000000000001E-2</v>
      </c>
      <c r="AB207" s="2">
        <f>ff_portfolios25!AB207-ff_factors!$E207</f>
        <v>-5.7109E-2</v>
      </c>
    </row>
    <row r="208" spans="1:28" x14ac:dyDescent="0.2">
      <c r="A208">
        <v>19490331</v>
      </c>
      <c r="B208">
        <v>1949</v>
      </c>
      <c r="C208">
        <v>3</v>
      </c>
      <c r="D208" s="2">
        <f>ff_portfolios25!D208-ff_factors!$E208</f>
        <v>6.1016000000000001E-2</v>
      </c>
      <c r="E208" s="2">
        <f>ff_portfolios25!E208-ff_factors!$E208</f>
        <v>7.0923E-2</v>
      </c>
      <c r="F208" s="2">
        <f>ff_portfolios25!F208-ff_factors!$E208</f>
        <v>7.9231999999999997E-2</v>
      </c>
      <c r="G208" s="2">
        <f>ff_portfolios25!G208-ff_factors!$E208</f>
        <v>5.6814999999999997E-2</v>
      </c>
      <c r="H208" s="2">
        <f>ff_portfolios25!H208-ff_factors!$E208</f>
        <v>6.6261E-2</v>
      </c>
      <c r="I208" s="2">
        <f>ff_portfolios25!I208-ff_factors!$E208</f>
        <v>5.8316E-2</v>
      </c>
      <c r="J208" s="2">
        <f>ff_portfolios25!J208-ff_factors!$E208</f>
        <v>7.5680999999999998E-2</v>
      </c>
      <c r="K208" s="2">
        <f>ff_portfolios25!K208-ff_factors!$E208</f>
        <v>4.9829999999999999E-2</v>
      </c>
      <c r="L208" s="2">
        <f>ff_portfolios25!L208-ff_factors!$E208</f>
        <v>5.2211E-2</v>
      </c>
      <c r="M208" s="2">
        <f>ff_portfolios25!M208-ff_factors!$E208</f>
        <v>7.4685000000000001E-2</v>
      </c>
      <c r="N208" s="2">
        <f>ff_portfolios25!N208-ff_factors!$E208</f>
        <v>5.7296E-2</v>
      </c>
      <c r="O208" s="2">
        <f>ff_portfolios25!O208-ff_factors!$E208</f>
        <v>5.1008999999999999E-2</v>
      </c>
      <c r="P208" s="2">
        <f>ff_portfolios25!P208-ff_factors!$E208</f>
        <v>4.9327999999999997E-2</v>
      </c>
      <c r="Q208" s="2">
        <f>ff_portfolios25!Q208-ff_factors!$E208</f>
        <v>7.5746999999999995E-2</v>
      </c>
      <c r="R208" s="2">
        <f>ff_portfolios25!R208-ff_factors!$E208</f>
        <v>7.5132000000000004E-2</v>
      </c>
      <c r="S208" s="2">
        <f>ff_portfolios25!S208-ff_factors!$E208</f>
        <v>4.0917999999999996E-2</v>
      </c>
      <c r="T208" s="2">
        <f>ff_portfolios25!T208-ff_factors!$E208</f>
        <v>4.0120999999999997E-2</v>
      </c>
      <c r="U208" s="2">
        <f>ff_portfolios25!U208-ff_factors!$E208</f>
        <v>3.6037E-2</v>
      </c>
      <c r="V208" s="2">
        <f>ff_portfolios25!V208-ff_factors!$E208</f>
        <v>4.4625999999999999E-2</v>
      </c>
      <c r="W208" s="2">
        <f>ff_portfolios25!W208-ff_factors!$E208</f>
        <v>7.6136999999999996E-2</v>
      </c>
      <c r="X208" s="2">
        <f>ff_portfolios25!X208-ff_factors!$E208</f>
        <v>4.2291000000000002E-2</v>
      </c>
      <c r="Y208" s="2">
        <f>ff_portfolios25!Y208-ff_factors!$E208</f>
        <v>3.4761E-2</v>
      </c>
      <c r="Z208" s="2">
        <f>ff_portfolios25!Z208-ff_factors!$E208</f>
        <v>2.5007999999999999E-2</v>
      </c>
      <c r="AA208" s="2">
        <f>ff_portfolios25!AA208-ff_factors!$E208</f>
        <v>5.6225999999999998E-2</v>
      </c>
      <c r="AB208" s="2">
        <f>ff_portfolios25!AB208-ff_factors!$E208</f>
        <v>3.9629999999999999E-2</v>
      </c>
    </row>
    <row r="209" spans="1:28" x14ac:dyDescent="0.2">
      <c r="A209">
        <v>19490430</v>
      </c>
      <c r="B209">
        <v>1949</v>
      </c>
      <c r="C209">
        <v>4</v>
      </c>
      <c r="D209" s="2">
        <f>ff_portfolios25!D209-ff_factors!$E209</f>
        <v>-3.5583999999999998E-2</v>
      </c>
      <c r="E209" s="2">
        <f>ff_portfolios25!E209-ff_factors!$E209</f>
        <v>-3.2488999999999997E-2</v>
      </c>
      <c r="F209" s="2">
        <f>ff_portfolios25!F209-ff_factors!$E209</f>
        <v>-1.6967000000000003E-2</v>
      </c>
      <c r="G209" s="2">
        <f>ff_portfolios25!G209-ff_factors!$E209</f>
        <v>-3.3041999999999995E-2</v>
      </c>
      <c r="H209" s="2">
        <f>ff_portfolios25!H209-ff_factors!$E209</f>
        <v>-3.0720000000000001E-2</v>
      </c>
      <c r="I209" s="2">
        <f>ff_portfolios25!I209-ff_factors!$E209</f>
        <v>-3.7636999999999997E-2</v>
      </c>
      <c r="J209" s="2">
        <f>ff_portfolios25!J209-ff_factors!$E209</f>
        <v>-2.2585000000000001E-2</v>
      </c>
      <c r="K209" s="2">
        <f>ff_portfolios25!K209-ff_factors!$E209</f>
        <v>-3.9191999999999998E-2</v>
      </c>
      <c r="L209" s="2">
        <f>ff_portfolios25!L209-ff_factors!$E209</f>
        <v>-3.6645999999999998E-2</v>
      </c>
      <c r="M209" s="2">
        <f>ff_portfolios25!M209-ff_factors!$E209</f>
        <v>-3.5334999999999998E-2</v>
      </c>
      <c r="N209" s="2">
        <f>ff_portfolios25!N209-ff_factors!$E209</f>
        <v>-2.1391E-2</v>
      </c>
      <c r="O209" s="2">
        <f>ff_portfolios25!O209-ff_factors!$E209</f>
        <v>-2.5144000000000003E-2</v>
      </c>
      <c r="P209" s="2">
        <f>ff_portfolios25!P209-ff_factors!$E209</f>
        <v>-3.6580999999999995E-2</v>
      </c>
      <c r="Q209" s="2">
        <f>ff_portfolios25!Q209-ff_factors!$E209</f>
        <v>-5.1538E-2</v>
      </c>
      <c r="R209" s="2">
        <f>ff_portfolios25!R209-ff_factors!$E209</f>
        <v>-4.3964999999999997E-2</v>
      </c>
      <c r="S209" s="2">
        <f>ff_portfolios25!S209-ff_factors!$E209</f>
        <v>-2.3514E-2</v>
      </c>
      <c r="T209" s="2">
        <f>ff_portfolios25!T209-ff_factors!$E209</f>
        <v>-2.4998000000000003E-2</v>
      </c>
      <c r="U209" s="2">
        <f>ff_portfolios25!U209-ff_factors!$E209</f>
        <v>-2.6652000000000002E-2</v>
      </c>
      <c r="V209" s="2">
        <f>ff_portfolios25!V209-ff_factors!$E209</f>
        <v>-4.4506999999999998E-2</v>
      </c>
      <c r="W209" s="2">
        <f>ff_portfolios25!W209-ff_factors!$E209</f>
        <v>-4.4178999999999996E-2</v>
      </c>
      <c r="X209" s="2">
        <f>ff_portfolios25!X209-ff_factors!$E209</f>
        <v>-2.0467000000000003E-2</v>
      </c>
      <c r="Y209" s="2">
        <f>ff_portfolios25!Y209-ff_factors!$E209</f>
        <v>-4.8729999999999997E-3</v>
      </c>
      <c r="Z209" s="2">
        <f>ff_portfolios25!Z209-ff_factors!$E209</f>
        <v>-9.4660000000000005E-3</v>
      </c>
      <c r="AA209" s="2">
        <f>ff_portfolios25!AA209-ff_factors!$E209</f>
        <v>-4.5640000000000003E-3</v>
      </c>
      <c r="AB209" s="2">
        <f>ff_portfolios25!AB209-ff_factors!$E209</f>
        <v>-2.1819000000000002E-2</v>
      </c>
    </row>
    <row r="210" spans="1:28" x14ac:dyDescent="0.2">
      <c r="A210">
        <v>19490531</v>
      </c>
      <c r="B210">
        <v>1949</v>
      </c>
      <c r="C210">
        <v>5</v>
      </c>
      <c r="D210" s="2">
        <f>ff_portfolios25!D210-ff_factors!$E210</f>
        <v>-0.113464</v>
      </c>
      <c r="E210" s="2">
        <f>ff_portfolios25!E210-ff_factors!$E210</f>
        <v>-7.0189000000000001E-2</v>
      </c>
      <c r="F210" s="2">
        <f>ff_portfolios25!F210-ff_factors!$E210</f>
        <v>-7.3535000000000003E-2</v>
      </c>
      <c r="G210" s="2">
        <f>ff_portfolios25!G210-ff_factors!$E210</f>
        <v>-6.5222000000000002E-2</v>
      </c>
      <c r="H210" s="2">
        <f>ff_portfolios25!H210-ff_factors!$E210</f>
        <v>-6.0505000000000003E-2</v>
      </c>
      <c r="I210" s="2">
        <f>ff_portfolios25!I210-ff_factors!$E210</f>
        <v>-3.4200000000000001E-2</v>
      </c>
      <c r="J210" s="2">
        <f>ff_portfolios25!J210-ff_factors!$E210</f>
        <v>-4.9454999999999999E-2</v>
      </c>
      <c r="K210" s="2">
        <f>ff_portfolios25!K210-ff_factors!$E210</f>
        <v>-2.2291000000000002E-2</v>
      </c>
      <c r="L210" s="2">
        <f>ff_portfolios25!L210-ff_factors!$E210</f>
        <v>-4.2980000000000004E-2</v>
      </c>
      <c r="M210" s="2">
        <f>ff_portfolios25!M210-ff_factors!$E210</f>
        <v>-6.8068000000000004E-2</v>
      </c>
      <c r="N210" s="2">
        <f>ff_portfolios25!N210-ff_factors!$E210</f>
        <v>-3.5237999999999998E-2</v>
      </c>
      <c r="O210" s="2">
        <f>ff_portfolios25!O210-ff_factors!$E210</f>
        <v>-2.5993000000000002E-2</v>
      </c>
      <c r="P210" s="2">
        <f>ff_portfolios25!P210-ff_factors!$E210</f>
        <v>-2.0784E-2</v>
      </c>
      <c r="Q210" s="2">
        <f>ff_portfolios25!Q210-ff_factors!$E210</f>
        <v>-3.8088000000000004E-2</v>
      </c>
      <c r="R210" s="2">
        <f>ff_portfolios25!R210-ff_factors!$E210</f>
        <v>-6.4599000000000004E-2</v>
      </c>
      <c r="S210" s="2">
        <f>ff_portfolios25!S210-ff_factors!$E210</f>
        <v>-1.8369E-2</v>
      </c>
      <c r="T210" s="2">
        <f>ff_portfolios25!T210-ff_factors!$E210</f>
        <v>-2.4674000000000001E-2</v>
      </c>
      <c r="U210" s="2">
        <f>ff_portfolios25!U210-ff_factors!$E210</f>
        <v>-1.4204000000000001E-2</v>
      </c>
      <c r="V210" s="2">
        <f>ff_portfolios25!V210-ff_factors!$E210</f>
        <v>-3.0778E-2</v>
      </c>
      <c r="W210" s="2">
        <f>ff_portfolios25!W210-ff_factors!$E210</f>
        <v>-4.7441000000000004E-2</v>
      </c>
      <c r="X210" s="2">
        <f>ff_portfolios25!X210-ff_factors!$E210</f>
        <v>-2.0027E-2</v>
      </c>
      <c r="Y210" s="2">
        <f>ff_portfolios25!Y210-ff_factors!$E210</f>
        <v>-3.1863000000000002E-2</v>
      </c>
      <c r="Z210" s="2">
        <f>ff_portfolios25!Z210-ff_factors!$E210</f>
        <v>-2.4674000000000001E-2</v>
      </c>
      <c r="AA210" s="2">
        <f>ff_portfolios25!AA210-ff_factors!$E210</f>
        <v>-5.6697999999999998E-2</v>
      </c>
      <c r="AB210" s="2">
        <f>ff_portfolios25!AB210-ff_factors!$E210</f>
        <v>-5.8929000000000002E-2</v>
      </c>
    </row>
    <row r="211" spans="1:28" x14ac:dyDescent="0.2">
      <c r="A211">
        <v>19490630</v>
      </c>
      <c r="B211">
        <v>1949</v>
      </c>
      <c r="C211">
        <v>6</v>
      </c>
      <c r="D211" s="2">
        <f>ff_portfolios25!D211-ff_factors!$E211</f>
        <v>-1.0467000000000001E-2</v>
      </c>
      <c r="E211" s="2">
        <f>ff_portfolios25!E211-ff_factors!$E211</f>
        <v>-3.1406999999999997E-2</v>
      </c>
      <c r="F211" s="2">
        <f>ff_portfolios25!F211-ff_factors!$E211</f>
        <v>-1.5994999999999999E-2</v>
      </c>
      <c r="G211" s="2">
        <f>ff_portfolios25!G211-ff_factors!$E211</f>
        <v>-2.7330000000000002E-3</v>
      </c>
      <c r="H211" s="2">
        <f>ff_portfolios25!H211-ff_factors!$E211</f>
        <v>-5.1929999999999997E-3</v>
      </c>
      <c r="I211" s="2">
        <f>ff_portfolios25!I211-ff_factors!$E211</f>
        <v>-3.1682999999999996E-2</v>
      </c>
      <c r="J211" s="2">
        <f>ff_portfolios25!J211-ff_factors!$E211</f>
        <v>-2.0890000000000002E-2</v>
      </c>
      <c r="K211" s="2">
        <f>ff_portfolios25!K211-ff_factors!$E211</f>
        <v>-8.5839999999999996E-3</v>
      </c>
      <c r="L211" s="2">
        <f>ff_portfolios25!L211-ff_factors!$E211</f>
        <v>4.2000000000000002E-4</v>
      </c>
      <c r="M211" s="2">
        <f>ff_portfolios25!M211-ff_factors!$E211</f>
        <v>-1.9471000000000002E-2</v>
      </c>
      <c r="N211" s="2">
        <f>ff_portfolios25!N211-ff_factors!$E211</f>
        <v>1.3056000000000002E-2</v>
      </c>
      <c r="O211" s="2">
        <f>ff_portfolios25!O211-ff_factors!$E211</f>
        <v>-2.7780000000000003E-2</v>
      </c>
      <c r="P211" s="2">
        <f>ff_portfolios25!P211-ff_factors!$E211</f>
        <v>-1.8411E-2</v>
      </c>
      <c r="Q211" s="2">
        <f>ff_portfolios25!Q211-ff_factors!$E211</f>
        <v>-9.8770000000000004E-3</v>
      </c>
      <c r="R211" s="2">
        <f>ff_portfolios25!R211-ff_factors!$E211</f>
        <v>-4.0027E-2</v>
      </c>
      <c r="S211" s="2">
        <f>ff_portfolios25!S211-ff_factors!$E211</f>
        <v>5.0540000000000003E-3</v>
      </c>
      <c r="T211" s="2">
        <f>ff_portfolios25!T211-ff_factors!$E211</f>
        <v>-4.6020000000000002E-3</v>
      </c>
      <c r="U211" s="2">
        <f>ff_portfolios25!U211-ff_factors!$E211</f>
        <v>3.6690000000000004E-3</v>
      </c>
      <c r="V211" s="2">
        <f>ff_portfolios25!V211-ff_factors!$E211</f>
        <v>-1.1136E-2</v>
      </c>
      <c r="W211" s="2">
        <f>ff_portfolios25!W211-ff_factors!$E211</f>
        <v>-1.4971999999999999E-2</v>
      </c>
      <c r="X211" s="2">
        <f>ff_portfolios25!X211-ff_factors!$E211</f>
        <v>1.0256999999999999E-2</v>
      </c>
      <c r="Y211" s="2">
        <f>ff_portfolios25!Y211-ff_factors!$E211</f>
        <v>5.8399999999999988E-4</v>
      </c>
      <c r="Z211" s="2">
        <f>ff_portfolios25!Z211-ff_factors!$E211</f>
        <v>7.2880000000000002E-3</v>
      </c>
      <c r="AA211" s="2">
        <f>ff_portfolios25!AA211-ff_factors!$E211</f>
        <v>-1.663E-3</v>
      </c>
      <c r="AB211" s="2">
        <f>ff_portfolios25!AB211-ff_factors!$E211</f>
        <v>-3.2749E-2</v>
      </c>
    </row>
    <row r="212" spans="1:28" x14ac:dyDescent="0.2">
      <c r="A212">
        <v>19490729</v>
      </c>
      <c r="B212">
        <v>1949</v>
      </c>
      <c r="C212">
        <v>7</v>
      </c>
      <c r="D212" s="2">
        <f>ff_portfolios25!D212-ff_factors!$E212</f>
        <v>0.12642999999999999</v>
      </c>
      <c r="E212" s="2">
        <f>ff_portfolios25!E212-ff_factors!$E212</f>
        <v>5.7338E-2</v>
      </c>
      <c r="F212" s="2">
        <f>ff_portfolios25!F212-ff_factors!$E212</f>
        <v>5.3498000000000004E-2</v>
      </c>
      <c r="G212" s="2">
        <f>ff_portfolios25!G212-ff_factors!$E212</f>
        <v>5.7378999999999999E-2</v>
      </c>
      <c r="H212" s="2">
        <f>ff_portfolios25!H212-ff_factors!$E212</f>
        <v>5.0848000000000004E-2</v>
      </c>
      <c r="I212" s="2">
        <f>ff_portfolios25!I212-ff_factors!$E212</f>
        <v>4.3490000000000001E-2</v>
      </c>
      <c r="J212" s="2">
        <f>ff_portfolios25!J212-ff_factors!$E212</f>
        <v>7.1639000000000008E-2</v>
      </c>
      <c r="K212" s="2">
        <f>ff_portfolios25!K212-ff_factors!$E212</f>
        <v>6.8349000000000007E-2</v>
      </c>
      <c r="L212" s="2">
        <f>ff_portfolios25!L212-ff_factors!$E212</f>
        <v>7.9295000000000004E-2</v>
      </c>
      <c r="M212" s="2">
        <f>ff_portfolios25!M212-ff_factors!$E212</f>
        <v>4.8305000000000001E-2</v>
      </c>
      <c r="N212" s="2">
        <f>ff_portfolios25!N212-ff_factors!$E212</f>
        <v>7.0791000000000007E-2</v>
      </c>
      <c r="O212" s="2">
        <f>ff_portfolios25!O212-ff_factors!$E212</f>
        <v>6.9513000000000005E-2</v>
      </c>
      <c r="P212" s="2">
        <f>ff_portfolios25!P212-ff_factors!$E212</f>
        <v>6.3155000000000003E-2</v>
      </c>
      <c r="Q212" s="2">
        <f>ff_portfolios25!Q212-ff_factors!$E212</f>
        <v>7.0945999999999995E-2</v>
      </c>
      <c r="R212" s="2">
        <f>ff_portfolios25!R212-ff_factors!$E212</f>
        <v>6.055E-2</v>
      </c>
      <c r="S212" s="2">
        <f>ff_portfolios25!S212-ff_factors!$E212</f>
        <v>6.8174999999999999E-2</v>
      </c>
      <c r="T212" s="2">
        <f>ff_portfolios25!T212-ff_factors!$E212</f>
        <v>5.5653000000000001E-2</v>
      </c>
      <c r="U212" s="2">
        <f>ff_portfolios25!U212-ff_factors!$E212</f>
        <v>7.2917999999999997E-2</v>
      </c>
      <c r="V212" s="2">
        <f>ff_portfolios25!V212-ff_factors!$E212</f>
        <v>4.2155000000000005E-2</v>
      </c>
      <c r="W212" s="2">
        <f>ff_portfolios25!W212-ff_factors!$E212</f>
        <v>6.5892000000000006E-2</v>
      </c>
      <c r="X212" s="2">
        <f>ff_portfolios25!X212-ff_factors!$E212</f>
        <v>5.4891000000000002E-2</v>
      </c>
      <c r="Y212" s="2">
        <f>ff_portfolios25!Y212-ff_factors!$E212</f>
        <v>4.6752000000000002E-2</v>
      </c>
      <c r="Z212" s="2">
        <f>ff_portfolios25!Z212-ff_factors!$E212</f>
        <v>5.0713000000000001E-2</v>
      </c>
      <c r="AA212" s="2">
        <f>ff_portfolios25!AA212-ff_factors!$E212</f>
        <v>5.8638000000000003E-2</v>
      </c>
      <c r="AB212" s="2">
        <f>ff_portfolios25!AB212-ff_factors!$E212</f>
        <v>7.1156999999999998E-2</v>
      </c>
    </row>
    <row r="213" spans="1:28" x14ac:dyDescent="0.2">
      <c r="A213">
        <v>19490831</v>
      </c>
      <c r="B213">
        <v>1949</v>
      </c>
      <c r="C213">
        <v>8</v>
      </c>
      <c r="D213" s="2">
        <f>ff_portfolios25!D213-ff_factors!$E213</f>
        <v>2.8646999999999999E-2</v>
      </c>
      <c r="E213" s="2">
        <f>ff_portfolios25!E213-ff_factors!$E213</f>
        <v>3.3112000000000003E-2</v>
      </c>
      <c r="F213" s="2">
        <f>ff_portfolios25!F213-ff_factors!$E213</f>
        <v>1.8631999999999999E-2</v>
      </c>
      <c r="G213" s="2">
        <f>ff_portfolios25!G213-ff_factors!$E213</f>
        <v>2.9766999999999998E-2</v>
      </c>
      <c r="H213" s="2">
        <f>ff_portfolios25!H213-ff_factors!$E213</f>
        <v>1.6636999999999999E-2</v>
      </c>
      <c r="I213" s="2">
        <f>ff_portfolios25!I213-ff_factors!$E213</f>
        <v>1.004E-2</v>
      </c>
      <c r="J213" s="2">
        <f>ff_portfolios25!J213-ff_factors!$E213</f>
        <v>3.2171000000000005E-2</v>
      </c>
      <c r="K213" s="2">
        <f>ff_portfolios25!K213-ff_factors!$E213</f>
        <v>2.7878E-2</v>
      </c>
      <c r="L213" s="2">
        <f>ff_portfolios25!L213-ff_factors!$E213</f>
        <v>2.3015999999999998E-2</v>
      </c>
      <c r="M213" s="2">
        <f>ff_portfolios25!M213-ff_factors!$E213</f>
        <v>1.15E-2</v>
      </c>
      <c r="N213" s="2">
        <f>ff_portfolios25!N213-ff_factors!$E213</f>
        <v>3.8727999999999999E-2</v>
      </c>
      <c r="O213" s="2">
        <f>ff_portfolios25!O213-ff_factors!$E213</f>
        <v>1.3699000000000001E-2</v>
      </c>
      <c r="P213" s="2">
        <f>ff_portfolios25!P213-ff_factors!$E213</f>
        <v>3.9521000000000001E-2</v>
      </c>
      <c r="Q213" s="2">
        <f>ff_portfolios25!Q213-ff_factors!$E213</f>
        <v>1.2793000000000001E-2</v>
      </c>
      <c r="R213" s="2">
        <f>ff_portfolios25!R213-ff_factors!$E213</f>
        <v>3.0741000000000001E-2</v>
      </c>
      <c r="S213" s="2">
        <f>ff_portfolios25!S213-ff_factors!$E213</f>
        <v>2.2200999999999999E-2</v>
      </c>
      <c r="T213" s="2">
        <f>ff_portfolios25!T213-ff_factors!$E213</f>
        <v>2.4112999999999999E-2</v>
      </c>
      <c r="U213" s="2">
        <f>ff_portfolios25!U213-ff_factors!$E213</f>
        <v>2.4704999999999998E-2</v>
      </c>
      <c r="V213" s="2">
        <f>ff_portfolios25!V213-ff_factors!$E213</f>
        <v>1.1639999999999999E-3</v>
      </c>
      <c r="W213" s="2">
        <f>ff_portfolios25!W213-ff_factors!$E213</f>
        <v>4.6311999999999999E-2</v>
      </c>
      <c r="X213" s="2">
        <f>ff_portfolios25!X213-ff_factors!$E213</f>
        <v>2.7774999999999998E-2</v>
      </c>
      <c r="Y213" s="2">
        <f>ff_portfolios25!Y213-ff_factors!$E213</f>
        <v>2.5999999999999999E-2</v>
      </c>
      <c r="Z213" s="2">
        <f>ff_portfolios25!Z213-ff_factors!$E213</f>
        <v>3.4825000000000002E-2</v>
      </c>
      <c r="AA213" s="2">
        <f>ff_portfolios25!AA213-ff_factors!$E213</f>
        <v>2.5228999999999998E-2</v>
      </c>
      <c r="AB213" s="2">
        <f>ff_portfolios25!AB213-ff_factors!$E213</f>
        <v>1.9108E-2</v>
      </c>
    </row>
    <row r="214" spans="1:28" x14ac:dyDescent="0.2">
      <c r="A214">
        <v>19490930</v>
      </c>
      <c r="B214">
        <v>1949</v>
      </c>
      <c r="C214">
        <v>9</v>
      </c>
      <c r="D214" s="2">
        <f>ff_portfolios25!D214-ff_factors!$E214</f>
        <v>0.10129100000000001</v>
      </c>
      <c r="E214" s="2">
        <f>ff_portfolios25!E214-ff_factors!$E214</f>
        <v>1.2111E-2</v>
      </c>
      <c r="F214" s="2">
        <f>ff_portfolios25!F214-ff_factors!$E214</f>
        <v>4.9419000000000005E-2</v>
      </c>
      <c r="G214" s="2">
        <f>ff_portfolios25!G214-ff_factors!$E214</f>
        <v>3.4123000000000001E-2</v>
      </c>
      <c r="H214" s="2">
        <f>ff_portfolios25!H214-ff_factors!$E214</f>
        <v>3.5661999999999999E-2</v>
      </c>
      <c r="I214" s="2">
        <f>ff_portfolios25!I214-ff_factors!$E214</f>
        <v>4.3948000000000001E-2</v>
      </c>
      <c r="J214" s="2">
        <f>ff_portfolios25!J214-ff_factors!$E214</f>
        <v>4.2081E-2</v>
      </c>
      <c r="K214" s="2">
        <f>ff_portfolios25!K214-ff_factors!$E214</f>
        <v>4.2464000000000002E-2</v>
      </c>
      <c r="L214" s="2">
        <f>ff_portfolios25!L214-ff_factors!$E214</f>
        <v>5.3312999999999999E-2</v>
      </c>
      <c r="M214" s="2">
        <f>ff_portfolios25!M214-ff_factors!$E214</f>
        <v>5.2699000000000003E-2</v>
      </c>
      <c r="N214" s="2">
        <f>ff_portfolios25!N214-ff_factors!$E214</f>
        <v>4.5758E-2</v>
      </c>
      <c r="O214" s="2">
        <f>ff_portfolios25!O214-ff_factors!$E214</f>
        <v>4.8361000000000001E-2</v>
      </c>
      <c r="P214" s="2">
        <f>ff_portfolios25!P214-ff_factors!$E214</f>
        <v>3.4986000000000003E-2</v>
      </c>
      <c r="Q214" s="2">
        <f>ff_portfolios25!Q214-ff_factors!$E214</f>
        <v>4.1257000000000002E-2</v>
      </c>
      <c r="R214" s="2">
        <f>ff_portfolios25!R214-ff_factors!$E214</f>
        <v>4.0722000000000001E-2</v>
      </c>
      <c r="S214" s="2">
        <f>ff_portfolios25!S214-ff_factors!$E214</f>
        <v>4.2608E-2</v>
      </c>
      <c r="T214" s="2">
        <f>ff_portfolios25!T214-ff_factors!$E214</f>
        <v>4.3154000000000005E-2</v>
      </c>
      <c r="U214" s="2">
        <f>ff_portfolios25!U214-ff_factors!$E214</f>
        <v>3.0394000000000001E-2</v>
      </c>
      <c r="V214" s="2">
        <f>ff_portfolios25!V214-ff_factors!$E214</f>
        <v>3.9241000000000005E-2</v>
      </c>
      <c r="W214" s="2">
        <f>ff_portfolios25!W214-ff_factors!$E214</f>
        <v>6.0663000000000002E-2</v>
      </c>
      <c r="X214" s="2">
        <f>ff_portfolios25!X214-ff_factors!$E214</f>
        <v>2.7324999999999999E-2</v>
      </c>
      <c r="Y214" s="2">
        <f>ff_portfolios25!Y214-ff_factors!$E214</f>
        <v>2.0711999999999998E-2</v>
      </c>
      <c r="Z214" s="2">
        <f>ff_portfolios25!Z214-ff_factors!$E214</f>
        <v>3.8901999999999999E-2</v>
      </c>
      <c r="AA214" s="2">
        <f>ff_portfolios25!AA214-ff_factors!$E214</f>
        <v>3.6734000000000003E-2</v>
      </c>
      <c r="AB214" s="2">
        <f>ff_portfolios25!AB214-ff_factors!$E214</f>
        <v>4.1542000000000003E-2</v>
      </c>
    </row>
    <row r="215" spans="1:28" x14ac:dyDescent="0.2">
      <c r="A215">
        <v>19491031</v>
      </c>
      <c r="B215">
        <v>1949</v>
      </c>
      <c r="C215">
        <v>10</v>
      </c>
      <c r="D215" s="2">
        <f>ff_portfolios25!D215-ff_factors!$E215</f>
        <v>8.9936000000000002E-2</v>
      </c>
      <c r="E215" s="2">
        <f>ff_portfolios25!E215-ff_factors!$E215</f>
        <v>3.7499999999999999E-2</v>
      </c>
      <c r="F215" s="2">
        <f>ff_portfolios25!F215-ff_factors!$E215</f>
        <v>6.3767000000000004E-2</v>
      </c>
      <c r="G215" s="2">
        <f>ff_portfolios25!G215-ff_factors!$E215</f>
        <v>6.3868999999999995E-2</v>
      </c>
      <c r="H215" s="2">
        <f>ff_portfolios25!H215-ff_factors!$E215</f>
        <v>4.4299000000000005E-2</v>
      </c>
      <c r="I215" s="2">
        <f>ff_portfolios25!I215-ff_factors!$E215</f>
        <v>6.0505000000000003E-2</v>
      </c>
      <c r="J215" s="2">
        <f>ff_portfolios25!J215-ff_factors!$E215</f>
        <v>4.7377000000000002E-2</v>
      </c>
      <c r="K215" s="2">
        <f>ff_portfolios25!K215-ff_factors!$E215</f>
        <v>2.2920999999999997E-2</v>
      </c>
      <c r="L215" s="2">
        <f>ff_portfolios25!L215-ff_factors!$E215</f>
        <v>4.5925000000000001E-2</v>
      </c>
      <c r="M215" s="2">
        <f>ff_portfolios25!M215-ff_factors!$E215</f>
        <v>2.1113E-2</v>
      </c>
      <c r="N215" s="2">
        <f>ff_portfolios25!N215-ff_factors!$E215</f>
        <v>3.3267000000000005E-2</v>
      </c>
      <c r="O215" s="2">
        <f>ff_portfolios25!O215-ff_factors!$E215</f>
        <v>3.9198000000000004E-2</v>
      </c>
      <c r="P215" s="2">
        <f>ff_portfolios25!P215-ff_factors!$E215</f>
        <v>2.0468E-2</v>
      </c>
      <c r="Q215" s="2">
        <f>ff_portfolios25!Q215-ff_factors!$E215</f>
        <v>3.7786E-2</v>
      </c>
      <c r="R215" s="2">
        <f>ff_portfolios25!R215-ff_factors!$E215</f>
        <v>5.2893000000000003E-2</v>
      </c>
      <c r="S215" s="2">
        <f>ff_portfolios25!S215-ff_factors!$E215</f>
        <v>2.7822E-2</v>
      </c>
      <c r="T215" s="2">
        <f>ff_portfolios25!T215-ff_factors!$E215</f>
        <v>2.0194E-2</v>
      </c>
      <c r="U215" s="2">
        <f>ff_portfolios25!U215-ff_factors!$E215</f>
        <v>4.0483999999999999E-2</v>
      </c>
      <c r="V215" s="2">
        <f>ff_portfolios25!V215-ff_factors!$E215</f>
        <v>3.6220000000000002E-3</v>
      </c>
      <c r="W215" s="2">
        <f>ff_portfolios25!W215-ff_factors!$E215</f>
        <v>1.8388999999999999E-2</v>
      </c>
      <c r="X215" s="2">
        <f>ff_portfolios25!X215-ff_factors!$E215</f>
        <v>3.5654999999999999E-2</v>
      </c>
      <c r="Y215" s="2">
        <f>ff_portfolios25!Y215-ff_factors!$E215</f>
        <v>2.9363E-2</v>
      </c>
      <c r="Z215" s="2">
        <f>ff_portfolios25!Z215-ff_factors!$E215</f>
        <v>2.5656999999999999E-2</v>
      </c>
      <c r="AA215" s="2">
        <f>ff_portfolios25!AA215-ff_factors!$E215</f>
        <v>3.2735E-2</v>
      </c>
      <c r="AB215" s="2">
        <f>ff_portfolios25!AB215-ff_factors!$E215</f>
        <v>1.9716999999999998E-2</v>
      </c>
    </row>
    <row r="216" spans="1:28" x14ac:dyDescent="0.2">
      <c r="A216">
        <v>19491130</v>
      </c>
      <c r="B216">
        <v>1949</v>
      </c>
      <c r="C216">
        <v>11</v>
      </c>
      <c r="D216" s="2">
        <f>ff_portfolios25!D216-ff_factors!$E216</f>
        <v>-8.6865999999999999E-2</v>
      </c>
      <c r="E216" s="2">
        <f>ff_portfolios25!E216-ff_factors!$E216</f>
        <v>1.5829000000000003E-2</v>
      </c>
      <c r="F216" s="2">
        <f>ff_portfolios25!F216-ff_factors!$E216</f>
        <v>-3.2455999999999999E-2</v>
      </c>
      <c r="G216" s="2">
        <f>ff_portfolios25!G216-ff_factors!$E216</f>
        <v>-5.8100000000000001E-3</v>
      </c>
      <c r="H216" s="2">
        <f>ff_portfolios25!H216-ff_factors!$E216</f>
        <v>-3.5800000000000003E-4</v>
      </c>
      <c r="I216" s="2">
        <f>ff_portfolios25!I216-ff_factors!$E216</f>
        <v>-2.2585999999999998E-2</v>
      </c>
      <c r="J216" s="2">
        <f>ff_portfolios25!J216-ff_factors!$E216</f>
        <v>1.9151000000000001E-2</v>
      </c>
      <c r="K216" s="2">
        <f>ff_portfolios25!K216-ff_factors!$E216</f>
        <v>1.0517E-2</v>
      </c>
      <c r="L216" s="2">
        <f>ff_portfolios25!L216-ff_factors!$E216</f>
        <v>2.1550000000000002E-3</v>
      </c>
      <c r="M216" s="2">
        <f>ff_portfolios25!M216-ff_factors!$E216</f>
        <v>9.5960000000000004E-3</v>
      </c>
      <c r="N216" s="2">
        <f>ff_portfolios25!N216-ff_factors!$E216</f>
        <v>2.1939E-2</v>
      </c>
      <c r="O216" s="2">
        <f>ff_portfolios25!O216-ff_factors!$E216</f>
        <v>2.0240000000000001E-2</v>
      </c>
      <c r="P216" s="2">
        <f>ff_portfolios25!P216-ff_factors!$E216</f>
        <v>1.1691E-2</v>
      </c>
      <c r="Q216" s="2">
        <f>ff_portfolios25!Q216-ff_factors!$E216</f>
        <v>2.2279999999999999E-3</v>
      </c>
      <c r="R216" s="2">
        <f>ff_portfolios25!R216-ff_factors!$E216</f>
        <v>4.7879999999999997E-3</v>
      </c>
      <c r="S216" s="2">
        <f>ff_portfolios25!S216-ff_factors!$E216</f>
        <v>1.3635E-2</v>
      </c>
      <c r="T216" s="2">
        <f>ff_portfolios25!T216-ff_factors!$E216</f>
        <v>1.8879E-2</v>
      </c>
      <c r="U216" s="2">
        <f>ff_portfolios25!U216-ff_factors!$E216</f>
        <v>2.2328000000000001E-2</v>
      </c>
      <c r="V216" s="2">
        <f>ff_portfolios25!V216-ff_factors!$E216</f>
        <v>3.9999999999999992E-3</v>
      </c>
      <c r="W216" s="2">
        <f>ff_portfolios25!W216-ff_factors!$E216</f>
        <v>3.5149E-2</v>
      </c>
      <c r="X216" s="2">
        <f>ff_portfolios25!X216-ff_factors!$E216</f>
        <v>3.2558999999999998E-2</v>
      </c>
      <c r="Y216" s="2">
        <f>ff_portfolios25!Y216-ff_factors!$E216</f>
        <v>9.9369999999999997E-3</v>
      </c>
      <c r="Z216" s="2">
        <f>ff_portfolios25!Z216-ff_factors!$E216</f>
        <v>-1.9009999999999999E-3</v>
      </c>
      <c r="AA216" s="2">
        <f>ff_portfolios25!AA216-ff_factors!$E216</f>
        <v>7.4889999999999991E-3</v>
      </c>
      <c r="AB216" s="2">
        <f>ff_portfolios25!AB216-ff_factors!$E216</f>
        <v>2.0495000000000003E-2</v>
      </c>
    </row>
    <row r="217" spans="1:28" x14ac:dyDescent="0.2">
      <c r="A217">
        <v>19491231</v>
      </c>
      <c r="B217">
        <v>1949</v>
      </c>
      <c r="C217">
        <v>12</v>
      </c>
      <c r="D217" s="2">
        <f>ff_portfolios25!D217-ff_factors!$E217</f>
        <v>7.2539000000000006E-2</v>
      </c>
      <c r="E217" s="2">
        <f>ff_portfolios25!E217-ff_factors!$E217</f>
        <v>8.566E-2</v>
      </c>
      <c r="F217" s="2">
        <f>ff_portfolios25!F217-ff_factors!$E217</f>
        <v>7.0253999999999997E-2</v>
      </c>
      <c r="G217" s="2">
        <f>ff_portfolios25!G217-ff_factors!$E217</f>
        <v>7.2888999999999995E-2</v>
      </c>
      <c r="H217" s="2">
        <f>ff_portfolios25!H217-ff_factors!$E217</f>
        <v>8.3747000000000002E-2</v>
      </c>
      <c r="I217" s="2">
        <f>ff_portfolios25!I217-ff_factors!$E217</f>
        <v>5.0134000000000005E-2</v>
      </c>
      <c r="J217" s="2">
        <f>ff_portfolios25!J217-ff_factors!$E217</f>
        <v>6.0373000000000003E-2</v>
      </c>
      <c r="K217" s="2">
        <f>ff_portfolios25!K217-ff_factors!$E217</f>
        <v>7.0120000000000002E-2</v>
      </c>
      <c r="L217" s="2">
        <f>ff_portfolios25!L217-ff_factors!$E217</f>
        <v>6.8846000000000004E-2</v>
      </c>
      <c r="M217" s="2">
        <f>ff_portfolios25!M217-ff_factors!$E217</f>
        <v>8.6861000000000008E-2</v>
      </c>
      <c r="N217" s="2">
        <f>ff_portfolios25!N217-ff_factors!$E217</f>
        <v>6.7462000000000008E-2</v>
      </c>
      <c r="O217" s="2">
        <f>ff_portfolios25!O217-ff_factors!$E217</f>
        <v>7.2190000000000004E-2</v>
      </c>
      <c r="P217" s="2">
        <f>ff_portfolios25!P217-ff_factors!$E217</f>
        <v>5.9889000000000005E-2</v>
      </c>
      <c r="Q217" s="2">
        <f>ff_portfolios25!Q217-ff_factors!$E217</f>
        <v>8.1009999999999999E-2</v>
      </c>
      <c r="R217" s="2">
        <f>ff_portfolios25!R217-ff_factors!$E217</f>
        <v>0.12527199999999999</v>
      </c>
      <c r="S217" s="2">
        <f>ff_portfolios25!S217-ff_factors!$E217</f>
        <v>5.3297000000000004E-2</v>
      </c>
      <c r="T217" s="2">
        <f>ff_portfolios25!T217-ff_factors!$E217</f>
        <v>5.2338000000000003E-2</v>
      </c>
      <c r="U217" s="2">
        <f>ff_portfolios25!U217-ff_factors!$E217</f>
        <v>6.6794000000000006E-2</v>
      </c>
      <c r="V217" s="2">
        <f>ff_portfolios25!V217-ff_factors!$E217</f>
        <v>6.8562999999999999E-2</v>
      </c>
      <c r="W217" s="2">
        <f>ff_portfolios25!W217-ff_factors!$E217</f>
        <v>7.7868000000000007E-2</v>
      </c>
      <c r="X217" s="2">
        <f>ff_portfolios25!X217-ff_factors!$E217</f>
        <v>5.7887000000000001E-2</v>
      </c>
      <c r="Y217" s="2">
        <f>ff_portfolios25!Y217-ff_factors!$E217</f>
        <v>3.1886999999999999E-2</v>
      </c>
      <c r="Z217" s="2">
        <f>ff_portfolios25!Z217-ff_factors!$E217</f>
        <v>2.7812999999999997E-2</v>
      </c>
      <c r="AA217" s="2">
        <f>ff_portfolios25!AA217-ff_factors!$E217</f>
        <v>4.7077000000000001E-2</v>
      </c>
      <c r="AB217" s="2">
        <f>ff_portfolios25!AB217-ff_factors!$E217</f>
        <v>7.2746000000000005E-2</v>
      </c>
    </row>
    <row r="218" spans="1:28" x14ac:dyDescent="0.2">
      <c r="A218">
        <v>19500131</v>
      </c>
      <c r="B218">
        <v>1950</v>
      </c>
      <c r="C218">
        <v>1</v>
      </c>
      <c r="D218" s="2">
        <f>ff_portfolios25!D218-ff_factors!$E218</f>
        <v>0.14058599999999999</v>
      </c>
      <c r="E218" s="2">
        <f>ff_portfolios25!E218-ff_factors!$E218</f>
        <v>3.0175999999999998E-2</v>
      </c>
      <c r="F218" s="2">
        <f>ff_portfolios25!F218-ff_factors!$E218</f>
        <v>7.2411000000000003E-2</v>
      </c>
      <c r="G218" s="2">
        <f>ff_portfolios25!G218-ff_factors!$E218</f>
        <v>4.1015000000000003E-2</v>
      </c>
      <c r="H218" s="2">
        <f>ff_portfolios25!H218-ff_factors!$E218</f>
        <v>6.5140000000000003E-2</v>
      </c>
      <c r="I218" s="2">
        <f>ff_portfolios25!I218-ff_factors!$E218</f>
        <v>0.10122300000000001</v>
      </c>
      <c r="J218" s="2">
        <f>ff_portfolios25!J218-ff_factors!$E218</f>
        <v>5.3598E-2</v>
      </c>
      <c r="K218" s="2">
        <f>ff_portfolios25!K218-ff_factors!$E218</f>
        <v>4.1468999999999999E-2</v>
      </c>
      <c r="L218" s="2">
        <f>ff_portfolios25!L218-ff_factors!$E218</f>
        <v>2.3113999999999999E-2</v>
      </c>
      <c r="M218" s="2">
        <f>ff_portfolios25!M218-ff_factors!$E218</f>
        <v>4.6589999999999999E-2</v>
      </c>
      <c r="N218" s="2">
        <f>ff_portfolios25!N218-ff_factors!$E218</f>
        <v>3.6577999999999999E-2</v>
      </c>
      <c r="O218" s="2">
        <f>ff_portfolios25!O218-ff_factors!$E218</f>
        <v>5.4436999999999999E-2</v>
      </c>
      <c r="P218" s="2">
        <f>ff_portfolios25!P218-ff_factors!$E218</f>
        <v>3.5227000000000001E-2</v>
      </c>
      <c r="Q218" s="2">
        <f>ff_portfolios25!Q218-ff_factors!$E218</f>
        <v>2.1307E-2</v>
      </c>
      <c r="R218" s="2">
        <f>ff_portfolios25!R218-ff_factors!$E218</f>
        <v>5.7585000000000004E-2</v>
      </c>
      <c r="S218" s="2">
        <f>ff_portfolios25!S218-ff_factors!$E218</f>
        <v>2.346E-3</v>
      </c>
      <c r="T218" s="2">
        <f>ff_portfolios25!T218-ff_factors!$E218</f>
        <v>2.0954999999999998E-2</v>
      </c>
      <c r="U218" s="2">
        <f>ff_portfolios25!U218-ff_factors!$E218</f>
        <v>2.6735999999999999E-2</v>
      </c>
      <c r="V218" s="2">
        <f>ff_portfolios25!V218-ff_factors!$E218</f>
        <v>2.6986999999999997E-2</v>
      </c>
      <c r="W218" s="2">
        <f>ff_portfolios25!W218-ff_factors!$E218</f>
        <v>8.3443000000000003E-2</v>
      </c>
      <c r="X218" s="2">
        <f>ff_portfolios25!X218-ff_factors!$E218</f>
        <v>8.2480000000000001E-3</v>
      </c>
      <c r="Y218" s="2">
        <f>ff_portfolios25!Y218-ff_factors!$E218</f>
        <v>6.6280000000000002E-3</v>
      </c>
      <c r="Z218" s="2">
        <f>ff_portfolios25!Z218-ff_factors!$E218</f>
        <v>2.2346999999999999E-2</v>
      </c>
      <c r="AA218" s="2">
        <f>ff_portfolios25!AA218-ff_factors!$E218</f>
        <v>1.3579000000000001E-2</v>
      </c>
      <c r="AB218" s="2">
        <f>ff_portfolios25!AB218-ff_factors!$E218</f>
        <v>5.5545000000000004E-2</v>
      </c>
    </row>
    <row r="219" spans="1:28" x14ac:dyDescent="0.2">
      <c r="A219">
        <v>19500228</v>
      </c>
      <c r="B219">
        <v>1950</v>
      </c>
      <c r="C219">
        <v>2</v>
      </c>
      <c r="D219" s="2">
        <f>ff_portfolios25!D219-ff_factors!$E219</f>
        <v>4.2495999999999999E-2</v>
      </c>
      <c r="E219" s="2">
        <f>ff_portfolios25!E219-ff_factors!$E219</f>
        <v>5.7264000000000002E-2</v>
      </c>
      <c r="F219" s="2">
        <f>ff_portfolios25!F219-ff_factors!$E219</f>
        <v>3.5681000000000004E-2</v>
      </c>
      <c r="G219" s="2">
        <f>ff_portfolios25!G219-ff_factors!$E219</f>
        <v>3.7254000000000002E-2</v>
      </c>
      <c r="H219" s="2">
        <f>ff_portfolios25!H219-ff_factors!$E219</f>
        <v>2.346E-3</v>
      </c>
      <c r="I219" s="2">
        <f>ff_portfolios25!I219-ff_factors!$E219</f>
        <v>2.7272999999999999E-2</v>
      </c>
      <c r="J219" s="2">
        <f>ff_portfolios25!J219-ff_factors!$E219</f>
        <v>2.0416999999999998E-2</v>
      </c>
      <c r="K219" s="2">
        <f>ff_portfolios25!K219-ff_factors!$E219</f>
        <v>2.7314999999999999E-2</v>
      </c>
      <c r="L219" s="2">
        <f>ff_portfolios25!L219-ff_factors!$E219</f>
        <v>2.3813999999999998E-2</v>
      </c>
      <c r="M219" s="2">
        <f>ff_portfolios25!M219-ff_factors!$E219</f>
        <v>4.8890000000000001E-3</v>
      </c>
      <c r="N219" s="2">
        <f>ff_portfolios25!N219-ff_factors!$E219</f>
        <v>1.5454000000000001E-2</v>
      </c>
      <c r="O219" s="2">
        <f>ff_portfolios25!O219-ff_factors!$E219</f>
        <v>9.2180000000000005E-3</v>
      </c>
      <c r="P219" s="2">
        <f>ff_portfolios25!P219-ff_factors!$E219</f>
        <v>1.0868000000000001E-2</v>
      </c>
      <c r="Q219" s="2">
        <f>ff_portfolios25!Q219-ff_factors!$E219</f>
        <v>8.9519999999999999E-3</v>
      </c>
      <c r="R219" s="2">
        <f>ff_portfolios25!R219-ff_factors!$E219</f>
        <v>-3.6829999999999996E-3</v>
      </c>
      <c r="S219" s="2">
        <f>ff_portfolios25!S219-ff_factors!$E219</f>
        <v>1.0122000000000001E-2</v>
      </c>
      <c r="T219" s="2">
        <f>ff_portfolios25!T219-ff_factors!$E219</f>
        <v>2.1732999999999999E-2</v>
      </c>
      <c r="U219" s="2">
        <f>ff_portfolios25!U219-ff_factors!$E219</f>
        <v>1.6565E-2</v>
      </c>
      <c r="V219" s="2">
        <f>ff_portfolios25!V219-ff_factors!$E219</f>
        <v>4.9710000000000006E-3</v>
      </c>
      <c r="W219" s="2">
        <f>ff_portfolios25!W219-ff_factors!$E219</f>
        <v>2.1952999999999997E-2</v>
      </c>
      <c r="X219" s="2">
        <f>ff_portfolios25!X219-ff_factors!$E219</f>
        <v>1.9184E-2</v>
      </c>
      <c r="Y219" s="2">
        <f>ff_portfolios25!Y219-ff_factors!$E219</f>
        <v>6.8820000000000001E-3</v>
      </c>
      <c r="Z219" s="2">
        <f>ff_portfolios25!Z219-ff_factors!$E219</f>
        <v>1.1849999999999999E-2</v>
      </c>
      <c r="AA219" s="2">
        <f>ff_portfolios25!AA219-ff_factors!$E219</f>
        <v>1.1032E-2</v>
      </c>
      <c r="AB219" s="2">
        <f>ff_portfolios25!AB219-ff_factors!$E219</f>
        <v>1.2957E-2</v>
      </c>
    </row>
    <row r="220" spans="1:28" x14ac:dyDescent="0.2">
      <c r="A220">
        <v>19500331</v>
      </c>
      <c r="B220">
        <v>1950</v>
      </c>
      <c r="C220">
        <v>3</v>
      </c>
      <c r="D220" s="2">
        <f>ff_portfolios25!D220-ff_factors!$E220</f>
        <v>-2.1948000000000002E-2</v>
      </c>
      <c r="E220" s="2">
        <f>ff_portfolios25!E220-ff_factors!$E220</f>
        <v>-1.0120000000000001E-3</v>
      </c>
      <c r="F220" s="2">
        <f>ff_portfolios25!F220-ff_factors!$E220</f>
        <v>3.8612E-2</v>
      </c>
      <c r="G220" s="2">
        <f>ff_portfolios25!G220-ff_factors!$E220</f>
        <v>-2.3968E-2</v>
      </c>
      <c r="H220" s="2">
        <f>ff_portfolios25!H220-ff_factors!$E220</f>
        <v>2.738E-3</v>
      </c>
      <c r="I220" s="2">
        <f>ff_portfolios25!I220-ff_factors!$E220</f>
        <v>-1.0907E-2</v>
      </c>
      <c r="J220" s="2">
        <f>ff_portfolios25!J220-ff_factors!$E220</f>
        <v>2.3111E-2</v>
      </c>
      <c r="K220" s="2">
        <f>ff_portfolios25!K220-ff_factors!$E220</f>
        <v>-1.0367999999999999E-2</v>
      </c>
      <c r="L220" s="2">
        <f>ff_portfolios25!L220-ff_factors!$E220</f>
        <v>-1.0947999999999999E-2</v>
      </c>
      <c r="M220" s="2">
        <f>ff_portfolios25!M220-ff_factors!$E220</f>
        <v>-1.4207999999999998E-2</v>
      </c>
      <c r="N220" s="2">
        <f>ff_portfolios25!N220-ff_factors!$E220</f>
        <v>9.7380000000000001E-3</v>
      </c>
      <c r="O220" s="2">
        <f>ff_portfolios25!O220-ff_factors!$E220</f>
        <v>8.0749999999999988E-3</v>
      </c>
      <c r="P220" s="2">
        <f>ff_portfolios25!P220-ff_factors!$E220</f>
        <v>-1.9139999999999999E-3</v>
      </c>
      <c r="Q220" s="2">
        <f>ff_portfolios25!Q220-ff_factors!$E220</f>
        <v>-2.3176000000000002E-2</v>
      </c>
      <c r="R220" s="2">
        <f>ff_portfolios25!R220-ff_factors!$E220</f>
        <v>-1.9649E-2</v>
      </c>
      <c r="S220" s="2">
        <f>ff_portfolios25!S220-ff_factors!$E220</f>
        <v>2.4798000000000001E-2</v>
      </c>
      <c r="T220" s="2">
        <f>ff_portfolios25!T220-ff_factors!$E220</f>
        <v>6.4850000000000003E-3</v>
      </c>
      <c r="U220" s="2">
        <f>ff_portfolios25!U220-ff_factors!$E220</f>
        <v>-3.9050000000000001E-3</v>
      </c>
      <c r="V220" s="2">
        <f>ff_portfolios25!V220-ff_factors!$E220</f>
        <v>-1.4423999999999999E-2</v>
      </c>
      <c r="W220" s="2">
        <f>ff_portfolios25!W220-ff_factors!$E220</f>
        <v>-1.2508000000000002E-2</v>
      </c>
      <c r="X220" s="2">
        <f>ff_portfolios25!X220-ff_factors!$E220</f>
        <v>1.8652999999999999E-2</v>
      </c>
      <c r="Y220" s="2">
        <f>ff_portfolios25!Y220-ff_factors!$E220</f>
        <v>1.5075999999999999E-2</v>
      </c>
      <c r="Z220" s="2">
        <f>ff_portfolios25!Z220-ff_factors!$E220</f>
        <v>1.4647E-2</v>
      </c>
      <c r="AA220" s="2">
        <f>ff_portfolios25!AA220-ff_factors!$E220</f>
        <v>1.6317999999999999E-2</v>
      </c>
      <c r="AB220" s="2">
        <f>ff_portfolios25!AB220-ff_factors!$E220</f>
        <v>-3.297E-3</v>
      </c>
    </row>
    <row r="221" spans="1:28" x14ac:dyDescent="0.2">
      <c r="A221">
        <v>19500429</v>
      </c>
      <c r="B221">
        <v>1950</v>
      </c>
      <c r="C221">
        <v>4</v>
      </c>
      <c r="D221" s="2">
        <f>ff_portfolios25!D221-ff_factors!$E221</f>
        <v>0.10434600000000001</v>
      </c>
      <c r="E221" s="2">
        <f>ff_portfolios25!E221-ff_factors!$E221</f>
        <v>3.4588000000000001E-2</v>
      </c>
      <c r="F221" s="2">
        <f>ff_portfolios25!F221-ff_factors!$E221</f>
        <v>7.9782000000000006E-2</v>
      </c>
      <c r="G221" s="2">
        <f>ff_portfolios25!G221-ff_factors!$E221</f>
        <v>5.4934000000000004E-2</v>
      </c>
      <c r="H221" s="2">
        <f>ff_portfolios25!H221-ff_factors!$E221</f>
        <v>7.2869000000000003E-2</v>
      </c>
      <c r="I221" s="2">
        <f>ff_portfolios25!I221-ff_factors!$E221</f>
        <v>7.9240000000000005E-2</v>
      </c>
      <c r="J221" s="2">
        <f>ff_portfolios25!J221-ff_factors!$E221</f>
        <v>5.7877000000000005E-2</v>
      </c>
      <c r="K221" s="2">
        <f>ff_portfolios25!K221-ff_factors!$E221</f>
        <v>5.6687000000000001E-2</v>
      </c>
      <c r="L221" s="2">
        <f>ff_portfolios25!L221-ff_factors!$E221</f>
        <v>4.4576999999999999E-2</v>
      </c>
      <c r="M221" s="2">
        <f>ff_portfolios25!M221-ff_factors!$E221</f>
        <v>7.3217000000000004E-2</v>
      </c>
      <c r="N221" s="2">
        <f>ff_portfolios25!N221-ff_factors!$E221</f>
        <v>3.5031E-2</v>
      </c>
      <c r="O221" s="2">
        <f>ff_portfolios25!O221-ff_factors!$E221</f>
        <v>3.9670000000000004E-2</v>
      </c>
      <c r="P221" s="2">
        <f>ff_portfolios25!P221-ff_factors!$E221</f>
        <v>5.5409E-2</v>
      </c>
      <c r="Q221" s="2">
        <f>ff_portfolios25!Q221-ff_factors!$E221</f>
        <v>6.4201000000000008E-2</v>
      </c>
      <c r="R221" s="2">
        <f>ff_portfolios25!R221-ff_factors!$E221</f>
        <v>9.8479999999999998E-2</v>
      </c>
      <c r="S221" s="2">
        <f>ff_portfolios25!S221-ff_factors!$E221</f>
        <v>3.6823000000000002E-2</v>
      </c>
      <c r="T221" s="2">
        <f>ff_portfolios25!T221-ff_factors!$E221</f>
        <v>1.5141E-2</v>
      </c>
      <c r="U221" s="2">
        <f>ff_portfolios25!U221-ff_factors!$E221</f>
        <v>4.3778000000000004E-2</v>
      </c>
      <c r="V221" s="2">
        <f>ff_portfolios25!V221-ff_factors!$E221</f>
        <v>4.4271999999999999E-2</v>
      </c>
      <c r="W221" s="2">
        <f>ff_portfolios25!W221-ff_factors!$E221</f>
        <v>3.5349999999999999E-2</v>
      </c>
      <c r="X221" s="2">
        <f>ff_portfolios25!X221-ff_factors!$E221</f>
        <v>5.2365000000000002E-2</v>
      </c>
      <c r="Y221" s="2">
        <f>ff_portfolios25!Y221-ff_factors!$E221</f>
        <v>2.3018999999999998E-2</v>
      </c>
      <c r="Z221" s="2">
        <f>ff_portfolios25!Z221-ff_factors!$E221</f>
        <v>3.1048999999999997E-2</v>
      </c>
      <c r="AA221" s="2">
        <f>ff_portfolios25!AA221-ff_factors!$E221</f>
        <v>3.6368999999999999E-2</v>
      </c>
      <c r="AB221" s="2">
        <f>ff_portfolios25!AB221-ff_factors!$E221</f>
        <v>4.2113999999999999E-2</v>
      </c>
    </row>
    <row r="222" spans="1:28" x14ac:dyDescent="0.2">
      <c r="A222">
        <v>19500531</v>
      </c>
      <c r="B222">
        <v>1950</v>
      </c>
      <c r="C222">
        <v>5</v>
      </c>
      <c r="D222" s="2">
        <f>ff_portfolios25!D222-ff_factors!$E222</f>
        <v>-2.5187000000000001E-2</v>
      </c>
      <c r="E222" s="2">
        <f>ff_portfolios25!E222-ff_factors!$E222</f>
        <v>2.2220999999999998E-2</v>
      </c>
      <c r="F222" s="2">
        <f>ff_portfolios25!F222-ff_factors!$E222</f>
        <v>-6.0159999999999996E-3</v>
      </c>
      <c r="G222" s="2">
        <f>ff_portfolios25!G222-ff_factors!$E222</f>
        <v>3.1437E-2</v>
      </c>
      <c r="H222" s="2">
        <f>ff_portfolios25!H222-ff_factors!$E222</f>
        <v>3.1169000000000002E-2</v>
      </c>
      <c r="I222" s="2">
        <f>ff_portfolios25!I222-ff_factors!$E222</f>
        <v>1.4956999999999998E-2</v>
      </c>
      <c r="J222" s="2">
        <f>ff_portfolios25!J222-ff_factors!$E222</f>
        <v>2.2425999999999998E-2</v>
      </c>
      <c r="K222" s="2">
        <f>ff_portfolios25!K222-ff_factors!$E222</f>
        <v>3.5540000000000002E-2</v>
      </c>
      <c r="L222" s="2">
        <f>ff_portfolios25!L222-ff_factors!$E222</f>
        <v>3.6505999999999997E-2</v>
      </c>
      <c r="M222" s="2">
        <f>ff_portfolios25!M222-ff_factors!$E222</f>
        <v>2.7705E-2</v>
      </c>
      <c r="N222" s="2">
        <f>ff_portfolios25!N222-ff_factors!$E222</f>
        <v>1.3885000000000002E-2</v>
      </c>
      <c r="O222" s="2">
        <f>ff_portfolios25!O222-ff_factors!$E222</f>
        <v>1.0374000000000001E-2</v>
      </c>
      <c r="P222" s="2">
        <f>ff_portfolios25!P222-ff_factors!$E222</f>
        <v>3.1534E-2</v>
      </c>
      <c r="Q222" s="2">
        <f>ff_portfolios25!Q222-ff_factors!$E222</f>
        <v>4.6563E-2</v>
      </c>
      <c r="R222" s="2">
        <f>ff_portfolios25!R222-ff_factors!$E222</f>
        <v>1.8168E-2</v>
      </c>
      <c r="S222" s="2">
        <f>ff_portfolios25!S222-ff_factors!$E222</f>
        <v>4.5037000000000001E-2</v>
      </c>
      <c r="T222" s="2">
        <f>ff_portfolios25!T222-ff_factors!$E222</f>
        <v>2.3022999999999998E-2</v>
      </c>
      <c r="U222" s="2">
        <f>ff_portfolios25!U222-ff_factors!$E222</f>
        <v>3.9584000000000001E-2</v>
      </c>
      <c r="V222" s="2">
        <f>ff_portfolios25!V222-ff_factors!$E222</f>
        <v>3.0302000000000003E-2</v>
      </c>
      <c r="W222" s="2">
        <f>ff_portfolios25!W222-ff_factors!$E222</f>
        <v>1.805E-2</v>
      </c>
      <c r="X222" s="2">
        <f>ff_portfolios25!X222-ff_factors!$E222</f>
        <v>4.8076000000000001E-2</v>
      </c>
      <c r="Y222" s="2">
        <f>ff_portfolios25!Y222-ff_factors!$E222</f>
        <v>5.1152999999999997E-2</v>
      </c>
      <c r="Z222" s="2">
        <f>ff_portfolios25!Z222-ff_factors!$E222</f>
        <v>4.9286999999999997E-2</v>
      </c>
      <c r="AA222" s="2">
        <f>ff_portfolios25!AA222-ff_factors!$E222</f>
        <v>5.4116999999999998E-2</v>
      </c>
      <c r="AB222" s="2">
        <f>ff_portfolios25!AB222-ff_factors!$E222</f>
        <v>2.06E-2</v>
      </c>
    </row>
    <row r="223" spans="1:28" x14ac:dyDescent="0.2">
      <c r="A223">
        <v>19500630</v>
      </c>
      <c r="B223">
        <v>1950</v>
      </c>
      <c r="C223">
        <v>6</v>
      </c>
      <c r="D223" s="2">
        <f>ff_portfolios25!D223-ff_factors!$E223</f>
        <v>-0.142763</v>
      </c>
      <c r="E223" s="2">
        <f>ff_portfolios25!E223-ff_factors!$E223</f>
        <v>-0.100913</v>
      </c>
      <c r="F223" s="2">
        <f>ff_portfolios25!F223-ff_factors!$E223</f>
        <v>-0.109013</v>
      </c>
      <c r="G223" s="2">
        <f>ff_portfolios25!G223-ff_factors!$E223</f>
        <v>-8.6943000000000006E-2</v>
      </c>
      <c r="H223" s="2">
        <f>ff_portfolios25!H223-ff_factors!$E223</f>
        <v>-0.104398</v>
      </c>
      <c r="I223" s="2">
        <f>ff_portfolios25!I223-ff_factors!$E223</f>
        <v>-6.9058999999999995E-2</v>
      </c>
      <c r="J223" s="2">
        <f>ff_portfolios25!J223-ff_factors!$E223</f>
        <v>-7.0535E-2</v>
      </c>
      <c r="K223" s="2">
        <f>ff_portfolios25!K223-ff_factors!$E223</f>
        <v>-7.3463000000000001E-2</v>
      </c>
      <c r="L223" s="2">
        <f>ff_portfolios25!L223-ff_factors!$E223</f>
        <v>-9.4342999999999996E-2</v>
      </c>
      <c r="M223" s="2">
        <f>ff_portfolios25!M223-ff_factors!$E223</f>
        <v>-9.6549999999999997E-2</v>
      </c>
      <c r="N223" s="2">
        <f>ff_portfolios25!N223-ff_factors!$E223</f>
        <v>-6.6212000000000007E-2</v>
      </c>
      <c r="O223" s="2">
        <f>ff_portfolios25!O223-ff_factors!$E223</f>
        <v>-8.0236000000000002E-2</v>
      </c>
      <c r="P223" s="2">
        <f>ff_portfolios25!P223-ff_factors!$E223</f>
        <v>-5.8834000000000004E-2</v>
      </c>
      <c r="Q223" s="2">
        <f>ff_portfolios25!Q223-ff_factors!$E223</f>
        <v>-7.8825000000000006E-2</v>
      </c>
      <c r="R223" s="2">
        <f>ff_portfolios25!R223-ff_factors!$E223</f>
        <v>-8.4130999999999997E-2</v>
      </c>
      <c r="S223" s="2">
        <f>ff_portfolios25!S223-ff_factors!$E223</f>
        <v>-7.0717000000000002E-2</v>
      </c>
      <c r="T223" s="2">
        <f>ff_portfolios25!T223-ff_factors!$E223</f>
        <v>-8.3968000000000001E-2</v>
      </c>
      <c r="U223" s="2">
        <f>ff_portfolios25!U223-ff_factors!$E223</f>
        <v>-7.6980000000000007E-2</v>
      </c>
      <c r="V223" s="2">
        <f>ff_portfolios25!V223-ff_factors!$E223</f>
        <v>-5.6953000000000004E-2</v>
      </c>
      <c r="W223" s="2">
        <f>ff_portfolios25!W223-ff_factors!$E223</f>
        <v>-8.5293000000000008E-2</v>
      </c>
      <c r="X223" s="2">
        <f>ff_portfolios25!X223-ff_factors!$E223</f>
        <v>-5.6821999999999998E-2</v>
      </c>
      <c r="Y223" s="2">
        <f>ff_portfolios25!Y223-ff_factors!$E223</f>
        <v>-5.0230000000000004E-2</v>
      </c>
      <c r="Z223" s="2">
        <f>ff_portfolios25!Z223-ff_factors!$E223</f>
        <v>-6.0804999999999998E-2</v>
      </c>
      <c r="AA223" s="2">
        <f>ff_portfolios25!AA223-ff_factors!$E223</f>
        <v>-3.6312999999999998E-2</v>
      </c>
      <c r="AB223" s="2">
        <f>ff_portfolios25!AB223-ff_factors!$E223</f>
        <v>-7.2951000000000002E-2</v>
      </c>
    </row>
    <row r="224" spans="1:28" x14ac:dyDescent="0.2">
      <c r="A224">
        <v>19500731</v>
      </c>
      <c r="B224">
        <v>1950</v>
      </c>
      <c r="C224">
        <v>7</v>
      </c>
      <c r="D224" s="2">
        <f>ff_portfolios25!D224-ff_factors!$E224</f>
        <v>5.5248999999999999E-2</v>
      </c>
      <c r="E224" s="2">
        <f>ff_portfolios25!E224-ff_factors!$E224</f>
        <v>2.2804999999999999E-2</v>
      </c>
      <c r="F224" s="2">
        <f>ff_portfolios25!F224-ff_factors!$E224</f>
        <v>5.6704999999999998E-2</v>
      </c>
      <c r="G224" s="2">
        <f>ff_portfolios25!G224-ff_factors!$E224</f>
        <v>8.5927000000000003E-2</v>
      </c>
      <c r="H224" s="2">
        <f>ff_portfolios25!H224-ff_factors!$E224</f>
        <v>0.126027</v>
      </c>
      <c r="I224" s="2">
        <f>ff_portfolios25!I224-ff_factors!$E224</f>
        <v>5.7149999999999996E-3</v>
      </c>
      <c r="J224" s="2">
        <f>ff_portfolios25!J224-ff_factors!$E224</f>
        <v>1.4936999999999999E-2</v>
      </c>
      <c r="K224" s="2">
        <f>ff_portfolios25!K224-ff_factors!$E224</f>
        <v>4.4592E-2</v>
      </c>
      <c r="L224" s="2">
        <f>ff_portfolios25!L224-ff_factors!$E224</f>
        <v>6.1505000000000004E-2</v>
      </c>
      <c r="M224" s="2">
        <f>ff_portfolios25!M224-ff_factors!$E224</f>
        <v>0.14208000000000001</v>
      </c>
      <c r="N224" s="2">
        <f>ff_portfolios25!N224-ff_factors!$E224</f>
        <v>-1.9691E-2</v>
      </c>
      <c r="O224" s="2">
        <f>ff_portfolios25!O224-ff_factors!$E224</f>
        <v>-3.1078000000000001E-2</v>
      </c>
      <c r="P224" s="2">
        <f>ff_portfolios25!P224-ff_factors!$E224</f>
        <v>2.5891999999999998E-2</v>
      </c>
      <c r="Q224" s="2">
        <f>ff_portfolios25!Q224-ff_factors!$E224</f>
        <v>7.2497000000000006E-2</v>
      </c>
      <c r="R224" s="2">
        <f>ff_portfolios25!R224-ff_factors!$E224</f>
        <v>0.17024300000000001</v>
      </c>
      <c r="S224" s="2">
        <f>ff_portfolios25!S224-ff_factors!$E224</f>
        <v>-1.7602E-2</v>
      </c>
      <c r="T224" s="2">
        <f>ff_portfolios25!T224-ff_factors!$E224</f>
        <v>4.3569999999999998E-3</v>
      </c>
      <c r="U224" s="2">
        <f>ff_portfolios25!U224-ff_factors!$E224</f>
        <v>5.2711000000000001E-2</v>
      </c>
      <c r="V224" s="2">
        <f>ff_portfolios25!V224-ff_factors!$E224</f>
        <v>8.1891000000000005E-2</v>
      </c>
      <c r="W224" s="2">
        <f>ff_portfolios25!W224-ff_factors!$E224</f>
        <v>0.16053000000000001</v>
      </c>
      <c r="X224" s="2">
        <f>ff_portfolios25!X224-ff_factors!$E224</f>
        <v>-4.0018999999999999E-2</v>
      </c>
      <c r="Y224" s="2">
        <f>ff_portfolios25!Y224-ff_factors!$E224</f>
        <v>-7.9030000000000003E-3</v>
      </c>
      <c r="Z224" s="2">
        <f>ff_portfolios25!Z224-ff_factors!$E224</f>
        <v>6.5050999999999998E-2</v>
      </c>
      <c r="AA224" s="2">
        <f>ff_portfolios25!AA224-ff_factors!$E224</f>
        <v>0.12442400000000001</v>
      </c>
      <c r="AB224" s="2">
        <f>ff_portfolios25!AB224-ff_factors!$E224</f>
        <v>0.12734699999999999</v>
      </c>
    </row>
    <row r="225" spans="1:28" x14ac:dyDescent="0.2">
      <c r="A225">
        <v>19500831</v>
      </c>
      <c r="B225">
        <v>1950</v>
      </c>
      <c r="C225">
        <v>8</v>
      </c>
      <c r="D225" s="2">
        <f>ff_portfolios25!D225-ff_factors!$E225</f>
        <v>8.6300000000000005E-4</v>
      </c>
      <c r="E225" s="2">
        <f>ff_portfolios25!E225-ff_factors!$E225</f>
        <v>6.1795000000000003E-2</v>
      </c>
      <c r="F225" s="2">
        <f>ff_portfolios25!F225-ff_factors!$E225</f>
        <v>4.4400000000000002E-2</v>
      </c>
      <c r="G225" s="2">
        <f>ff_portfolios25!G225-ff_factors!$E225</f>
        <v>3.1384000000000002E-2</v>
      </c>
      <c r="H225" s="2">
        <f>ff_portfolios25!H225-ff_factors!$E225</f>
        <v>5.6767999999999999E-2</v>
      </c>
      <c r="I225" s="2">
        <f>ff_portfolios25!I225-ff_factors!$E225</f>
        <v>5.6940999999999999E-2</v>
      </c>
      <c r="J225" s="2">
        <f>ff_portfolios25!J225-ff_factors!$E225</f>
        <v>3.6373999999999997E-2</v>
      </c>
      <c r="K225" s="2">
        <f>ff_portfolios25!K225-ff_factors!$E225</f>
        <v>5.6494999999999997E-2</v>
      </c>
      <c r="L225" s="2">
        <f>ff_portfolios25!L225-ff_factors!$E225</f>
        <v>5.8611999999999997E-2</v>
      </c>
      <c r="M225" s="2">
        <f>ff_portfolios25!M225-ff_factors!$E225</f>
        <v>2.0121999999999998E-2</v>
      </c>
      <c r="N225" s="2">
        <f>ff_portfolios25!N225-ff_factors!$E225</f>
        <v>4.9731999999999998E-2</v>
      </c>
      <c r="O225" s="2">
        <f>ff_portfolios25!O225-ff_factors!$E225</f>
        <v>5.4058000000000002E-2</v>
      </c>
      <c r="P225" s="2">
        <f>ff_portfolios25!P225-ff_factors!$E225</f>
        <v>5.4392999999999997E-2</v>
      </c>
      <c r="Q225" s="2">
        <f>ff_portfolios25!Q225-ff_factors!$E225</f>
        <v>5.8970000000000002E-2</v>
      </c>
      <c r="R225" s="2">
        <f>ff_portfolios25!R225-ff_factors!$E225</f>
        <v>4.3314999999999999E-2</v>
      </c>
      <c r="S225" s="2">
        <f>ff_portfolios25!S225-ff_factors!$E225</f>
        <v>4.6495000000000002E-2</v>
      </c>
      <c r="T225" s="2">
        <f>ff_portfolios25!T225-ff_factors!$E225</f>
        <v>4.1736000000000002E-2</v>
      </c>
      <c r="U225" s="2">
        <f>ff_portfolios25!U225-ff_factors!$E225</f>
        <v>4.1617000000000001E-2</v>
      </c>
      <c r="V225" s="2">
        <f>ff_portfolios25!V225-ff_factors!$E225</f>
        <v>3.0495000000000001E-2</v>
      </c>
      <c r="W225" s="2">
        <f>ff_portfolios25!W225-ff_factors!$E225</f>
        <v>3.8177999999999997E-2</v>
      </c>
      <c r="X225" s="2">
        <f>ff_portfolios25!X225-ff_factors!$E225</f>
        <v>6.5911999999999998E-2</v>
      </c>
      <c r="Y225" s="2">
        <f>ff_portfolios25!Y225-ff_factors!$E225</f>
        <v>3.6388999999999998E-2</v>
      </c>
      <c r="Z225" s="2">
        <f>ff_portfolios25!Z225-ff_factors!$E225</f>
        <v>4.8053999999999999E-2</v>
      </c>
      <c r="AA225" s="2">
        <f>ff_portfolios25!AA225-ff_factors!$E225</f>
        <v>2.3717999999999999E-2</v>
      </c>
      <c r="AB225" s="2">
        <f>ff_portfolios25!AB225-ff_factors!$E225</f>
        <v>2.7198999999999997E-2</v>
      </c>
    </row>
    <row r="226" spans="1:28" x14ac:dyDescent="0.2">
      <c r="A226">
        <v>19500929</v>
      </c>
      <c r="B226">
        <v>1950</v>
      </c>
      <c r="C226">
        <v>9</v>
      </c>
      <c r="D226" s="2">
        <f>ff_portfolios25!D226-ff_factors!$E226</f>
        <v>5.5500000000000001E-2</v>
      </c>
      <c r="E226" s="2">
        <f>ff_portfolios25!E226-ff_factors!$E226</f>
        <v>5.6793999999999997E-2</v>
      </c>
      <c r="F226" s="2">
        <f>ff_portfolios25!F226-ff_factors!$E226</f>
        <v>2.6775999999999998E-2</v>
      </c>
      <c r="G226" s="2">
        <f>ff_portfolios25!G226-ff_factors!$E226</f>
        <v>4.2041000000000002E-2</v>
      </c>
      <c r="H226" s="2">
        <f>ff_portfolios25!H226-ff_factors!$E226</f>
        <v>3.2225999999999998E-2</v>
      </c>
      <c r="I226" s="2">
        <f>ff_portfolios25!I226-ff_factors!$E226</f>
        <v>5.6954999999999999E-2</v>
      </c>
      <c r="J226" s="2">
        <f>ff_portfolios25!J226-ff_factors!$E226</f>
        <v>5.7028999999999996E-2</v>
      </c>
      <c r="K226" s="2">
        <f>ff_portfolios25!K226-ff_factors!$E226</f>
        <v>4.4665999999999997E-2</v>
      </c>
      <c r="L226" s="2">
        <f>ff_portfolios25!L226-ff_factors!$E226</f>
        <v>5.9264999999999998E-2</v>
      </c>
      <c r="M226" s="2">
        <f>ff_portfolios25!M226-ff_factors!$E226</f>
        <v>6.1099000000000001E-2</v>
      </c>
      <c r="N226" s="2">
        <f>ff_portfolios25!N226-ff_factors!$E226</f>
        <v>5.5538999999999998E-2</v>
      </c>
      <c r="O226" s="2">
        <f>ff_portfolios25!O226-ff_factors!$E226</f>
        <v>6.4280000000000004E-2</v>
      </c>
      <c r="P226" s="2">
        <f>ff_portfolios25!P226-ff_factors!$E226</f>
        <v>6.4473000000000003E-2</v>
      </c>
      <c r="Q226" s="2">
        <f>ff_portfolios25!Q226-ff_factors!$E226</f>
        <v>5.0660999999999998E-2</v>
      </c>
      <c r="R226" s="2">
        <f>ff_portfolios25!R226-ff_factors!$E226</f>
        <v>5.6618999999999996E-2</v>
      </c>
      <c r="S226" s="2">
        <f>ff_portfolios25!S226-ff_factors!$E226</f>
        <v>6.2058000000000002E-2</v>
      </c>
      <c r="T226" s="2">
        <f>ff_portfolios25!T226-ff_factors!$E226</f>
        <v>6.2972E-2</v>
      </c>
      <c r="U226" s="2">
        <f>ff_portfolios25!U226-ff_factors!$E226</f>
        <v>5.6620999999999998E-2</v>
      </c>
      <c r="V226" s="2">
        <f>ff_portfolios25!V226-ff_factors!$E226</f>
        <v>4.1840999999999996E-2</v>
      </c>
      <c r="W226" s="2">
        <f>ff_portfolios25!W226-ff_factors!$E226</f>
        <v>8.9641999999999999E-2</v>
      </c>
      <c r="X226" s="2">
        <f>ff_portfolios25!X226-ff_factors!$E226</f>
        <v>5.2068999999999997E-2</v>
      </c>
      <c r="Y226" s="2">
        <f>ff_portfolios25!Y226-ff_factors!$E226</f>
        <v>4.1346000000000001E-2</v>
      </c>
      <c r="Z226" s="2">
        <f>ff_portfolios25!Z226-ff_factors!$E226</f>
        <v>4.2277000000000002E-2</v>
      </c>
      <c r="AA226" s="2">
        <f>ff_portfolios25!AA226-ff_factors!$E226</f>
        <v>3.9044000000000002E-2</v>
      </c>
      <c r="AB226" s="2">
        <f>ff_portfolios25!AB226-ff_factors!$E226</f>
        <v>3.0557000000000001E-2</v>
      </c>
    </row>
    <row r="227" spans="1:28" x14ac:dyDescent="0.2">
      <c r="A227">
        <v>19501031</v>
      </c>
      <c r="B227">
        <v>1950</v>
      </c>
      <c r="C227">
        <v>10</v>
      </c>
      <c r="D227" s="2">
        <f>ff_portfolios25!D227-ff_factors!$E227</f>
        <v>-4.3151000000000002E-2</v>
      </c>
      <c r="E227" s="2">
        <f>ff_portfolios25!E227-ff_factors!$E227</f>
        <v>-3.2471E-2</v>
      </c>
      <c r="F227" s="2">
        <f>ff_portfolios25!F227-ff_factors!$E227</f>
        <v>1.2603E-2</v>
      </c>
      <c r="G227" s="2">
        <f>ff_portfolios25!G227-ff_factors!$E227</f>
        <v>-1.1946E-2</v>
      </c>
      <c r="H227" s="2">
        <f>ff_portfolios25!H227-ff_factors!$E227</f>
        <v>-3.3229999999999996E-3</v>
      </c>
      <c r="I227" s="2">
        <f>ff_portfolios25!I227-ff_factors!$E227</f>
        <v>2.4750000000000001E-2</v>
      </c>
      <c r="J227" s="2">
        <f>ff_portfolios25!J227-ff_factors!$E227</f>
        <v>2.836E-3</v>
      </c>
      <c r="K227" s="2">
        <f>ff_portfolios25!K227-ff_factors!$E227</f>
        <v>-1.1519999999999998E-3</v>
      </c>
      <c r="L227" s="2">
        <f>ff_portfolios25!L227-ff_factors!$E227</f>
        <v>-1.1599999999999999E-2</v>
      </c>
      <c r="M227" s="2">
        <f>ff_portfolios25!M227-ff_factors!$E227</f>
        <v>1.0281999999999999E-2</v>
      </c>
      <c r="N227" s="2">
        <f>ff_portfolios25!N227-ff_factors!$E227</f>
        <v>8.7600000000000026E-4</v>
      </c>
      <c r="O227" s="2">
        <f>ff_portfolios25!O227-ff_factors!$E227</f>
        <v>-1.8828999999999999E-2</v>
      </c>
      <c r="P227" s="2">
        <f>ff_portfolios25!P227-ff_factors!$E227</f>
        <v>-6.8069999999999997E-3</v>
      </c>
      <c r="Q227" s="2">
        <f>ff_portfolios25!Q227-ff_factors!$E227</f>
        <v>-7.8399999999999997E-4</v>
      </c>
      <c r="R227" s="2">
        <f>ff_portfolios25!R227-ff_factors!$E227</f>
        <v>4.4900000000000018E-4</v>
      </c>
      <c r="S227" s="2">
        <f>ff_portfolios25!S227-ff_factors!$E227</f>
        <v>-1.3231E-2</v>
      </c>
      <c r="T227" s="2">
        <f>ff_portfolios25!T227-ff_factors!$E227</f>
        <v>-1.2019E-2</v>
      </c>
      <c r="U227" s="2">
        <f>ff_portfolios25!U227-ff_factors!$E227</f>
        <v>-2.0472000000000001E-2</v>
      </c>
      <c r="V227" s="2">
        <f>ff_portfolios25!V227-ff_factors!$E227</f>
        <v>4.4880000000000007E-3</v>
      </c>
      <c r="W227" s="2">
        <f>ff_portfolios25!W227-ff_factors!$E227</f>
        <v>-3.4030999999999999E-2</v>
      </c>
      <c r="X227" s="2">
        <f>ff_portfolios25!X227-ff_factors!$E227</f>
        <v>1.16E-4</v>
      </c>
      <c r="Y227" s="2">
        <f>ff_portfolios25!Y227-ff_factors!$E227</f>
        <v>-3.457E-3</v>
      </c>
      <c r="Z227" s="2">
        <f>ff_portfolios25!Z227-ff_factors!$E227</f>
        <v>-9.6220000000000003E-3</v>
      </c>
      <c r="AA227" s="2">
        <f>ff_portfolios25!AA227-ff_factors!$E227</f>
        <v>-9.1439999999999994E-3</v>
      </c>
      <c r="AB227" s="2">
        <f>ff_portfolios25!AB227-ff_factors!$E227</f>
        <v>4.5012000000000003E-2</v>
      </c>
    </row>
    <row r="228" spans="1:28" x14ac:dyDescent="0.2">
      <c r="A228">
        <v>19501130</v>
      </c>
      <c r="B228">
        <v>1950</v>
      </c>
      <c r="C228">
        <v>11</v>
      </c>
      <c r="D228" s="2">
        <f>ff_portfolios25!D228-ff_factors!$E228</f>
        <v>-1.1565000000000001E-2</v>
      </c>
      <c r="E228" s="2">
        <f>ff_portfolios25!E228-ff_factors!$E228</f>
        <v>2.0819999999999998E-2</v>
      </c>
      <c r="F228" s="2">
        <f>ff_portfolios25!F228-ff_factors!$E228</f>
        <v>1.2375000000000001E-2</v>
      </c>
      <c r="G228" s="2">
        <f>ff_portfolios25!G228-ff_factors!$E228</f>
        <v>1.7485999999999998E-2</v>
      </c>
      <c r="H228" s="2">
        <f>ff_portfolios25!H228-ff_factors!$E228</f>
        <v>5.1556000000000005E-2</v>
      </c>
      <c r="I228" s="2">
        <f>ff_portfolios25!I228-ff_factors!$E228</f>
        <v>4.5399999999999998E-4</v>
      </c>
      <c r="J228" s="2">
        <f>ff_portfolios25!J228-ff_factors!$E228</f>
        <v>6.8100000000000001E-3</v>
      </c>
      <c r="K228" s="2">
        <f>ff_portfolios25!K228-ff_factors!$E228</f>
        <v>1.9244999999999998E-2</v>
      </c>
      <c r="L228" s="2">
        <f>ff_portfolios25!L228-ff_factors!$E228</f>
        <v>2.5944999999999999E-2</v>
      </c>
      <c r="M228" s="2">
        <f>ff_portfolios25!M228-ff_factors!$E228</f>
        <v>8.2104999999999997E-2</v>
      </c>
      <c r="N228" s="2">
        <f>ff_portfolios25!N228-ff_factors!$E228</f>
        <v>8.3739999999999995E-3</v>
      </c>
      <c r="O228" s="2">
        <f>ff_portfolios25!O228-ff_factors!$E228</f>
        <v>1.4255E-2</v>
      </c>
      <c r="P228" s="2">
        <f>ff_portfolios25!P228-ff_factors!$E228</f>
        <v>2.3199000000000001E-2</v>
      </c>
      <c r="Q228" s="2">
        <f>ff_portfolios25!Q228-ff_factors!$E228</f>
        <v>2.8305E-2</v>
      </c>
      <c r="R228" s="2">
        <f>ff_portfolios25!R228-ff_factors!$E228</f>
        <v>7.6427999999999996E-2</v>
      </c>
      <c r="S228" s="2">
        <f>ff_portfolios25!S228-ff_factors!$E228</f>
        <v>2.7830000000000001E-2</v>
      </c>
      <c r="T228" s="2">
        <f>ff_portfolios25!T228-ff_factors!$E228</f>
        <v>3.1158000000000002E-2</v>
      </c>
      <c r="U228" s="2">
        <f>ff_portfolios25!U228-ff_factors!$E228</f>
        <v>2.8084999999999999E-2</v>
      </c>
      <c r="V228" s="2">
        <f>ff_portfolios25!V228-ff_factors!$E228</f>
        <v>5.5231000000000002E-2</v>
      </c>
      <c r="W228" s="2">
        <f>ff_portfolios25!W228-ff_factors!$E228</f>
        <v>8.2021999999999998E-2</v>
      </c>
      <c r="X228" s="2">
        <f>ff_portfolios25!X228-ff_factors!$E228</f>
        <v>2.5937999999999999E-2</v>
      </c>
      <c r="Y228" s="2">
        <f>ff_portfolios25!Y228-ff_factors!$E228</f>
        <v>1.6907999999999999E-2</v>
      </c>
      <c r="Z228" s="2">
        <f>ff_portfolios25!Z228-ff_factors!$E228</f>
        <v>3.9365000000000004E-2</v>
      </c>
      <c r="AA228" s="2">
        <f>ff_portfolios25!AA228-ff_factors!$E228</f>
        <v>4.4628000000000001E-2</v>
      </c>
      <c r="AB228" s="2">
        <f>ff_portfolios25!AB228-ff_factors!$E228</f>
        <v>2.3439999999999999E-2</v>
      </c>
    </row>
    <row r="229" spans="1:28" x14ac:dyDescent="0.2">
      <c r="A229">
        <v>19501230</v>
      </c>
      <c r="B229">
        <v>1950</v>
      </c>
      <c r="C229">
        <v>12</v>
      </c>
      <c r="D229" s="2">
        <f>ff_portfolios25!D229-ff_factors!$E229</f>
        <v>8.3845000000000003E-2</v>
      </c>
      <c r="E229" s="2">
        <f>ff_portfolios25!E229-ff_factors!$E229</f>
        <v>7.4795E-2</v>
      </c>
      <c r="F229" s="2">
        <f>ff_portfolios25!F229-ff_factors!$E229</f>
        <v>0.11229399999999999</v>
      </c>
      <c r="G229" s="2">
        <f>ff_portfolios25!G229-ff_factors!$E229</f>
        <v>0.12494299999999998</v>
      </c>
      <c r="H229" s="2">
        <f>ff_portfolios25!H229-ff_factors!$E229</f>
        <v>0.142821</v>
      </c>
      <c r="I229" s="2">
        <f>ff_portfolios25!I229-ff_factors!$E229</f>
        <v>9.2766000000000001E-2</v>
      </c>
      <c r="J229" s="2">
        <f>ff_portfolios25!J229-ff_factors!$E229</f>
        <v>5.7646000000000003E-2</v>
      </c>
      <c r="K229" s="2">
        <f>ff_portfolios25!K229-ff_factors!$E229</f>
        <v>0.103226</v>
      </c>
      <c r="L229" s="2">
        <f>ff_portfolios25!L229-ff_factors!$E229</f>
        <v>8.6148999999999989E-2</v>
      </c>
      <c r="M229" s="2">
        <f>ff_portfolios25!M229-ff_factors!$E229</f>
        <v>0.142957</v>
      </c>
      <c r="N229" s="2">
        <f>ff_portfolios25!N229-ff_factors!$E229</f>
        <v>2.9655000000000001E-2</v>
      </c>
      <c r="O229" s="2">
        <f>ff_portfolios25!O229-ff_factors!$E229</f>
        <v>3.2808000000000004E-2</v>
      </c>
      <c r="P229" s="2">
        <f>ff_portfolios25!P229-ff_factors!$E229</f>
        <v>6.0744000000000006E-2</v>
      </c>
      <c r="Q229" s="2">
        <f>ff_portfolios25!Q229-ff_factors!$E229</f>
        <v>8.1747E-2</v>
      </c>
      <c r="R229" s="2">
        <f>ff_portfolios25!R229-ff_factors!$E229</f>
        <v>0.15313000000000002</v>
      </c>
      <c r="S229" s="2">
        <f>ff_portfolios25!S229-ff_factors!$E229</f>
        <v>4.6201000000000006E-2</v>
      </c>
      <c r="T229" s="2">
        <f>ff_portfolios25!T229-ff_factors!$E229</f>
        <v>3.7410000000000006E-2</v>
      </c>
      <c r="U229" s="2">
        <f>ff_portfolios25!U229-ff_factors!$E229</f>
        <v>8.7952000000000002E-2</v>
      </c>
      <c r="V229" s="2">
        <f>ff_portfolios25!V229-ff_factors!$E229</f>
        <v>0.105477</v>
      </c>
      <c r="W229" s="2">
        <f>ff_portfolios25!W229-ff_factors!$E229</f>
        <v>0.12643300000000002</v>
      </c>
      <c r="X229" s="2">
        <f>ff_portfolios25!X229-ff_factors!$E229</f>
        <v>2.9973E-2</v>
      </c>
      <c r="Y229" s="2">
        <f>ff_portfolios25!Y229-ff_factors!$E229</f>
        <v>4.9533000000000001E-2</v>
      </c>
      <c r="Z229" s="2">
        <f>ff_portfolios25!Z229-ff_factors!$E229</f>
        <v>5.7674000000000003E-2</v>
      </c>
      <c r="AA229" s="2">
        <f>ff_portfolios25!AA229-ff_factors!$E229</f>
        <v>9.2521999999999993E-2</v>
      </c>
      <c r="AB229" s="2">
        <f>ff_portfolios25!AB229-ff_factors!$E229</f>
        <v>0.10313</v>
      </c>
    </row>
    <row r="230" spans="1:28" x14ac:dyDescent="0.2">
      <c r="A230">
        <v>19510131</v>
      </c>
      <c r="B230">
        <v>1951</v>
      </c>
      <c r="C230">
        <v>1</v>
      </c>
      <c r="D230" s="2">
        <f>ff_portfolios25!D230-ff_factors!$E230</f>
        <v>8.6804000000000006E-2</v>
      </c>
      <c r="E230" s="2">
        <f>ff_portfolios25!E230-ff_factors!$E230</f>
        <v>8.9365E-2</v>
      </c>
      <c r="F230" s="2">
        <f>ff_portfolios25!F230-ff_factors!$E230</f>
        <v>8.5646E-2</v>
      </c>
      <c r="G230" s="2">
        <f>ff_portfolios25!G230-ff_factors!$E230</f>
        <v>6.8040000000000003E-2</v>
      </c>
      <c r="H230" s="2">
        <f>ff_portfolios25!H230-ff_factors!$E230</f>
        <v>0.11141000000000001</v>
      </c>
      <c r="I230" s="2">
        <f>ff_portfolios25!I230-ff_factors!$E230</f>
        <v>5.049E-2</v>
      </c>
      <c r="J230" s="2">
        <f>ff_portfolios25!J230-ff_factors!$E230</f>
        <v>8.3915000000000003E-2</v>
      </c>
      <c r="K230" s="2">
        <f>ff_portfolios25!K230-ff_factors!$E230</f>
        <v>5.7581E-2</v>
      </c>
      <c r="L230" s="2">
        <f>ff_portfolios25!L230-ff_factors!$E230</f>
        <v>8.2447000000000006E-2</v>
      </c>
      <c r="M230" s="2">
        <f>ff_portfolios25!M230-ff_factors!$E230</f>
        <v>9.6784000000000009E-2</v>
      </c>
      <c r="N230" s="2">
        <f>ff_portfolios25!N230-ff_factors!$E230</f>
        <v>6.8422000000000011E-2</v>
      </c>
      <c r="O230" s="2">
        <f>ff_portfolios25!O230-ff_factors!$E230</f>
        <v>7.4167999999999998E-2</v>
      </c>
      <c r="P230" s="2">
        <f>ff_portfolios25!P230-ff_factors!$E230</f>
        <v>6.4021000000000008E-2</v>
      </c>
      <c r="Q230" s="2">
        <f>ff_portfolios25!Q230-ff_factors!$E230</f>
        <v>9.5000000000000001E-2</v>
      </c>
      <c r="R230" s="2">
        <f>ff_portfolios25!R230-ff_factors!$E230</f>
        <v>9.1835E-2</v>
      </c>
      <c r="S230" s="2">
        <f>ff_portfolios25!S230-ff_factors!$E230</f>
        <v>6.3885000000000011E-2</v>
      </c>
      <c r="T230" s="2">
        <f>ff_portfolios25!T230-ff_factors!$E230</f>
        <v>7.644200000000001E-2</v>
      </c>
      <c r="U230" s="2">
        <f>ff_portfolios25!U230-ff_factors!$E230</f>
        <v>6.6128000000000006E-2</v>
      </c>
      <c r="V230" s="2">
        <f>ff_portfolios25!V230-ff_factors!$E230</f>
        <v>5.9249999999999997E-2</v>
      </c>
      <c r="W230" s="2">
        <f>ff_portfolios25!W230-ff_factors!$E230</f>
        <v>9.1361999999999999E-2</v>
      </c>
      <c r="X230" s="2">
        <f>ff_portfolios25!X230-ff_factors!$E230</f>
        <v>4.6003999999999996E-2</v>
      </c>
      <c r="Y230" s="2">
        <f>ff_portfolios25!Y230-ff_factors!$E230</f>
        <v>3.7289999999999997E-2</v>
      </c>
      <c r="Z230" s="2">
        <f>ff_portfolios25!Z230-ff_factors!$E230</f>
        <v>6.9716E-2</v>
      </c>
      <c r="AA230" s="2">
        <f>ff_portfolios25!AA230-ff_factors!$E230</f>
        <v>5.2606E-2</v>
      </c>
      <c r="AB230" s="2">
        <f>ff_portfolios25!AB230-ff_factors!$E230</f>
        <v>0.10101500000000001</v>
      </c>
    </row>
    <row r="231" spans="1:28" x14ac:dyDescent="0.2">
      <c r="A231">
        <v>19510228</v>
      </c>
      <c r="B231">
        <v>1951</v>
      </c>
      <c r="C231">
        <v>2</v>
      </c>
      <c r="D231" s="2">
        <f>ff_portfolios25!D231-ff_factors!$E231</f>
        <v>1.0488000000000001E-2</v>
      </c>
      <c r="E231" s="2">
        <f>ff_portfolios25!E231-ff_factors!$E231</f>
        <v>1.0860000000000002E-3</v>
      </c>
      <c r="F231" s="2">
        <f>ff_portfolios25!F231-ff_factors!$E231</f>
        <v>-6.4070000000000004E-3</v>
      </c>
      <c r="G231" s="2">
        <f>ff_portfolios25!G231-ff_factors!$E231</f>
        <v>8.372000000000001E-3</v>
      </c>
      <c r="H231" s="2">
        <f>ff_portfolios25!H231-ff_factors!$E231</f>
        <v>2.7899999999999995E-4</v>
      </c>
      <c r="I231" s="2">
        <f>ff_portfolios25!I231-ff_factors!$E231</f>
        <v>1.6816999999999999E-2</v>
      </c>
      <c r="J231" s="2">
        <f>ff_portfolios25!J231-ff_factors!$E231</f>
        <v>6.868E-3</v>
      </c>
      <c r="K231" s="2">
        <f>ff_portfolios25!K231-ff_factors!$E231</f>
        <v>2.1812999999999999E-2</v>
      </c>
      <c r="L231" s="2">
        <f>ff_portfolios25!L231-ff_factors!$E231</f>
        <v>-1.7330000000000002E-3</v>
      </c>
      <c r="M231" s="2">
        <f>ff_portfolios25!M231-ff_factors!$E231</f>
        <v>7.1550000000000008E-3</v>
      </c>
      <c r="N231" s="2">
        <f>ff_portfolios25!N231-ff_factors!$E231</f>
        <v>1.8645999999999999E-2</v>
      </c>
      <c r="O231" s="2">
        <f>ff_portfolios25!O231-ff_factors!$E231</f>
        <v>1.9989E-2</v>
      </c>
      <c r="P231" s="2">
        <f>ff_portfolios25!P231-ff_factors!$E231</f>
        <v>2.2567E-2</v>
      </c>
      <c r="Q231" s="2">
        <f>ff_portfolios25!Q231-ff_factors!$E231</f>
        <v>-7.7580000000000001E-3</v>
      </c>
      <c r="R231" s="2">
        <f>ff_portfolios25!R231-ff_factors!$E231</f>
        <v>-5.293E-3</v>
      </c>
      <c r="S231" s="2">
        <f>ff_portfolios25!S231-ff_factors!$E231</f>
        <v>1.2268000000000001E-2</v>
      </c>
      <c r="T231" s="2">
        <f>ff_portfolios25!T231-ff_factors!$E231</f>
        <v>9.7199999999999995E-3</v>
      </c>
      <c r="U231" s="2">
        <f>ff_portfolios25!U231-ff_factors!$E231</f>
        <v>2.6398999999999999E-2</v>
      </c>
      <c r="V231" s="2">
        <f>ff_portfolios25!V231-ff_factors!$E231</f>
        <v>1.2754000000000001E-2</v>
      </c>
      <c r="W231" s="2">
        <f>ff_portfolios25!W231-ff_factors!$E231</f>
        <v>1.4591E-2</v>
      </c>
      <c r="X231" s="2">
        <f>ff_portfolios25!X231-ff_factors!$E231</f>
        <v>2.4229999999999998E-2</v>
      </c>
      <c r="Y231" s="2">
        <f>ff_portfolios25!Y231-ff_factors!$E231</f>
        <v>1.6489999999999998E-2</v>
      </c>
      <c r="Z231" s="2">
        <f>ff_portfolios25!Z231-ff_factors!$E231</f>
        <v>2.1356E-2</v>
      </c>
      <c r="AA231" s="2">
        <f>ff_portfolios25!AA231-ff_factors!$E231</f>
        <v>-9.9400000000000009E-4</v>
      </c>
      <c r="AB231" s="2">
        <f>ff_portfolios25!AB231-ff_factors!$E231</f>
        <v>-2.8346E-2</v>
      </c>
    </row>
    <row r="232" spans="1:28" x14ac:dyDescent="0.2">
      <c r="A232">
        <v>19510331</v>
      </c>
      <c r="B232">
        <v>1951</v>
      </c>
      <c r="C232">
        <v>3</v>
      </c>
      <c r="D232" s="2">
        <f>ff_portfolios25!D232-ff_factors!$E232</f>
        <v>1.2161E-2</v>
      </c>
      <c r="E232" s="2">
        <f>ff_portfolios25!E232-ff_factors!$E232</f>
        <v>-4.9057999999999997E-2</v>
      </c>
      <c r="F232" s="2">
        <f>ff_portfolios25!F232-ff_factors!$E232</f>
        <v>-4.7264999999999995E-2</v>
      </c>
      <c r="G232" s="2">
        <f>ff_portfolios25!G232-ff_factors!$E232</f>
        <v>-5.0069999999999996E-2</v>
      </c>
      <c r="H232" s="2">
        <f>ff_portfolios25!H232-ff_factors!$E232</f>
        <v>-6.8555000000000005E-2</v>
      </c>
      <c r="I232" s="2">
        <f>ff_portfolios25!I232-ff_factors!$E232</f>
        <v>-2.0978E-2</v>
      </c>
      <c r="J232" s="2">
        <f>ff_portfolios25!J232-ff_factors!$E232</f>
        <v>-1.5153E-2</v>
      </c>
      <c r="K232" s="2">
        <f>ff_portfolios25!K232-ff_factors!$E232</f>
        <v>-3.3987999999999997E-2</v>
      </c>
      <c r="L232" s="2">
        <f>ff_portfolios25!L232-ff_factors!$E232</f>
        <v>-5.7134999999999998E-2</v>
      </c>
      <c r="M232" s="2">
        <f>ff_portfolios25!M232-ff_factors!$E232</f>
        <v>-5.2434999999999996E-2</v>
      </c>
      <c r="N232" s="2">
        <f>ff_portfolios25!N232-ff_factors!$E232</f>
        <v>-1.6306999999999999E-2</v>
      </c>
      <c r="O232" s="2">
        <f>ff_portfolios25!O232-ff_factors!$E232</f>
        <v>-7.2830000000000004E-3</v>
      </c>
      <c r="P232" s="2">
        <f>ff_portfolios25!P232-ff_factors!$E232</f>
        <v>-4.8530999999999998E-2</v>
      </c>
      <c r="Q232" s="2">
        <f>ff_portfolios25!Q232-ff_factors!$E232</f>
        <v>-4.8874999999999995E-2</v>
      </c>
      <c r="R232" s="2">
        <f>ff_portfolios25!R232-ff_factors!$E232</f>
        <v>-6.0111999999999999E-2</v>
      </c>
      <c r="S232" s="2">
        <f>ff_portfolios25!S232-ff_factors!$E232</f>
        <v>-1.7044E-2</v>
      </c>
      <c r="T232" s="2">
        <f>ff_portfolios25!T232-ff_factors!$E232</f>
        <v>-2.0034E-2</v>
      </c>
      <c r="U232" s="2">
        <f>ff_portfolios25!U232-ff_factors!$E232</f>
        <v>-3.9490999999999998E-2</v>
      </c>
      <c r="V232" s="2">
        <f>ff_portfolios25!V232-ff_factors!$E232</f>
        <v>-6.2595999999999999E-2</v>
      </c>
      <c r="W232" s="2">
        <f>ff_portfolios25!W232-ff_factors!$E232</f>
        <v>-5.7696999999999998E-2</v>
      </c>
      <c r="X232" s="2">
        <f>ff_portfolios25!X232-ff_factors!$E232</f>
        <v>-6.3960000000000006E-3</v>
      </c>
      <c r="Y232" s="2">
        <f>ff_portfolios25!Y232-ff_factors!$E232</f>
        <v>-1.4279E-2</v>
      </c>
      <c r="Z232" s="2">
        <f>ff_portfolios25!Z232-ff_factors!$E232</f>
        <v>-3.0825000000000002E-2</v>
      </c>
      <c r="AA232" s="2">
        <f>ff_portfolios25!AA232-ff_factors!$E232</f>
        <v>-3.5831999999999996E-2</v>
      </c>
      <c r="AB232" s="2">
        <f>ff_portfolios25!AB232-ff_factors!$E232</f>
        <v>-4.9806999999999997E-2</v>
      </c>
    </row>
    <row r="233" spans="1:28" x14ac:dyDescent="0.2">
      <c r="A233">
        <v>19510430</v>
      </c>
      <c r="B233">
        <v>1951</v>
      </c>
      <c r="C233">
        <v>4</v>
      </c>
      <c r="D233" s="2">
        <f>ff_portfolios25!D233-ff_factors!$E233</f>
        <v>1.6577000000000001E-2</v>
      </c>
      <c r="E233" s="2">
        <f>ff_portfolios25!E233-ff_factors!$E233</f>
        <v>3.0927E-2</v>
      </c>
      <c r="F233" s="2">
        <f>ff_portfolios25!F233-ff_factors!$E233</f>
        <v>4.9494999999999997E-2</v>
      </c>
      <c r="G233" s="2">
        <f>ff_portfolios25!G233-ff_factors!$E233</f>
        <v>3.2481999999999997E-2</v>
      </c>
      <c r="H233" s="2">
        <f>ff_portfolios25!H233-ff_factors!$E233</f>
        <v>4.9297999999999995E-2</v>
      </c>
      <c r="I233" s="2">
        <f>ff_portfolios25!I233-ff_factors!$E233</f>
        <v>3.0558999999999999E-2</v>
      </c>
      <c r="J233" s="2">
        <f>ff_portfolios25!J233-ff_factors!$E233</f>
        <v>3.1872999999999999E-2</v>
      </c>
      <c r="K233" s="2">
        <f>ff_portfolios25!K233-ff_factors!$E233</f>
        <v>3.5261000000000001E-2</v>
      </c>
      <c r="L233" s="2">
        <f>ff_portfolios25!L233-ff_factors!$E233</f>
        <v>5.6351999999999999E-2</v>
      </c>
      <c r="M233" s="2">
        <f>ff_portfolios25!M233-ff_factors!$E233</f>
        <v>4.9501999999999997E-2</v>
      </c>
      <c r="N233" s="2">
        <f>ff_portfolios25!N233-ff_factors!$E233</f>
        <v>5.4140000000000004E-3</v>
      </c>
      <c r="O233" s="2">
        <f>ff_portfolios25!O233-ff_factors!$E233</f>
        <v>3.2258999999999996E-2</v>
      </c>
      <c r="P233" s="2">
        <f>ff_portfolios25!P233-ff_factors!$E233</f>
        <v>3.9199999999999999E-2</v>
      </c>
      <c r="Q233" s="2">
        <f>ff_portfolios25!Q233-ff_factors!$E233</f>
        <v>5.5336999999999997E-2</v>
      </c>
      <c r="R233" s="2">
        <f>ff_portfolios25!R233-ff_factors!$E233</f>
        <v>7.1882000000000001E-2</v>
      </c>
      <c r="S233" s="2">
        <f>ff_portfolios25!S233-ff_factors!$E233</f>
        <v>4.5189999999999994E-2</v>
      </c>
      <c r="T233" s="2">
        <f>ff_portfolios25!T233-ff_factors!$E233</f>
        <v>4.4656999999999995E-2</v>
      </c>
      <c r="U233" s="2">
        <f>ff_portfolios25!U233-ff_factors!$E233</f>
        <v>3.7453999999999994E-2</v>
      </c>
      <c r="V233" s="2">
        <f>ff_portfolios25!V233-ff_factors!$E233</f>
        <v>5.2717999999999994E-2</v>
      </c>
      <c r="W233" s="2">
        <f>ff_portfolios25!W233-ff_factors!$E233</f>
        <v>5.1968E-2</v>
      </c>
      <c r="X233" s="2">
        <f>ff_portfolios25!X233-ff_factors!$E233</f>
        <v>4.5291999999999999E-2</v>
      </c>
      <c r="Y233" s="2">
        <f>ff_portfolios25!Y233-ff_factors!$E233</f>
        <v>2.8288000000000001E-2</v>
      </c>
      <c r="Z233" s="2">
        <f>ff_portfolios25!Z233-ff_factors!$E233</f>
        <v>8.7226999999999999E-2</v>
      </c>
      <c r="AA233" s="2">
        <f>ff_portfolios25!AA233-ff_factors!$E233</f>
        <v>6.3607999999999998E-2</v>
      </c>
      <c r="AB233" s="2">
        <f>ff_portfolios25!AB233-ff_factors!$E233</f>
        <v>7.6891000000000001E-2</v>
      </c>
    </row>
    <row r="234" spans="1:28" x14ac:dyDescent="0.2">
      <c r="A234">
        <v>19510531</v>
      </c>
      <c r="B234">
        <v>1951</v>
      </c>
      <c r="C234">
        <v>5</v>
      </c>
      <c r="D234" s="2">
        <f>ff_portfolios25!D234-ff_factors!$E234</f>
        <v>-4.6012999999999998E-2</v>
      </c>
      <c r="E234" s="2">
        <f>ff_portfolios25!E234-ff_factors!$E234</f>
        <v>-2.7508000000000001E-2</v>
      </c>
      <c r="F234" s="2">
        <f>ff_portfolios25!F234-ff_factors!$E234</f>
        <v>-3.8196000000000001E-2</v>
      </c>
      <c r="G234" s="2">
        <f>ff_portfolios25!G234-ff_factors!$E234</f>
        <v>-4.5365000000000003E-2</v>
      </c>
      <c r="H234" s="2">
        <f>ff_portfolios25!H234-ff_factors!$E234</f>
        <v>-4.1364999999999999E-2</v>
      </c>
      <c r="I234" s="2">
        <f>ff_portfolios25!I234-ff_factors!$E234</f>
        <v>-2.3951E-2</v>
      </c>
      <c r="J234" s="2">
        <f>ff_portfolios25!J234-ff_factors!$E234</f>
        <v>-2.6276000000000001E-2</v>
      </c>
      <c r="K234" s="2">
        <f>ff_portfolios25!K234-ff_factors!$E234</f>
        <v>-1.9948999999999998E-2</v>
      </c>
      <c r="L234" s="2">
        <f>ff_portfolios25!L234-ff_factors!$E234</f>
        <v>-3.1320000000000001E-2</v>
      </c>
      <c r="M234" s="2">
        <f>ff_portfolios25!M234-ff_factors!$E234</f>
        <v>-4.7868000000000001E-2</v>
      </c>
      <c r="N234" s="2">
        <f>ff_portfolios25!N234-ff_factors!$E234</f>
        <v>-2.4738E-2</v>
      </c>
      <c r="O234" s="2">
        <f>ff_portfolios25!O234-ff_factors!$E234</f>
        <v>-2.1107000000000001E-2</v>
      </c>
      <c r="P234" s="2">
        <f>ff_portfolios25!P234-ff_factors!$E234</f>
        <v>-2.6138999999999999E-2</v>
      </c>
      <c r="Q234" s="2">
        <f>ff_portfolios25!Q234-ff_factors!$E234</f>
        <v>-3.0120999999999998E-2</v>
      </c>
      <c r="R234" s="2">
        <f>ff_portfolios25!R234-ff_factors!$E234</f>
        <v>-1.4480999999999999E-2</v>
      </c>
      <c r="S234" s="2">
        <f>ff_portfolios25!S234-ff_factors!$E234</f>
        <v>-2.0951000000000001E-2</v>
      </c>
      <c r="T234" s="2">
        <f>ff_portfolios25!T234-ff_factors!$E234</f>
        <v>-2.1545999999999999E-2</v>
      </c>
      <c r="U234" s="2">
        <f>ff_portfolios25!U234-ff_factors!$E234</f>
        <v>-1.5511E-2</v>
      </c>
      <c r="V234" s="2">
        <f>ff_portfolios25!V234-ff_factors!$E234</f>
        <v>-2.8528999999999999E-2</v>
      </c>
      <c r="W234" s="2">
        <f>ff_portfolios25!W234-ff_factors!$E234</f>
        <v>-3.7859999999999998E-2</v>
      </c>
      <c r="X234" s="2">
        <f>ff_portfolios25!X234-ff_factors!$E234</f>
        <v>-2.3837000000000001E-2</v>
      </c>
      <c r="Y234" s="2">
        <f>ff_portfolios25!Y234-ff_factors!$E234</f>
        <v>-1.7936000000000001E-2</v>
      </c>
      <c r="Z234" s="2">
        <f>ff_portfolios25!Z234-ff_factors!$E234</f>
        <v>-2.3549999999999998E-2</v>
      </c>
      <c r="AA234" s="2">
        <f>ff_portfolios25!AA234-ff_factors!$E234</f>
        <v>-2.0927999999999999E-2</v>
      </c>
      <c r="AB234" s="2">
        <f>ff_portfolios25!AB234-ff_factors!$E234</f>
        <v>-4.8583000000000001E-2</v>
      </c>
    </row>
    <row r="235" spans="1:28" x14ac:dyDescent="0.2">
      <c r="A235">
        <v>19510629</v>
      </c>
      <c r="B235">
        <v>1951</v>
      </c>
      <c r="C235">
        <v>6</v>
      </c>
      <c r="D235" s="2">
        <f>ff_portfolios25!D235-ff_factors!$E235</f>
        <v>-4.0666000000000001E-2</v>
      </c>
      <c r="E235" s="2">
        <f>ff_portfolios25!E235-ff_factors!$E235</f>
        <v>-7.3932000000000012E-2</v>
      </c>
      <c r="F235" s="2">
        <f>ff_portfolios25!F235-ff_factors!$E235</f>
        <v>-6.9585000000000008E-2</v>
      </c>
      <c r="G235" s="2">
        <f>ff_portfolios25!G235-ff_factors!$E235</f>
        <v>-4.8187000000000001E-2</v>
      </c>
      <c r="H235" s="2">
        <f>ff_portfolios25!H235-ff_factors!$E235</f>
        <v>-7.2768000000000013E-2</v>
      </c>
      <c r="I235" s="2">
        <f>ff_portfolios25!I235-ff_factors!$E235</f>
        <v>-4.3637999999999996E-2</v>
      </c>
      <c r="J235" s="2">
        <f>ff_portfolios25!J235-ff_factors!$E235</f>
        <v>-4.1396000000000002E-2</v>
      </c>
      <c r="K235" s="2">
        <f>ff_portfolios25!K235-ff_factors!$E235</f>
        <v>-5.7588E-2</v>
      </c>
      <c r="L235" s="2">
        <f>ff_portfolios25!L235-ff_factors!$E235</f>
        <v>-5.9139999999999998E-2</v>
      </c>
      <c r="M235" s="2">
        <f>ff_portfolios25!M235-ff_factors!$E235</f>
        <v>-7.3755000000000001E-2</v>
      </c>
      <c r="N235" s="2">
        <f>ff_portfolios25!N235-ff_factors!$E235</f>
        <v>-4.5428999999999997E-2</v>
      </c>
      <c r="O235" s="2">
        <f>ff_portfolios25!O235-ff_factors!$E235</f>
        <v>-3.8566000000000003E-2</v>
      </c>
      <c r="P235" s="2">
        <f>ff_portfolios25!P235-ff_factors!$E235</f>
        <v>-4.6235999999999999E-2</v>
      </c>
      <c r="Q235" s="2">
        <f>ff_portfolios25!Q235-ff_factors!$E235</f>
        <v>-6.4784000000000008E-2</v>
      </c>
      <c r="R235" s="2">
        <f>ff_portfolios25!R235-ff_factors!$E235</f>
        <v>-0.10854900000000001</v>
      </c>
      <c r="S235" s="2">
        <f>ff_portfolios25!S235-ff_factors!$E235</f>
        <v>-2.9062000000000001E-2</v>
      </c>
      <c r="T235" s="2">
        <f>ff_portfolios25!T235-ff_factors!$E235</f>
        <v>-2.6608E-2</v>
      </c>
      <c r="U235" s="2">
        <f>ff_portfolios25!U235-ff_factors!$E235</f>
        <v>-4.5814000000000001E-2</v>
      </c>
      <c r="V235" s="2">
        <f>ff_portfolios25!V235-ff_factors!$E235</f>
        <v>-5.2796000000000003E-2</v>
      </c>
      <c r="W235" s="2">
        <f>ff_portfolios25!W235-ff_factors!$E235</f>
        <v>-8.1001000000000004E-2</v>
      </c>
      <c r="X235" s="2">
        <f>ff_portfolios25!X235-ff_factors!$E235</f>
        <v>-2.1259E-2</v>
      </c>
      <c r="Y235" s="2">
        <f>ff_portfolios25!Y235-ff_factors!$E235</f>
        <v>-2.1413999999999999E-2</v>
      </c>
      <c r="Z235" s="2">
        <f>ff_portfolios25!Z235-ff_factors!$E235</f>
        <v>1.9212E-2</v>
      </c>
      <c r="AA235" s="2">
        <f>ff_portfolios25!AA235-ff_factors!$E235</f>
        <v>-3.8900999999999998E-2</v>
      </c>
      <c r="AB235" s="2">
        <f>ff_portfolios25!AB235-ff_factors!$E235</f>
        <v>-6.7760000000000001E-2</v>
      </c>
    </row>
    <row r="236" spans="1:28" x14ac:dyDescent="0.2">
      <c r="A236">
        <v>19510731</v>
      </c>
      <c r="B236">
        <v>1951</v>
      </c>
      <c r="C236">
        <v>7</v>
      </c>
      <c r="D236" s="2">
        <f>ff_portfolios25!D236-ff_factors!$E236</f>
        <v>3.1740999999999998E-2</v>
      </c>
      <c r="E236" s="2">
        <f>ff_portfolios25!E236-ff_factors!$E236</f>
        <v>3.6893999999999996E-2</v>
      </c>
      <c r="F236" s="2">
        <f>ff_portfolios25!F236-ff_factors!$E236</f>
        <v>3.5152999999999997E-2</v>
      </c>
      <c r="G236" s="2">
        <f>ff_portfolios25!G236-ff_factors!$E236</f>
        <v>4.2412999999999999E-2</v>
      </c>
      <c r="H236" s="2">
        <f>ff_portfolios25!H236-ff_factors!$E236</f>
        <v>4.1564999999999998E-2</v>
      </c>
      <c r="I236" s="2">
        <f>ff_portfolios25!I236-ff_factors!$E236</f>
        <v>5.1313999999999999E-2</v>
      </c>
      <c r="J236" s="2">
        <f>ff_portfolios25!J236-ff_factors!$E236</f>
        <v>5.8937999999999997E-2</v>
      </c>
      <c r="K236" s="2">
        <f>ff_portfolios25!K236-ff_factors!$E236</f>
        <v>5.4759999999999996E-2</v>
      </c>
      <c r="L236" s="2">
        <f>ff_portfolios25!L236-ff_factors!$E236</f>
        <v>6.8099000000000007E-2</v>
      </c>
      <c r="M236" s="2">
        <f>ff_portfolios25!M236-ff_factors!$E236</f>
        <v>7.2149000000000005E-2</v>
      </c>
      <c r="N236" s="2">
        <f>ff_portfolios25!N236-ff_factors!$E236</f>
        <v>3.9278999999999994E-2</v>
      </c>
      <c r="O236" s="2">
        <f>ff_portfolios25!O236-ff_factors!$E236</f>
        <v>6.6039E-2</v>
      </c>
      <c r="P236" s="2">
        <f>ff_portfolios25!P236-ff_factors!$E236</f>
        <v>4.9224999999999998E-2</v>
      </c>
      <c r="Q236" s="2">
        <f>ff_portfolios25!Q236-ff_factors!$E236</f>
        <v>7.0709000000000008E-2</v>
      </c>
      <c r="R236" s="2">
        <f>ff_portfolios25!R236-ff_factors!$E236</f>
        <v>6.6531000000000007E-2</v>
      </c>
      <c r="S236" s="2">
        <f>ff_portfolios25!S236-ff_factors!$E236</f>
        <v>8.4536E-2</v>
      </c>
      <c r="T236" s="2">
        <f>ff_portfolios25!T236-ff_factors!$E236</f>
        <v>5.6772999999999997E-2</v>
      </c>
      <c r="U236" s="2">
        <f>ff_portfolios25!U236-ff_factors!$E236</f>
        <v>6.1720000000000004E-2</v>
      </c>
      <c r="V236" s="2">
        <f>ff_portfolios25!V236-ff_factors!$E236</f>
        <v>8.267300000000001E-2</v>
      </c>
      <c r="W236" s="2">
        <f>ff_portfolios25!W236-ff_factors!$E236</f>
        <v>0.107669</v>
      </c>
      <c r="X236" s="2">
        <f>ff_portfolios25!X236-ff_factors!$E236</f>
        <v>6.8961000000000008E-2</v>
      </c>
      <c r="Y236" s="2">
        <f>ff_portfolios25!Y236-ff_factors!$E236</f>
        <v>5.5508999999999996E-2</v>
      </c>
      <c r="Z236" s="2">
        <f>ff_portfolios25!Z236-ff_factors!$E236</f>
        <v>6.5575000000000008E-2</v>
      </c>
      <c r="AA236" s="2">
        <f>ff_portfolios25!AA236-ff_factors!$E236</f>
        <v>9.3449000000000004E-2</v>
      </c>
      <c r="AB236" s="2">
        <f>ff_portfolios25!AB236-ff_factors!$E236</f>
        <v>0.107061</v>
      </c>
    </row>
    <row r="237" spans="1:28" x14ac:dyDescent="0.2">
      <c r="A237">
        <v>19510831</v>
      </c>
      <c r="B237">
        <v>1951</v>
      </c>
      <c r="C237">
        <v>8</v>
      </c>
      <c r="D237" s="2">
        <f>ff_portfolios25!D237-ff_factors!$E237</f>
        <v>0.109221</v>
      </c>
      <c r="E237" s="2">
        <f>ff_portfolios25!E237-ff_factors!$E237</f>
        <v>0.124249</v>
      </c>
      <c r="F237" s="2">
        <f>ff_portfolios25!F237-ff_factors!$E237</f>
        <v>4.4458999999999999E-2</v>
      </c>
      <c r="G237" s="2">
        <f>ff_portfolios25!G237-ff_factors!$E237</f>
        <v>5.9339999999999997E-2</v>
      </c>
      <c r="H237" s="2">
        <f>ff_portfolios25!H237-ff_factors!$E237</f>
        <v>5.0286999999999998E-2</v>
      </c>
      <c r="I237" s="2">
        <f>ff_portfolios25!I237-ff_factors!$E237</f>
        <v>3.9035999999999994E-2</v>
      </c>
      <c r="J237" s="2">
        <f>ff_portfolios25!J237-ff_factors!$E237</f>
        <v>5.3106999999999994E-2</v>
      </c>
      <c r="K237" s="2">
        <f>ff_portfolios25!K237-ff_factors!$E237</f>
        <v>3.3445999999999997E-2</v>
      </c>
      <c r="L237" s="2">
        <f>ff_portfolios25!L237-ff_factors!$E237</f>
        <v>6.686700000000001E-2</v>
      </c>
      <c r="M237" s="2">
        <f>ff_portfolios25!M237-ff_factors!$E237</f>
        <v>3.6741999999999997E-2</v>
      </c>
      <c r="N237" s="2">
        <f>ff_portfolios25!N237-ff_factors!$E237</f>
        <v>4.4747999999999996E-2</v>
      </c>
      <c r="O237" s="2">
        <f>ff_portfolios25!O237-ff_factors!$E237</f>
        <v>5.8367999999999996E-2</v>
      </c>
      <c r="P237" s="2">
        <f>ff_portfolios25!P237-ff_factors!$E237</f>
        <v>5.0198E-2</v>
      </c>
      <c r="Q237" s="2">
        <f>ff_portfolios25!Q237-ff_factors!$E237</f>
        <v>4.1699E-2</v>
      </c>
      <c r="R237" s="2">
        <f>ff_portfolios25!R237-ff_factors!$E237</f>
        <v>4.7917999999999995E-2</v>
      </c>
      <c r="S237" s="2">
        <f>ff_portfolios25!S237-ff_factors!$E237</f>
        <v>3.0777000000000002E-2</v>
      </c>
      <c r="T237" s="2">
        <f>ff_portfolios25!T237-ff_factors!$E237</f>
        <v>4.5463999999999997E-2</v>
      </c>
      <c r="U237" s="2">
        <f>ff_portfolios25!U237-ff_factors!$E237</f>
        <v>4.1022999999999997E-2</v>
      </c>
      <c r="V237" s="2">
        <f>ff_portfolios25!V237-ff_factors!$E237</f>
        <v>4.0465999999999995E-2</v>
      </c>
      <c r="W237" s="2">
        <f>ff_portfolios25!W237-ff_factors!$E237</f>
        <v>1.5331000000000001E-2</v>
      </c>
      <c r="X237" s="2">
        <f>ff_portfolios25!X237-ff_factors!$E237</f>
        <v>3.5970999999999996E-2</v>
      </c>
      <c r="Y237" s="2">
        <f>ff_portfolios25!Y237-ff_factors!$E237</f>
        <v>5.5553999999999999E-2</v>
      </c>
      <c r="Z237" s="2">
        <f>ff_portfolios25!Z237-ff_factors!$E237</f>
        <v>4.3834999999999999E-2</v>
      </c>
      <c r="AA237" s="2">
        <f>ff_portfolios25!AA237-ff_factors!$E237</f>
        <v>5.0053999999999994E-2</v>
      </c>
      <c r="AB237" s="2">
        <f>ff_portfolios25!AB237-ff_factors!$E237</f>
        <v>4.6091E-2</v>
      </c>
    </row>
    <row r="238" spans="1:28" x14ac:dyDescent="0.2">
      <c r="A238">
        <v>19510928</v>
      </c>
      <c r="B238">
        <v>1951</v>
      </c>
      <c r="C238">
        <v>9</v>
      </c>
      <c r="D238" s="2">
        <f>ff_portfolios25!D238-ff_factors!$E238</f>
        <v>3.6289000000000002E-2</v>
      </c>
      <c r="E238" s="2">
        <f>ff_portfolios25!E238-ff_factors!$E238</f>
        <v>1.5428000000000001E-2</v>
      </c>
      <c r="F238" s="2">
        <f>ff_portfolios25!F238-ff_factors!$E238</f>
        <v>2.6172000000000001E-2</v>
      </c>
      <c r="G238" s="2">
        <f>ff_portfolios25!G238-ff_factors!$E238</f>
        <v>2.1160999999999999E-2</v>
      </c>
      <c r="H238" s="2">
        <f>ff_portfolios25!H238-ff_factors!$E238</f>
        <v>1.8357999999999999E-2</v>
      </c>
      <c r="I238" s="2">
        <f>ff_portfolios25!I238-ff_factors!$E238</f>
        <v>2.8034E-2</v>
      </c>
      <c r="J238" s="2">
        <f>ff_portfolios25!J238-ff_factors!$E238</f>
        <v>3.8945E-2</v>
      </c>
      <c r="K238" s="2">
        <f>ff_portfolios25!K238-ff_factors!$E238</f>
        <v>2.9212999999999999E-2</v>
      </c>
      <c r="L238" s="2">
        <f>ff_portfolios25!L238-ff_factors!$E238</f>
        <v>1.7440000000000001E-2</v>
      </c>
      <c r="M238" s="2">
        <f>ff_portfolios25!M238-ff_factors!$E238</f>
        <v>4.3679000000000003E-2</v>
      </c>
      <c r="N238" s="2">
        <f>ff_portfolios25!N238-ff_factors!$E238</f>
        <v>3.2720000000000006E-3</v>
      </c>
      <c r="O238" s="2">
        <f>ff_portfolios25!O238-ff_factors!$E238</f>
        <v>1.8019E-2</v>
      </c>
      <c r="P238" s="2">
        <f>ff_portfolios25!P238-ff_factors!$E238</f>
        <v>1.5956999999999999E-2</v>
      </c>
      <c r="Q238" s="2">
        <f>ff_portfolios25!Q238-ff_factors!$E238</f>
        <v>2.6296E-2</v>
      </c>
      <c r="R238" s="2">
        <f>ff_portfolios25!R238-ff_factors!$E238</f>
        <v>3.5327999999999998E-2</v>
      </c>
      <c r="S238" s="2">
        <f>ff_portfolios25!S238-ff_factors!$E238</f>
        <v>1.0376E-2</v>
      </c>
      <c r="T238" s="2">
        <f>ff_portfolios25!T238-ff_factors!$E238</f>
        <v>2.0254000000000001E-2</v>
      </c>
      <c r="U238" s="2">
        <f>ff_portfolios25!U238-ff_factors!$E238</f>
        <v>2.6138999999999999E-2</v>
      </c>
      <c r="V238" s="2">
        <f>ff_portfolios25!V238-ff_factors!$E238</f>
        <v>3.2917000000000002E-2</v>
      </c>
      <c r="W238" s="2">
        <f>ff_portfolios25!W238-ff_factors!$E238</f>
        <v>3.9274999999999997E-2</v>
      </c>
      <c r="X238" s="2">
        <f>ff_portfolios25!X238-ff_factors!$E238</f>
        <v>3.5580000000000004E-3</v>
      </c>
      <c r="Y238" s="2">
        <f>ff_portfolios25!Y238-ff_factors!$E238</f>
        <v>4.6080000000000001E-3</v>
      </c>
      <c r="Z238" s="2">
        <f>ff_portfolios25!Z238-ff_factors!$E238</f>
        <v>-5.176E-3</v>
      </c>
      <c r="AA238" s="2">
        <f>ff_portfolios25!AA238-ff_factors!$E238</f>
        <v>3.8700000000000019E-4</v>
      </c>
      <c r="AB238" s="2">
        <f>ff_portfolios25!AB238-ff_factors!$E238</f>
        <v>1.7388000000000001E-2</v>
      </c>
    </row>
    <row r="239" spans="1:28" x14ac:dyDescent="0.2">
      <c r="A239">
        <v>19511031</v>
      </c>
      <c r="B239">
        <v>1951</v>
      </c>
      <c r="C239">
        <v>10</v>
      </c>
      <c r="D239" s="2">
        <f>ff_portfolios25!D239-ff_factors!$E239</f>
        <v>-4.8031999999999998E-2</v>
      </c>
      <c r="E239" s="2">
        <f>ff_portfolios25!E239-ff_factors!$E239</f>
        <v>-6.1849999999999995E-3</v>
      </c>
      <c r="F239" s="2">
        <f>ff_portfolios25!F239-ff_factors!$E239</f>
        <v>-3.2140000000000002E-2</v>
      </c>
      <c r="G239" s="2">
        <f>ff_portfolios25!G239-ff_factors!$E239</f>
        <v>-3.1803999999999999E-2</v>
      </c>
      <c r="H239" s="2">
        <f>ff_portfolios25!H239-ff_factors!$E239</f>
        <v>-1.8190000000000001E-2</v>
      </c>
      <c r="I239" s="2">
        <f>ff_portfolios25!I239-ff_factors!$E239</f>
        <v>-2.5548000000000001E-2</v>
      </c>
      <c r="J239" s="2">
        <f>ff_portfolios25!J239-ff_factors!$E239</f>
        <v>-2.7007E-2</v>
      </c>
      <c r="K239" s="2">
        <f>ff_portfolios25!K239-ff_factors!$E239</f>
        <v>-2.2692E-2</v>
      </c>
      <c r="L239" s="2">
        <f>ff_portfolios25!L239-ff_factors!$E239</f>
        <v>-3.4304999999999995E-2</v>
      </c>
      <c r="M239" s="2">
        <f>ff_portfolios25!M239-ff_factors!$E239</f>
        <v>-4.4651999999999997E-2</v>
      </c>
      <c r="N239" s="2">
        <f>ff_portfolios25!N239-ff_factors!$E239</f>
        <v>-1.6355000000000001E-2</v>
      </c>
      <c r="O239" s="2">
        <f>ff_portfolios25!O239-ff_factors!$E239</f>
        <v>-1.7583000000000001E-2</v>
      </c>
      <c r="P239" s="2">
        <f>ff_portfolios25!P239-ff_factors!$E239</f>
        <v>-1.9820000000000001E-2</v>
      </c>
      <c r="Q239" s="2">
        <f>ff_portfolios25!Q239-ff_factors!$E239</f>
        <v>-2.3689000000000002E-2</v>
      </c>
      <c r="R239" s="2">
        <f>ff_portfolios25!R239-ff_factors!$E239</f>
        <v>-4.4063999999999999E-2</v>
      </c>
      <c r="S239" s="2">
        <f>ff_portfolios25!S239-ff_factors!$E239</f>
        <v>-2.9197000000000001E-2</v>
      </c>
      <c r="T239" s="2">
        <f>ff_portfolios25!T239-ff_factors!$E239</f>
        <v>-2.5142000000000001E-2</v>
      </c>
      <c r="U239" s="2">
        <f>ff_portfolios25!U239-ff_factors!$E239</f>
        <v>-2.9221E-2</v>
      </c>
      <c r="V239" s="2">
        <f>ff_portfolios25!V239-ff_factors!$E239</f>
        <v>-1.3630000000000001E-2</v>
      </c>
      <c r="W239" s="2">
        <f>ff_portfolios25!W239-ff_factors!$E239</f>
        <v>-4.5310999999999997E-2</v>
      </c>
      <c r="X239" s="2">
        <f>ff_portfolios25!X239-ff_factors!$E239</f>
        <v>-4.4233999999999996E-2</v>
      </c>
      <c r="Y239" s="2">
        <f>ff_portfolios25!Y239-ff_factors!$E239</f>
        <v>-2.7274E-2</v>
      </c>
      <c r="Z239" s="2">
        <f>ff_portfolios25!Z239-ff_factors!$E239</f>
        <v>3.2989999999999998E-3</v>
      </c>
      <c r="AA239" s="2">
        <f>ff_portfolios25!AA239-ff_factors!$E239</f>
        <v>-3.1610000000000002E-3</v>
      </c>
      <c r="AB239" s="2">
        <f>ff_portfolios25!AB239-ff_factors!$E239</f>
        <v>-3.5779999999999999E-2</v>
      </c>
    </row>
    <row r="240" spans="1:28" x14ac:dyDescent="0.2">
      <c r="A240">
        <v>19511130</v>
      </c>
      <c r="B240">
        <v>1951</v>
      </c>
      <c r="C240">
        <v>11</v>
      </c>
      <c r="D240" s="2">
        <f>ff_portfolios25!D240-ff_factors!$E240</f>
        <v>-4.2139999999999999E-3</v>
      </c>
      <c r="E240" s="2">
        <f>ff_portfolios25!E240-ff_factors!$E240</f>
        <v>-9.5510000000000005E-3</v>
      </c>
      <c r="F240" s="2">
        <f>ff_portfolios25!F240-ff_factors!$E240</f>
        <v>-7.0220000000000005E-3</v>
      </c>
      <c r="G240" s="2">
        <f>ff_portfolios25!G240-ff_factors!$E240</f>
        <v>-3.3100000000000004E-3</v>
      </c>
      <c r="H240" s="2">
        <f>ff_portfolios25!H240-ff_factors!$E240</f>
        <v>-1.3299E-2</v>
      </c>
      <c r="I240" s="2">
        <f>ff_portfolios25!I240-ff_factors!$E240</f>
        <v>2.7990000000000003E-3</v>
      </c>
      <c r="J240" s="2">
        <f>ff_portfolios25!J240-ff_factors!$E240</f>
        <v>-8.5360000000000002E-3</v>
      </c>
      <c r="K240" s="2">
        <f>ff_portfolios25!K240-ff_factors!$E240</f>
        <v>5.2099999999999994E-3</v>
      </c>
      <c r="L240" s="2">
        <f>ff_portfolios25!L240-ff_factors!$E240</f>
        <v>3.4970000000000001E-3</v>
      </c>
      <c r="M240" s="2">
        <f>ff_portfolios25!M240-ff_factors!$E240</f>
        <v>1.2100999999999999E-2</v>
      </c>
      <c r="N240" s="2">
        <f>ff_portfolios25!N240-ff_factors!$E240</f>
        <v>9.0279999999999996E-3</v>
      </c>
      <c r="O240" s="2">
        <f>ff_portfolios25!O240-ff_factors!$E240</f>
        <v>1.8689000000000001E-2</v>
      </c>
      <c r="P240" s="2">
        <f>ff_portfolios25!P240-ff_factors!$E240</f>
        <v>1.5092999999999999E-2</v>
      </c>
      <c r="Q240" s="2">
        <f>ff_portfolios25!Q240-ff_factors!$E240</f>
        <v>8.2120000000000005E-3</v>
      </c>
      <c r="R240" s="2">
        <f>ff_portfolios25!R240-ff_factors!$E240</f>
        <v>2.8849999999999995E-3</v>
      </c>
      <c r="S240" s="2">
        <f>ff_portfolios25!S240-ff_factors!$E240</f>
        <v>6.2779999999999997E-3</v>
      </c>
      <c r="T240" s="2">
        <f>ff_portfolios25!T240-ff_factors!$E240</f>
        <v>2.5056999999999999E-2</v>
      </c>
      <c r="U240" s="2">
        <f>ff_portfolios25!U240-ff_factors!$E240</f>
        <v>1.7950000000000001E-2</v>
      </c>
      <c r="V240" s="2">
        <f>ff_portfolios25!V240-ff_factors!$E240</f>
        <v>1.5873999999999999E-2</v>
      </c>
      <c r="W240" s="2">
        <f>ff_portfolios25!W240-ff_factors!$E240</f>
        <v>1.2865E-2</v>
      </c>
      <c r="X240" s="2">
        <f>ff_portfolios25!X240-ff_factors!$E240</f>
        <v>6.0889999999999998E-3</v>
      </c>
      <c r="Y240" s="2">
        <f>ff_portfolios25!Y240-ff_factors!$E240</f>
        <v>1.085E-2</v>
      </c>
      <c r="Z240" s="2">
        <f>ff_portfolios25!Z240-ff_factors!$E240</f>
        <v>-1.1660000000000002E-3</v>
      </c>
      <c r="AA240" s="2">
        <f>ff_portfolios25!AA240-ff_factors!$E240</f>
        <v>-2.65E-3</v>
      </c>
      <c r="AB240" s="2">
        <f>ff_portfolios25!AB240-ff_factors!$E240</f>
        <v>1.5394999999999999E-2</v>
      </c>
    </row>
    <row r="241" spans="1:28" x14ac:dyDescent="0.2">
      <c r="A241">
        <v>19511231</v>
      </c>
      <c r="B241">
        <v>1951</v>
      </c>
      <c r="C241">
        <v>12</v>
      </c>
      <c r="D241" s="2">
        <f>ff_portfolios25!D241-ff_factors!$E241</f>
        <v>-9.8429999999999993E-3</v>
      </c>
      <c r="E241" s="2">
        <f>ff_portfolios25!E241-ff_factors!$E241</f>
        <v>-8.6250000000000007E-3</v>
      </c>
      <c r="F241" s="2">
        <f>ff_portfolios25!F241-ff_factors!$E241</f>
        <v>1.1671000000000001E-2</v>
      </c>
      <c r="G241" s="2">
        <f>ff_portfolios25!G241-ff_factors!$E241</f>
        <v>6.999E-3</v>
      </c>
      <c r="H241" s="2">
        <f>ff_portfolios25!H241-ff_factors!$E241</f>
        <v>8.6399999999999997E-4</v>
      </c>
      <c r="I241" s="2">
        <f>ff_portfolios25!I241-ff_factors!$E241</f>
        <v>2.5106E-2</v>
      </c>
      <c r="J241" s="2">
        <f>ff_portfolios25!J241-ff_factors!$E241</f>
        <v>-1.6309999999999999E-3</v>
      </c>
      <c r="K241" s="2">
        <f>ff_portfolios25!K241-ff_factors!$E241</f>
        <v>1.5339000000000002E-2</v>
      </c>
      <c r="L241" s="2">
        <f>ff_portfolios25!L241-ff_factors!$E241</f>
        <v>7.3190000000000009E-3</v>
      </c>
      <c r="M241" s="2">
        <f>ff_portfolios25!M241-ff_factors!$E241</f>
        <v>6.1910000000000003E-3</v>
      </c>
      <c r="N241" s="2">
        <f>ff_portfolios25!N241-ff_factors!$E241</f>
        <v>1.0626E-2</v>
      </c>
      <c r="O241" s="2">
        <f>ff_portfolios25!O241-ff_factors!$E241</f>
        <v>5.0760000000000007E-3</v>
      </c>
      <c r="P241" s="2">
        <f>ff_portfolios25!P241-ff_factors!$E241</f>
        <v>1.3141E-2</v>
      </c>
      <c r="Q241" s="2">
        <f>ff_portfolios25!Q241-ff_factors!$E241</f>
        <v>-2.5639999999999999E-3</v>
      </c>
      <c r="R241" s="2">
        <f>ff_portfolios25!R241-ff_factors!$E241</f>
        <v>4.6620000000000003E-3</v>
      </c>
      <c r="S241" s="2">
        <f>ff_portfolios25!S241-ff_factors!$E241</f>
        <v>2.63E-2</v>
      </c>
      <c r="T241" s="2">
        <f>ff_portfolios25!T241-ff_factors!$E241</f>
        <v>2.6932999999999999E-2</v>
      </c>
      <c r="U241" s="2">
        <f>ff_portfolios25!U241-ff_factors!$E241</f>
        <v>1.5944E-2</v>
      </c>
      <c r="V241" s="2">
        <f>ff_portfolios25!V241-ff_factors!$E241</f>
        <v>1.1000000000000001E-2</v>
      </c>
      <c r="W241" s="2">
        <f>ff_portfolios25!W241-ff_factors!$E241</f>
        <v>1.409E-2</v>
      </c>
      <c r="X241" s="2">
        <f>ff_portfolios25!X241-ff_factors!$E241</f>
        <v>4.8676999999999998E-2</v>
      </c>
      <c r="Y241" s="2">
        <f>ff_portfolios25!Y241-ff_factors!$E241</f>
        <v>2.7998000000000002E-2</v>
      </c>
      <c r="Z241" s="2">
        <f>ff_portfolios25!Z241-ff_factors!$E241</f>
        <v>4.0725999999999998E-2</v>
      </c>
      <c r="AA241" s="2">
        <f>ff_portfolios25!AA241-ff_factors!$E241</f>
        <v>2.4988E-2</v>
      </c>
      <c r="AB241" s="2">
        <f>ff_portfolios25!AB241-ff_factors!$E241</f>
        <v>1.354E-2</v>
      </c>
    </row>
    <row r="242" spans="1:28" x14ac:dyDescent="0.2">
      <c r="A242">
        <v>19520131</v>
      </c>
      <c r="B242">
        <v>1952</v>
      </c>
      <c r="C242">
        <v>1</v>
      </c>
      <c r="D242" s="2">
        <f>ff_portfolios25!D242-ff_factors!$E242</f>
        <v>9.9930000000000001E-3</v>
      </c>
      <c r="E242" s="2">
        <f>ff_portfolios25!E242-ff_factors!$E242</f>
        <v>2.206E-2</v>
      </c>
      <c r="F242" s="2">
        <f>ff_portfolios25!F242-ff_factors!$E242</f>
        <v>1.1467E-2</v>
      </c>
      <c r="G242" s="2">
        <f>ff_portfolios25!G242-ff_factors!$E242</f>
        <v>1.2242000000000001E-2</v>
      </c>
      <c r="H242" s="2">
        <f>ff_portfolios25!H242-ff_factors!$E242</f>
        <v>1.9410999999999998E-2</v>
      </c>
      <c r="I242" s="2">
        <f>ff_portfolios25!I242-ff_factors!$E242</f>
        <v>1.8866999999999998E-2</v>
      </c>
      <c r="J242" s="2">
        <f>ff_portfolios25!J242-ff_factors!$E242</f>
        <v>1.8952999999999998E-2</v>
      </c>
      <c r="K242" s="2">
        <f>ff_portfolios25!K242-ff_factors!$E242</f>
        <v>1.0702E-2</v>
      </c>
      <c r="L242" s="2">
        <f>ff_portfolios25!L242-ff_factors!$E242</f>
        <v>2.2511E-2</v>
      </c>
      <c r="M242" s="2">
        <f>ff_portfolios25!M242-ff_factors!$E242</f>
        <v>9.6000000000000009E-3</v>
      </c>
      <c r="N242" s="2">
        <f>ff_portfolios25!N242-ff_factors!$E242</f>
        <v>1.9214999999999999E-2</v>
      </c>
      <c r="O242" s="2">
        <f>ff_portfolios25!O242-ff_factors!$E242</f>
        <v>1.7283E-2</v>
      </c>
      <c r="P242" s="2">
        <f>ff_portfolios25!P242-ff_factors!$E242</f>
        <v>6.8199999999999997E-3</v>
      </c>
      <c r="Q242" s="2">
        <f>ff_portfolios25!Q242-ff_factors!$E242</f>
        <v>9.8449999999999996E-3</v>
      </c>
      <c r="R242" s="2">
        <f>ff_portfolios25!R242-ff_factors!$E242</f>
        <v>1.9407999999999998E-2</v>
      </c>
      <c r="S242" s="2">
        <f>ff_portfolios25!S242-ff_factors!$E242</f>
        <v>1.8445999999999997E-2</v>
      </c>
      <c r="T242" s="2">
        <f>ff_portfolios25!T242-ff_factors!$E242</f>
        <v>1.3621000000000001E-2</v>
      </c>
      <c r="U242" s="2">
        <f>ff_portfolios25!U242-ff_factors!$E242</f>
        <v>1.1635000000000001E-2</v>
      </c>
      <c r="V242" s="2">
        <f>ff_portfolios25!V242-ff_factors!$E242</f>
        <v>2.1880999999999998E-2</v>
      </c>
      <c r="W242" s="2">
        <f>ff_portfolios25!W242-ff_factors!$E242</f>
        <v>1.2229E-2</v>
      </c>
      <c r="X242" s="2">
        <f>ff_portfolios25!X242-ff_factors!$E242</f>
        <v>-3.8059999999999999E-3</v>
      </c>
      <c r="Y242" s="2">
        <f>ff_portfolios25!Y242-ff_factors!$E242</f>
        <v>1.8617999999999999E-2</v>
      </c>
      <c r="Z242" s="2">
        <f>ff_portfolios25!Z242-ff_factors!$E242</f>
        <v>2.69E-2</v>
      </c>
      <c r="AA242" s="2">
        <f>ff_portfolios25!AA242-ff_factors!$E242</f>
        <v>4.6542E-2</v>
      </c>
      <c r="AB242" s="2">
        <f>ff_portfolios25!AB242-ff_factors!$E242</f>
        <v>3.3683999999999999E-2</v>
      </c>
    </row>
    <row r="243" spans="1:28" x14ac:dyDescent="0.2">
      <c r="A243">
        <v>19520229</v>
      </c>
      <c r="B243">
        <v>1952</v>
      </c>
      <c r="C243">
        <v>2</v>
      </c>
      <c r="D243" s="2">
        <f>ff_portfolios25!D243-ff_factors!$E243</f>
        <v>-5.0341999999999998E-2</v>
      </c>
      <c r="E243" s="2">
        <f>ff_portfolios25!E243-ff_factors!$E243</f>
        <v>-3.5895999999999997E-2</v>
      </c>
      <c r="F243" s="2">
        <f>ff_portfolios25!F243-ff_factors!$E243</f>
        <v>-2.5134E-2</v>
      </c>
      <c r="G243" s="2">
        <f>ff_portfolios25!G243-ff_factors!$E243</f>
        <v>-3.0723E-2</v>
      </c>
      <c r="H243" s="2">
        <f>ff_portfolios25!H243-ff_factors!$E243</f>
        <v>-2.9683000000000001E-2</v>
      </c>
      <c r="I243" s="2">
        <f>ff_portfolios25!I243-ff_factors!$E243</f>
        <v>-1.7412E-2</v>
      </c>
      <c r="J243" s="2">
        <f>ff_portfolios25!J243-ff_factors!$E243</f>
        <v>-2.197E-2</v>
      </c>
      <c r="K243" s="2">
        <f>ff_portfolios25!K243-ff_factors!$E243</f>
        <v>-3.0553E-2</v>
      </c>
      <c r="L243" s="2">
        <f>ff_portfolios25!L243-ff_factors!$E243</f>
        <v>-1.8487E-2</v>
      </c>
      <c r="M243" s="2">
        <f>ff_portfolios25!M243-ff_factors!$E243</f>
        <v>-2.0132999999999998E-2</v>
      </c>
      <c r="N243" s="2">
        <f>ff_portfolios25!N243-ff_factors!$E243</f>
        <v>-1.7156999999999999E-2</v>
      </c>
      <c r="O243" s="2">
        <f>ff_portfolios25!O243-ff_factors!$E243</f>
        <v>-8.5100000000000002E-3</v>
      </c>
      <c r="P243" s="2">
        <f>ff_portfolios25!P243-ff_factors!$E243</f>
        <v>-2.4659E-2</v>
      </c>
      <c r="Q243" s="2">
        <f>ff_portfolios25!Q243-ff_factors!$E243</f>
        <v>-2.6587E-2</v>
      </c>
      <c r="R243" s="2">
        <f>ff_portfolios25!R243-ff_factors!$E243</f>
        <v>-1.8083999999999999E-2</v>
      </c>
      <c r="S243" s="2">
        <f>ff_portfolios25!S243-ff_factors!$E243</f>
        <v>-1.0312E-2</v>
      </c>
      <c r="T243" s="2">
        <f>ff_portfolios25!T243-ff_factors!$E243</f>
        <v>-1.2473999999999999E-2</v>
      </c>
      <c r="U243" s="2">
        <f>ff_portfolios25!U243-ff_factors!$E243</f>
        <v>-3.5244999999999999E-2</v>
      </c>
      <c r="V243" s="2">
        <f>ff_portfolios25!V243-ff_factors!$E243</f>
        <v>-2.2863000000000001E-2</v>
      </c>
      <c r="W243" s="2">
        <f>ff_portfolios25!W243-ff_factors!$E243</f>
        <v>-1.7607000000000001E-2</v>
      </c>
      <c r="X243" s="2">
        <f>ff_portfolios25!X243-ff_factors!$E243</f>
        <v>-2.4392E-2</v>
      </c>
      <c r="Y243" s="2">
        <f>ff_portfolios25!Y243-ff_factors!$E243</f>
        <v>-2.6894999999999999E-2</v>
      </c>
      <c r="Z243" s="2">
        <f>ff_portfolios25!Z243-ff_factors!$E243</f>
        <v>-3.2744000000000002E-2</v>
      </c>
      <c r="AA243" s="2">
        <f>ff_portfolios25!AA243-ff_factors!$E243</f>
        <v>-3.2606000000000003E-2</v>
      </c>
      <c r="AB243" s="2">
        <f>ff_portfolios25!AB243-ff_factors!$E243</f>
        <v>-3.5993999999999998E-2</v>
      </c>
    </row>
    <row r="244" spans="1:28" x14ac:dyDescent="0.2">
      <c r="A244">
        <v>19520331</v>
      </c>
      <c r="B244">
        <v>1952</v>
      </c>
      <c r="C244">
        <v>3</v>
      </c>
      <c r="D244" s="2">
        <f>ff_portfolios25!D244-ff_factors!$E244</f>
        <v>2.1853999999999998E-2</v>
      </c>
      <c r="E244" s="2">
        <f>ff_portfolios25!E244-ff_factors!$E244</f>
        <v>1.2895E-2</v>
      </c>
      <c r="F244" s="2">
        <f>ff_portfolios25!F244-ff_factors!$E244</f>
        <v>1.3597999999999999E-2</v>
      </c>
      <c r="G244" s="2">
        <f>ff_portfolios25!G244-ff_factors!$E244</f>
        <v>2.3140999999999998E-2</v>
      </c>
      <c r="H244" s="2">
        <f>ff_portfolios25!H244-ff_factors!$E244</f>
        <v>2.2804999999999999E-2</v>
      </c>
      <c r="I244" s="2">
        <f>ff_portfolios25!I244-ff_factors!$E244</f>
        <v>8.3499999999999998E-3</v>
      </c>
      <c r="J244" s="2">
        <f>ff_portfolios25!J244-ff_factors!$E244</f>
        <v>1.7582E-2</v>
      </c>
      <c r="K244" s="2">
        <f>ff_portfolios25!K244-ff_factors!$E244</f>
        <v>1.9073E-2</v>
      </c>
      <c r="L244" s="2">
        <f>ff_portfolios25!L244-ff_factors!$E244</f>
        <v>2.5548999999999999E-2</v>
      </c>
      <c r="M244" s="2">
        <f>ff_portfolios25!M244-ff_factors!$E244</f>
        <v>4.7835000000000003E-2</v>
      </c>
      <c r="N244" s="2">
        <f>ff_portfolios25!N244-ff_factors!$E244</f>
        <v>3.2460000000000003E-2</v>
      </c>
      <c r="O244" s="2">
        <f>ff_portfolios25!O244-ff_factors!$E244</f>
        <v>1.7006E-2</v>
      </c>
      <c r="P244" s="2">
        <f>ff_portfolios25!P244-ff_factors!$E244</f>
        <v>2.4034E-2</v>
      </c>
      <c r="Q244" s="2">
        <f>ff_portfolios25!Q244-ff_factors!$E244</f>
        <v>2.1944999999999999E-2</v>
      </c>
      <c r="R244" s="2">
        <f>ff_portfolios25!R244-ff_factors!$E244</f>
        <v>4.2011E-2</v>
      </c>
      <c r="S244" s="2">
        <f>ff_portfolios25!S244-ff_factors!$E244</f>
        <v>2.5357999999999999E-2</v>
      </c>
      <c r="T244" s="2">
        <f>ff_portfolios25!T244-ff_factors!$E244</f>
        <v>2.3002999999999999E-2</v>
      </c>
      <c r="U244" s="2">
        <f>ff_portfolios25!U244-ff_factors!$E244</f>
        <v>2.9892999999999999E-2</v>
      </c>
      <c r="V244" s="2">
        <f>ff_portfolios25!V244-ff_factors!$E244</f>
        <v>5.4274000000000003E-2</v>
      </c>
      <c r="W244" s="2">
        <f>ff_portfolios25!W244-ff_factors!$E244</f>
        <v>7.2483999999999993E-2</v>
      </c>
      <c r="X244" s="2">
        <f>ff_portfolios25!X244-ff_factors!$E244</f>
        <v>4.7172000000000006E-2</v>
      </c>
      <c r="Y244" s="2">
        <f>ff_portfolios25!Y244-ff_factors!$E244</f>
        <v>5.1269000000000002E-2</v>
      </c>
      <c r="Z244" s="2">
        <f>ff_portfolios25!Z244-ff_factors!$E244</f>
        <v>4.2076000000000002E-2</v>
      </c>
      <c r="AA244" s="2">
        <f>ff_portfolios25!AA244-ff_factors!$E244</f>
        <v>6.7373999999999989E-2</v>
      </c>
      <c r="AB244" s="2">
        <f>ff_portfolios25!AB244-ff_factors!$E244</f>
        <v>7.217599999999999E-2</v>
      </c>
    </row>
    <row r="245" spans="1:28" x14ac:dyDescent="0.2">
      <c r="A245">
        <v>19520430</v>
      </c>
      <c r="B245">
        <v>1952</v>
      </c>
      <c r="C245">
        <v>4</v>
      </c>
      <c r="D245" s="2">
        <f>ff_portfolios25!D245-ff_factors!$E245</f>
        <v>-4.8967999999999998E-2</v>
      </c>
      <c r="E245" s="2">
        <f>ff_portfolios25!E245-ff_factors!$E245</f>
        <v>-6.4115000000000005E-2</v>
      </c>
      <c r="F245" s="2">
        <f>ff_portfolios25!F245-ff_factors!$E245</f>
        <v>-4.5504000000000003E-2</v>
      </c>
      <c r="G245" s="2">
        <f>ff_portfolios25!G245-ff_factors!$E245</f>
        <v>-3.9320000000000001E-2</v>
      </c>
      <c r="H245" s="2">
        <f>ff_portfolios25!H245-ff_factors!$E245</f>
        <v>-5.0996E-2</v>
      </c>
      <c r="I245" s="2">
        <f>ff_portfolios25!I245-ff_factors!$E245</f>
        <v>-5.0506000000000002E-2</v>
      </c>
      <c r="J245" s="2">
        <f>ff_portfolios25!J245-ff_factors!$E245</f>
        <v>-5.1836E-2</v>
      </c>
      <c r="K245" s="2">
        <f>ff_portfolios25!K245-ff_factors!$E245</f>
        <v>-4.3097999999999997E-2</v>
      </c>
      <c r="L245" s="2">
        <f>ff_portfolios25!L245-ff_factors!$E245</f>
        <v>-5.5989999999999998E-2</v>
      </c>
      <c r="M245" s="2">
        <f>ff_portfolios25!M245-ff_factors!$E245</f>
        <v>-4.0653000000000002E-2</v>
      </c>
      <c r="N245" s="2">
        <f>ff_portfolios25!N245-ff_factors!$E245</f>
        <v>-4.0555000000000001E-2</v>
      </c>
      <c r="O245" s="2">
        <f>ff_portfolios25!O245-ff_factors!$E245</f>
        <v>-5.6214E-2</v>
      </c>
      <c r="P245" s="2">
        <f>ff_portfolios25!P245-ff_factors!$E245</f>
        <v>-3.8940999999999996E-2</v>
      </c>
      <c r="Q245" s="2">
        <f>ff_portfolios25!Q245-ff_factors!$E245</f>
        <v>-4.4729999999999999E-2</v>
      </c>
      <c r="R245" s="2">
        <f>ff_portfolios25!R245-ff_factors!$E245</f>
        <v>-3.1675000000000002E-2</v>
      </c>
      <c r="S245" s="2">
        <f>ff_portfolios25!S245-ff_factors!$E245</f>
        <v>-5.8698E-2</v>
      </c>
      <c r="T245" s="2">
        <f>ff_portfolios25!T245-ff_factors!$E245</f>
        <v>-4.3145999999999997E-2</v>
      </c>
      <c r="U245" s="2">
        <f>ff_portfolios25!U245-ff_factors!$E245</f>
        <v>-4.3931999999999999E-2</v>
      </c>
      <c r="V245" s="2">
        <f>ff_portfolios25!V245-ff_factors!$E245</f>
        <v>-6.5129000000000006E-2</v>
      </c>
      <c r="W245" s="2">
        <f>ff_portfolios25!W245-ff_factors!$E245</f>
        <v>-2.9031000000000001E-2</v>
      </c>
      <c r="X245" s="2">
        <f>ff_portfolios25!X245-ff_factors!$E245</f>
        <v>-4.8369000000000002E-2</v>
      </c>
      <c r="Y245" s="2">
        <f>ff_portfolios25!Y245-ff_factors!$E245</f>
        <v>-4.4235999999999998E-2</v>
      </c>
      <c r="Z245" s="2">
        <f>ff_portfolios25!Z245-ff_factors!$E245</f>
        <v>-4.6899999999999997E-2</v>
      </c>
      <c r="AA245" s="2">
        <f>ff_portfolios25!AA245-ff_factors!$E245</f>
        <v>-7.241800000000001E-2</v>
      </c>
      <c r="AB245" s="2">
        <f>ff_portfolios25!AB245-ff_factors!$E245</f>
        <v>-6.0002E-2</v>
      </c>
    </row>
    <row r="246" spans="1:28" x14ac:dyDescent="0.2">
      <c r="A246">
        <v>19520529</v>
      </c>
      <c r="B246">
        <v>1952</v>
      </c>
      <c r="C246">
        <v>5</v>
      </c>
      <c r="D246" s="2">
        <f>ff_portfolios25!D246-ff_factors!$E246</f>
        <v>-7.6950999999999992E-2</v>
      </c>
      <c r="E246" s="2">
        <f>ff_portfolios25!E246-ff_factors!$E246</f>
        <v>6.7789999999999994E-3</v>
      </c>
      <c r="F246" s="2">
        <f>ff_portfolios25!F246-ff_factors!$E246</f>
        <v>2.3338000000000001E-2</v>
      </c>
      <c r="G246" s="2">
        <f>ff_portfolios25!G246-ff_factors!$E246</f>
        <v>1.9477000000000001E-2</v>
      </c>
      <c r="H246" s="2">
        <f>ff_portfolios25!H246-ff_factors!$E246</f>
        <v>1.3292000000000002E-2</v>
      </c>
      <c r="I246" s="2">
        <f>ff_portfolios25!I246-ff_factors!$E246</f>
        <v>1.9994000000000001E-2</v>
      </c>
      <c r="J246" s="2">
        <f>ff_portfolios25!J246-ff_factors!$E246</f>
        <v>2.2495000000000001E-2</v>
      </c>
      <c r="K246" s="2">
        <f>ff_portfolios25!K246-ff_factors!$E246</f>
        <v>2.9753000000000002E-2</v>
      </c>
      <c r="L246" s="2">
        <f>ff_portfolios25!L246-ff_factors!$E246</f>
        <v>1.8265E-2</v>
      </c>
      <c r="M246" s="2">
        <f>ff_portfolios25!M246-ff_factors!$E246</f>
        <v>2.9705000000000002E-2</v>
      </c>
      <c r="N246" s="2">
        <f>ff_portfolios25!N246-ff_factors!$E246</f>
        <v>2.4944000000000001E-2</v>
      </c>
      <c r="O246" s="2">
        <f>ff_portfolios25!O246-ff_factors!$E246</f>
        <v>2.7717000000000002E-2</v>
      </c>
      <c r="P246" s="2">
        <f>ff_portfolios25!P246-ff_factors!$E246</f>
        <v>1.3056999999999999E-2</v>
      </c>
      <c r="Q246" s="2">
        <f>ff_portfolios25!Q246-ff_factors!$E246</f>
        <v>2.2588E-2</v>
      </c>
      <c r="R246" s="2">
        <f>ff_portfolios25!R246-ff_factors!$E246</f>
        <v>3.8834E-2</v>
      </c>
      <c r="S246" s="2">
        <f>ff_portfolios25!S246-ff_factors!$E246</f>
        <v>3.1382E-2</v>
      </c>
      <c r="T246" s="2">
        <f>ff_portfolios25!T246-ff_factors!$E246</f>
        <v>2.2201000000000002E-2</v>
      </c>
      <c r="U246" s="2">
        <f>ff_portfolios25!U246-ff_factors!$E246</f>
        <v>3.2478E-2</v>
      </c>
      <c r="V246" s="2">
        <f>ff_portfolios25!V246-ff_factors!$E246</f>
        <v>1.8579999999999999E-2</v>
      </c>
      <c r="W246" s="2">
        <f>ff_portfolios25!W246-ff_factors!$E246</f>
        <v>3.0355999999999998E-2</v>
      </c>
      <c r="X246" s="2">
        <f>ff_portfolios25!X246-ff_factors!$E246</f>
        <v>4.0062999999999994E-2</v>
      </c>
      <c r="Y246" s="2">
        <f>ff_portfolios25!Y246-ff_factors!$E246</f>
        <v>2.8946E-2</v>
      </c>
      <c r="Z246" s="2">
        <f>ff_portfolios25!Z246-ff_factors!$E246</f>
        <v>2.6123E-2</v>
      </c>
      <c r="AA246" s="2">
        <f>ff_portfolios25!AA246-ff_factors!$E246</f>
        <v>3.6067999999999996E-2</v>
      </c>
      <c r="AB246" s="2">
        <f>ff_portfolios25!AB246-ff_factors!$E246</f>
        <v>3.3072999999999998E-2</v>
      </c>
    </row>
    <row r="247" spans="1:28" x14ac:dyDescent="0.2">
      <c r="A247">
        <v>19520630</v>
      </c>
      <c r="B247">
        <v>1952</v>
      </c>
      <c r="C247">
        <v>6</v>
      </c>
      <c r="D247" s="2">
        <f>ff_portfolios25!D247-ff_factors!$E247</f>
        <v>2.4405999999999997E-2</v>
      </c>
      <c r="E247" s="2">
        <f>ff_portfolios25!E247-ff_factors!$E247</f>
        <v>5.7950999999999996E-2</v>
      </c>
      <c r="F247" s="2">
        <f>ff_portfolios25!F247-ff_factors!$E247</f>
        <v>1.6825999999999997E-2</v>
      </c>
      <c r="G247" s="2">
        <f>ff_portfolios25!G247-ff_factors!$E247</f>
        <v>2.2404999999999998E-2</v>
      </c>
      <c r="H247" s="2">
        <f>ff_portfolios25!H247-ff_factors!$E247</f>
        <v>3.2244999999999996E-2</v>
      </c>
      <c r="I247" s="2">
        <f>ff_portfolios25!I247-ff_factors!$E247</f>
        <v>2.8003999999999998E-2</v>
      </c>
      <c r="J247" s="2">
        <f>ff_portfolios25!J247-ff_factors!$E247</f>
        <v>1.6091999999999999E-2</v>
      </c>
      <c r="K247" s="2">
        <f>ff_portfolios25!K247-ff_factors!$E247</f>
        <v>2.0485E-2</v>
      </c>
      <c r="L247" s="2">
        <f>ff_portfolios25!L247-ff_factors!$E247</f>
        <v>2.7725999999999997E-2</v>
      </c>
      <c r="M247" s="2">
        <f>ff_portfolios25!M247-ff_factors!$E247</f>
        <v>3.9164999999999998E-2</v>
      </c>
      <c r="N247" s="2">
        <f>ff_portfolios25!N247-ff_factors!$E247</f>
        <v>6.9940000000000002E-3</v>
      </c>
      <c r="O247" s="2">
        <f>ff_portfolios25!O247-ff_factors!$E247</f>
        <v>2.8450999999999997E-2</v>
      </c>
      <c r="P247" s="2">
        <f>ff_portfolios25!P247-ff_factors!$E247</f>
        <v>2.7341999999999998E-2</v>
      </c>
      <c r="Q247" s="2">
        <f>ff_portfolios25!Q247-ff_factors!$E247</f>
        <v>3.9211999999999997E-2</v>
      </c>
      <c r="R247" s="2">
        <f>ff_portfolios25!R247-ff_factors!$E247</f>
        <v>3.4743999999999997E-2</v>
      </c>
      <c r="S247" s="2">
        <f>ff_portfolios25!S247-ff_factors!$E247</f>
        <v>3.1800000000000002E-2</v>
      </c>
      <c r="T247" s="2">
        <f>ff_portfolios25!T247-ff_factors!$E247</f>
        <v>3.8764E-2</v>
      </c>
      <c r="U247" s="2">
        <f>ff_portfolios25!U247-ff_factors!$E247</f>
        <v>2.6068999999999998E-2</v>
      </c>
      <c r="V247" s="2">
        <f>ff_portfolios25!V247-ff_factors!$E247</f>
        <v>3.3616E-2</v>
      </c>
      <c r="W247" s="2">
        <f>ff_portfolios25!W247-ff_factors!$E247</f>
        <v>3.6413000000000001E-2</v>
      </c>
      <c r="X247" s="2">
        <f>ff_portfolios25!X247-ff_factors!$E247</f>
        <v>3.9144999999999999E-2</v>
      </c>
      <c r="Y247" s="2">
        <f>ff_portfolios25!Y247-ff_factors!$E247</f>
        <v>4.1084999999999997E-2</v>
      </c>
      <c r="Z247" s="2">
        <f>ff_portfolios25!Z247-ff_factors!$E247</f>
        <v>4.1708000000000002E-2</v>
      </c>
      <c r="AA247" s="2">
        <f>ff_portfolios25!AA247-ff_factors!$E247</f>
        <v>3.1309999999999998E-2</v>
      </c>
      <c r="AB247" s="2">
        <f>ff_portfolios25!AB247-ff_factors!$E247</f>
        <v>6.8857000000000002E-2</v>
      </c>
    </row>
    <row r="248" spans="1:28" x14ac:dyDescent="0.2">
      <c r="A248">
        <v>19520731</v>
      </c>
      <c r="B248">
        <v>1952</v>
      </c>
      <c r="C248">
        <v>7</v>
      </c>
      <c r="D248" s="2">
        <f>ff_portfolios25!D248-ff_factors!$E248</f>
        <v>1.8352999999999998E-2</v>
      </c>
      <c r="E248" s="2">
        <f>ff_portfolios25!E248-ff_factors!$E248</f>
        <v>1.9158999999999999E-2</v>
      </c>
      <c r="F248" s="2">
        <f>ff_portfolios25!F248-ff_factors!$E248</f>
        <v>2.2154999999999998E-2</v>
      </c>
      <c r="G248" s="2">
        <f>ff_portfolios25!G248-ff_factors!$E248</f>
        <v>7.8069999999999997E-3</v>
      </c>
      <c r="H248" s="2">
        <f>ff_portfolios25!H248-ff_factors!$E248</f>
        <v>3.0450000000000004E-3</v>
      </c>
      <c r="I248" s="2">
        <f>ff_portfolios25!I248-ff_factors!$E248</f>
        <v>1.7013999999999998E-2</v>
      </c>
      <c r="J248" s="2">
        <f>ff_portfolios25!J248-ff_factors!$E248</f>
        <v>-2.4420000000000002E-3</v>
      </c>
      <c r="K248" s="2">
        <f>ff_portfolios25!K248-ff_factors!$E248</f>
        <v>1.4233000000000001E-2</v>
      </c>
      <c r="L248" s="2">
        <f>ff_portfolios25!L248-ff_factors!$E248</f>
        <v>1.0358000000000001E-2</v>
      </c>
      <c r="M248" s="2">
        <f>ff_portfolios25!M248-ff_factors!$E248</f>
        <v>-4.8070000000000005E-3</v>
      </c>
      <c r="N248" s="2">
        <f>ff_portfolios25!N248-ff_factors!$E248</f>
        <v>1.6055E-2</v>
      </c>
      <c r="O248" s="2">
        <f>ff_portfolios25!O248-ff_factors!$E248</f>
        <v>7.4339999999999996E-3</v>
      </c>
      <c r="P248" s="2">
        <f>ff_portfolios25!P248-ff_factors!$E248</f>
        <v>1.5306999999999999E-2</v>
      </c>
      <c r="Q248" s="2">
        <f>ff_portfolios25!Q248-ff_factors!$E248</f>
        <v>1.286E-2</v>
      </c>
      <c r="R248" s="2">
        <f>ff_portfolios25!R248-ff_factors!$E248</f>
        <v>4.3800000000000002E-4</v>
      </c>
      <c r="S248" s="2">
        <f>ff_portfolios25!S248-ff_factors!$E248</f>
        <v>8.3540000000000003E-3</v>
      </c>
      <c r="T248" s="2">
        <f>ff_portfolios25!T248-ff_factors!$E248</f>
        <v>1.0338E-2</v>
      </c>
      <c r="U248" s="2">
        <f>ff_portfolios25!U248-ff_factors!$E248</f>
        <v>1.3721000000000001E-2</v>
      </c>
      <c r="V248" s="2">
        <f>ff_portfolios25!V248-ff_factors!$E248</f>
        <v>1.1059000000000001E-2</v>
      </c>
      <c r="W248" s="2">
        <f>ff_portfolios25!W248-ff_factors!$E248</f>
        <v>1.5831999999999999E-2</v>
      </c>
      <c r="X248" s="2">
        <f>ff_portfolios25!X248-ff_factors!$E248</f>
        <v>1.1653E-2</v>
      </c>
      <c r="Y248" s="2">
        <f>ff_portfolios25!Y248-ff_factors!$E248</f>
        <v>9.2040000000000004E-3</v>
      </c>
      <c r="Z248" s="2">
        <f>ff_portfolios25!Z248-ff_factors!$E248</f>
        <v>9.39999999999999E-5</v>
      </c>
      <c r="AA248" s="2">
        <f>ff_portfolios25!AA248-ff_factors!$E248</f>
        <v>1.0359E-2</v>
      </c>
      <c r="AB248" s="2">
        <f>ff_portfolios25!AB248-ff_factors!$E248</f>
        <v>1.2410000000000001E-2</v>
      </c>
    </row>
    <row r="249" spans="1:28" x14ac:dyDescent="0.2">
      <c r="A249">
        <v>19520829</v>
      </c>
      <c r="B249">
        <v>1952</v>
      </c>
      <c r="C249">
        <v>8</v>
      </c>
      <c r="D249" s="2">
        <f>ff_portfolios25!D249-ff_factors!$E249</f>
        <v>-4.7192999999999999E-2</v>
      </c>
      <c r="E249" s="2">
        <f>ff_portfolios25!E249-ff_factors!$E249</f>
        <v>1.0929999999999998E-3</v>
      </c>
      <c r="F249" s="2">
        <f>ff_portfolios25!F249-ff_factors!$E249</f>
        <v>1.513E-3</v>
      </c>
      <c r="G249" s="2">
        <f>ff_portfolios25!G249-ff_factors!$E249</f>
        <v>2.2729999999999998E-3</v>
      </c>
      <c r="H249" s="2">
        <f>ff_portfolios25!H249-ff_factors!$E249</f>
        <v>-3.0690000000000001E-3</v>
      </c>
      <c r="I249" s="2">
        <f>ff_portfolios25!I249-ff_factors!$E249</f>
        <v>-1.9170000000000001E-3</v>
      </c>
      <c r="J249" s="2">
        <f>ff_portfolios25!J249-ff_factors!$E249</f>
        <v>-3.898E-3</v>
      </c>
      <c r="K249" s="2">
        <f>ff_portfolios25!K249-ff_factors!$E249</f>
        <v>7.5760000000000011E-3</v>
      </c>
      <c r="L249" s="2">
        <f>ff_portfolios25!L249-ff_factors!$E249</f>
        <v>1.4501999999999999E-2</v>
      </c>
      <c r="M249" s="2">
        <f>ff_portfolios25!M249-ff_factors!$E249</f>
        <v>-7.0700000000000005E-4</v>
      </c>
      <c r="N249" s="2">
        <f>ff_portfolios25!N249-ff_factors!$E249</f>
        <v>2.6070000000000004E-3</v>
      </c>
      <c r="O249" s="2">
        <f>ff_portfolios25!O249-ff_factors!$E249</f>
        <v>8.7720000000000003E-3</v>
      </c>
      <c r="P249" s="2">
        <f>ff_portfolios25!P249-ff_factors!$E249</f>
        <v>1.7356E-2</v>
      </c>
      <c r="Q249" s="2">
        <f>ff_portfolios25!Q249-ff_factors!$E249</f>
        <v>-4.4550000000000006E-3</v>
      </c>
      <c r="R249" s="2">
        <f>ff_portfolios25!R249-ff_factors!$E249</f>
        <v>-2.0373000000000002E-2</v>
      </c>
      <c r="S249" s="2">
        <f>ff_portfolios25!S249-ff_factors!$E249</f>
        <v>-4.3270000000000001E-3</v>
      </c>
      <c r="T249" s="2">
        <f>ff_portfolios25!T249-ff_factors!$E249</f>
        <v>9.1160000000000008E-3</v>
      </c>
      <c r="U249" s="2">
        <f>ff_portfolios25!U249-ff_factors!$E249</f>
        <v>-6.1169999999999992E-3</v>
      </c>
      <c r="V249" s="2">
        <f>ff_portfolios25!V249-ff_factors!$E249</f>
        <v>-2.601E-3</v>
      </c>
      <c r="W249" s="2">
        <f>ff_portfolios25!W249-ff_factors!$E249</f>
        <v>-1.683E-3</v>
      </c>
      <c r="X249" s="2">
        <f>ff_portfolios25!X249-ff_factors!$E249</f>
        <v>-9.1079999999999998E-3</v>
      </c>
      <c r="Y249" s="2">
        <f>ff_portfolios25!Y249-ff_factors!$E249</f>
        <v>-1.4981999999999999E-2</v>
      </c>
      <c r="Z249" s="2">
        <f>ff_portfolios25!Z249-ff_factors!$E249</f>
        <v>4.8999999999999998E-4</v>
      </c>
      <c r="AA249" s="2">
        <f>ff_portfolios25!AA249-ff_factors!$E249</f>
        <v>-1.6774000000000001E-2</v>
      </c>
      <c r="AB249" s="2">
        <f>ff_portfolios25!AB249-ff_factors!$E249</f>
        <v>-1.4515999999999999E-2</v>
      </c>
    </row>
    <row r="250" spans="1:28" x14ac:dyDescent="0.2">
      <c r="A250">
        <v>19520930</v>
      </c>
      <c r="B250">
        <v>1952</v>
      </c>
      <c r="C250">
        <v>9</v>
      </c>
      <c r="D250" s="2">
        <f>ff_portfolios25!D250-ff_factors!$E250</f>
        <v>-1.4098000000000001E-2</v>
      </c>
      <c r="E250" s="2">
        <f>ff_portfolios25!E250-ff_factors!$E250</f>
        <v>5.0500000000000002E-4</v>
      </c>
      <c r="F250" s="2">
        <f>ff_portfolios25!F250-ff_factors!$E250</f>
        <v>-6.868E-3</v>
      </c>
      <c r="G250" s="2">
        <f>ff_portfolios25!G250-ff_factors!$E250</f>
        <v>-2.0546999999999999E-2</v>
      </c>
      <c r="H250" s="2">
        <f>ff_portfolios25!H250-ff_factors!$E250</f>
        <v>-1.2599000000000001E-2</v>
      </c>
      <c r="I250" s="2">
        <f>ff_portfolios25!I250-ff_factors!$E250</f>
        <v>-1.8357000000000002E-2</v>
      </c>
      <c r="J250" s="2">
        <f>ff_portfolios25!J250-ff_factors!$E250</f>
        <v>-2.2239999999999999E-2</v>
      </c>
      <c r="K250" s="2">
        <f>ff_portfolios25!K250-ff_factors!$E250</f>
        <v>-2.5079999999999998E-3</v>
      </c>
      <c r="L250" s="2">
        <f>ff_portfolios25!L250-ff_factors!$E250</f>
        <v>-2.2388000000000002E-2</v>
      </c>
      <c r="M250" s="2">
        <f>ff_portfolios25!M250-ff_factors!$E250</f>
        <v>-1.8862E-2</v>
      </c>
      <c r="N250" s="2">
        <f>ff_portfolios25!N250-ff_factors!$E250</f>
        <v>-5.6400000000000005E-4</v>
      </c>
      <c r="O250" s="2">
        <f>ff_portfolios25!O250-ff_factors!$E250</f>
        <v>-1.3024000000000001E-2</v>
      </c>
      <c r="P250" s="2">
        <f>ff_portfolios25!P250-ff_factors!$E250</f>
        <v>-8.2319999999999997E-3</v>
      </c>
      <c r="Q250" s="2">
        <f>ff_portfolios25!Q250-ff_factors!$E250</f>
        <v>-2.9868000000000002E-2</v>
      </c>
      <c r="R250" s="2">
        <f>ff_portfolios25!R250-ff_factors!$E250</f>
        <v>-2.9677000000000002E-2</v>
      </c>
      <c r="S250" s="2">
        <f>ff_portfolios25!S250-ff_factors!$E250</f>
        <v>-2.6742000000000002E-2</v>
      </c>
      <c r="T250" s="2">
        <f>ff_portfolios25!T250-ff_factors!$E250</f>
        <v>-5.3930000000000002E-3</v>
      </c>
      <c r="U250" s="2">
        <f>ff_portfolios25!U250-ff_factors!$E250</f>
        <v>-1.5199000000000001E-2</v>
      </c>
      <c r="V250" s="2">
        <f>ff_portfolios25!V250-ff_factors!$E250</f>
        <v>-1.2675000000000001E-2</v>
      </c>
      <c r="W250" s="2">
        <f>ff_portfolios25!W250-ff_factors!$E250</f>
        <v>-2.5805999999999999E-2</v>
      </c>
      <c r="X250" s="2">
        <f>ff_portfolios25!X250-ff_factors!$E250</f>
        <v>-1.66E-2</v>
      </c>
      <c r="Y250" s="2">
        <f>ff_portfolios25!Y250-ff_factors!$E250</f>
        <v>-2.3949000000000002E-2</v>
      </c>
      <c r="Z250" s="2">
        <f>ff_portfolios25!Z250-ff_factors!$E250</f>
        <v>-1.5679999999999999E-2</v>
      </c>
      <c r="AA250" s="2">
        <f>ff_portfolios25!AA250-ff_factors!$E250</f>
        <v>-4.8763999999999995E-2</v>
      </c>
      <c r="AB250" s="2">
        <f>ff_portfolios25!AB250-ff_factors!$E250</f>
        <v>-2.2290000000000001E-2</v>
      </c>
    </row>
    <row r="251" spans="1:28" x14ac:dyDescent="0.2">
      <c r="A251">
        <v>19521031</v>
      </c>
      <c r="B251">
        <v>1952</v>
      </c>
      <c r="C251">
        <v>10</v>
      </c>
      <c r="D251" s="2">
        <f>ff_portfolios25!D251-ff_factors!$E251</f>
        <v>-1.7188999999999999E-2</v>
      </c>
      <c r="E251" s="2">
        <f>ff_portfolios25!E251-ff_factors!$E251</f>
        <v>-2.8814999999999997E-2</v>
      </c>
      <c r="F251" s="2">
        <f>ff_portfolios25!F251-ff_factors!$E251</f>
        <v>8.8699999999999998E-4</v>
      </c>
      <c r="G251" s="2">
        <f>ff_portfolios25!G251-ff_factors!$E251</f>
        <v>-1.4033E-2</v>
      </c>
      <c r="H251" s="2">
        <f>ff_portfolios25!H251-ff_factors!$E251</f>
        <v>-1.4248E-2</v>
      </c>
      <c r="I251" s="2">
        <f>ff_portfolios25!I251-ff_factors!$E251</f>
        <v>-2.4840999999999998E-2</v>
      </c>
      <c r="J251" s="2">
        <f>ff_portfolios25!J251-ff_factors!$E251</f>
        <v>-1.0793000000000001E-2</v>
      </c>
      <c r="K251" s="2">
        <f>ff_portfolios25!K251-ff_factors!$E251</f>
        <v>-2.3420999999999997E-2</v>
      </c>
      <c r="L251" s="2">
        <f>ff_portfolios25!L251-ff_factors!$E251</f>
        <v>-1.2091000000000001E-2</v>
      </c>
      <c r="M251" s="2">
        <f>ff_portfolios25!M251-ff_factors!$E251</f>
        <v>-2.6051999999999999E-2</v>
      </c>
      <c r="N251" s="2">
        <f>ff_portfolios25!N251-ff_factors!$E251</f>
        <v>-5.8970000000000003E-3</v>
      </c>
      <c r="O251" s="2">
        <f>ff_portfolios25!O251-ff_factors!$E251</f>
        <v>-3.7470000000000003E-3</v>
      </c>
      <c r="P251" s="2">
        <f>ff_portfolios25!P251-ff_factors!$E251</f>
        <v>-1.8445E-2</v>
      </c>
      <c r="Q251" s="2">
        <f>ff_portfolios25!Q251-ff_factors!$E251</f>
        <v>-1.5063E-2</v>
      </c>
      <c r="R251" s="2">
        <f>ff_portfolios25!R251-ff_factors!$E251</f>
        <v>-9.3489999999999997E-3</v>
      </c>
      <c r="S251" s="2">
        <f>ff_portfolios25!S251-ff_factors!$E251</f>
        <v>-2.5560000000000001E-3</v>
      </c>
      <c r="T251" s="2">
        <f>ff_portfolios25!T251-ff_factors!$E251</f>
        <v>-1.6097E-2</v>
      </c>
      <c r="U251" s="2">
        <f>ff_portfolios25!U251-ff_factors!$E251</f>
        <v>-1.8497999999999997E-2</v>
      </c>
      <c r="V251" s="2">
        <f>ff_portfolios25!V251-ff_factors!$E251</f>
        <v>-1.8421E-2</v>
      </c>
      <c r="W251" s="2">
        <f>ff_portfolios25!W251-ff_factors!$E251</f>
        <v>1.1707E-2</v>
      </c>
      <c r="X251" s="2">
        <f>ff_portfolios25!X251-ff_factors!$E251</f>
        <v>-1.0703000000000001E-2</v>
      </c>
      <c r="Y251" s="2">
        <f>ff_portfolios25!Y251-ff_factors!$E251</f>
        <v>1.3299999999999998E-3</v>
      </c>
      <c r="Z251" s="2">
        <f>ff_portfolios25!Z251-ff_factors!$E251</f>
        <v>-3.8780000000000004E-3</v>
      </c>
      <c r="AA251" s="2">
        <f>ff_portfolios25!AA251-ff_factors!$E251</f>
        <v>-4.6000000000000001E-4</v>
      </c>
      <c r="AB251" s="2">
        <f>ff_portfolios25!AB251-ff_factors!$E251</f>
        <v>-4.7650000000000001E-3</v>
      </c>
    </row>
    <row r="252" spans="1:28" x14ac:dyDescent="0.2">
      <c r="A252">
        <v>19521128</v>
      </c>
      <c r="B252">
        <v>1952</v>
      </c>
      <c r="C252">
        <v>11</v>
      </c>
      <c r="D252" s="2">
        <f>ff_portfolios25!D252-ff_factors!$E252</f>
        <v>6.1710000000000003E-3</v>
      </c>
      <c r="E252" s="2">
        <f>ff_portfolios25!E252-ff_factors!$E252</f>
        <v>8.3112999999999992E-2</v>
      </c>
      <c r="F252" s="2">
        <f>ff_portfolios25!F252-ff_factors!$E252</f>
        <v>2.9248E-2</v>
      </c>
      <c r="G252" s="2">
        <f>ff_portfolios25!G252-ff_factors!$E252</f>
        <v>4.0603E-2</v>
      </c>
      <c r="H252" s="2">
        <f>ff_portfolios25!H252-ff_factors!$E252</f>
        <v>4.5682E-2</v>
      </c>
      <c r="I252" s="2">
        <f>ff_portfolios25!I252-ff_factors!$E252</f>
        <v>6.4314999999999997E-2</v>
      </c>
      <c r="J252" s="2">
        <f>ff_portfolios25!J252-ff_factors!$E252</f>
        <v>3.5410999999999998E-2</v>
      </c>
      <c r="K252" s="2">
        <f>ff_portfolios25!K252-ff_factors!$E252</f>
        <v>5.2542999999999999E-2</v>
      </c>
      <c r="L252" s="2">
        <f>ff_portfolios25!L252-ff_factors!$E252</f>
        <v>6.4981999999999998E-2</v>
      </c>
      <c r="M252" s="2">
        <f>ff_portfolios25!M252-ff_factors!$E252</f>
        <v>5.7477E-2</v>
      </c>
      <c r="N252" s="2">
        <f>ff_portfolios25!N252-ff_factors!$E252</f>
        <v>5.0549999999999998E-2</v>
      </c>
      <c r="O252" s="2">
        <f>ff_portfolios25!O252-ff_factors!$E252</f>
        <v>6.4721000000000001E-2</v>
      </c>
      <c r="P252" s="2">
        <f>ff_portfolios25!P252-ff_factors!$E252</f>
        <v>6.1364000000000002E-2</v>
      </c>
      <c r="Q252" s="2">
        <f>ff_portfolios25!Q252-ff_factors!$E252</f>
        <v>5.6863999999999998E-2</v>
      </c>
      <c r="R252" s="2">
        <f>ff_portfolios25!R252-ff_factors!$E252</f>
        <v>6.1866000000000004E-2</v>
      </c>
      <c r="S252" s="2">
        <f>ff_portfolios25!S252-ff_factors!$E252</f>
        <v>4.3313999999999998E-2</v>
      </c>
      <c r="T252" s="2">
        <f>ff_portfolios25!T252-ff_factors!$E252</f>
        <v>5.6787999999999998E-2</v>
      </c>
      <c r="U252" s="2">
        <f>ff_portfolios25!U252-ff_factors!$E252</f>
        <v>5.6714000000000001E-2</v>
      </c>
      <c r="V252" s="2">
        <f>ff_portfolios25!V252-ff_factors!$E252</f>
        <v>6.0636999999999996E-2</v>
      </c>
      <c r="W252" s="2">
        <f>ff_portfolios25!W252-ff_factors!$E252</f>
        <v>7.0609999999999992E-2</v>
      </c>
      <c r="X252" s="2">
        <f>ff_portfolios25!X252-ff_factors!$E252</f>
        <v>7.2243000000000002E-2</v>
      </c>
      <c r="Y252" s="2">
        <f>ff_portfolios25!Y252-ff_factors!$E252</f>
        <v>4.8864999999999999E-2</v>
      </c>
      <c r="Z252" s="2">
        <f>ff_portfolios25!Z252-ff_factors!$E252</f>
        <v>4.3915999999999997E-2</v>
      </c>
      <c r="AA252" s="2">
        <f>ff_portfolios25!AA252-ff_factors!$E252</f>
        <v>6.4353999999999995E-2</v>
      </c>
      <c r="AB252" s="2">
        <f>ff_portfolios25!AB252-ff_factors!$E252</f>
        <v>8.1946000000000005E-2</v>
      </c>
    </row>
    <row r="253" spans="1:28" x14ac:dyDescent="0.2">
      <c r="A253">
        <v>19521231</v>
      </c>
      <c r="B253">
        <v>1952</v>
      </c>
      <c r="C253">
        <v>12</v>
      </c>
      <c r="D253" s="2">
        <f>ff_portfolios25!D253-ff_factors!$E253</f>
        <v>1.1788E-2</v>
      </c>
      <c r="E253" s="2">
        <f>ff_portfolios25!E253-ff_factors!$E253</f>
        <v>-1.8374000000000001E-2</v>
      </c>
      <c r="F253" s="2">
        <f>ff_portfolios25!F253-ff_factors!$E253</f>
        <v>3.8920000000000005E-3</v>
      </c>
      <c r="G253" s="2">
        <f>ff_portfolios25!G253-ff_factors!$E253</f>
        <v>4.1019999999999997E-3</v>
      </c>
      <c r="H253" s="2">
        <f>ff_portfolios25!H253-ff_factors!$E253</f>
        <v>1.5991999999999999E-2</v>
      </c>
      <c r="I253" s="2">
        <f>ff_portfolios25!I253-ff_factors!$E253</f>
        <v>1.8789999999999998E-2</v>
      </c>
      <c r="J253" s="2">
        <f>ff_portfolios25!J253-ff_factors!$E253</f>
        <v>2.724E-2</v>
      </c>
      <c r="K253" s="2">
        <f>ff_portfolios25!K253-ff_factors!$E253</f>
        <v>3.9216000000000001E-2</v>
      </c>
      <c r="L253" s="2">
        <f>ff_portfolios25!L253-ff_factors!$E253</f>
        <v>2.3552E-2</v>
      </c>
      <c r="M253" s="2">
        <f>ff_portfolios25!M253-ff_factors!$E253</f>
        <v>2.3632999999999998E-2</v>
      </c>
      <c r="N253" s="2">
        <f>ff_portfolios25!N253-ff_factors!$E253</f>
        <v>1.6618999999999998E-2</v>
      </c>
      <c r="O253" s="2">
        <f>ff_portfolios25!O253-ff_factors!$E253</f>
        <v>1.9285E-2</v>
      </c>
      <c r="P253" s="2">
        <f>ff_portfolios25!P253-ff_factors!$E253</f>
        <v>1.6691999999999999E-2</v>
      </c>
      <c r="Q253" s="2">
        <f>ff_portfolios25!Q253-ff_factors!$E253</f>
        <v>1.1061E-2</v>
      </c>
      <c r="R253" s="2">
        <f>ff_portfolios25!R253-ff_factors!$E253</f>
        <v>2.6502999999999999E-2</v>
      </c>
      <c r="S253" s="2">
        <f>ff_portfolios25!S253-ff_factors!$E253</f>
        <v>2.2776999999999999E-2</v>
      </c>
      <c r="T253" s="2">
        <f>ff_portfolios25!T253-ff_factors!$E253</f>
        <v>1.9639999999999998E-2</v>
      </c>
      <c r="U253" s="2">
        <f>ff_portfolios25!U253-ff_factors!$E253</f>
        <v>1.6898E-2</v>
      </c>
      <c r="V253" s="2">
        <f>ff_portfolios25!V253-ff_factors!$E253</f>
        <v>2.4556999999999999E-2</v>
      </c>
      <c r="W253" s="2">
        <f>ff_portfolios25!W253-ff_factors!$E253</f>
        <v>4.2006000000000002E-2</v>
      </c>
      <c r="X253" s="2">
        <f>ff_portfolios25!X253-ff_factors!$E253</f>
        <v>3.0370999999999999E-2</v>
      </c>
      <c r="Y253" s="2">
        <f>ff_portfolios25!Y253-ff_factors!$E253</f>
        <v>3.1754000000000004E-2</v>
      </c>
      <c r="Z253" s="2">
        <f>ff_portfolios25!Z253-ff_factors!$E253</f>
        <v>2.4967E-2</v>
      </c>
      <c r="AA253" s="2">
        <f>ff_portfolios25!AA253-ff_factors!$E253</f>
        <v>4.1183000000000004E-2</v>
      </c>
      <c r="AB253" s="2">
        <f>ff_portfolios25!AB253-ff_factors!$E253</f>
        <v>4.6349000000000001E-2</v>
      </c>
    </row>
    <row r="254" spans="1:28" x14ac:dyDescent="0.2">
      <c r="A254">
        <v>19530130</v>
      </c>
      <c r="B254">
        <v>1953</v>
      </c>
      <c r="C254">
        <v>1</v>
      </c>
      <c r="D254" s="2">
        <f>ff_portfolios25!D254-ff_factors!$E254</f>
        <v>2.9236999999999999E-2</v>
      </c>
      <c r="E254" s="2">
        <f>ff_portfolios25!E254-ff_factors!$E254</f>
        <v>5.6037000000000003E-2</v>
      </c>
      <c r="F254" s="2">
        <f>ff_portfolios25!F254-ff_factors!$E254</f>
        <v>3.6583000000000004E-2</v>
      </c>
      <c r="G254" s="2">
        <f>ff_portfolios25!G254-ff_factors!$E254</f>
        <v>4.0655000000000004E-2</v>
      </c>
      <c r="H254" s="2">
        <f>ff_portfolios25!H254-ff_factors!$E254</f>
        <v>3.8529000000000001E-2</v>
      </c>
      <c r="I254" s="2">
        <f>ff_portfolios25!I254-ff_factors!$E254</f>
        <v>3.9127000000000002E-2</v>
      </c>
      <c r="J254" s="2">
        <f>ff_portfolios25!J254-ff_factors!$E254</f>
        <v>2.8989999999999998E-2</v>
      </c>
      <c r="K254" s="2">
        <f>ff_portfolios25!K254-ff_factors!$E254</f>
        <v>2.5014999999999999E-2</v>
      </c>
      <c r="L254" s="2">
        <f>ff_portfolios25!L254-ff_factors!$E254</f>
        <v>3.4700000000000002E-2</v>
      </c>
      <c r="M254" s="2">
        <f>ff_portfolios25!M254-ff_factors!$E254</f>
        <v>4.0837000000000005E-2</v>
      </c>
      <c r="N254" s="2">
        <f>ff_portfolios25!N254-ff_factors!$E254</f>
        <v>2.4472000000000001E-2</v>
      </c>
      <c r="O254" s="2">
        <f>ff_portfolios25!O254-ff_factors!$E254</f>
        <v>8.4789999999999987E-3</v>
      </c>
      <c r="P254" s="2">
        <f>ff_portfolios25!P254-ff_factors!$E254</f>
        <v>3.0741000000000001E-2</v>
      </c>
      <c r="Q254" s="2">
        <f>ff_portfolios25!Q254-ff_factors!$E254</f>
        <v>3.2936E-2</v>
      </c>
      <c r="R254" s="2">
        <f>ff_portfolios25!R254-ff_factors!$E254</f>
        <v>1.4942999999999998E-2</v>
      </c>
      <c r="S254" s="2">
        <f>ff_portfolios25!S254-ff_factors!$E254</f>
        <v>-1.7900000000000001E-3</v>
      </c>
      <c r="T254" s="2">
        <f>ff_portfolios25!T254-ff_factors!$E254</f>
        <v>7.1630000000000001E-3</v>
      </c>
      <c r="U254" s="2">
        <f>ff_portfolios25!U254-ff_factors!$E254</f>
        <v>3.4554000000000001E-2</v>
      </c>
      <c r="V254" s="2">
        <f>ff_portfolios25!V254-ff_factors!$E254</f>
        <v>2.1561E-2</v>
      </c>
      <c r="W254" s="2">
        <f>ff_portfolios25!W254-ff_factors!$E254</f>
        <v>1.7433000000000001E-2</v>
      </c>
      <c r="X254" s="2">
        <f>ff_portfolios25!X254-ff_factors!$E254</f>
        <v>-1.1409000000000001E-2</v>
      </c>
      <c r="Y254" s="2">
        <f>ff_portfolios25!Y254-ff_factors!$E254</f>
        <v>-1.3818E-2</v>
      </c>
      <c r="Z254" s="2">
        <f>ff_portfolios25!Z254-ff_factors!$E254</f>
        <v>-2.428E-3</v>
      </c>
      <c r="AA254" s="2">
        <f>ff_portfolios25!AA254-ff_factors!$E254</f>
        <v>-1.0765E-2</v>
      </c>
      <c r="AB254" s="2">
        <f>ff_portfolios25!AB254-ff_factors!$E254</f>
        <v>1.0702999999999999E-2</v>
      </c>
    </row>
    <row r="255" spans="1:28" x14ac:dyDescent="0.2">
      <c r="A255">
        <v>19530227</v>
      </c>
      <c r="B255">
        <v>1953</v>
      </c>
      <c r="C255">
        <v>2</v>
      </c>
      <c r="D255" s="2">
        <f>ff_portfolios25!D255-ff_factors!$E255</f>
        <v>8.7119000000000002E-2</v>
      </c>
      <c r="E255" s="2">
        <f>ff_portfolios25!E255-ff_factors!$E255</f>
        <v>3.7536E-2</v>
      </c>
      <c r="F255" s="2">
        <f>ff_portfolios25!F255-ff_factors!$E255</f>
        <v>4.8103E-2</v>
      </c>
      <c r="G255" s="2">
        <f>ff_portfolios25!G255-ff_factors!$E255</f>
        <v>2.5345000000000003E-2</v>
      </c>
      <c r="H255" s="2">
        <f>ff_portfolios25!H255-ff_factors!$E255</f>
        <v>2.1240000000000002E-2</v>
      </c>
      <c r="I255" s="2">
        <f>ff_portfolios25!I255-ff_factors!$E255</f>
        <v>1.7013E-2</v>
      </c>
      <c r="J255" s="2">
        <f>ff_portfolios25!J255-ff_factors!$E255</f>
        <v>-9.4399999999999996E-4</v>
      </c>
      <c r="K255" s="2">
        <f>ff_portfolios25!K255-ff_factors!$E255</f>
        <v>1.5329000000000001E-2</v>
      </c>
      <c r="L255" s="2">
        <f>ff_portfolios25!L255-ff_factors!$E255</f>
        <v>1.5951E-2</v>
      </c>
      <c r="M255" s="2">
        <f>ff_portfolios25!M255-ff_factors!$E255</f>
        <v>1.2458E-2</v>
      </c>
      <c r="N255" s="2">
        <f>ff_portfolios25!N255-ff_factors!$E255</f>
        <v>1.0886E-2</v>
      </c>
      <c r="O255" s="2">
        <f>ff_portfolios25!O255-ff_factors!$E255</f>
        <v>1.546E-2</v>
      </c>
      <c r="P255" s="2">
        <f>ff_portfolios25!P255-ff_factors!$E255</f>
        <v>7.7070000000000003E-3</v>
      </c>
      <c r="Q255" s="2">
        <f>ff_portfolios25!Q255-ff_factors!$E255</f>
        <v>1.1802999999999999E-2</v>
      </c>
      <c r="R255" s="2">
        <f>ff_portfolios25!R255-ff_factors!$E255</f>
        <v>-1.707E-3</v>
      </c>
      <c r="S255" s="2">
        <f>ff_portfolios25!S255-ff_factors!$E255</f>
        <v>1.1899E-2</v>
      </c>
      <c r="T255" s="2">
        <f>ff_portfolios25!T255-ff_factors!$E255</f>
        <v>3.7499999999999999E-3</v>
      </c>
      <c r="U255" s="2">
        <f>ff_portfolios25!U255-ff_factors!$E255</f>
        <v>-1.449E-3</v>
      </c>
      <c r="V255" s="2">
        <f>ff_portfolios25!V255-ff_factors!$E255</f>
        <v>1.8101000000000003E-2</v>
      </c>
      <c r="W255" s="2">
        <f>ff_portfolios25!W255-ff_factors!$E255</f>
        <v>-1.0030000000000001E-2</v>
      </c>
      <c r="X255" s="2">
        <f>ff_portfolios25!X255-ff_factors!$E255</f>
        <v>-7.8779999999999996E-3</v>
      </c>
      <c r="Y255" s="2">
        <f>ff_portfolios25!Y255-ff_factors!$E255</f>
        <v>-8.5300000000000003E-4</v>
      </c>
      <c r="Z255" s="2">
        <f>ff_portfolios25!Z255-ff_factors!$E255</f>
        <v>-4.9699999999999996E-3</v>
      </c>
      <c r="AA255" s="2">
        <f>ff_portfolios25!AA255-ff_factors!$E255</f>
        <v>-5.8130000000000005E-3</v>
      </c>
      <c r="AB255" s="2">
        <f>ff_portfolios25!AB255-ff_factors!$E255</f>
        <v>-1.3610000000000001E-2</v>
      </c>
    </row>
    <row r="256" spans="1:28" x14ac:dyDescent="0.2">
      <c r="A256">
        <v>19530331</v>
      </c>
      <c r="B256">
        <v>1953</v>
      </c>
      <c r="C256">
        <v>3</v>
      </c>
      <c r="D256" s="2">
        <f>ff_portfolios25!D256-ff_factors!$E256</f>
        <v>-0.12146699999999999</v>
      </c>
      <c r="E256" s="2">
        <f>ff_portfolios25!E256-ff_factors!$E256</f>
        <v>-3.8389000000000006E-2</v>
      </c>
      <c r="F256" s="2">
        <f>ff_portfolios25!F256-ff_factors!$E256</f>
        <v>-1.7423000000000001E-2</v>
      </c>
      <c r="G256" s="2">
        <f>ff_portfolios25!G256-ff_factors!$E256</f>
        <v>-1.2265E-2</v>
      </c>
      <c r="H256" s="2">
        <f>ff_portfolios25!H256-ff_factors!$E256</f>
        <v>-1.6903999999999999E-2</v>
      </c>
      <c r="I256" s="2">
        <f>ff_portfolios25!I256-ff_factors!$E256</f>
        <v>-2.8787E-2</v>
      </c>
      <c r="J256" s="2">
        <f>ff_portfolios25!J256-ff_factors!$E256</f>
        <v>-7.6270000000000001E-3</v>
      </c>
      <c r="K256" s="2">
        <f>ff_portfolios25!K256-ff_factors!$E256</f>
        <v>-1.7961999999999999E-2</v>
      </c>
      <c r="L256" s="2">
        <f>ff_portfolios25!L256-ff_factors!$E256</f>
        <v>-2.0274999999999998E-2</v>
      </c>
      <c r="M256" s="2">
        <f>ff_portfolios25!M256-ff_factors!$E256</f>
        <v>-2.1954999999999999E-2</v>
      </c>
      <c r="N256" s="2">
        <f>ff_portfolios25!N256-ff_factors!$E256</f>
        <v>-1.1029999999999998E-3</v>
      </c>
      <c r="O256" s="2">
        <f>ff_portfolios25!O256-ff_factors!$E256</f>
        <v>-5.3410000000000003E-3</v>
      </c>
      <c r="P256" s="2">
        <f>ff_portfolios25!P256-ff_factors!$E256</f>
        <v>-1.8349000000000001E-2</v>
      </c>
      <c r="Q256" s="2">
        <f>ff_portfolios25!Q256-ff_factors!$E256</f>
        <v>-1.3465999999999999E-2</v>
      </c>
      <c r="R256" s="2">
        <f>ff_portfolios25!R256-ff_factors!$E256</f>
        <v>-2.0191999999999998E-2</v>
      </c>
      <c r="S256" s="2">
        <f>ff_portfolios25!S256-ff_factors!$E256</f>
        <v>-1.3212999999999999E-2</v>
      </c>
      <c r="T256" s="2">
        <f>ff_portfolios25!T256-ff_factors!$E256</f>
        <v>-9.1590000000000005E-3</v>
      </c>
      <c r="U256" s="2">
        <f>ff_portfolios25!U256-ff_factors!$E256</f>
        <v>-2.2183999999999999E-2</v>
      </c>
      <c r="V256" s="2">
        <f>ff_portfolios25!V256-ff_factors!$E256</f>
        <v>-2.9905999999999999E-2</v>
      </c>
      <c r="W256" s="2">
        <f>ff_portfolios25!W256-ff_factors!$E256</f>
        <v>-1.0655999999999999E-2</v>
      </c>
      <c r="X256" s="2">
        <f>ff_portfolios25!X256-ff_factors!$E256</f>
        <v>-1.4666999999999999E-2</v>
      </c>
      <c r="Y256" s="2">
        <f>ff_portfolios25!Y256-ff_factors!$E256</f>
        <v>-1.6490000000000001E-2</v>
      </c>
      <c r="Z256" s="2">
        <f>ff_portfolios25!Z256-ff_factors!$E256</f>
        <v>-9.9480000000000002E-3</v>
      </c>
      <c r="AA256" s="2">
        <f>ff_portfolios25!AA256-ff_factors!$E256</f>
        <v>-1.0952999999999999E-2</v>
      </c>
      <c r="AB256" s="2">
        <f>ff_portfolios25!AB256-ff_factors!$E256</f>
        <v>-3.0806E-2</v>
      </c>
    </row>
    <row r="257" spans="1:28" x14ac:dyDescent="0.2">
      <c r="A257">
        <v>19530430</v>
      </c>
      <c r="B257">
        <v>1953</v>
      </c>
      <c r="C257">
        <v>4</v>
      </c>
      <c r="D257" s="2">
        <f>ff_portfolios25!D257-ff_factors!$E257</f>
        <v>-1.2670000000000001E-3</v>
      </c>
      <c r="E257" s="2">
        <f>ff_portfolios25!E257-ff_factors!$E257</f>
        <v>-5.0367999999999996E-2</v>
      </c>
      <c r="F257" s="2">
        <f>ff_portfolios25!F257-ff_factors!$E257</f>
        <v>-1.4672000000000001E-2</v>
      </c>
      <c r="G257" s="2">
        <f>ff_portfolios25!G257-ff_factors!$E257</f>
        <v>-2.0258000000000002E-2</v>
      </c>
      <c r="H257" s="2">
        <f>ff_portfolios25!H257-ff_factors!$E257</f>
        <v>-1.8669000000000002E-2</v>
      </c>
      <c r="I257" s="2">
        <f>ff_portfolios25!I257-ff_factors!$E257</f>
        <v>-3.2621999999999998E-2</v>
      </c>
      <c r="J257" s="2">
        <f>ff_portfolios25!J257-ff_factors!$E257</f>
        <v>-3.4463000000000001E-2</v>
      </c>
      <c r="K257" s="2">
        <f>ff_portfolios25!K257-ff_factors!$E257</f>
        <v>-1.5430000000000001E-2</v>
      </c>
      <c r="L257" s="2">
        <f>ff_portfolios25!L257-ff_factors!$E257</f>
        <v>-7.8379999999999995E-3</v>
      </c>
      <c r="M257" s="2">
        <f>ff_portfolios25!M257-ff_factors!$E257</f>
        <v>-1.9389E-2</v>
      </c>
      <c r="N257" s="2">
        <f>ff_portfolios25!N257-ff_factors!$E257</f>
        <v>-3.5823999999999995E-2</v>
      </c>
      <c r="O257" s="2">
        <f>ff_portfolios25!O257-ff_factors!$E257</f>
        <v>-1.7349E-2</v>
      </c>
      <c r="P257" s="2">
        <f>ff_portfolios25!P257-ff_factors!$E257</f>
        <v>-2.3879000000000001E-2</v>
      </c>
      <c r="Q257" s="2">
        <f>ff_portfolios25!Q257-ff_factors!$E257</f>
        <v>-1.5872999999999998E-2</v>
      </c>
      <c r="R257" s="2">
        <f>ff_portfolios25!R257-ff_factors!$E257</f>
        <v>-2.0837000000000001E-2</v>
      </c>
      <c r="S257" s="2">
        <f>ff_portfolios25!S257-ff_factors!$E257</f>
        <v>-1.924E-2</v>
      </c>
      <c r="T257" s="2">
        <f>ff_portfolios25!T257-ff_factors!$E257</f>
        <v>-3.5520999999999997E-2</v>
      </c>
      <c r="U257" s="2">
        <f>ff_portfolios25!U257-ff_factors!$E257</f>
        <v>-1.6707E-2</v>
      </c>
      <c r="V257" s="2">
        <f>ff_portfolios25!V257-ff_factors!$E257</f>
        <v>-2.1842E-2</v>
      </c>
      <c r="W257" s="2">
        <f>ff_portfolios25!W257-ff_factors!$E257</f>
        <v>-2.4287E-2</v>
      </c>
      <c r="X257" s="2">
        <f>ff_portfolios25!X257-ff_factors!$E257</f>
        <v>-2.9555000000000001E-2</v>
      </c>
      <c r="Y257" s="2">
        <f>ff_portfolios25!Y257-ff_factors!$E257</f>
        <v>-3.5372999999999995E-2</v>
      </c>
      <c r="Z257" s="2">
        <f>ff_portfolios25!Z257-ff_factors!$E257</f>
        <v>-2.5129000000000002E-2</v>
      </c>
      <c r="AA257" s="2">
        <f>ff_portfolios25!AA257-ff_factors!$E257</f>
        <v>-3.0384000000000001E-2</v>
      </c>
      <c r="AB257" s="2">
        <f>ff_portfolios25!AB257-ff_factors!$E257</f>
        <v>-1.8408000000000001E-2</v>
      </c>
    </row>
    <row r="258" spans="1:28" x14ac:dyDescent="0.2">
      <c r="A258">
        <v>19530529</v>
      </c>
      <c r="B258">
        <v>1953</v>
      </c>
      <c r="C258">
        <v>5</v>
      </c>
      <c r="D258" s="2">
        <f>ff_portfolios25!D258-ff_factors!$E258</f>
        <v>4.7205999999999998E-2</v>
      </c>
      <c r="E258" s="2">
        <f>ff_portfolios25!E258-ff_factors!$E258</f>
        <v>-1.3271E-2</v>
      </c>
      <c r="F258" s="2">
        <f>ff_portfolios25!F258-ff_factors!$E258</f>
        <v>1.5826E-2</v>
      </c>
      <c r="G258" s="2">
        <f>ff_portfolios25!G258-ff_factors!$E258</f>
        <v>1.3100000000000002E-3</v>
      </c>
      <c r="H258" s="2">
        <f>ff_portfolios25!H258-ff_factors!$E258</f>
        <v>1.2881E-2</v>
      </c>
      <c r="I258" s="2">
        <f>ff_portfolios25!I258-ff_factors!$E258</f>
        <v>-6.1899999999999998E-4</v>
      </c>
      <c r="J258" s="2">
        <f>ff_portfolios25!J258-ff_factors!$E258</f>
        <v>1.1278999999999999E-2</v>
      </c>
      <c r="K258" s="2">
        <f>ff_portfolios25!K258-ff_factors!$E258</f>
        <v>1.4001E-2</v>
      </c>
      <c r="L258" s="2">
        <f>ff_portfolios25!L258-ff_factors!$E258</f>
        <v>-2.2539999999999999E-3</v>
      </c>
      <c r="M258" s="2">
        <f>ff_portfolios25!M258-ff_factors!$E258</f>
        <v>4.751E-3</v>
      </c>
      <c r="N258" s="2">
        <f>ff_portfolios25!N258-ff_factors!$E258</f>
        <v>-5.4099999999999981E-4</v>
      </c>
      <c r="O258" s="2">
        <f>ff_portfolios25!O258-ff_factors!$E258</f>
        <v>-4.5659999999999997E-3</v>
      </c>
      <c r="P258" s="2">
        <f>ff_portfolios25!P258-ff_factors!$E258</f>
        <v>5.2849999999999998E-3</v>
      </c>
      <c r="Q258" s="2">
        <f>ff_portfolios25!Q258-ff_factors!$E258</f>
        <v>5.7239999999999999E-3</v>
      </c>
      <c r="R258" s="2">
        <f>ff_portfolios25!R258-ff_factors!$E258</f>
        <v>9.3709999999999991E-3</v>
      </c>
      <c r="S258" s="2">
        <f>ff_portfolios25!S258-ff_factors!$E258</f>
        <v>-2.843E-3</v>
      </c>
      <c r="T258" s="2">
        <f>ff_portfolios25!T258-ff_factors!$E258</f>
        <v>-2.098E-3</v>
      </c>
      <c r="U258" s="2">
        <f>ff_portfolios25!U258-ff_factors!$E258</f>
        <v>3.3759999999999997E-3</v>
      </c>
      <c r="V258" s="2">
        <f>ff_portfolios25!V258-ff_factors!$E258</f>
        <v>9.977999999999999E-3</v>
      </c>
      <c r="W258" s="2">
        <f>ff_portfolios25!W258-ff_factors!$E258</f>
        <v>4.0476999999999999E-2</v>
      </c>
      <c r="X258" s="2">
        <f>ff_portfolios25!X258-ff_factors!$E258</f>
        <v>6.775999999999999E-3</v>
      </c>
      <c r="Y258" s="2">
        <f>ff_portfolios25!Y258-ff_factors!$E258</f>
        <v>4.4219999999999997E-3</v>
      </c>
      <c r="Z258" s="2">
        <f>ff_portfolios25!Z258-ff_factors!$E258</f>
        <v>1.9410000000000002E-3</v>
      </c>
      <c r="AA258" s="2">
        <f>ff_portfolios25!AA258-ff_factors!$E258</f>
        <v>9.5589999999999998E-3</v>
      </c>
      <c r="AB258" s="2">
        <f>ff_portfolios25!AB258-ff_factors!$E258</f>
        <v>1.7912999999999998E-2</v>
      </c>
    </row>
    <row r="259" spans="1:28" x14ac:dyDescent="0.2">
      <c r="A259">
        <v>19530630</v>
      </c>
      <c r="B259">
        <v>1953</v>
      </c>
      <c r="C259">
        <v>6</v>
      </c>
      <c r="D259" s="2">
        <f>ff_portfolios25!D259-ff_factors!$E259</f>
        <v>-6.6818000000000002E-2</v>
      </c>
      <c r="E259" s="2">
        <f>ff_portfolios25!E259-ff_factors!$E259</f>
        <v>-5.8394000000000001E-2</v>
      </c>
      <c r="F259" s="2">
        <f>ff_portfolios25!F259-ff_factors!$E259</f>
        <v>-5.2712000000000002E-2</v>
      </c>
      <c r="G259" s="2">
        <f>ff_portfolios25!G259-ff_factors!$E259</f>
        <v>-3.6047000000000003E-2</v>
      </c>
      <c r="H259" s="2">
        <f>ff_portfolios25!H259-ff_factors!$E259</f>
        <v>-4.8257000000000001E-2</v>
      </c>
      <c r="I259" s="2">
        <f>ff_portfolios25!I259-ff_factors!$E259</f>
        <v>-3.3106000000000003E-2</v>
      </c>
      <c r="J259" s="2">
        <f>ff_portfolios25!J259-ff_factors!$E259</f>
        <v>-4.1606000000000004E-2</v>
      </c>
      <c r="K259" s="2">
        <f>ff_portfolios25!K259-ff_factors!$E259</f>
        <v>-2.6505999999999998E-2</v>
      </c>
      <c r="L259" s="2">
        <f>ff_portfolios25!L259-ff_factors!$E259</f>
        <v>-3.5061000000000002E-2</v>
      </c>
      <c r="M259" s="2">
        <f>ff_portfolios25!M259-ff_factors!$E259</f>
        <v>-5.1459000000000005E-2</v>
      </c>
      <c r="N259" s="2">
        <f>ff_portfolios25!N259-ff_factors!$E259</f>
        <v>-2.6872E-2</v>
      </c>
      <c r="O259" s="2">
        <f>ff_portfolios25!O259-ff_factors!$E259</f>
        <v>-3.3284000000000001E-2</v>
      </c>
      <c r="P259" s="2">
        <f>ff_portfolios25!P259-ff_factors!$E259</f>
        <v>-2.818E-2</v>
      </c>
      <c r="Q259" s="2">
        <f>ff_portfolios25!Q259-ff_factors!$E259</f>
        <v>-4.2629E-2</v>
      </c>
      <c r="R259" s="2">
        <f>ff_portfolios25!R259-ff_factors!$E259</f>
        <v>-3.2113000000000003E-2</v>
      </c>
      <c r="S259" s="2">
        <f>ff_portfolios25!S259-ff_factors!$E259</f>
        <v>-2.7369000000000001E-2</v>
      </c>
      <c r="T259" s="2">
        <f>ff_portfolios25!T259-ff_factors!$E259</f>
        <v>-3.5500000000000004E-2</v>
      </c>
      <c r="U259" s="2">
        <f>ff_portfolios25!U259-ff_factors!$E259</f>
        <v>-3.3494000000000003E-2</v>
      </c>
      <c r="V259" s="2">
        <f>ff_portfolios25!V259-ff_factors!$E259</f>
        <v>-4.555E-2</v>
      </c>
      <c r="W259" s="2">
        <f>ff_portfolios25!W259-ff_factors!$E259</f>
        <v>-1.6241999999999999E-2</v>
      </c>
      <c r="X259" s="2">
        <f>ff_portfolios25!X259-ff_factors!$E259</f>
        <v>-1.9175999999999999E-2</v>
      </c>
      <c r="Y259" s="2">
        <f>ff_portfolios25!Y259-ff_factors!$E259</f>
        <v>-1.3889E-2</v>
      </c>
      <c r="Z259" s="2">
        <f>ff_portfolios25!Z259-ff_factors!$E259</f>
        <v>-4.0529999999999993E-3</v>
      </c>
      <c r="AA259" s="2">
        <f>ff_portfolios25!AA259-ff_factors!$E259</f>
        <v>-1.8755999999999998E-2</v>
      </c>
      <c r="AB259" s="2">
        <f>ff_portfolios25!AB259-ff_factors!$E259</f>
        <v>-1.4203E-2</v>
      </c>
    </row>
    <row r="260" spans="1:28" x14ac:dyDescent="0.2">
      <c r="A260">
        <v>19530731</v>
      </c>
      <c r="B260">
        <v>1953</v>
      </c>
      <c r="C260">
        <v>7</v>
      </c>
      <c r="D260" s="2">
        <f>ff_portfolios25!D260-ff_factors!$E260</f>
        <v>-4.0390000000000001E-3</v>
      </c>
      <c r="E260" s="2">
        <f>ff_portfolios25!E260-ff_factors!$E260</f>
        <v>-3.7260000000000001E-3</v>
      </c>
      <c r="F260" s="2">
        <f>ff_portfolios25!F260-ff_factors!$E260</f>
        <v>2.0208999999999998E-2</v>
      </c>
      <c r="G260" s="2">
        <f>ff_portfolios25!G260-ff_factors!$E260</f>
        <v>1.1916000000000001E-2</v>
      </c>
      <c r="H260" s="2">
        <f>ff_portfolios25!H260-ff_factors!$E260</f>
        <v>2.2634999999999999E-2</v>
      </c>
      <c r="I260" s="2">
        <f>ff_portfolios25!I260-ff_factors!$E260</f>
        <v>-7.3659999999999993E-3</v>
      </c>
      <c r="J260" s="2">
        <f>ff_portfolios25!J260-ff_factors!$E260</f>
        <v>1.2488000000000001E-2</v>
      </c>
      <c r="K260" s="2">
        <f>ff_portfolios25!K260-ff_factors!$E260</f>
        <v>1.5734999999999999E-2</v>
      </c>
      <c r="L260" s="2">
        <f>ff_portfolios25!L260-ff_factors!$E260</f>
        <v>9.3939999999999996E-3</v>
      </c>
      <c r="M260" s="2">
        <f>ff_portfolios25!M260-ff_factors!$E260</f>
        <v>1.1512E-2</v>
      </c>
      <c r="N260" s="2">
        <f>ff_portfolios25!N260-ff_factors!$E260</f>
        <v>8.9890000000000005E-3</v>
      </c>
      <c r="O260" s="2">
        <f>ff_portfolios25!O260-ff_factors!$E260</f>
        <v>1.6863999999999997E-2</v>
      </c>
      <c r="P260" s="2">
        <f>ff_portfolios25!P260-ff_factors!$E260</f>
        <v>1.5354999999999999E-2</v>
      </c>
      <c r="Q260" s="2">
        <f>ff_portfolios25!Q260-ff_factors!$E260</f>
        <v>2.2609999999999998E-2</v>
      </c>
      <c r="R260" s="2">
        <f>ff_portfolios25!R260-ff_factors!$E260</f>
        <v>1.9112999999999998E-2</v>
      </c>
      <c r="S260" s="2">
        <f>ff_portfolios25!S260-ff_factors!$E260</f>
        <v>1.6347999999999998E-2</v>
      </c>
      <c r="T260" s="2">
        <f>ff_portfolios25!T260-ff_factors!$E260</f>
        <v>1.3648E-2</v>
      </c>
      <c r="U260" s="2">
        <f>ff_portfolios25!U260-ff_factors!$E260</f>
        <v>1.7068999999999997E-2</v>
      </c>
      <c r="V260" s="2">
        <f>ff_portfolios25!V260-ff_factors!$E260</f>
        <v>4.0649999999999992E-3</v>
      </c>
      <c r="W260" s="2">
        <f>ff_portfolios25!W260-ff_factors!$E260</f>
        <v>8.3350000000000004E-3</v>
      </c>
      <c r="X260" s="2">
        <f>ff_portfolios25!X260-ff_factors!$E260</f>
        <v>2.6733E-2</v>
      </c>
      <c r="Y260" s="2">
        <f>ff_portfolios25!Y260-ff_factors!$E260</f>
        <v>3.2402E-2</v>
      </c>
      <c r="Z260" s="2">
        <f>ff_portfolios25!Z260-ff_factors!$E260</f>
        <v>1.6676999999999997E-2</v>
      </c>
      <c r="AA260" s="2">
        <f>ff_portfolios25!AA260-ff_factors!$E260</f>
        <v>1.5305000000000001E-2</v>
      </c>
      <c r="AB260" s="2">
        <f>ff_portfolios25!AB260-ff_factors!$E260</f>
        <v>1.3787000000000001E-2</v>
      </c>
    </row>
    <row r="261" spans="1:28" x14ac:dyDescent="0.2">
      <c r="A261">
        <v>19530831</v>
      </c>
      <c r="B261">
        <v>1953</v>
      </c>
      <c r="C261">
        <v>8</v>
      </c>
      <c r="D261" s="2">
        <f>ff_portfolios25!D261-ff_factors!$E261</f>
        <v>-8.993799999999999E-2</v>
      </c>
      <c r="E261" s="2">
        <f>ff_portfolios25!E261-ff_factors!$E261</f>
        <v>-6.6810999999999995E-2</v>
      </c>
      <c r="F261" s="2">
        <f>ff_portfolios25!F261-ff_factors!$E261</f>
        <v>-7.2907999999999987E-2</v>
      </c>
      <c r="G261" s="2">
        <f>ff_portfolios25!G261-ff_factors!$E261</f>
        <v>-5.9761000000000002E-2</v>
      </c>
      <c r="H261" s="2">
        <f>ff_portfolios25!H261-ff_factors!$E261</f>
        <v>-5.4117999999999999E-2</v>
      </c>
      <c r="I261" s="2">
        <f>ff_portfolios25!I261-ff_factors!$E261</f>
        <v>-3.5299999999999998E-2</v>
      </c>
      <c r="J261" s="2">
        <f>ff_portfolios25!J261-ff_factors!$E261</f>
        <v>-3.8413999999999997E-2</v>
      </c>
      <c r="K261" s="2">
        <f>ff_portfolios25!K261-ff_factors!$E261</f>
        <v>-5.4677999999999997E-2</v>
      </c>
      <c r="L261" s="2">
        <f>ff_portfolios25!L261-ff_factors!$E261</f>
        <v>-6.1990999999999997E-2</v>
      </c>
      <c r="M261" s="2">
        <f>ff_portfolios25!M261-ff_factors!$E261</f>
        <v>-6.8833999999999992E-2</v>
      </c>
      <c r="N261" s="2">
        <f>ff_portfolios25!N261-ff_factors!$E261</f>
        <v>-3.8262999999999998E-2</v>
      </c>
      <c r="O261" s="2">
        <f>ff_portfolios25!O261-ff_factors!$E261</f>
        <v>-2.2533000000000001E-2</v>
      </c>
      <c r="P261" s="2">
        <f>ff_portfolios25!P261-ff_factors!$E261</f>
        <v>-5.6982999999999999E-2</v>
      </c>
      <c r="Q261" s="2">
        <f>ff_portfolios25!Q261-ff_factors!$E261</f>
        <v>-6.4480999999999997E-2</v>
      </c>
      <c r="R261" s="2">
        <f>ff_portfolios25!R261-ff_factors!$E261</f>
        <v>-8.4973999999999994E-2</v>
      </c>
      <c r="S261" s="2">
        <f>ff_portfolios25!S261-ff_factors!$E261</f>
        <v>-4.2825000000000002E-2</v>
      </c>
      <c r="T261" s="2">
        <f>ff_portfolios25!T261-ff_factors!$E261</f>
        <v>-4.0003999999999998E-2</v>
      </c>
      <c r="U261" s="2">
        <f>ff_portfolios25!U261-ff_factors!$E261</f>
        <v>-4.4828E-2</v>
      </c>
      <c r="V261" s="2">
        <f>ff_portfolios25!V261-ff_factors!$E261</f>
        <v>-6.2767000000000003E-2</v>
      </c>
      <c r="W261" s="2">
        <f>ff_portfolios25!W261-ff_factors!$E261</f>
        <v>-9.3528E-2</v>
      </c>
      <c r="X261" s="2">
        <f>ff_portfolios25!X261-ff_factors!$E261</f>
        <v>-3.7204000000000001E-2</v>
      </c>
      <c r="Y261" s="2">
        <f>ff_portfolios25!Y261-ff_factors!$E261</f>
        <v>-4.1887000000000001E-2</v>
      </c>
      <c r="Z261" s="2">
        <f>ff_portfolios25!Z261-ff_factors!$E261</f>
        <v>-4.6434999999999997E-2</v>
      </c>
      <c r="AA261" s="2">
        <f>ff_portfolios25!AA261-ff_factors!$E261</f>
        <v>-6.4571999999999991E-2</v>
      </c>
      <c r="AB261" s="2">
        <f>ff_portfolios25!AB261-ff_factors!$E261</f>
        <v>-9.7524E-2</v>
      </c>
    </row>
    <row r="262" spans="1:28" x14ac:dyDescent="0.2">
      <c r="A262">
        <v>19530930</v>
      </c>
      <c r="B262">
        <v>1953</v>
      </c>
      <c r="C262">
        <v>9</v>
      </c>
      <c r="D262" s="2">
        <f>ff_portfolios25!D262-ff_factors!$E262</f>
        <v>-2.0625000000000001E-2</v>
      </c>
      <c r="E262" s="2">
        <f>ff_portfolios25!E262-ff_factors!$E262</f>
        <v>-4.4818999999999998E-2</v>
      </c>
      <c r="F262" s="2">
        <f>ff_portfolios25!F262-ff_factors!$E262</f>
        <v>-1.2990000000000002E-2</v>
      </c>
      <c r="G262" s="2">
        <f>ff_portfolios25!G262-ff_factors!$E262</f>
        <v>-1.9193999999999999E-2</v>
      </c>
      <c r="H262" s="2">
        <f>ff_portfolios25!H262-ff_factors!$E262</f>
        <v>-3.6248999999999997E-2</v>
      </c>
      <c r="I262" s="2">
        <f>ff_portfolios25!I262-ff_factors!$E262</f>
        <v>2.3045E-2</v>
      </c>
      <c r="J262" s="2">
        <f>ff_portfolios25!J262-ff_factors!$E262</f>
        <v>-1.1361000000000001E-2</v>
      </c>
      <c r="K262" s="2">
        <f>ff_portfolios25!K262-ff_factors!$E262</f>
        <v>-9.528E-3</v>
      </c>
      <c r="L262" s="2">
        <f>ff_portfolios25!L262-ff_factors!$E262</f>
        <v>-1.3217000000000001E-2</v>
      </c>
      <c r="M262" s="2">
        <f>ff_portfolios25!M262-ff_factors!$E262</f>
        <v>-2.1408E-2</v>
      </c>
      <c r="N262" s="2">
        <f>ff_portfolios25!N262-ff_factors!$E262</f>
        <v>8.9289999999999994E-3</v>
      </c>
      <c r="O262" s="2">
        <f>ff_portfolios25!O262-ff_factors!$E262</f>
        <v>-1.0798E-2</v>
      </c>
      <c r="P262" s="2">
        <f>ff_portfolios25!P262-ff_factors!$E262</f>
        <v>-5.6949999999999995E-3</v>
      </c>
      <c r="Q262" s="2">
        <f>ff_portfolios25!Q262-ff_factors!$E262</f>
        <v>-2.1712000000000002E-2</v>
      </c>
      <c r="R262" s="2">
        <f>ff_portfolios25!R262-ff_factors!$E262</f>
        <v>-3.2770000000000001E-2</v>
      </c>
      <c r="S262" s="2">
        <f>ff_portfolios25!S262-ff_factors!$E262</f>
        <v>-1.8110000000000001E-3</v>
      </c>
      <c r="T262" s="2">
        <f>ff_portfolios25!T262-ff_factors!$E262</f>
        <v>3.9849999999999998E-3</v>
      </c>
      <c r="U262" s="2">
        <f>ff_portfolios25!U262-ff_factors!$E262</f>
        <v>-5.3299999999999997E-3</v>
      </c>
      <c r="V262" s="2">
        <f>ff_portfolios25!V262-ff_factors!$E262</f>
        <v>-1.3687000000000001E-2</v>
      </c>
      <c r="W262" s="2">
        <f>ff_portfolios25!W262-ff_factors!$E262</f>
        <v>-2.9223000000000002E-2</v>
      </c>
      <c r="X262" s="2">
        <f>ff_portfolios25!X262-ff_factors!$E262</f>
        <v>1.0669E-2</v>
      </c>
      <c r="Y262" s="2">
        <f>ff_portfolios25!Y262-ff_factors!$E262</f>
        <v>6.4129999999999994E-3</v>
      </c>
      <c r="Z262" s="2">
        <f>ff_portfolios25!Z262-ff_factors!$E262</f>
        <v>-9.1599999999999997E-3</v>
      </c>
      <c r="AA262" s="2">
        <f>ff_portfolios25!AA262-ff_factors!$E262</f>
        <v>-1.4651000000000001E-2</v>
      </c>
      <c r="AB262" s="2">
        <f>ff_portfolios25!AB262-ff_factors!$E262</f>
        <v>-1.7835E-2</v>
      </c>
    </row>
    <row r="263" spans="1:28" x14ac:dyDescent="0.2">
      <c r="A263">
        <v>19531030</v>
      </c>
      <c r="B263">
        <v>1953</v>
      </c>
      <c r="C263">
        <v>10</v>
      </c>
      <c r="D263" s="2">
        <f>ff_portfolios25!D263-ff_factors!$E263</f>
        <v>-5.4910000000000002E-3</v>
      </c>
      <c r="E263" s="2">
        <f>ff_portfolios25!E263-ff_factors!$E263</f>
        <v>2.2996000000000003E-2</v>
      </c>
      <c r="F263" s="2">
        <f>ff_portfolios25!F263-ff_factors!$E263</f>
        <v>3.4042999999999997E-2</v>
      </c>
      <c r="G263" s="2">
        <f>ff_portfolios25!G263-ff_factors!$E263</f>
        <v>1.2268000000000001E-2</v>
      </c>
      <c r="H263" s="2">
        <f>ff_portfolios25!H263-ff_factors!$E263</f>
        <v>2.3018E-2</v>
      </c>
      <c r="I263" s="2">
        <f>ff_portfolios25!I263-ff_factors!$E263</f>
        <v>6.0889999999999998E-3</v>
      </c>
      <c r="J263" s="2">
        <f>ff_portfolios25!J263-ff_factors!$E263</f>
        <v>3.3835999999999998E-2</v>
      </c>
      <c r="K263" s="2">
        <f>ff_portfolios25!K263-ff_factors!$E263</f>
        <v>3.2773999999999998E-2</v>
      </c>
      <c r="L263" s="2">
        <f>ff_portfolios25!L263-ff_factors!$E263</f>
        <v>2.8397000000000002E-2</v>
      </c>
      <c r="M263" s="2">
        <f>ff_portfolios25!M263-ff_factors!$E263</f>
        <v>3.7057E-2</v>
      </c>
      <c r="N263" s="2">
        <f>ff_portfolios25!N263-ff_factors!$E263</f>
        <v>3.2819999999999995E-2</v>
      </c>
      <c r="O263" s="2">
        <f>ff_portfolios25!O263-ff_factors!$E263</f>
        <v>4.6545999999999997E-2</v>
      </c>
      <c r="P263" s="2">
        <f>ff_portfolios25!P263-ff_factors!$E263</f>
        <v>3.6410999999999999E-2</v>
      </c>
      <c r="Q263" s="2">
        <f>ff_portfolios25!Q263-ff_factors!$E263</f>
        <v>5.8230999999999998E-2</v>
      </c>
      <c r="R263" s="2">
        <f>ff_portfolios25!R263-ff_factors!$E263</f>
        <v>3.3762999999999994E-2</v>
      </c>
      <c r="S263" s="2">
        <f>ff_portfolios25!S263-ff_factors!$E263</f>
        <v>4.2691E-2</v>
      </c>
      <c r="T263" s="2">
        <f>ff_portfolios25!T263-ff_factors!$E263</f>
        <v>4.3316E-2</v>
      </c>
      <c r="U263" s="2">
        <f>ff_portfolios25!U263-ff_factors!$E263</f>
        <v>4.8133999999999996E-2</v>
      </c>
      <c r="V263" s="2">
        <f>ff_portfolios25!V263-ff_factors!$E263</f>
        <v>4.4783999999999997E-2</v>
      </c>
      <c r="W263" s="2">
        <f>ff_portfolios25!W263-ff_factors!$E263</f>
        <v>3.2585999999999997E-2</v>
      </c>
      <c r="X263" s="2">
        <f>ff_portfolios25!X263-ff_factors!$E263</f>
        <v>5.1649E-2</v>
      </c>
      <c r="Y263" s="2">
        <f>ff_portfolios25!Y263-ff_factors!$E263</f>
        <v>4.0513E-2</v>
      </c>
      <c r="Z263" s="2">
        <f>ff_portfolios25!Z263-ff_factors!$E263</f>
        <v>5.0115E-2</v>
      </c>
      <c r="AA263" s="2">
        <f>ff_portfolios25!AA263-ff_factors!$E263</f>
        <v>5.6485E-2</v>
      </c>
      <c r="AB263" s="2">
        <f>ff_portfolios25!AB263-ff_factors!$E263</f>
        <v>3.4317E-2</v>
      </c>
    </row>
    <row r="264" spans="1:28" x14ac:dyDescent="0.2">
      <c r="A264">
        <v>19531130</v>
      </c>
      <c r="B264">
        <v>1953</v>
      </c>
      <c r="C264">
        <v>11</v>
      </c>
      <c r="D264" s="2">
        <f>ff_portfolios25!D264-ff_factors!$E264</f>
        <v>5.4599999999999994E-4</v>
      </c>
      <c r="E264" s="2">
        <f>ff_portfolios25!E264-ff_factors!$E264</f>
        <v>4.8655999999999998E-2</v>
      </c>
      <c r="F264" s="2">
        <f>ff_portfolios25!F264-ff_factors!$E264</f>
        <v>1.8919000000000002E-2</v>
      </c>
      <c r="G264" s="2">
        <f>ff_portfolios25!G264-ff_factors!$E264</f>
        <v>8.6350000000000003E-3</v>
      </c>
      <c r="H264" s="2">
        <f>ff_portfolios25!H264-ff_factors!$E264</f>
        <v>1.7358000000000002E-2</v>
      </c>
      <c r="I264" s="2">
        <f>ff_portfolios25!I264-ff_factors!$E264</f>
        <v>1.8242000000000001E-2</v>
      </c>
      <c r="J264" s="2">
        <f>ff_portfolios25!J264-ff_factors!$E264</f>
        <v>2.5247000000000002E-2</v>
      </c>
      <c r="K264" s="2">
        <f>ff_portfolios25!K264-ff_factors!$E264</f>
        <v>2.5318E-2</v>
      </c>
      <c r="L264" s="2">
        <f>ff_portfolios25!L264-ff_factors!$E264</f>
        <v>3.813E-3</v>
      </c>
      <c r="M264" s="2">
        <f>ff_portfolios25!M264-ff_factors!$E264</f>
        <v>1.6135E-2</v>
      </c>
      <c r="N264" s="2">
        <f>ff_portfolios25!N264-ff_factors!$E264</f>
        <v>2.7880000000000002E-2</v>
      </c>
      <c r="O264" s="2">
        <f>ff_portfolios25!O264-ff_factors!$E264</f>
        <v>1.6395E-2</v>
      </c>
      <c r="P264" s="2">
        <f>ff_portfolios25!P264-ff_factors!$E264</f>
        <v>1.4279999999999999E-2</v>
      </c>
      <c r="Q264" s="2">
        <f>ff_portfolios25!Q264-ff_factors!$E264</f>
        <v>1.6391000000000003E-2</v>
      </c>
      <c r="R264" s="2">
        <f>ff_portfolios25!R264-ff_factors!$E264</f>
        <v>1.8056000000000003E-2</v>
      </c>
      <c r="S264" s="2">
        <f>ff_portfolios25!S264-ff_factors!$E264</f>
        <v>2.4422000000000003E-2</v>
      </c>
      <c r="T264" s="2">
        <f>ff_portfolios25!T264-ff_factors!$E264</f>
        <v>2.8053000000000002E-2</v>
      </c>
      <c r="U264" s="2">
        <f>ff_portfolios25!U264-ff_factors!$E264</f>
        <v>3.2174999999999995E-2</v>
      </c>
      <c r="V264" s="2">
        <f>ff_portfolios25!V264-ff_factors!$E264</f>
        <v>3.3845E-2</v>
      </c>
      <c r="W264" s="2">
        <f>ff_portfolios25!W264-ff_factors!$E264</f>
        <v>3.7106E-2</v>
      </c>
      <c r="X264" s="2">
        <f>ff_portfolios25!X264-ff_factors!$E264</f>
        <v>3.7973E-2</v>
      </c>
      <c r="Y264" s="2">
        <f>ff_portfolios25!Y264-ff_factors!$E264</f>
        <v>2.2545000000000003E-2</v>
      </c>
      <c r="Z264" s="2">
        <f>ff_portfolios25!Z264-ff_factors!$E264</f>
        <v>1.5143999999999999E-2</v>
      </c>
      <c r="AA264" s="2">
        <f>ff_portfolios25!AA264-ff_factors!$E264</f>
        <v>2.8174000000000001E-2</v>
      </c>
      <c r="AB264" s="2">
        <f>ff_portfolios25!AB264-ff_factors!$E264</f>
        <v>2.3459000000000001E-2</v>
      </c>
    </row>
    <row r="265" spans="1:28" x14ac:dyDescent="0.2">
      <c r="A265">
        <v>19531231</v>
      </c>
      <c r="B265">
        <v>1953</v>
      </c>
      <c r="C265">
        <v>12</v>
      </c>
      <c r="D265" s="2">
        <f>ff_portfolios25!D265-ff_factors!$E265</f>
        <v>-4.4305000000000004E-2</v>
      </c>
      <c r="E265" s="2">
        <f>ff_portfolios25!E265-ff_factors!$E265</f>
        <v>-3.0351E-2</v>
      </c>
      <c r="F265" s="2">
        <f>ff_portfolios25!F265-ff_factors!$E265</f>
        <v>-1.9806999999999998E-2</v>
      </c>
      <c r="G265" s="2">
        <f>ff_portfolios25!G265-ff_factors!$E265</f>
        <v>-1.6594999999999999E-2</v>
      </c>
      <c r="H265" s="2">
        <f>ff_portfolios25!H265-ff_factors!$E265</f>
        <v>-3.7580000000000002E-2</v>
      </c>
      <c r="I265" s="2">
        <f>ff_portfolios25!I265-ff_factors!$E265</f>
        <v>-1.1639E-2</v>
      </c>
      <c r="J265" s="2">
        <f>ff_portfolios25!J265-ff_factors!$E265</f>
        <v>-1.0520999999999999E-2</v>
      </c>
      <c r="K265" s="2">
        <f>ff_portfolios25!K265-ff_factors!$E265</f>
        <v>-8.6350000000000003E-3</v>
      </c>
      <c r="L265" s="2">
        <f>ff_portfolios25!L265-ff_factors!$E265</f>
        <v>-2.053E-2</v>
      </c>
      <c r="M265" s="2">
        <f>ff_portfolios25!M265-ff_factors!$E265</f>
        <v>-4.5116000000000003E-2</v>
      </c>
      <c r="N265" s="2">
        <f>ff_portfolios25!N265-ff_factors!$E265</f>
        <v>-1.238E-3</v>
      </c>
      <c r="O265" s="2">
        <f>ff_portfolios25!O265-ff_factors!$E265</f>
        <v>1.7500000000000003E-4</v>
      </c>
      <c r="P265" s="2">
        <f>ff_portfolios25!P265-ff_factors!$E265</f>
        <v>-1.7108999999999999E-2</v>
      </c>
      <c r="Q265" s="2">
        <f>ff_portfolios25!Q265-ff_factors!$E265</f>
        <v>-1.3253999999999998E-2</v>
      </c>
      <c r="R265" s="2">
        <f>ff_portfolios25!R265-ff_factors!$E265</f>
        <v>-2.7872999999999998E-2</v>
      </c>
      <c r="S265" s="2">
        <f>ff_portfolios25!S265-ff_factors!$E265</f>
        <v>5.0470000000000003E-3</v>
      </c>
      <c r="T265" s="2">
        <f>ff_portfolios25!T265-ff_factors!$E265</f>
        <v>-2.5469999999999998E-3</v>
      </c>
      <c r="U265" s="2">
        <f>ff_portfolios25!U265-ff_factors!$E265</f>
        <v>-1.905E-3</v>
      </c>
      <c r="V265" s="2">
        <f>ff_portfolios25!V265-ff_factors!$E265</f>
        <v>-1.5332999999999999E-2</v>
      </c>
      <c r="W265" s="2">
        <f>ff_portfolios25!W265-ff_factors!$E265</f>
        <v>-4.5393000000000003E-2</v>
      </c>
      <c r="X265" s="2">
        <f>ff_portfolios25!X265-ff_factors!$E265</f>
        <v>5.5180000000000003E-3</v>
      </c>
      <c r="Y265" s="2">
        <f>ff_portfolios25!Y265-ff_factors!$E265</f>
        <v>5.8980000000000005E-3</v>
      </c>
      <c r="Z265" s="2">
        <f>ff_portfolios25!Z265-ff_factors!$E265</f>
        <v>4.1879999999999999E-3</v>
      </c>
      <c r="AA265" s="2">
        <f>ff_portfolios25!AA265-ff_factors!$E265</f>
        <v>-9.5410000000000009E-3</v>
      </c>
      <c r="AB265" s="2">
        <f>ff_portfolios25!AB265-ff_factors!$E265</f>
        <v>-4.9760000000000006E-2</v>
      </c>
    </row>
    <row r="266" spans="1:28" x14ac:dyDescent="0.2">
      <c r="A266">
        <v>19540129</v>
      </c>
      <c r="B266">
        <v>1954</v>
      </c>
      <c r="C266">
        <v>1</v>
      </c>
      <c r="D266" s="2">
        <f>ff_portfolios25!D266-ff_factors!$E266</f>
        <v>0.109663</v>
      </c>
      <c r="E266" s="2">
        <f>ff_portfolios25!E266-ff_factors!$E266</f>
        <v>6.8109000000000003E-2</v>
      </c>
      <c r="F266" s="2">
        <f>ff_portfolios25!F266-ff_factors!$E266</f>
        <v>4.3937000000000004E-2</v>
      </c>
      <c r="G266" s="2">
        <f>ff_portfolios25!G266-ff_factors!$E266</f>
        <v>7.5341999999999992E-2</v>
      </c>
      <c r="H266" s="2">
        <f>ff_portfolios25!H266-ff_factors!$E266</f>
        <v>8.6654999999999996E-2</v>
      </c>
      <c r="I266" s="2">
        <f>ff_portfolios25!I266-ff_factors!$E266</f>
        <v>4.2728000000000002E-2</v>
      </c>
      <c r="J266" s="2">
        <f>ff_portfolios25!J266-ff_factors!$E266</f>
        <v>5.1353000000000003E-2</v>
      </c>
      <c r="K266" s="2">
        <f>ff_portfolios25!K266-ff_factors!$E266</f>
        <v>6.0259E-2</v>
      </c>
      <c r="L266" s="2">
        <f>ff_portfolios25!L266-ff_factors!$E266</f>
        <v>6.5577999999999997E-2</v>
      </c>
      <c r="M266" s="2">
        <f>ff_portfolios25!M266-ff_factors!$E266</f>
        <v>9.7387000000000001E-2</v>
      </c>
      <c r="N266" s="2">
        <f>ff_portfolios25!N266-ff_factors!$E266</f>
        <v>5.8213000000000001E-2</v>
      </c>
      <c r="O266" s="2">
        <f>ff_portfolios25!O266-ff_factors!$E266</f>
        <v>7.2136999999999993E-2</v>
      </c>
      <c r="P266" s="2">
        <f>ff_portfolios25!P266-ff_factors!$E266</f>
        <v>6.7639999999999992E-2</v>
      </c>
      <c r="Q266" s="2">
        <f>ff_portfolios25!Q266-ff_factors!$E266</f>
        <v>6.8662000000000001E-2</v>
      </c>
      <c r="R266" s="2">
        <f>ff_portfolios25!R266-ff_factors!$E266</f>
        <v>8.0047999999999994E-2</v>
      </c>
      <c r="S266" s="2">
        <f>ff_portfolios25!S266-ff_factors!$E266</f>
        <v>4.9506000000000001E-2</v>
      </c>
      <c r="T266" s="2">
        <f>ff_portfolios25!T266-ff_factors!$E266</f>
        <v>5.3545000000000002E-2</v>
      </c>
      <c r="U266" s="2">
        <f>ff_portfolios25!U266-ff_factors!$E266</f>
        <v>6.9377999999999995E-2</v>
      </c>
      <c r="V266" s="2">
        <f>ff_portfolios25!V266-ff_factors!$E266</f>
        <v>5.8100000000000006E-2</v>
      </c>
      <c r="W266" s="2">
        <f>ff_portfolios25!W266-ff_factors!$E266</f>
        <v>8.0793999999999991E-2</v>
      </c>
      <c r="X266" s="2">
        <f>ff_portfolios25!X266-ff_factors!$E266</f>
        <v>3.3346000000000001E-2</v>
      </c>
      <c r="Y266" s="2">
        <f>ff_portfolios25!Y266-ff_factors!$E266</f>
        <v>5.3192000000000003E-2</v>
      </c>
      <c r="Z266" s="2">
        <f>ff_portfolios25!Z266-ff_factors!$E266</f>
        <v>7.275899999999999E-2</v>
      </c>
      <c r="AA266" s="2">
        <f>ff_portfolios25!AA266-ff_factors!$E266</f>
        <v>8.6959999999999996E-2</v>
      </c>
      <c r="AB266" s="2">
        <f>ff_portfolios25!AB266-ff_factors!$E266</f>
        <v>7.8650999999999999E-2</v>
      </c>
    </row>
    <row r="267" spans="1:28" x14ac:dyDescent="0.2">
      <c r="A267">
        <v>19540226</v>
      </c>
      <c r="B267">
        <v>1954</v>
      </c>
      <c r="C267">
        <v>2</v>
      </c>
      <c r="D267" s="2">
        <f>ff_portfolios25!D267-ff_factors!$E267</f>
        <v>6.8000000000000027E-5</v>
      </c>
      <c r="E267" s="2">
        <f>ff_portfolios25!E267-ff_factors!$E267</f>
        <v>2.7925999999999999E-2</v>
      </c>
      <c r="F267" s="2">
        <f>ff_portfolios25!F267-ff_factors!$E267</f>
        <v>-1.732E-3</v>
      </c>
      <c r="G267" s="2">
        <f>ff_portfolios25!G267-ff_factors!$E267</f>
        <v>3.137E-3</v>
      </c>
      <c r="H267" s="2">
        <f>ff_portfolios25!H267-ff_factors!$E267</f>
        <v>-3.7999999999999948E-5</v>
      </c>
      <c r="I267" s="2">
        <f>ff_portfolios25!I267-ff_factors!$E267</f>
        <v>2.3828999999999999E-2</v>
      </c>
      <c r="J267" s="2">
        <f>ff_portfolios25!J267-ff_factors!$E267</f>
        <v>-4.0279999999999995E-3</v>
      </c>
      <c r="K267" s="2">
        <f>ff_portfolios25!K267-ff_factors!$E267</f>
        <v>2.7788E-2</v>
      </c>
      <c r="L267" s="2">
        <f>ff_portfolios25!L267-ff_factors!$E267</f>
        <v>2.7351E-2</v>
      </c>
      <c r="M267" s="2">
        <f>ff_portfolios25!M267-ff_factors!$E267</f>
        <v>-3.9829999999999996E-3</v>
      </c>
      <c r="N267" s="2">
        <f>ff_portfolios25!N267-ff_factors!$E267</f>
        <v>1.5485000000000002E-2</v>
      </c>
      <c r="O267" s="2">
        <f>ff_portfolios25!O267-ff_factors!$E267</f>
        <v>2.0338999999999999E-2</v>
      </c>
      <c r="P267" s="2">
        <f>ff_portfolios25!P267-ff_factors!$E267</f>
        <v>1.8257000000000002E-2</v>
      </c>
      <c r="Q267" s="2">
        <f>ff_portfolios25!Q267-ff_factors!$E267</f>
        <v>2.2818000000000001E-2</v>
      </c>
      <c r="R267" s="2">
        <f>ff_portfolios25!R267-ff_factors!$E267</f>
        <v>7.7729999999999995E-3</v>
      </c>
      <c r="S267" s="2">
        <f>ff_portfolios25!S267-ff_factors!$E267</f>
        <v>2.2967000000000001E-2</v>
      </c>
      <c r="T267" s="2">
        <f>ff_portfolios25!T267-ff_factors!$E267</f>
        <v>1.7801000000000001E-2</v>
      </c>
      <c r="U267" s="2">
        <f>ff_portfolios25!U267-ff_factors!$E267</f>
        <v>2.7789000000000001E-2</v>
      </c>
      <c r="V267" s="2">
        <f>ff_portfolios25!V267-ff_factors!$E267</f>
        <v>1.7074000000000002E-2</v>
      </c>
      <c r="W267" s="2">
        <f>ff_portfolios25!W267-ff_factors!$E267</f>
        <v>5.3429999999999997E-3</v>
      </c>
      <c r="X267" s="2">
        <f>ff_portfolios25!X267-ff_factors!$E267</f>
        <v>1.6841999999999999E-2</v>
      </c>
      <c r="Y267" s="2">
        <f>ff_portfolios25!Y267-ff_factors!$E267</f>
        <v>1.7375000000000002E-2</v>
      </c>
      <c r="Z267" s="2">
        <f>ff_portfolios25!Z267-ff_factors!$E267</f>
        <v>1.8010000000000002E-2</v>
      </c>
      <c r="AA267" s="2">
        <f>ff_portfolios25!AA267-ff_factors!$E267</f>
        <v>-2.3449999999999999E-3</v>
      </c>
      <c r="AB267" s="2">
        <f>ff_portfolios25!AB267-ff_factors!$E267</f>
        <v>2.2893E-2</v>
      </c>
    </row>
    <row r="268" spans="1:28" x14ac:dyDescent="0.2">
      <c r="A268">
        <v>19540331</v>
      </c>
      <c r="B268">
        <v>1954</v>
      </c>
      <c r="C268">
        <v>3</v>
      </c>
      <c r="D268" s="2">
        <f>ff_portfolios25!D268-ff_factors!$E268</f>
        <v>2.9542000000000002E-2</v>
      </c>
      <c r="E268" s="2">
        <f>ff_portfolios25!E268-ff_factors!$E268</f>
        <v>3.3728999999999995E-2</v>
      </c>
      <c r="F268" s="2">
        <f>ff_portfolios25!F268-ff_factors!$E268</f>
        <v>2.9920000000000002E-2</v>
      </c>
      <c r="G268" s="2">
        <f>ff_portfolios25!G268-ff_factors!$E268</f>
        <v>3.0061000000000001E-2</v>
      </c>
      <c r="H268" s="2">
        <f>ff_portfolios25!H268-ff_factors!$E268</f>
        <v>2.2334E-2</v>
      </c>
      <c r="I268" s="2">
        <f>ff_portfolios25!I268-ff_factors!$E268</f>
        <v>2.7391000000000002E-2</v>
      </c>
      <c r="J268" s="2">
        <f>ff_portfolios25!J268-ff_factors!$E268</f>
        <v>2.6351000000000003E-2</v>
      </c>
      <c r="K268" s="2">
        <f>ff_portfolios25!K268-ff_factors!$E268</f>
        <v>2.8964E-2</v>
      </c>
      <c r="L268" s="2">
        <f>ff_portfolios25!L268-ff_factors!$E268</f>
        <v>2.8878000000000001E-2</v>
      </c>
      <c r="M268" s="2">
        <f>ff_portfolios25!M268-ff_factors!$E268</f>
        <v>2.1764000000000002E-2</v>
      </c>
      <c r="N268" s="2">
        <f>ff_portfolios25!N268-ff_factors!$E268</f>
        <v>4.1866999999999994E-2</v>
      </c>
      <c r="O268" s="2">
        <f>ff_portfolios25!O268-ff_factors!$E268</f>
        <v>1.5809E-2</v>
      </c>
      <c r="P268" s="2">
        <f>ff_portfolios25!P268-ff_factors!$E268</f>
        <v>3.7476999999999996E-2</v>
      </c>
      <c r="Q268" s="2">
        <f>ff_portfolios25!Q268-ff_factors!$E268</f>
        <v>3.006E-2</v>
      </c>
      <c r="R268" s="2">
        <f>ff_portfolios25!R268-ff_factors!$E268</f>
        <v>3.9489999999999994E-3</v>
      </c>
      <c r="S268" s="2">
        <f>ff_portfolios25!S268-ff_factors!$E268</f>
        <v>4.5019999999999998E-2</v>
      </c>
      <c r="T268" s="2">
        <f>ff_portfolios25!T268-ff_factors!$E268</f>
        <v>3.0852000000000001E-2</v>
      </c>
      <c r="U268" s="2">
        <f>ff_portfolios25!U268-ff_factors!$E268</f>
        <v>4.9737999999999997E-2</v>
      </c>
      <c r="V268" s="2">
        <f>ff_portfolios25!V268-ff_factors!$E268</f>
        <v>3.5382999999999998E-2</v>
      </c>
      <c r="W268" s="2">
        <f>ff_portfolios25!W268-ff_factors!$E268</f>
        <v>2.0521000000000001E-2</v>
      </c>
      <c r="X268" s="2">
        <f>ff_portfolios25!X268-ff_factors!$E268</f>
        <v>4.3888999999999997E-2</v>
      </c>
      <c r="Y268" s="2">
        <f>ff_portfolios25!Y268-ff_factors!$E268</f>
        <v>3.7136999999999996E-2</v>
      </c>
      <c r="Z268" s="2">
        <f>ff_portfolios25!Z268-ff_factors!$E268</f>
        <v>2.7770000000000003E-2</v>
      </c>
      <c r="AA268" s="2">
        <f>ff_portfolios25!AA268-ff_factors!$E268</f>
        <v>2.1606E-2</v>
      </c>
      <c r="AB268" s="2">
        <f>ff_portfolios25!AB268-ff_factors!$E268</f>
        <v>6.0129999999999992E-3</v>
      </c>
    </row>
    <row r="269" spans="1:28" x14ac:dyDescent="0.2">
      <c r="A269">
        <v>19540430</v>
      </c>
      <c r="B269">
        <v>1954</v>
      </c>
      <c r="C269">
        <v>4</v>
      </c>
      <c r="D269" s="2">
        <f>ff_portfolios25!D269-ff_factors!$E269</f>
        <v>-5.3461999999999996E-2</v>
      </c>
      <c r="E269" s="2">
        <f>ff_portfolios25!E269-ff_factors!$E269</f>
        <v>2.6594999999999997E-2</v>
      </c>
      <c r="F269" s="2">
        <f>ff_portfolios25!F269-ff_factors!$E269</f>
        <v>2.8762999999999997E-2</v>
      </c>
      <c r="G269" s="2">
        <f>ff_portfolios25!G269-ff_factors!$E269</f>
        <v>1.1975E-2</v>
      </c>
      <c r="H269" s="2">
        <f>ff_portfolios25!H269-ff_factors!$E269</f>
        <v>-4.6389999999999999E-3</v>
      </c>
      <c r="I269" s="2">
        <f>ff_portfolios25!I269-ff_factors!$E269</f>
        <v>-1.5616E-2</v>
      </c>
      <c r="J269" s="2">
        <f>ff_portfolios25!J269-ff_factors!$E269</f>
        <v>-2.8609999999999998E-3</v>
      </c>
      <c r="K269" s="2">
        <f>ff_portfolios25!K269-ff_factors!$E269</f>
        <v>2.4877999999999997E-2</v>
      </c>
      <c r="L269" s="2">
        <f>ff_portfolios25!L269-ff_factors!$E269</f>
        <v>2.3039999999999996E-3</v>
      </c>
      <c r="M269" s="2">
        <f>ff_portfolios25!M269-ff_factors!$E269</f>
        <v>-1.3799999999999999E-4</v>
      </c>
      <c r="N269" s="2">
        <f>ff_portfolios25!N269-ff_factors!$E269</f>
        <v>1.8072999999999999E-2</v>
      </c>
      <c r="O269" s="2">
        <f>ff_portfolios25!O269-ff_factors!$E269</f>
        <v>2.7562E-2</v>
      </c>
      <c r="P269" s="2">
        <f>ff_portfolios25!P269-ff_factors!$E269</f>
        <v>3.2181000000000001E-2</v>
      </c>
      <c r="Q269" s="2">
        <f>ff_portfolios25!Q269-ff_factors!$E269</f>
        <v>2.3928999999999999E-2</v>
      </c>
      <c r="R269" s="2">
        <f>ff_portfolios25!R269-ff_factors!$E269</f>
        <v>-7.0409999999999995E-3</v>
      </c>
      <c r="S269" s="2">
        <f>ff_portfolios25!S269-ff_factors!$E269</f>
        <v>1.4352E-2</v>
      </c>
      <c r="T269" s="2">
        <f>ff_portfolios25!T269-ff_factors!$E269</f>
        <v>3.3063000000000002E-2</v>
      </c>
      <c r="U269" s="2">
        <f>ff_portfolios25!U269-ff_factors!$E269</f>
        <v>2.3011999999999998E-2</v>
      </c>
      <c r="V269" s="2">
        <f>ff_portfolios25!V269-ff_factors!$E269</f>
        <v>-8.9119999999999998E-3</v>
      </c>
      <c r="W269" s="2">
        <f>ff_portfolios25!W269-ff_factors!$E269</f>
        <v>4.4940000000000006E-3</v>
      </c>
      <c r="X269" s="2">
        <f>ff_portfolios25!X269-ff_factors!$E269</f>
        <v>5.4962000000000004E-2</v>
      </c>
      <c r="Y269" s="2">
        <f>ff_portfolios25!Y269-ff_factors!$E269</f>
        <v>4.4754000000000002E-2</v>
      </c>
      <c r="Z269" s="2">
        <f>ff_portfolios25!Z269-ff_factors!$E269</f>
        <v>5.1885000000000001E-2</v>
      </c>
      <c r="AA269" s="2">
        <f>ff_portfolios25!AA269-ff_factors!$E269</f>
        <v>5.6327000000000002E-2</v>
      </c>
      <c r="AB269" s="2">
        <f>ff_portfolios25!AB269-ff_factors!$E269</f>
        <v>1.2878000000000001E-2</v>
      </c>
    </row>
    <row r="270" spans="1:28" x14ac:dyDescent="0.2">
      <c r="A270">
        <v>19540528</v>
      </c>
      <c r="B270">
        <v>1954</v>
      </c>
      <c r="C270">
        <v>5</v>
      </c>
      <c r="D270" s="2">
        <f>ff_portfolios25!D270-ff_factors!$E270</f>
        <v>1.9849999999999998E-3</v>
      </c>
      <c r="E270" s="2">
        <f>ff_portfolios25!E270-ff_factors!$E270</f>
        <v>6.4218999999999998E-2</v>
      </c>
      <c r="F270" s="2">
        <f>ff_portfolios25!F270-ff_factors!$E270</f>
        <v>4.4808000000000001E-2</v>
      </c>
      <c r="G270" s="2">
        <f>ff_portfolios25!G270-ff_factors!$E270</f>
        <v>4.5011000000000002E-2</v>
      </c>
      <c r="H270" s="2">
        <f>ff_portfolios25!H270-ff_factors!$E270</f>
        <v>4.2728999999999996E-2</v>
      </c>
      <c r="I270" s="2">
        <f>ff_portfolios25!I270-ff_factors!$E270</f>
        <v>2.6238999999999998E-2</v>
      </c>
      <c r="J270" s="2">
        <f>ff_portfolios25!J270-ff_factors!$E270</f>
        <v>3.9102999999999999E-2</v>
      </c>
      <c r="K270" s="2">
        <f>ff_portfolios25!K270-ff_factors!$E270</f>
        <v>4.3804000000000003E-2</v>
      </c>
      <c r="L270" s="2">
        <f>ff_portfolios25!L270-ff_factors!$E270</f>
        <v>4.5607000000000002E-2</v>
      </c>
      <c r="M270" s="2">
        <f>ff_portfolios25!M270-ff_factors!$E270</f>
        <v>4.1482999999999999E-2</v>
      </c>
      <c r="N270" s="2">
        <f>ff_portfolios25!N270-ff_factors!$E270</f>
        <v>2.8374E-2</v>
      </c>
      <c r="O270" s="2">
        <f>ff_portfolios25!O270-ff_factors!$E270</f>
        <v>2.9912999999999999E-2</v>
      </c>
      <c r="P270" s="2">
        <f>ff_portfolios25!P270-ff_factors!$E270</f>
        <v>2.4642999999999998E-2</v>
      </c>
      <c r="Q270" s="2">
        <f>ff_portfolios25!Q270-ff_factors!$E270</f>
        <v>4.3297999999999996E-2</v>
      </c>
      <c r="R270" s="2">
        <f>ff_portfolios25!R270-ff_factors!$E270</f>
        <v>6.8040000000000003E-2</v>
      </c>
      <c r="S270" s="2">
        <f>ff_portfolios25!S270-ff_factors!$E270</f>
        <v>3.6734999999999997E-2</v>
      </c>
      <c r="T270" s="2">
        <f>ff_portfolios25!T270-ff_factors!$E270</f>
        <v>3.0360999999999999E-2</v>
      </c>
      <c r="U270" s="2">
        <f>ff_portfolios25!U270-ff_factors!$E270</f>
        <v>4.6158999999999999E-2</v>
      </c>
      <c r="V270" s="2">
        <f>ff_portfolios25!V270-ff_factors!$E270</f>
        <v>6.1919000000000002E-2</v>
      </c>
      <c r="W270" s="2">
        <f>ff_portfolios25!W270-ff_factors!$E270</f>
        <v>6.9000999999999993E-2</v>
      </c>
      <c r="X270" s="2">
        <f>ff_portfolios25!X270-ff_factors!$E270</f>
        <v>2.7549000000000001E-2</v>
      </c>
      <c r="Y270" s="2">
        <f>ff_portfolios25!Y270-ff_factors!$E270</f>
        <v>2.1155E-2</v>
      </c>
      <c r="Z270" s="2">
        <f>ff_portfolios25!Z270-ff_factors!$E270</f>
        <v>2.2645999999999999E-2</v>
      </c>
      <c r="AA270" s="2">
        <f>ff_portfolios25!AA270-ff_factors!$E270</f>
        <v>6.8176E-2</v>
      </c>
      <c r="AB270" s="2">
        <f>ff_portfolios25!AB270-ff_factors!$E270</f>
        <v>7.3943999999999996E-2</v>
      </c>
    </row>
    <row r="271" spans="1:28" x14ac:dyDescent="0.2">
      <c r="A271">
        <v>19540630</v>
      </c>
      <c r="B271">
        <v>1954</v>
      </c>
      <c r="C271">
        <v>6</v>
      </c>
      <c r="D271" s="2">
        <f>ff_portfolios25!D271-ff_factors!$E271</f>
        <v>-4.3172000000000002E-2</v>
      </c>
      <c r="E271" s="2">
        <f>ff_portfolios25!E271-ff_factors!$E271</f>
        <v>9.051E-3</v>
      </c>
      <c r="F271" s="2">
        <f>ff_portfolios25!F271-ff_factors!$E271</f>
        <v>7.5689999999999993E-3</v>
      </c>
      <c r="G271" s="2">
        <f>ff_portfolios25!G271-ff_factors!$E271</f>
        <v>7.6649999999999999E-3</v>
      </c>
      <c r="H271" s="2">
        <f>ff_portfolios25!H271-ff_factors!$E271</f>
        <v>2.1576999999999999E-2</v>
      </c>
      <c r="I271" s="2">
        <f>ff_portfolios25!I271-ff_factors!$E271</f>
        <v>1.1303000000000001E-2</v>
      </c>
      <c r="J271" s="2">
        <f>ff_portfolios25!J271-ff_factors!$E271</f>
        <v>-6.8859999999999998E-3</v>
      </c>
      <c r="K271" s="2">
        <f>ff_portfolios25!K271-ff_factors!$E271</f>
        <v>2.7864E-2</v>
      </c>
      <c r="L271" s="2">
        <f>ff_portfolios25!L271-ff_factors!$E271</f>
        <v>1.1376000000000001E-2</v>
      </c>
      <c r="M271" s="2">
        <f>ff_portfolios25!M271-ff_factors!$E271</f>
        <v>2.5402999999999998E-2</v>
      </c>
      <c r="N271" s="2">
        <f>ff_portfolios25!N271-ff_factors!$E271</f>
        <v>1.6802000000000001E-2</v>
      </c>
      <c r="O271" s="2">
        <f>ff_portfolios25!O271-ff_factors!$E271</f>
        <v>1.0137E-2</v>
      </c>
      <c r="P271" s="2">
        <f>ff_portfolios25!P271-ff_factors!$E271</f>
        <v>2.0608000000000001E-2</v>
      </c>
      <c r="Q271" s="2">
        <f>ff_portfolios25!Q271-ff_factors!$E271</f>
        <v>2.1661E-2</v>
      </c>
      <c r="R271" s="2">
        <f>ff_portfolios25!R271-ff_factors!$E271</f>
        <v>1.4492E-2</v>
      </c>
      <c r="S271" s="2">
        <f>ff_portfolios25!S271-ff_factors!$E271</f>
        <v>7.7350000000000006E-3</v>
      </c>
      <c r="T271" s="2">
        <f>ff_portfolios25!T271-ff_factors!$E271</f>
        <v>2.6103999999999999E-2</v>
      </c>
      <c r="U271" s="2">
        <f>ff_portfolios25!U271-ff_factors!$E271</f>
        <v>2.9791999999999999E-2</v>
      </c>
      <c r="V271" s="2">
        <f>ff_portfolios25!V271-ff_factors!$E271</f>
        <v>1.6767000000000001E-2</v>
      </c>
      <c r="W271" s="2">
        <f>ff_portfolios25!W271-ff_factors!$E271</f>
        <v>-2.2279999999999999E-3</v>
      </c>
      <c r="X271" s="2">
        <f>ff_portfolios25!X271-ff_factors!$E271</f>
        <v>3.1081000000000001E-2</v>
      </c>
      <c r="Y271" s="2">
        <f>ff_portfolios25!Y271-ff_factors!$E271</f>
        <v>-1.1949E-2</v>
      </c>
      <c r="Z271" s="2">
        <f>ff_portfolios25!Z271-ff_factors!$E271</f>
        <v>-1.7769E-2</v>
      </c>
      <c r="AA271" s="2">
        <f>ff_portfolios25!AA271-ff_factors!$E271</f>
        <v>8.4930000000000005E-3</v>
      </c>
      <c r="AB271" s="2">
        <f>ff_portfolios25!AB271-ff_factors!$E271</f>
        <v>-8.0840000000000009E-3</v>
      </c>
    </row>
    <row r="272" spans="1:28" x14ac:dyDescent="0.2">
      <c r="A272">
        <v>19540730</v>
      </c>
      <c r="B272">
        <v>1954</v>
      </c>
      <c r="C272">
        <v>7</v>
      </c>
      <c r="D272" s="2">
        <f>ff_portfolios25!D272-ff_factors!$E272</f>
        <v>2.9117000000000001E-2</v>
      </c>
      <c r="E272" s="2">
        <f>ff_portfolios25!E272-ff_factors!$E272</f>
        <v>7.9374E-2</v>
      </c>
      <c r="F272" s="2">
        <f>ff_portfolios25!F272-ff_factors!$E272</f>
        <v>4.0361000000000001E-2</v>
      </c>
      <c r="G272" s="2">
        <f>ff_portfolios25!G272-ff_factors!$E272</f>
        <v>9.3809000000000003E-2</v>
      </c>
      <c r="H272" s="2">
        <f>ff_portfolios25!H272-ff_factors!$E272</f>
        <v>0.149176</v>
      </c>
      <c r="I272" s="2">
        <f>ff_portfolios25!I272-ff_factors!$E272</f>
        <v>3.5106999999999999E-2</v>
      </c>
      <c r="J272" s="2">
        <f>ff_portfolios25!J272-ff_factors!$E272</f>
        <v>6.7351999999999995E-2</v>
      </c>
      <c r="K272" s="2">
        <f>ff_portfolios25!K272-ff_factors!$E272</f>
        <v>7.0334999999999995E-2</v>
      </c>
      <c r="L272" s="2">
        <f>ff_portfolios25!L272-ff_factors!$E272</f>
        <v>7.0786000000000002E-2</v>
      </c>
      <c r="M272" s="2">
        <f>ff_portfolios25!M272-ff_factors!$E272</f>
        <v>7.9062999999999994E-2</v>
      </c>
      <c r="N272" s="2">
        <f>ff_portfolios25!N272-ff_factors!$E272</f>
        <v>4.9875000000000003E-2</v>
      </c>
      <c r="O272" s="2">
        <f>ff_portfolios25!O272-ff_factors!$E272</f>
        <v>7.1301000000000003E-2</v>
      </c>
      <c r="P272" s="2">
        <f>ff_portfolios25!P272-ff_factors!$E272</f>
        <v>6.5678E-2</v>
      </c>
      <c r="Q272" s="2">
        <f>ff_portfolios25!Q272-ff_factors!$E272</f>
        <v>7.0763999999999994E-2</v>
      </c>
      <c r="R272" s="2">
        <f>ff_portfolios25!R272-ff_factors!$E272</f>
        <v>6.4763000000000001E-2</v>
      </c>
      <c r="S272" s="2">
        <f>ff_portfolios25!S272-ff_factors!$E272</f>
        <v>5.5535000000000001E-2</v>
      </c>
      <c r="T272" s="2">
        <f>ff_portfolios25!T272-ff_factors!$E272</f>
        <v>6.5956000000000001E-2</v>
      </c>
      <c r="U272" s="2">
        <f>ff_portfolios25!U272-ff_factors!$E272</f>
        <v>7.6557E-2</v>
      </c>
      <c r="V272" s="2">
        <f>ff_portfolios25!V272-ff_factors!$E272</f>
        <v>5.8993999999999998E-2</v>
      </c>
      <c r="W272" s="2">
        <f>ff_portfolios25!W272-ff_factors!$E272</f>
        <v>7.5658000000000003E-2</v>
      </c>
      <c r="X272" s="2">
        <f>ff_portfolios25!X272-ff_factors!$E272</f>
        <v>3.7240999999999996E-2</v>
      </c>
      <c r="Y272" s="2">
        <f>ff_portfolios25!Y272-ff_factors!$E272</f>
        <v>4.9498E-2</v>
      </c>
      <c r="Z272" s="2">
        <f>ff_portfolios25!Z272-ff_factors!$E272</f>
        <v>4.8348999999999996E-2</v>
      </c>
      <c r="AA272" s="2">
        <f>ff_portfolios25!AA272-ff_factors!$E272</f>
        <v>7.1955000000000005E-2</v>
      </c>
      <c r="AB272" s="2">
        <f>ff_portfolios25!AB272-ff_factors!$E272</f>
        <v>8.7395E-2</v>
      </c>
    </row>
    <row r="273" spans="1:28" x14ac:dyDescent="0.2">
      <c r="A273">
        <v>19540831</v>
      </c>
      <c r="B273">
        <v>1954</v>
      </c>
      <c r="C273">
        <v>8</v>
      </c>
      <c r="D273" s="2">
        <f>ff_portfolios25!D273-ff_factors!$E273</f>
        <v>1.7075E-2</v>
      </c>
      <c r="E273" s="2">
        <f>ff_portfolios25!E273-ff_factors!$E273</f>
        <v>-2.7755999999999999E-2</v>
      </c>
      <c r="F273" s="2">
        <f>ff_portfolios25!F273-ff_factors!$E273</f>
        <v>-2.7680000000000001E-3</v>
      </c>
      <c r="G273" s="2">
        <f>ff_portfolios25!G273-ff_factors!$E273</f>
        <v>-3.0999999999999999E-3</v>
      </c>
      <c r="H273" s="2">
        <f>ff_portfolios25!H273-ff_factors!$E273</f>
        <v>-9.2800000000000001E-4</v>
      </c>
      <c r="I273" s="2">
        <f>ff_portfolios25!I273-ff_factors!$E273</f>
        <v>-1.9040999999999999E-2</v>
      </c>
      <c r="J273" s="2">
        <f>ff_portfolios25!J273-ff_factors!$E273</f>
        <v>1.5306E-2</v>
      </c>
      <c r="K273" s="2">
        <f>ff_portfolios25!K273-ff_factors!$E273</f>
        <v>1.1951E-2</v>
      </c>
      <c r="L273" s="2">
        <f>ff_portfolios25!L273-ff_factors!$E273</f>
        <v>5.5689999999999993E-3</v>
      </c>
      <c r="M273" s="2">
        <f>ff_portfolios25!M273-ff_factors!$E273</f>
        <v>-7.1710000000000003E-3</v>
      </c>
      <c r="N273" s="2">
        <f>ff_portfolios25!N273-ff_factors!$E273</f>
        <v>3.9010000000000004E-3</v>
      </c>
      <c r="O273" s="2">
        <f>ff_portfolios25!O273-ff_factors!$E273</f>
        <v>-1.8090999999999999E-2</v>
      </c>
      <c r="P273" s="2">
        <f>ff_portfolios25!P273-ff_factors!$E273</f>
        <v>-1.3179E-2</v>
      </c>
      <c r="Q273" s="2">
        <f>ff_portfolios25!Q273-ff_factors!$E273</f>
        <v>-1.5461000000000001E-2</v>
      </c>
      <c r="R273" s="2">
        <f>ff_portfolios25!R273-ff_factors!$E273</f>
        <v>-1.4615000000000001E-2</v>
      </c>
      <c r="S273" s="2">
        <f>ff_portfolios25!S273-ff_factors!$E273</f>
        <v>-1.7340999999999999E-2</v>
      </c>
      <c r="T273" s="2">
        <f>ff_portfolios25!T273-ff_factors!$E273</f>
        <v>-1.7849E-2</v>
      </c>
      <c r="U273" s="2">
        <f>ff_portfolios25!U273-ff_factors!$E273</f>
        <v>-1.2073E-2</v>
      </c>
      <c r="V273" s="2">
        <f>ff_portfolios25!V273-ff_factors!$E273</f>
        <v>-1.4094000000000001E-2</v>
      </c>
      <c r="W273" s="2">
        <f>ff_portfolios25!W273-ff_factors!$E273</f>
        <v>-2.6589999999999999E-2</v>
      </c>
      <c r="X273" s="2">
        <f>ff_portfolios25!X273-ff_factors!$E273</f>
        <v>-3.4965000000000003E-2</v>
      </c>
      <c r="Y273" s="2">
        <f>ff_portfolios25!Y273-ff_factors!$E273</f>
        <v>-1.2088E-2</v>
      </c>
      <c r="Z273" s="2">
        <f>ff_portfolios25!Z273-ff_factors!$E273</f>
        <v>-1.4663000000000001E-2</v>
      </c>
      <c r="AA273" s="2">
        <f>ff_portfolios25!AA273-ff_factors!$E273</f>
        <v>-4.6026999999999998E-2</v>
      </c>
      <c r="AB273" s="2">
        <f>ff_portfolios25!AB273-ff_factors!$E273</f>
        <v>-5.0868999999999998E-2</v>
      </c>
    </row>
    <row r="274" spans="1:28" x14ac:dyDescent="0.2">
      <c r="A274">
        <v>19540930</v>
      </c>
      <c r="B274">
        <v>1954</v>
      </c>
      <c r="C274">
        <v>9</v>
      </c>
      <c r="D274" s="2">
        <f>ff_portfolios25!D274-ff_factors!$E274</f>
        <v>1.077E-3</v>
      </c>
      <c r="E274" s="2">
        <f>ff_portfolios25!E274-ff_factors!$E274</f>
        <v>5.5538000000000004E-2</v>
      </c>
      <c r="F274" s="2">
        <f>ff_portfolios25!F274-ff_factors!$E274</f>
        <v>2.8853E-2</v>
      </c>
      <c r="G274" s="2">
        <f>ff_portfolios25!G274-ff_factors!$E274</f>
        <v>4.3043000000000005E-2</v>
      </c>
      <c r="H274" s="2">
        <f>ff_portfolios25!H274-ff_factors!$E274</f>
        <v>3.7109000000000003E-2</v>
      </c>
      <c r="I274" s="2">
        <f>ff_portfolios25!I274-ff_factors!$E274</f>
        <v>4.5033000000000004E-2</v>
      </c>
      <c r="J274" s="2">
        <f>ff_portfolios25!J274-ff_factors!$E274</f>
        <v>3.9161000000000001E-2</v>
      </c>
      <c r="K274" s="2">
        <f>ff_portfolios25!K274-ff_factors!$E274</f>
        <v>4.4976000000000002E-2</v>
      </c>
      <c r="L274" s="2">
        <f>ff_portfolios25!L274-ff_factors!$E274</f>
        <v>4.5099E-2</v>
      </c>
      <c r="M274" s="2">
        <f>ff_portfolios25!M274-ff_factors!$E274</f>
        <v>4.9070000000000003E-2</v>
      </c>
      <c r="N274" s="2">
        <f>ff_portfolios25!N274-ff_factors!$E274</f>
        <v>1.3413E-2</v>
      </c>
      <c r="O274" s="2">
        <f>ff_portfolios25!O274-ff_factors!$E274</f>
        <v>2.6112E-2</v>
      </c>
      <c r="P274" s="2">
        <f>ff_portfolios25!P274-ff_factors!$E274</f>
        <v>6.3338000000000005E-2</v>
      </c>
      <c r="Q274" s="2">
        <f>ff_portfolios25!Q274-ff_factors!$E274</f>
        <v>4.0159E-2</v>
      </c>
      <c r="R274" s="2">
        <f>ff_portfolios25!R274-ff_factors!$E274</f>
        <v>5.0664000000000001E-2</v>
      </c>
      <c r="S274" s="2">
        <f>ff_portfolios25!S274-ff_factors!$E274</f>
        <v>3.918E-2</v>
      </c>
      <c r="T274" s="2">
        <f>ff_portfolios25!T274-ff_factors!$E274</f>
        <v>4.5096000000000004E-2</v>
      </c>
      <c r="U274" s="2">
        <f>ff_portfolios25!U274-ff_factors!$E274</f>
        <v>6.5544000000000005E-2</v>
      </c>
      <c r="V274" s="2">
        <f>ff_portfolios25!V274-ff_factors!$E274</f>
        <v>6.1636999999999997E-2</v>
      </c>
      <c r="W274" s="2">
        <f>ff_portfolios25!W274-ff_factors!$E274</f>
        <v>3.7308000000000001E-2</v>
      </c>
      <c r="X274" s="2">
        <f>ff_portfolios25!X274-ff_factors!$E274</f>
        <v>7.4081999999999995E-2</v>
      </c>
      <c r="Y274" s="2">
        <f>ff_portfolios25!Y274-ff_factors!$E274</f>
        <v>6.0499000000000004E-2</v>
      </c>
      <c r="Z274" s="2">
        <f>ff_portfolios25!Z274-ff_factors!$E274</f>
        <v>9.2995000000000008E-2</v>
      </c>
      <c r="AA274" s="2">
        <f>ff_portfolios25!AA274-ff_factors!$E274</f>
        <v>7.1294999999999997E-2</v>
      </c>
      <c r="AB274" s="2">
        <f>ff_portfolios25!AB274-ff_factors!$E274</f>
        <v>3.4023999999999999E-2</v>
      </c>
    </row>
    <row r="275" spans="1:28" x14ac:dyDescent="0.2">
      <c r="A275">
        <v>19541029</v>
      </c>
      <c r="B275">
        <v>1954</v>
      </c>
      <c r="C275">
        <v>10</v>
      </c>
      <c r="D275" s="2">
        <f>ff_portfolios25!D275-ff_factors!$E275</f>
        <v>-1.9889999999999998E-2</v>
      </c>
      <c r="E275" s="2">
        <f>ff_portfolios25!E275-ff_factors!$E275</f>
        <v>-2.8264000000000001E-2</v>
      </c>
      <c r="F275" s="2">
        <f>ff_portfolios25!F275-ff_factors!$E275</f>
        <v>-1.4519999999999999E-3</v>
      </c>
      <c r="G275" s="2">
        <f>ff_portfolios25!G275-ff_factors!$E275</f>
        <v>2.3630000000000001E-3</v>
      </c>
      <c r="H275" s="2">
        <f>ff_portfolios25!H275-ff_factors!$E275</f>
        <v>1.892E-3</v>
      </c>
      <c r="I275" s="2">
        <f>ff_portfolios25!I275-ff_factors!$E275</f>
        <v>-3.7541999999999999E-2</v>
      </c>
      <c r="J275" s="2">
        <f>ff_portfolios25!J275-ff_factors!$E275</f>
        <v>-3.1979999999999999E-3</v>
      </c>
      <c r="K275" s="2">
        <f>ff_portfolios25!K275-ff_factors!$E275</f>
        <v>-1.505E-3</v>
      </c>
      <c r="L275" s="2">
        <f>ff_portfolios25!L275-ff_factors!$E275</f>
        <v>-5.1619999999999999E-3</v>
      </c>
      <c r="M275" s="2">
        <f>ff_portfolios25!M275-ff_factors!$E275</f>
        <v>-2.9656999999999999E-2</v>
      </c>
      <c r="N275" s="2">
        <f>ff_portfolios25!N275-ff_factors!$E275</f>
        <v>1.7807E-2</v>
      </c>
      <c r="O275" s="2">
        <f>ff_portfolios25!O275-ff_factors!$E275</f>
        <v>-1.794E-3</v>
      </c>
      <c r="P275" s="2">
        <f>ff_portfolios25!P275-ff_factors!$E275</f>
        <v>-6.5989999999999998E-3</v>
      </c>
      <c r="Q275" s="2">
        <f>ff_portfolios25!Q275-ff_factors!$E275</f>
        <v>-3.016E-3</v>
      </c>
      <c r="R275" s="2">
        <f>ff_portfolios25!R275-ff_factors!$E275</f>
        <v>-2.2050999999999998E-2</v>
      </c>
      <c r="S275" s="2">
        <f>ff_portfolios25!S275-ff_factors!$E275</f>
        <v>-1.2371E-2</v>
      </c>
      <c r="T275" s="2">
        <f>ff_portfolios25!T275-ff_factors!$E275</f>
        <v>-9.3919999999999993E-3</v>
      </c>
      <c r="U275" s="2">
        <f>ff_portfolios25!U275-ff_factors!$E275</f>
        <v>1.5816E-2</v>
      </c>
      <c r="V275" s="2">
        <f>ff_portfolios25!V275-ff_factors!$E275</f>
        <v>-1.6454E-2</v>
      </c>
      <c r="W275" s="2">
        <f>ff_portfolios25!W275-ff_factors!$E275</f>
        <v>1.6836E-2</v>
      </c>
      <c r="X275" s="2">
        <f>ff_portfolios25!X275-ff_factors!$E275</f>
        <v>-2.4989999999999998E-2</v>
      </c>
      <c r="Y275" s="2">
        <f>ff_portfolios25!Y275-ff_factors!$E275</f>
        <v>-1.7571E-2</v>
      </c>
      <c r="Z275" s="2">
        <f>ff_portfolios25!Z275-ff_factors!$E275</f>
        <v>-1.9872000000000001E-2</v>
      </c>
      <c r="AA275" s="2">
        <f>ff_portfolios25!AA275-ff_factors!$E275</f>
        <v>2.0869999999999999E-3</v>
      </c>
      <c r="AB275" s="2">
        <f>ff_portfolios25!AB275-ff_factors!$E275</f>
        <v>3.9649999999999998E-3</v>
      </c>
    </row>
    <row r="276" spans="1:28" x14ac:dyDescent="0.2">
      <c r="A276">
        <v>19541130</v>
      </c>
      <c r="B276">
        <v>1954</v>
      </c>
      <c r="C276">
        <v>11</v>
      </c>
      <c r="D276" s="2">
        <f>ff_portfolios25!D276-ff_factors!$E276</f>
        <v>5.8098999999999998E-2</v>
      </c>
      <c r="E276" s="2">
        <f>ff_portfolios25!E276-ff_factors!$E276</f>
        <v>9.4991999999999993E-2</v>
      </c>
      <c r="F276" s="2">
        <f>ff_portfolios25!F276-ff_factors!$E276</f>
        <v>8.8606999999999991E-2</v>
      </c>
      <c r="G276" s="2">
        <f>ff_portfolios25!G276-ff_factors!$E276</f>
        <v>7.3868000000000003E-2</v>
      </c>
      <c r="H276" s="2">
        <f>ff_portfolios25!H276-ff_factors!$E276</f>
        <v>7.1153999999999995E-2</v>
      </c>
      <c r="I276" s="2">
        <f>ff_portfolios25!I276-ff_factors!$E276</f>
        <v>9.1266E-2</v>
      </c>
      <c r="J276" s="2">
        <f>ff_portfolios25!J276-ff_factors!$E276</f>
        <v>5.2426999999999994E-2</v>
      </c>
      <c r="K276" s="2">
        <f>ff_portfolios25!K276-ff_factors!$E276</f>
        <v>7.3481999999999992E-2</v>
      </c>
      <c r="L276" s="2">
        <f>ff_portfolios25!L276-ff_factors!$E276</f>
        <v>0.105282</v>
      </c>
      <c r="M276" s="2">
        <f>ff_portfolios25!M276-ff_factors!$E276</f>
        <v>9.0781000000000001E-2</v>
      </c>
      <c r="N276" s="2">
        <f>ff_portfolios25!N276-ff_factors!$E276</f>
        <v>7.4417999999999998E-2</v>
      </c>
      <c r="O276" s="2">
        <f>ff_portfolios25!O276-ff_factors!$E276</f>
        <v>9.5291000000000001E-2</v>
      </c>
      <c r="P276" s="2">
        <f>ff_portfolios25!P276-ff_factors!$E276</f>
        <v>9.0581999999999996E-2</v>
      </c>
      <c r="Q276" s="2">
        <f>ff_portfolios25!Q276-ff_factors!$E276</f>
        <v>0.131244</v>
      </c>
      <c r="R276" s="2">
        <f>ff_portfolios25!R276-ff_factors!$E276</f>
        <v>0.10482</v>
      </c>
      <c r="S276" s="2">
        <f>ff_portfolios25!S276-ff_factors!$E276</f>
        <v>7.0741999999999999E-2</v>
      </c>
      <c r="T276" s="2">
        <f>ff_portfolios25!T276-ff_factors!$E276</f>
        <v>8.9180999999999996E-2</v>
      </c>
      <c r="U276" s="2">
        <f>ff_portfolios25!U276-ff_factors!$E276</f>
        <v>0.12388099999999999</v>
      </c>
      <c r="V276" s="2">
        <f>ff_portfolios25!V276-ff_factors!$E276</f>
        <v>0.120361</v>
      </c>
      <c r="W276" s="2">
        <f>ff_portfolios25!W276-ff_factors!$E276</f>
        <v>0.133439</v>
      </c>
      <c r="X276" s="2">
        <f>ff_portfolios25!X276-ff_factors!$E276</f>
        <v>0.103057</v>
      </c>
      <c r="Y276" s="2">
        <f>ff_portfolios25!Y276-ff_factors!$E276</f>
        <v>7.1619000000000002E-2</v>
      </c>
      <c r="Z276" s="2">
        <f>ff_portfolios25!Z276-ff_factors!$E276</f>
        <v>8.613599999999999E-2</v>
      </c>
      <c r="AA276" s="2">
        <f>ff_portfolios25!AA276-ff_factors!$E276</f>
        <v>0.13494100000000001</v>
      </c>
      <c r="AB276" s="2">
        <f>ff_portfolios25!AB276-ff_factors!$E276</f>
        <v>0.15456800000000001</v>
      </c>
    </row>
    <row r="277" spans="1:28" x14ac:dyDescent="0.2">
      <c r="A277">
        <v>19541231</v>
      </c>
      <c r="B277">
        <v>1954</v>
      </c>
      <c r="C277">
        <v>12</v>
      </c>
      <c r="D277" s="2">
        <f>ff_portfolios25!D277-ff_factors!$E277</f>
        <v>0.14213400000000001</v>
      </c>
      <c r="E277" s="2">
        <f>ff_portfolios25!E277-ff_factors!$E277</f>
        <v>9.282E-2</v>
      </c>
      <c r="F277" s="2">
        <f>ff_portfolios25!F277-ff_factors!$E277</f>
        <v>8.268700000000001E-2</v>
      </c>
      <c r="G277" s="2">
        <f>ff_portfolios25!G277-ff_factors!$E277</f>
        <v>0.12707100000000002</v>
      </c>
      <c r="H277" s="2">
        <f>ff_portfolios25!H277-ff_factors!$E277</f>
        <v>0.12562500000000001</v>
      </c>
      <c r="I277" s="2">
        <f>ff_portfolios25!I277-ff_factors!$E277</f>
        <v>7.6547000000000004E-2</v>
      </c>
      <c r="J277" s="2">
        <f>ff_portfolios25!J277-ff_factors!$E277</f>
        <v>0.109142</v>
      </c>
      <c r="K277" s="2">
        <f>ff_portfolios25!K277-ff_factors!$E277</f>
        <v>9.5284000000000008E-2</v>
      </c>
      <c r="L277" s="2">
        <f>ff_portfolios25!L277-ff_factors!$E277</f>
        <v>8.5121000000000002E-2</v>
      </c>
      <c r="M277" s="2">
        <f>ff_portfolios25!M277-ff_factors!$E277</f>
        <v>0.111332</v>
      </c>
      <c r="N277" s="2">
        <f>ff_portfolios25!N277-ff_factors!$E277</f>
        <v>4.2573E-2</v>
      </c>
      <c r="O277" s="2">
        <f>ff_portfolios25!O277-ff_factors!$E277</f>
        <v>7.0220000000000005E-2</v>
      </c>
      <c r="P277" s="2">
        <f>ff_portfolios25!P277-ff_factors!$E277</f>
        <v>8.0248E-2</v>
      </c>
      <c r="Q277" s="2">
        <f>ff_portfolios25!Q277-ff_factors!$E277</f>
        <v>0.108779</v>
      </c>
      <c r="R277" s="2">
        <f>ff_portfolios25!R277-ff_factors!$E277</f>
        <v>0.126997</v>
      </c>
      <c r="S277" s="2">
        <f>ff_portfolios25!S277-ff_factors!$E277</f>
        <v>4.4621999999999995E-2</v>
      </c>
      <c r="T277" s="2">
        <f>ff_portfolios25!T277-ff_factors!$E277</f>
        <v>4.4603999999999998E-2</v>
      </c>
      <c r="U277" s="2">
        <f>ff_portfolios25!U277-ff_factors!$E277</f>
        <v>5.0945999999999998E-2</v>
      </c>
      <c r="V277" s="2">
        <f>ff_portfolios25!V277-ff_factors!$E277</f>
        <v>8.6286000000000002E-2</v>
      </c>
      <c r="W277" s="2">
        <f>ff_portfolios25!W277-ff_factors!$E277</f>
        <v>0.144593</v>
      </c>
      <c r="X277" s="2">
        <f>ff_portfolios25!X277-ff_factors!$E277</f>
        <v>3.8565999999999996E-2</v>
      </c>
      <c r="Y277" s="2">
        <f>ff_portfolios25!Y277-ff_factors!$E277</f>
        <v>4.3108999999999995E-2</v>
      </c>
      <c r="Z277" s="2">
        <f>ff_portfolios25!Z277-ff_factors!$E277</f>
        <v>7.8900999999999999E-2</v>
      </c>
      <c r="AA277" s="2">
        <f>ff_portfolios25!AA277-ff_factors!$E277</f>
        <v>9.6153000000000002E-2</v>
      </c>
      <c r="AB277" s="2">
        <f>ff_portfolios25!AB277-ff_factors!$E277</f>
        <v>0.15493500000000002</v>
      </c>
    </row>
    <row r="278" spans="1:28" x14ac:dyDescent="0.2">
      <c r="A278">
        <v>19550131</v>
      </c>
      <c r="B278">
        <v>1955</v>
      </c>
      <c r="C278">
        <v>1</v>
      </c>
      <c r="D278" s="2">
        <f>ff_portfolios25!D278-ff_factors!$E278</f>
        <v>-5.3863000000000001E-2</v>
      </c>
      <c r="E278" s="2">
        <f>ff_portfolios25!E278-ff_factors!$E278</f>
        <v>5.8633999999999999E-2</v>
      </c>
      <c r="F278" s="2">
        <f>ff_portfolios25!F278-ff_factors!$E278</f>
        <v>2.3968E-2</v>
      </c>
      <c r="G278" s="2">
        <f>ff_portfolios25!G278-ff_factors!$E278</f>
        <v>3.6604999999999999E-2</v>
      </c>
      <c r="H278" s="2">
        <f>ff_portfolios25!H278-ff_factors!$E278</f>
        <v>4.5989999999999996E-2</v>
      </c>
      <c r="I278" s="2">
        <f>ff_portfolios25!I278-ff_factors!$E278</f>
        <v>-2.5263999999999998E-2</v>
      </c>
      <c r="J278" s="2">
        <f>ff_portfolios25!J278-ff_factors!$E278</f>
        <v>1.4958000000000001E-2</v>
      </c>
      <c r="K278" s="2">
        <f>ff_portfolios25!K278-ff_factors!$E278</f>
        <v>8.2749999999999994E-3</v>
      </c>
      <c r="L278" s="2">
        <f>ff_portfolios25!L278-ff_factors!$E278</f>
        <v>1.3282E-2</v>
      </c>
      <c r="M278" s="2">
        <f>ff_portfolios25!M278-ff_factors!$E278</f>
        <v>1.4763999999999999E-2</v>
      </c>
      <c r="N278" s="2">
        <f>ff_portfolios25!N278-ff_factors!$E278</f>
        <v>2.9745000000000001E-2</v>
      </c>
      <c r="O278" s="2">
        <f>ff_portfolios25!O278-ff_factors!$E278</f>
        <v>1.3687999999999999E-2</v>
      </c>
      <c r="P278" s="2">
        <f>ff_portfolios25!P278-ff_factors!$E278</f>
        <v>3.4111999999999996E-2</v>
      </c>
      <c r="Q278" s="2">
        <f>ff_portfolios25!Q278-ff_factors!$E278</f>
        <v>1.5821000000000002E-2</v>
      </c>
      <c r="R278" s="2">
        <f>ff_portfolios25!R278-ff_factors!$E278</f>
        <v>2.4617E-2</v>
      </c>
      <c r="S278" s="2">
        <f>ff_portfolios25!S278-ff_factors!$E278</f>
        <v>-2.1570000000000001E-3</v>
      </c>
      <c r="T278" s="2">
        <f>ff_portfolios25!T278-ff_factors!$E278</f>
        <v>1.0747E-2</v>
      </c>
      <c r="U278" s="2">
        <f>ff_portfolios25!U278-ff_factors!$E278</f>
        <v>1.2780999999999999E-2</v>
      </c>
      <c r="V278" s="2">
        <f>ff_portfolios25!V278-ff_factors!$E278</f>
        <v>3.7979999999999997E-3</v>
      </c>
      <c r="W278" s="2">
        <f>ff_portfolios25!W278-ff_factors!$E278</f>
        <v>-9.9400000000000009E-4</v>
      </c>
      <c r="X278" s="2">
        <f>ff_portfolios25!X278-ff_factors!$E278</f>
        <v>-2.5709999999999999E-3</v>
      </c>
      <c r="Y278" s="2">
        <f>ff_portfolios25!Y278-ff_factors!$E278</f>
        <v>1.4733999999999999E-2</v>
      </c>
      <c r="Z278" s="2">
        <f>ff_portfolios25!Z278-ff_factors!$E278</f>
        <v>-1.6118E-2</v>
      </c>
      <c r="AA278" s="2">
        <f>ff_portfolios25!AA278-ff_factors!$E278</f>
        <v>2.7355000000000001E-2</v>
      </c>
      <c r="AB278" s="2">
        <f>ff_portfolios25!AB278-ff_factors!$E278</f>
        <v>1.7577000000000002E-2</v>
      </c>
    </row>
    <row r="279" spans="1:28" x14ac:dyDescent="0.2">
      <c r="A279">
        <v>19550228</v>
      </c>
      <c r="B279">
        <v>1955</v>
      </c>
      <c r="C279">
        <v>2</v>
      </c>
      <c r="D279" s="2">
        <f>ff_portfolios25!D279-ff_factors!$E279</f>
        <v>4.2819000000000003E-2</v>
      </c>
      <c r="E279" s="2">
        <f>ff_portfolios25!E279-ff_factors!$E279</f>
        <v>9.3675000000000008E-2</v>
      </c>
      <c r="F279" s="2">
        <f>ff_portfolios25!F279-ff_factors!$E279</f>
        <v>4.9600999999999999E-2</v>
      </c>
      <c r="G279" s="2">
        <f>ff_portfolios25!G279-ff_factors!$E279</f>
        <v>5.3553000000000003E-2</v>
      </c>
      <c r="H279" s="2">
        <f>ff_portfolios25!H279-ff_factors!$E279</f>
        <v>5.7008000000000003E-2</v>
      </c>
      <c r="I279" s="2">
        <f>ff_portfolios25!I279-ff_factors!$E279</f>
        <v>3.3050000000000003E-2</v>
      </c>
      <c r="J279" s="2">
        <f>ff_portfolios25!J279-ff_factors!$E279</f>
        <v>3.9065000000000003E-2</v>
      </c>
      <c r="K279" s="2">
        <f>ff_portfolios25!K279-ff_factors!$E279</f>
        <v>3.5439000000000005E-2</v>
      </c>
      <c r="L279" s="2">
        <f>ff_portfolios25!L279-ff_factors!$E279</f>
        <v>3.6760000000000001E-2</v>
      </c>
      <c r="M279" s="2">
        <f>ff_portfolios25!M279-ff_factors!$E279</f>
        <v>4.8295000000000005E-2</v>
      </c>
      <c r="N279" s="2">
        <f>ff_portfolios25!N279-ff_factors!$E279</f>
        <v>5.4618E-2</v>
      </c>
      <c r="O279" s="2">
        <f>ff_portfolios25!O279-ff_factors!$E279</f>
        <v>4.8431000000000002E-2</v>
      </c>
      <c r="P279" s="2">
        <f>ff_portfolios25!P279-ff_factors!$E279</f>
        <v>4.9343999999999999E-2</v>
      </c>
      <c r="Q279" s="2">
        <f>ff_portfolios25!Q279-ff_factors!$E279</f>
        <v>5.7551999999999999E-2</v>
      </c>
      <c r="R279" s="2">
        <f>ff_portfolios25!R279-ff_factors!$E279</f>
        <v>4.2749000000000002E-2</v>
      </c>
      <c r="S279" s="2">
        <f>ff_portfolios25!S279-ff_factors!$E279</f>
        <v>3.3751000000000003E-2</v>
      </c>
      <c r="T279" s="2">
        <f>ff_portfolios25!T279-ff_factors!$E279</f>
        <v>3.1268000000000004E-2</v>
      </c>
      <c r="U279" s="2">
        <f>ff_portfolios25!U279-ff_factors!$E279</f>
        <v>4.2788E-2</v>
      </c>
      <c r="V279" s="2">
        <f>ff_portfolios25!V279-ff_factors!$E279</f>
        <v>3.8450000000000005E-2</v>
      </c>
      <c r="W279" s="2">
        <f>ff_portfolios25!W279-ff_factors!$E279</f>
        <v>3.1606000000000002E-2</v>
      </c>
      <c r="X279" s="2">
        <f>ff_portfolios25!X279-ff_factors!$E279</f>
        <v>2.8035999999999998E-2</v>
      </c>
      <c r="Y279" s="2">
        <f>ff_portfolios25!Y279-ff_factors!$E279</f>
        <v>2.4957E-2</v>
      </c>
      <c r="Z279" s="2">
        <f>ff_portfolios25!Z279-ff_factors!$E279</f>
        <v>2.7921999999999999E-2</v>
      </c>
      <c r="AA279" s="2">
        <f>ff_portfolios25!AA279-ff_factors!$E279</f>
        <v>2.3777E-2</v>
      </c>
      <c r="AB279" s="2">
        <f>ff_portfolios25!AB279-ff_factors!$E279</f>
        <v>5.0698E-2</v>
      </c>
    </row>
    <row r="280" spans="1:28" x14ac:dyDescent="0.2">
      <c r="A280">
        <v>19550331</v>
      </c>
      <c r="B280">
        <v>1955</v>
      </c>
      <c r="C280">
        <v>3</v>
      </c>
      <c r="D280" s="2">
        <f>ff_portfolios25!D280-ff_factors!$E280</f>
        <v>-1.1838999999999999E-2</v>
      </c>
      <c r="E280" s="2">
        <f>ff_portfolios25!E280-ff_factors!$E280</f>
        <v>-7.8209999999999998E-3</v>
      </c>
      <c r="F280" s="2">
        <f>ff_portfolios25!F280-ff_factors!$E280</f>
        <v>-3.8549999999999999E-3</v>
      </c>
      <c r="G280" s="2">
        <f>ff_portfolios25!G280-ff_factors!$E280</f>
        <v>-9.2780000000000015E-3</v>
      </c>
      <c r="H280" s="2">
        <f>ff_portfolios25!H280-ff_factors!$E280</f>
        <v>3.4099999999999994E-4</v>
      </c>
      <c r="I280" s="2">
        <f>ff_portfolios25!I280-ff_factors!$E280</f>
        <v>-4.3300000000000005E-3</v>
      </c>
      <c r="J280" s="2">
        <f>ff_portfolios25!J280-ff_factors!$E280</f>
        <v>8.7000000000000055E-5</v>
      </c>
      <c r="K280" s="2">
        <f>ff_portfolios25!K280-ff_factors!$E280</f>
        <v>-8.77E-3</v>
      </c>
      <c r="L280" s="2">
        <f>ff_portfolios25!L280-ff_factors!$E280</f>
        <v>2.4499999999999999E-4</v>
      </c>
      <c r="M280" s="2">
        <f>ff_portfolios25!M280-ff_factors!$E280</f>
        <v>1.7683000000000001E-2</v>
      </c>
      <c r="N280" s="2">
        <f>ff_portfolios25!N280-ff_factors!$E280</f>
        <v>-3.3140000000000003E-2</v>
      </c>
      <c r="O280" s="2">
        <f>ff_portfolios25!O280-ff_factors!$E280</f>
        <v>-1.0513999999999999E-2</v>
      </c>
      <c r="P280" s="2">
        <f>ff_portfolios25!P280-ff_factors!$E280</f>
        <v>-6.8100000000000001E-3</v>
      </c>
      <c r="Q280" s="2">
        <f>ff_portfolios25!Q280-ff_factors!$E280</f>
        <v>7.7069999999999994E-3</v>
      </c>
      <c r="R280" s="2">
        <f>ff_portfolios25!R280-ff_factors!$E280</f>
        <v>5.3892000000000002E-2</v>
      </c>
      <c r="S280" s="2">
        <f>ff_portfolios25!S280-ff_factors!$E280</f>
        <v>-4.6870000000000002E-3</v>
      </c>
      <c r="T280" s="2">
        <f>ff_portfolios25!T280-ff_factors!$E280</f>
        <v>-1.6763E-2</v>
      </c>
      <c r="U280" s="2">
        <f>ff_portfolios25!U280-ff_factors!$E280</f>
        <v>-1.814E-2</v>
      </c>
      <c r="V280" s="2">
        <f>ff_portfolios25!V280-ff_factors!$E280</f>
        <v>-1.9344E-2</v>
      </c>
      <c r="W280" s="2">
        <f>ff_portfolios25!W280-ff_factors!$E280</f>
        <v>2.2435999999999998E-2</v>
      </c>
      <c r="X280" s="2">
        <f>ff_portfolios25!X280-ff_factors!$E280</f>
        <v>-1.6250000000000001E-3</v>
      </c>
      <c r="Y280" s="2">
        <f>ff_portfolios25!Y280-ff_factors!$E280</f>
        <v>-4.1749999999999999E-3</v>
      </c>
      <c r="Z280" s="2">
        <f>ff_portfolios25!Z280-ff_factors!$E280</f>
        <v>4.5300000000000006E-4</v>
      </c>
      <c r="AA280" s="2">
        <f>ff_portfolios25!AA280-ff_factors!$E280</f>
        <v>1.4030000000000001E-2</v>
      </c>
      <c r="AB280" s="2">
        <f>ff_portfolios25!AB280-ff_factors!$E280</f>
        <v>5.816E-3</v>
      </c>
    </row>
    <row r="281" spans="1:28" x14ac:dyDescent="0.2">
      <c r="A281">
        <v>19550429</v>
      </c>
      <c r="B281">
        <v>1955</v>
      </c>
      <c r="C281">
        <v>4</v>
      </c>
      <c r="D281" s="2">
        <f>ff_portfolios25!D281-ff_factors!$E281</f>
        <v>3.3871999999999999E-2</v>
      </c>
      <c r="E281" s="2">
        <f>ff_portfolios25!E281-ff_factors!$E281</f>
        <v>-1.3780000000000001E-2</v>
      </c>
      <c r="F281" s="2">
        <f>ff_portfolios25!F281-ff_factors!$E281</f>
        <v>2.4716999999999999E-2</v>
      </c>
      <c r="G281" s="2">
        <f>ff_portfolios25!G281-ff_factors!$E281</f>
        <v>2.6336999999999999E-2</v>
      </c>
      <c r="H281" s="2">
        <f>ff_portfolios25!H281-ff_factors!$E281</f>
        <v>1.6940999999999998E-2</v>
      </c>
      <c r="I281" s="2">
        <f>ff_portfolios25!I281-ff_factors!$E281</f>
        <v>5.7159999999999997E-3</v>
      </c>
      <c r="J281" s="2">
        <f>ff_portfolios25!J281-ff_factors!$E281</f>
        <v>1.3732999999999999E-2</v>
      </c>
      <c r="K281" s="2">
        <f>ff_portfolios25!K281-ff_factors!$E281</f>
        <v>1.3645999999999998E-2</v>
      </c>
      <c r="L281" s="2">
        <f>ff_portfolios25!L281-ff_factors!$E281</f>
        <v>2.4871999999999998E-2</v>
      </c>
      <c r="M281" s="2">
        <f>ff_portfolios25!M281-ff_factors!$E281</f>
        <v>2.3782999999999999E-2</v>
      </c>
      <c r="N281" s="2">
        <f>ff_portfolios25!N281-ff_factors!$E281</f>
        <v>2.8902999999999998E-2</v>
      </c>
      <c r="O281" s="2">
        <f>ff_portfolios25!O281-ff_factors!$E281</f>
        <v>3.3033E-2</v>
      </c>
      <c r="P281" s="2">
        <f>ff_portfolios25!P281-ff_factors!$E281</f>
        <v>2.0136999999999999E-2</v>
      </c>
      <c r="Q281" s="2">
        <f>ff_portfolios25!Q281-ff_factors!$E281</f>
        <v>1.6062999999999997E-2</v>
      </c>
      <c r="R281" s="2">
        <f>ff_portfolios25!R281-ff_factors!$E281</f>
        <v>9.2599999999999996E-4</v>
      </c>
      <c r="S281" s="2">
        <f>ff_portfolios25!S281-ff_factors!$E281</f>
        <v>3.6159999999999998E-2</v>
      </c>
      <c r="T281" s="2">
        <f>ff_portfolios25!T281-ff_factors!$E281</f>
        <v>1.2934000000000001E-2</v>
      </c>
      <c r="U281" s="2">
        <f>ff_portfolios25!U281-ff_factors!$E281</f>
        <v>2.6235999999999999E-2</v>
      </c>
      <c r="V281" s="2">
        <f>ff_portfolios25!V281-ff_factors!$E281</f>
        <v>7.9450000000000007E-3</v>
      </c>
      <c r="W281" s="2">
        <f>ff_portfolios25!W281-ff_factors!$E281</f>
        <v>1.3246999999999998E-2</v>
      </c>
      <c r="X281" s="2">
        <f>ff_portfolios25!X281-ff_factors!$E281</f>
        <v>4.6003000000000002E-2</v>
      </c>
      <c r="Y281" s="2">
        <f>ff_portfolios25!Y281-ff_factors!$E281</f>
        <v>1.8380000000000001E-2</v>
      </c>
      <c r="Z281" s="2">
        <f>ff_portfolios25!Z281-ff_factors!$E281</f>
        <v>2.0701999999999998E-2</v>
      </c>
      <c r="AA281" s="2">
        <f>ff_portfolios25!AA281-ff_factors!$E281</f>
        <v>5.4400999999999998E-2</v>
      </c>
      <c r="AB281" s="2">
        <f>ff_portfolios25!AB281-ff_factors!$E281</f>
        <v>4.5863000000000001E-2</v>
      </c>
    </row>
    <row r="282" spans="1:28" x14ac:dyDescent="0.2">
      <c r="A282">
        <v>19550531</v>
      </c>
      <c r="B282">
        <v>1955</v>
      </c>
      <c r="C282">
        <v>5</v>
      </c>
      <c r="D282" s="2">
        <f>ff_portfolios25!D282-ff_factors!$E282</f>
        <v>-2.2773999999999999E-2</v>
      </c>
      <c r="E282" s="2">
        <f>ff_portfolios25!E282-ff_factors!$E282</f>
        <v>2.1729000000000002E-2</v>
      </c>
      <c r="F282" s="2">
        <f>ff_portfolios25!F282-ff_factors!$E282</f>
        <v>-3.8989999999999997E-3</v>
      </c>
      <c r="G282" s="2">
        <f>ff_portfolios25!G282-ff_factors!$E282</f>
        <v>8.1250000000000003E-3</v>
      </c>
      <c r="H282" s="2">
        <f>ff_portfolios25!H282-ff_factors!$E282</f>
        <v>2.7279999999999995E-3</v>
      </c>
      <c r="I282" s="2">
        <f>ff_portfolios25!I282-ff_factors!$E282</f>
        <v>-1.2891E-2</v>
      </c>
      <c r="J282" s="2">
        <f>ff_portfolios25!J282-ff_factors!$E282</f>
        <v>1.9555000000000003E-2</v>
      </c>
      <c r="K282" s="2">
        <f>ff_portfolios25!K282-ff_factors!$E282</f>
        <v>-3.6350000000000002E-3</v>
      </c>
      <c r="L282" s="2">
        <f>ff_portfolios25!L282-ff_factors!$E282</f>
        <v>-7.8379999999999995E-3</v>
      </c>
      <c r="M282" s="2">
        <f>ff_portfolios25!M282-ff_factors!$E282</f>
        <v>6.0279999999999995E-3</v>
      </c>
      <c r="N282" s="2">
        <f>ff_portfolios25!N282-ff_factors!$E282</f>
        <v>1.1729E-2</v>
      </c>
      <c r="O282" s="2">
        <f>ff_portfolios25!O282-ff_factors!$E282</f>
        <v>-4.9100000000000003E-3</v>
      </c>
      <c r="P282" s="2">
        <f>ff_portfolios25!P282-ff_factors!$E282</f>
        <v>7.1979999999999995E-3</v>
      </c>
      <c r="Q282" s="2">
        <f>ff_portfolios25!Q282-ff_factors!$E282</f>
        <v>3.8040000000000001E-3</v>
      </c>
      <c r="R282" s="2">
        <f>ff_portfolios25!R282-ff_factors!$E282</f>
        <v>6.6859999999999992E-3</v>
      </c>
      <c r="S282" s="2">
        <f>ff_portfolios25!S282-ff_factors!$E282</f>
        <v>1.1271999999999999E-2</v>
      </c>
      <c r="T282" s="2">
        <f>ff_portfolios25!T282-ff_factors!$E282</f>
        <v>1.3226E-2</v>
      </c>
      <c r="U282" s="2">
        <f>ff_portfolios25!U282-ff_factors!$E282</f>
        <v>5.9169999999999995E-3</v>
      </c>
      <c r="V282" s="2">
        <f>ff_portfolios25!V282-ff_factors!$E282</f>
        <v>2.2896000000000003E-2</v>
      </c>
      <c r="W282" s="2">
        <f>ff_portfolios25!W282-ff_factors!$E282</f>
        <v>8.8400000000000002E-4</v>
      </c>
      <c r="X282" s="2">
        <f>ff_portfolios25!X282-ff_factors!$E282</f>
        <v>2.3561000000000002E-2</v>
      </c>
      <c r="Y282" s="2">
        <f>ff_portfolios25!Y282-ff_factors!$E282</f>
        <v>-2.385E-3</v>
      </c>
      <c r="Z282" s="2">
        <f>ff_portfolios25!Z282-ff_factors!$E282</f>
        <v>3.3769999999999998E-3</v>
      </c>
      <c r="AA282" s="2">
        <f>ff_portfolios25!AA282-ff_factors!$E282</f>
        <v>-9.9620000000000004E-3</v>
      </c>
      <c r="AB282" s="2">
        <f>ff_portfolios25!AB282-ff_factors!$E282</f>
        <v>1.2779E-2</v>
      </c>
    </row>
    <row r="283" spans="1:28" x14ac:dyDescent="0.2">
      <c r="A283">
        <v>19550630</v>
      </c>
      <c r="B283">
        <v>1955</v>
      </c>
      <c r="C283">
        <v>6</v>
      </c>
      <c r="D283" s="2">
        <f>ff_portfolios25!D283-ff_factors!$E283</f>
        <v>3.2791000000000001E-2</v>
      </c>
      <c r="E283" s="2">
        <f>ff_portfolios25!E283-ff_factors!$E283</f>
        <v>4.5828000000000001E-2</v>
      </c>
      <c r="F283" s="2">
        <f>ff_portfolios25!F283-ff_factors!$E283</f>
        <v>1.7134999999999997E-2</v>
      </c>
      <c r="G283" s="2">
        <f>ff_portfolios25!G283-ff_factors!$E283</f>
        <v>4.7135999999999997E-2</v>
      </c>
      <c r="H283" s="2">
        <f>ff_portfolios25!H283-ff_factors!$E283</f>
        <v>4.2610999999999996E-2</v>
      </c>
      <c r="I283" s="2">
        <f>ff_portfolios25!I283-ff_factors!$E283</f>
        <v>1.8272E-2</v>
      </c>
      <c r="J283" s="2">
        <f>ff_portfolios25!J283-ff_factors!$E283</f>
        <v>1.2789999999999999E-2</v>
      </c>
      <c r="K283" s="2">
        <f>ff_portfolios25!K283-ff_factors!$E283</f>
        <v>3.3026E-2</v>
      </c>
      <c r="L283" s="2">
        <f>ff_portfolios25!L283-ff_factors!$E283</f>
        <v>3.9946000000000002E-2</v>
      </c>
      <c r="M283" s="2">
        <f>ff_portfolios25!M283-ff_factors!$E283</f>
        <v>1.9844000000000001E-2</v>
      </c>
      <c r="N283" s="2">
        <f>ff_portfolios25!N283-ff_factors!$E283</f>
        <v>2.7684E-2</v>
      </c>
      <c r="O283" s="2">
        <f>ff_portfolios25!O283-ff_factors!$E283</f>
        <v>1.1525000000000001E-2</v>
      </c>
      <c r="P283" s="2">
        <f>ff_portfolios25!P283-ff_factors!$E283</f>
        <v>3.0827E-2</v>
      </c>
      <c r="Q283" s="2">
        <f>ff_portfolios25!Q283-ff_factors!$E283</f>
        <v>4.1437999999999996E-2</v>
      </c>
      <c r="R283" s="2">
        <f>ff_portfolios25!R283-ff_factors!$E283</f>
        <v>1.2539999999999999E-2</v>
      </c>
      <c r="S283" s="2">
        <f>ff_portfolios25!S283-ff_factors!$E283</f>
        <v>3.2872999999999999E-2</v>
      </c>
      <c r="T283" s="2">
        <f>ff_portfolios25!T283-ff_factors!$E283</f>
        <v>5.5260999999999998E-2</v>
      </c>
      <c r="U283" s="2">
        <f>ff_portfolios25!U283-ff_factors!$E283</f>
        <v>5.4923E-2</v>
      </c>
      <c r="V283" s="2">
        <f>ff_portfolios25!V283-ff_factors!$E283</f>
        <v>5.5834999999999996E-2</v>
      </c>
      <c r="W283" s="2">
        <f>ff_portfolios25!W283-ff_factors!$E283</f>
        <v>2.6419999999999998E-3</v>
      </c>
      <c r="X283" s="2">
        <f>ff_portfolios25!X283-ff_factors!$E283</f>
        <v>7.3867000000000002E-2</v>
      </c>
      <c r="Y283" s="2">
        <f>ff_portfolios25!Y283-ff_factors!$E283</f>
        <v>5.9054999999999996E-2</v>
      </c>
      <c r="Z283" s="2">
        <f>ff_portfolios25!Z283-ff_factors!$E283</f>
        <v>0.110086</v>
      </c>
      <c r="AA283" s="2">
        <f>ff_portfolios25!AA283-ff_factors!$E283</f>
        <v>0.115495</v>
      </c>
      <c r="AB283" s="2">
        <f>ff_portfolios25!AB283-ff_factors!$E283</f>
        <v>4.9158E-2</v>
      </c>
    </row>
    <row r="284" spans="1:28" x14ac:dyDescent="0.2">
      <c r="A284">
        <v>19550729</v>
      </c>
      <c r="B284">
        <v>1955</v>
      </c>
      <c r="C284">
        <v>7</v>
      </c>
      <c r="D284" s="2">
        <f>ff_portfolios25!D284-ff_factors!$E284</f>
        <v>9.2524999999999996E-2</v>
      </c>
      <c r="E284" s="2">
        <f>ff_portfolios25!E284-ff_factors!$E284</f>
        <v>3.5046000000000001E-2</v>
      </c>
      <c r="F284" s="2">
        <f>ff_portfolios25!F284-ff_factors!$E284</f>
        <v>9.2200000000000008E-4</v>
      </c>
      <c r="G284" s="2">
        <f>ff_portfolios25!G284-ff_factors!$E284</f>
        <v>1.7186999999999997E-2</v>
      </c>
      <c r="H284" s="2">
        <f>ff_portfolios25!H284-ff_factors!$E284</f>
        <v>5.8409999999999998E-3</v>
      </c>
      <c r="I284" s="2">
        <f>ff_portfolios25!I284-ff_factors!$E284</f>
        <v>-4.6464999999999999E-2</v>
      </c>
      <c r="J284" s="2">
        <f>ff_portfolios25!J284-ff_factors!$E284</f>
        <v>2.2039999999999998E-3</v>
      </c>
      <c r="K284" s="2">
        <f>ff_portfolios25!K284-ff_factors!$E284</f>
        <v>2.0822E-2</v>
      </c>
      <c r="L284" s="2">
        <f>ff_portfolios25!L284-ff_factors!$E284</f>
        <v>9.2339999999999992E-3</v>
      </c>
      <c r="M284" s="2">
        <f>ff_portfolios25!M284-ff_factors!$E284</f>
        <v>1.8800000000000001E-2</v>
      </c>
      <c r="N284" s="2">
        <f>ff_portfolios25!N284-ff_factors!$E284</f>
        <v>6.4460000000000003E-3</v>
      </c>
      <c r="O284" s="2">
        <f>ff_portfolios25!O284-ff_factors!$E284</f>
        <v>-1.689E-3</v>
      </c>
      <c r="P284" s="2">
        <f>ff_portfolios25!P284-ff_factors!$E284</f>
        <v>-6.8110000000000002E-3</v>
      </c>
      <c r="Q284" s="2">
        <f>ff_portfolios25!Q284-ff_factors!$E284</f>
        <v>4.0000000000000001E-3</v>
      </c>
      <c r="R284" s="2">
        <f>ff_portfolios25!R284-ff_factors!$E284</f>
        <v>9.0130000000000002E-3</v>
      </c>
      <c r="S284" s="2">
        <f>ff_portfolios25!S284-ff_factors!$E284</f>
        <v>-4.0959999999999998E-3</v>
      </c>
      <c r="T284" s="2">
        <f>ff_portfolios25!T284-ff_factors!$E284</f>
        <v>6.9209999999999992E-3</v>
      </c>
      <c r="U284" s="2">
        <f>ff_portfolios25!U284-ff_factors!$E284</f>
        <v>-3.1679999999999998E-3</v>
      </c>
      <c r="V284" s="2">
        <f>ff_portfolios25!V284-ff_factors!$E284</f>
        <v>-3.2799999999999999E-3</v>
      </c>
      <c r="W284" s="2">
        <f>ff_portfolios25!W284-ff_factors!$E284</f>
        <v>2.2624999999999999E-2</v>
      </c>
      <c r="X284" s="2">
        <f>ff_portfolios25!X284-ff_factors!$E284</f>
        <v>2.2534999999999999E-2</v>
      </c>
      <c r="Y284" s="2">
        <f>ff_portfolios25!Y284-ff_factors!$E284</f>
        <v>4.1411999999999997E-2</v>
      </c>
      <c r="Z284" s="2">
        <f>ff_portfolios25!Z284-ff_factors!$E284</f>
        <v>1.5835999999999999E-2</v>
      </c>
      <c r="AA284" s="2">
        <f>ff_portfolios25!AA284-ff_factors!$E284</f>
        <v>-6.9280000000000001E-3</v>
      </c>
      <c r="AB284" s="2">
        <f>ff_portfolios25!AB284-ff_factors!$E284</f>
        <v>1.0730000000000002E-3</v>
      </c>
    </row>
    <row r="285" spans="1:28" x14ac:dyDescent="0.2">
      <c r="A285">
        <v>19550831</v>
      </c>
      <c r="B285">
        <v>1955</v>
      </c>
      <c r="C285">
        <v>8</v>
      </c>
      <c r="D285" s="2">
        <f>ff_portfolios25!D285-ff_factors!$E285</f>
        <v>1.8046E-2</v>
      </c>
      <c r="E285" s="2">
        <f>ff_portfolios25!E285-ff_factors!$E285</f>
        <v>-1.8074E-2</v>
      </c>
      <c r="F285" s="2">
        <f>ff_portfolios25!F285-ff_factors!$E285</f>
        <v>8.8950000000000001E-3</v>
      </c>
      <c r="G285" s="2">
        <f>ff_portfolios25!G285-ff_factors!$E285</f>
        <v>-6.3990000000000002E-3</v>
      </c>
      <c r="H285" s="2">
        <f>ff_portfolios25!H285-ff_factors!$E285</f>
        <v>-6.1539999999999997E-3</v>
      </c>
      <c r="I285" s="2">
        <f>ff_portfolios25!I285-ff_factors!$E285</f>
        <v>1.2553E-2</v>
      </c>
      <c r="J285" s="2">
        <f>ff_portfolios25!J285-ff_factors!$E285</f>
        <v>1.3512E-2</v>
      </c>
      <c r="K285" s="2">
        <f>ff_portfolios25!K285-ff_factors!$E285</f>
        <v>-4.1229999999999999E-3</v>
      </c>
      <c r="L285" s="2">
        <f>ff_portfolios25!L285-ff_factors!$E285</f>
        <v>-1.7035000000000002E-2</v>
      </c>
      <c r="M285" s="2">
        <f>ff_portfolios25!M285-ff_factors!$E285</f>
        <v>6.1070000000000004E-3</v>
      </c>
      <c r="N285" s="2">
        <f>ff_portfolios25!N285-ff_factors!$E285</f>
        <v>2.6539999999999998E-2</v>
      </c>
      <c r="O285" s="2">
        <f>ff_portfolios25!O285-ff_factors!$E285</f>
        <v>6.6970000000000007E-3</v>
      </c>
      <c r="P285" s="2">
        <f>ff_portfolios25!P285-ff_factors!$E285</f>
        <v>8.9419999999999986E-3</v>
      </c>
      <c r="Q285" s="2">
        <f>ff_portfolios25!Q285-ff_factors!$E285</f>
        <v>8.9449999999999998E-3</v>
      </c>
      <c r="R285" s="2">
        <f>ff_portfolios25!R285-ff_factors!$E285</f>
        <v>3.4330000000000003E-3</v>
      </c>
      <c r="S285" s="2">
        <f>ff_portfolios25!S285-ff_factors!$E285</f>
        <v>1.4055999999999999E-2</v>
      </c>
      <c r="T285" s="2">
        <f>ff_portfolios25!T285-ff_factors!$E285</f>
        <v>6.0290000000000005E-3</v>
      </c>
      <c r="U285" s="2">
        <f>ff_portfolios25!U285-ff_factors!$E285</f>
        <v>6.3740000000000003E-3</v>
      </c>
      <c r="V285" s="2">
        <f>ff_portfolios25!V285-ff_factors!$E285</f>
        <v>-2.0899999999999998E-4</v>
      </c>
      <c r="W285" s="2">
        <f>ff_portfolios25!W285-ff_factors!$E285</f>
        <v>-8.1040000000000001E-3</v>
      </c>
      <c r="X285" s="2">
        <f>ff_portfolios25!X285-ff_factors!$E285</f>
        <v>5.9940000000000002E-3</v>
      </c>
      <c r="Y285" s="2">
        <f>ff_portfolios25!Y285-ff_factors!$E285</f>
        <v>-1.0503E-2</v>
      </c>
      <c r="Z285" s="2">
        <f>ff_portfolios25!Z285-ff_factors!$E285</f>
        <v>-9.137000000000001E-3</v>
      </c>
      <c r="AA285" s="2">
        <f>ff_portfolios25!AA285-ff_factors!$E285</f>
        <v>2.8243999999999998E-2</v>
      </c>
      <c r="AB285" s="2">
        <f>ff_portfolios25!AB285-ff_factors!$E285</f>
        <v>1.9275E-2</v>
      </c>
    </row>
    <row r="286" spans="1:28" x14ac:dyDescent="0.2">
      <c r="A286">
        <v>19550930</v>
      </c>
      <c r="B286">
        <v>1955</v>
      </c>
      <c r="C286">
        <v>9</v>
      </c>
      <c r="D286" s="2">
        <f>ff_portfolios25!D286-ff_factors!$E286</f>
        <v>1.7616E-2</v>
      </c>
      <c r="E286" s="2">
        <f>ff_portfolios25!E286-ff_factors!$E286</f>
        <v>-5.5030000000000001E-3</v>
      </c>
      <c r="F286" s="2">
        <f>ff_portfolios25!F286-ff_factors!$E286</f>
        <v>1.5157999999999998E-2</v>
      </c>
      <c r="G286" s="2">
        <f>ff_portfolios25!G286-ff_factors!$E286</f>
        <v>-1.0384000000000001E-2</v>
      </c>
      <c r="H286" s="2">
        <f>ff_portfolios25!H286-ff_factors!$E286</f>
        <v>1.6390999999999999E-2</v>
      </c>
      <c r="I286" s="2">
        <f>ff_portfolios25!I286-ff_factors!$E286</f>
        <v>-2.5267000000000001E-2</v>
      </c>
      <c r="J286" s="2">
        <f>ff_portfolios25!J286-ff_factors!$E286</f>
        <v>-2.111E-2</v>
      </c>
      <c r="K286" s="2">
        <f>ff_portfolios25!K286-ff_factors!$E286</f>
        <v>-4.0179999999999999E-3</v>
      </c>
      <c r="L286" s="2">
        <f>ff_portfolios25!L286-ff_factors!$E286</f>
        <v>-1.5356000000000002E-2</v>
      </c>
      <c r="M286" s="2">
        <f>ff_portfolios25!M286-ff_factors!$E286</f>
        <v>-6.6709999999999998E-3</v>
      </c>
      <c r="N286" s="2">
        <f>ff_portfolios25!N286-ff_factors!$E286</f>
        <v>-1.7625999999999999E-2</v>
      </c>
      <c r="O286" s="2">
        <f>ff_portfolios25!O286-ff_factors!$E286</f>
        <v>-1.8579000000000002E-2</v>
      </c>
      <c r="P286" s="2">
        <f>ff_portfolios25!P286-ff_factors!$E286</f>
        <v>-8.0569999999999999E-3</v>
      </c>
      <c r="Q286" s="2">
        <f>ff_portfolios25!Q286-ff_factors!$E286</f>
        <v>4.731E-3</v>
      </c>
      <c r="R286" s="2">
        <f>ff_portfolios25!R286-ff_factors!$E286</f>
        <v>-1.4439E-2</v>
      </c>
      <c r="S286" s="2">
        <f>ff_portfolios25!S286-ff_factors!$E286</f>
        <v>-1.6760000000000001E-2</v>
      </c>
      <c r="T286" s="2">
        <f>ff_portfolios25!T286-ff_factors!$E286</f>
        <v>-1.6754999999999999E-2</v>
      </c>
      <c r="U286" s="2">
        <f>ff_portfolios25!U286-ff_factors!$E286</f>
        <v>-1.0314E-2</v>
      </c>
      <c r="V286" s="2">
        <f>ff_portfolios25!V286-ff_factors!$E286</f>
        <v>-1.9642E-2</v>
      </c>
      <c r="W286" s="2">
        <f>ff_portfolios25!W286-ff_factors!$E286</f>
        <v>-1.8832000000000002E-2</v>
      </c>
      <c r="X286" s="2">
        <f>ff_portfolios25!X286-ff_factors!$E286</f>
        <v>-1.2410000000000001E-3</v>
      </c>
      <c r="Y286" s="2">
        <f>ff_portfolios25!Y286-ff_factors!$E286</f>
        <v>4.5600000000000003E-4</v>
      </c>
      <c r="Z286" s="2">
        <f>ff_portfolios25!Z286-ff_factors!$E286</f>
        <v>3.5260000000000005E-3</v>
      </c>
      <c r="AA286" s="2">
        <f>ff_portfolios25!AA286-ff_factors!$E286</f>
        <v>-1.83E-4</v>
      </c>
      <c r="AB286" s="2">
        <f>ff_portfolios25!AB286-ff_factors!$E286</f>
        <v>-3.8394999999999999E-2</v>
      </c>
    </row>
    <row r="287" spans="1:28" x14ac:dyDescent="0.2">
      <c r="A287">
        <v>19551031</v>
      </c>
      <c r="B287">
        <v>1955</v>
      </c>
      <c r="C287">
        <v>10</v>
      </c>
      <c r="D287" s="2">
        <f>ff_portfolios25!D287-ff_factors!$E287</f>
        <v>-4.9480000000000003E-2</v>
      </c>
      <c r="E287" s="2">
        <f>ff_portfolios25!E287-ff_factors!$E287</f>
        <v>-3.7326000000000005E-2</v>
      </c>
      <c r="F287" s="2">
        <f>ff_portfolios25!F287-ff_factors!$E287</f>
        <v>-3.5619000000000005E-2</v>
      </c>
      <c r="G287" s="2">
        <f>ff_portfolios25!G287-ff_factors!$E287</f>
        <v>-9.5689999999999994E-3</v>
      </c>
      <c r="H287" s="2">
        <f>ff_portfolios25!H287-ff_factors!$E287</f>
        <v>-8.7749999999999998E-3</v>
      </c>
      <c r="I287" s="2">
        <f>ff_portfolios25!I287-ff_factors!$E287</f>
        <v>-3.9311000000000006E-2</v>
      </c>
      <c r="J287" s="2">
        <f>ff_portfolios25!J287-ff_factors!$E287</f>
        <v>-1.2494E-2</v>
      </c>
      <c r="K287" s="2">
        <f>ff_portfolios25!K287-ff_factors!$E287</f>
        <v>-1.3498999999999999E-2</v>
      </c>
      <c r="L287" s="2">
        <f>ff_portfolios25!L287-ff_factors!$E287</f>
        <v>-1.1873999999999999E-2</v>
      </c>
      <c r="M287" s="2">
        <f>ff_portfolios25!M287-ff_factors!$E287</f>
        <v>-4.0119999999999999E-3</v>
      </c>
      <c r="N287" s="2">
        <f>ff_portfolios25!N287-ff_factors!$E287</f>
        <v>-1.2237E-2</v>
      </c>
      <c r="O287" s="2">
        <f>ff_portfolios25!O287-ff_factors!$E287</f>
        <v>-2.614E-2</v>
      </c>
      <c r="P287" s="2">
        <f>ff_portfolios25!P287-ff_factors!$E287</f>
        <v>-1.7793E-2</v>
      </c>
      <c r="Q287" s="2">
        <f>ff_portfolios25!Q287-ff_factors!$E287</f>
        <v>1.2076E-2</v>
      </c>
      <c r="R287" s="2">
        <f>ff_portfolios25!R287-ff_factors!$E287</f>
        <v>-2.4819999999999998E-2</v>
      </c>
      <c r="S287" s="2">
        <f>ff_portfolios25!S287-ff_factors!$E287</f>
        <v>-2.1603999999999998E-2</v>
      </c>
      <c r="T287" s="2">
        <f>ff_portfolios25!T287-ff_factors!$E287</f>
        <v>-1.8259999999999998E-2</v>
      </c>
      <c r="U287" s="2">
        <f>ff_portfolios25!U287-ff_factors!$E287</f>
        <v>-1.6566000000000001E-2</v>
      </c>
      <c r="V287" s="2">
        <f>ff_portfolios25!V287-ff_factors!$E287</f>
        <v>-2.4760999999999998E-2</v>
      </c>
      <c r="W287" s="2">
        <f>ff_portfolios25!W287-ff_factors!$E287</f>
        <v>-4.3081000000000001E-2</v>
      </c>
      <c r="X287" s="2">
        <f>ff_portfolios25!X287-ff_factors!$E287</f>
        <v>-3.7281000000000002E-2</v>
      </c>
      <c r="Y287" s="2">
        <f>ff_portfolios25!Y287-ff_factors!$E287</f>
        <v>-1.5737000000000001E-2</v>
      </c>
      <c r="Z287" s="2">
        <f>ff_portfolios25!Z287-ff_factors!$E287</f>
        <v>-1.4374999999999999E-2</v>
      </c>
      <c r="AA287" s="2">
        <f>ff_portfolios25!AA287-ff_factors!$E287</f>
        <v>-3.9740000000000004E-2</v>
      </c>
      <c r="AB287" s="2">
        <f>ff_portfolios25!AB287-ff_factors!$E287</f>
        <v>-4.0206000000000006E-2</v>
      </c>
    </row>
    <row r="288" spans="1:28" x14ac:dyDescent="0.2">
      <c r="A288">
        <v>19551130</v>
      </c>
      <c r="B288">
        <v>1955</v>
      </c>
      <c r="C288">
        <v>11</v>
      </c>
      <c r="D288" s="2">
        <f>ff_portfolios25!D288-ff_factors!$E288</f>
        <v>-2.3538E-2</v>
      </c>
      <c r="E288" s="2">
        <f>ff_portfolios25!E288-ff_factors!$E288</f>
        <v>6.7102000000000009E-2</v>
      </c>
      <c r="F288" s="2">
        <f>ff_portfolios25!F288-ff_factors!$E288</f>
        <v>3.1172999999999999E-2</v>
      </c>
      <c r="G288" s="2">
        <f>ff_portfolios25!G288-ff_factors!$E288</f>
        <v>3.6410999999999999E-2</v>
      </c>
      <c r="H288" s="2">
        <f>ff_portfolios25!H288-ff_factors!$E288</f>
        <v>3.3241E-2</v>
      </c>
      <c r="I288" s="2">
        <f>ff_portfolios25!I288-ff_factors!$E288</f>
        <v>5.9662E-2</v>
      </c>
      <c r="J288" s="2">
        <f>ff_portfolios25!J288-ff_factors!$E288</f>
        <v>6.1862999999999994E-2</v>
      </c>
      <c r="K288" s="2">
        <f>ff_portfolios25!K288-ff_factors!$E288</f>
        <v>5.1456000000000002E-2</v>
      </c>
      <c r="L288" s="2">
        <f>ff_portfolios25!L288-ff_factors!$E288</f>
        <v>3.1909E-2</v>
      </c>
      <c r="M288" s="2">
        <f>ff_portfolios25!M288-ff_factors!$E288</f>
        <v>5.5442999999999999E-2</v>
      </c>
      <c r="N288" s="2">
        <f>ff_portfolios25!N288-ff_factors!$E288</f>
        <v>6.7510000000000001E-2</v>
      </c>
      <c r="O288" s="2">
        <f>ff_portfolios25!O288-ff_factors!$E288</f>
        <v>6.1140999999999994E-2</v>
      </c>
      <c r="P288" s="2">
        <f>ff_portfolios25!P288-ff_factors!$E288</f>
        <v>5.6774999999999999E-2</v>
      </c>
      <c r="Q288" s="2">
        <f>ff_portfolios25!Q288-ff_factors!$E288</f>
        <v>4.4005999999999997E-2</v>
      </c>
      <c r="R288" s="2">
        <f>ff_portfolios25!R288-ff_factors!$E288</f>
        <v>7.3366000000000001E-2</v>
      </c>
      <c r="S288" s="2">
        <f>ff_portfolios25!S288-ff_factors!$E288</f>
        <v>6.9059000000000009E-2</v>
      </c>
      <c r="T288" s="2">
        <f>ff_portfolios25!T288-ff_factors!$E288</f>
        <v>6.1210999999999995E-2</v>
      </c>
      <c r="U288" s="2">
        <f>ff_portfolios25!U288-ff_factors!$E288</f>
        <v>5.7800999999999998E-2</v>
      </c>
      <c r="V288" s="2">
        <f>ff_portfolios25!V288-ff_factors!$E288</f>
        <v>5.8042000000000003E-2</v>
      </c>
      <c r="W288" s="2">
        <f>ff_portfolios25!W288-ff_factors!$E288</f>
        <v>7.0110000000000006E-2</v>
      </c>
      <c r="X288" s="2">
        <f>ff_portfolios25!X288-ff_factors!$E288</f>
        <v>8.1980000000000011E-2</v>
      </c>
      <c r="Y288" s="2">
        <f>ff_portfolios25!Y288-ff_factors!$E288</f>
        <v>7.6517000000000002E-2</v>
      </c>
      <c r="Z288" s="2">
        <f>ff_portfolios25!Z288-ff_factors!$E288</f>
        <v>3.6024E-2</v>
      </c>
      <c r="AA288" s="2">
        <f>ff_portfolios25!AA288-ff_factors!$E288</f>
        <v>7.6782000000000003E-2</v>
      </c>
      <c r="AB288" s="2">
        <f>ff_portfolios25!AB288-ff_factors!$E288</f>
        <v>0.113569</v>
      </c>
    </row>
    <row r="289" spans="1:28" x14ac:dyDescent="0.2">
      <c r="A289">
        <v>19551230</v>
      </c>
      <c r="B289">
        <v>1955</v>
      </c>
      <c r="C289">
        <v>12</v>
      </c>
      <c r="D289" s="2">
        <f>ff_portfolios25!D289-ff_factors!$E289</f>
        <v>2.1167999999999999E-2</v>
      </c>
      <c r="E289" s="2">
        <f>ff_portfolios25!E289-ff_factors!$E289</f>
        <v>2.7189000000000001E-2</v>
      </c>
      <c r="F289" s="2">
        <f>ff_portfolios25!F289-ff_factors!$E289</f>
        <v>5.169E-3</v>
      </c>
      <c r="G289" s="2">
        <f>ff_portfolios25!G289-ff_factors!$E289</f>
        <v>3.6583999999999998E-2</v>
      </c>
      <c r="H289" s="2">
        <f>ff_portfolios25!H289-ff_factors!$E289</f>
        <v>2.2904000000000001E-2</v>
      </c>
      <c r="I289" s="2">
        <f>ff_portfolios25!I289-ff_factors!$E289</f>
        <v>5.8169999999999993E-3</v>
      </c>
      <c r="J289" s="2">
        <f>ff_portfolios25!J289-ff_factors!$E289</f>
        <v>9.0640000000000009E-3</v>
      </c>
      <c r="K289" s="2">
        <f>ff_portfolios25!K289-ff_factors!$E289</f>
        <v>2.3179000000000002E-2</v>
      </c>
      <c r="L289" s="2">
        <f>ff_portfolios25!L289-ff_factors!$E289</f>
        <v>1.8789E-2</v>
      </c>
      <c r="M289" s="2">
        <f>ff_portfolios25!M289-ff_factors!$E289</f>
        <v>1.8242000000000001E-2</v>
      </c>
      <c r="N289" s="2">
        <f>ff_portfolios25!N289-ff_factors!$E289</f>
        <v>5.3779E-2</v>
      </c>
      <c r="O289" s="2">
        <f>ff_portfolios25!O289-ff_factors!$E289</f>
        <v>2.2638000000000002E-2</v>
      </c>
      <c r="P289" s="2">
        <f>ff_portfolios25!P289-ff_factors!$E289</f>
        <v>3.7352999999999997E-2</v>
      </c>
      <c r="Q289" s="2">
        <f>ff_portfolios25!Q289-ff_factors!$E289</f>
        <v>8.8079999999999999E-3</v>
      </c>
      <c r="R289" s="2">
        <f>ff_portfolios25!R289-ff_factors!$E289</f>
        <v>1.5604E-2</v>
      </c>
      <c r="S289" s="2">
        <f>ff_portfolios25!S289-ff_factors!$E289</f>
        <v>1.9595000000000001E-2</v>
      </c>
      <c r="T289" s="2">
        <f>ff_portfolios25!T289-ff_factors!$E289</f>
        <v>2.2454000000000002E-2</v>
      </c>
      <c r="U289" s="2">
        <f>ff_portfolios25!U289-ff_factors!$E289</f>
        <v>2.2454000000000002E-2</v>
      </c>
      <c r="V289" s="2">
        <f>ff_portfolios25!V289-ff_factors!$E289</f>
        <v>1.2817E-2</v>
      </c>
      <c r="W289" s="2">
        <f>ff_portfolios25!W289-ff_factors!$E289</f>
        <v>-8.6149999999999994E-3</v>
      </c>
      <c r="X289" s="2">
        <f>ff_portfolios25!X289-ff_factors!$E289</f>
        <v>1.4834E-2</v>
      </c>
      <c r="Y289" s="2">
        <f>ff_portfolios25!Y289-ff_factors!$E289</f>
        <v>1.8395999999999999E-2</v>
      </c>
      <c r="Z289" s="2">
        <f>ff_portfolios25!Z289-ff_factors!$E289</f>
        <v>1.9828000000000002E-2</v>
      </c>
      <c r="AA289" s="2">
        <f>ff_portfolios25!AA289-ff_factors!$E289</f>
        <v>-5.5840000000000004E-3</v>
      </c>
      <c r="AB289" s="2">
        <f>ff_portfolios25!AB289-ff_factors!$E289</f>
        <v>-2.2917E-2</v>
      </c>
    </row>
    <row r="290" spans="1:28" x14ac:dyDescent="0.2">
      <c r="A290">
        <v>19560131</v>
      </c>
      <c r="B290">
        <v>1956</v>
      </c>
      <c r="C290">
        <v>1</v>
      </c>
      <c r="D290" s="2">
        <f>ff_portfolios25!D290-ff_factors!$E290</f>
        <v>3.1394999999999999E-2</v>
      </c>
      <c r="E290" s="2">
        <f>ff_portfolios25!E290-ff_factors!$E290</f>
        <v>-9.3480000000000004E-3</v>
      </c>
      <c r="F290" s="2">
        <f>ff_portfolios25!F290-ff_factors!$E290</f>
        <v>-1.8320000000000001E-3</v>
      </c>
      <c r="G290" s="2">
        <f>ff_portfolios25!G290-ff_factors!$E290</f>
        <v>-1.2805E-2</v>
      </c>
      <c r="H290" s="2">
        <f>ff_portfolios25!H290-ff_factors!$E290</f>
        <v>-1.9151999999999999E-2</v>
      </c>
      <c r="I290" s="2">
        <f>ff_portfolios25!I290-ff_factors!$E290</f>
        <v>-1.9483E-2</v>
      </c>
      <c r="J290" s="2">
        <f>ff_portfolios25!J290-ff_factors!$E290</f>
        <v>-2.6516000000000001E-2</v>
      </c>
      <c r="K290" s="2">
        <f>ff_portfolios25!K290-ff_factors!$E290</f>
        <v>-1.7659000000000001E-2</v>
      </c>
      <c r="L290" s="2">
        <f>ff_portfolios25!L290-ff_factors!$E290</f>
        <v>-2.7628E-2</v>
      </c>
      <c r="M290" s="2">
        <f>ff_portfolios25!M290-ff_factors!$E290</f>
        <v>-1.4539E-2</v>
      </c>
      <c r="N290" s="2">
        <f>ff_portfolios25!N290-ff_factors!$E290</f>
        <v>-5.0321999999999999E-2</v>
      </c>
      <c r="O290" s="2">
        <f>ff_portfolios25!O290-ff_factors!$E290</f>
        <v>-2.7179999999999999E-2</v>
      </c>
      <c r="P290" s="2">
        <f>ff_portfolios25!P290-ff_factors!$E290</f>
        <v>-4.1080999999999999E-2</v>
      </c>
      <c r="Q290" s="2">
        <f>ff_portfolios25!Q290-ff_factors!$E290</f>
        <v>-9.7710000000000002E-3</v>
      </c>
      <c r="R290" s="2">
        <f>ff_portfolios25!R290-ff_factors!$E290</f>
        <v>-3.8790999999999999E-2</v>
      </c>
      <c r="S290" s="2">
        <f>ff_portfolios25!S290-ff_factors!$E290</f>
        <v>-3.125E-2</v>
      </c>
      <c r="T290" s="2">
        <f>ff_portfolios25!T290-ff_factors!$E290</f>
        <v>-3.0659000000000002E-2</v>
      </c>
      <c r="U290" s="2">
        <f>ff_portfolios25!U290-ff_factors!$E290</f>
        <v>-3.3161999999999997E-2</v>
      </c>
      <c r="V290" s="2">
        <f>ff_portfolios25!V290-ff_factors!$E290</f>
        <v>-4.2230999999999998E-2</v>
      </c>
      <c r="W290" s="2">
        <f>ff_portfolios25!W290-ff_factors!$E290</f>
        <v>-4.3458000000000004E-2</v>
      </c>
      <c r="X290" s="2">
        <f>ff_portfolios25!X290-ff_factors!$E290</f>
        <v>-4.6917E-2</v>
      </c>
      <c r="Y290" s="2">
        <f>ff_portfolios25!Y290-ff_factors!$E290</f>
        <v>-1.4375000000000001E-2</v>
      </c>
      <c r="Z290" s="2">
        <f>ff_portfolios25!Z290-ff_factors!$E290</f>
        <v>-6.9149999999999993E-3</v>
      </c>
      <c r="AA290" s="2">
        <f>ff_portfolios25!AA290-ff_factors!$E290</f>
        <v>-1.7948000000000002E-2</v>
      </c>
      <c r="AB290" s="2">
        <f>ff_portfolios25!AB290-ff_factors!$E290</f>
        <v>-3.1588999999999999E-2</v>
      </c>
    </row>
    <row r="291" spans="1:28" x14ac:dyDescent="0.2">
      <c r="A291">
        <v>19560229</v>
      </c>
      <c r="B291">
        <v>1956</v>
      </c>
      <c r="C291">
        <v>2</v>
      </c>
      <c r="D291" s="2">
        <f>ff_portfolios25!D291-ff_factors!$E291</f>
        <v>6.9887000000000005E-2</v>
      </c>
      <c r="E291" s="2">
        <f>ff_portfolios25!E291-ff_factors!$E291</f>
        <v>1.2810999999999999E-2</v>
      </c>
      <c r="F291" s="2">
        <f>ff_portfolios25!F291-ff_factors!$E291</f>
        <v>1.2326999999999999E-2</v>
      </c>
      <c r="G291" s="2">
        <f>ff_portfolios25!G291-ff_factors!$E291</f>
        <v>2.8250000000000001E-2</v>
      </c>
      <c r="H291" s="2">
        <f>ff_portfolios25!H291-ff_factors!$E291</f>
        <v>2.9642000000000002E-2</v>
      </c>
      <c r="I291" s="2">
        <f>ff_portfolios25!I291-ff_factors!$E291</f>
        <v>2.5452000000000002E-2</v>
      </c>
      <c r="J291" s="2">
        <f>ff_portfolios25!J291-ff_factors!$E291</f>
        <v>2.8449000000000002E-2</v>
      </c>
      <c r="K291" s="2">
        <f>ff_portfolios25!K291-ff_factors!$E291</f>
        <v>5.2325000000000003E-2</v>
      </c>
      <c r="L291" s="2">
        <f>ff_portfolios25!L291-ff_factors!$E291</f>
        <v>2.8106000000000003E-2</v>
      </c>
      <c r="M291" s="2">
        <f>ff_portfolios25!M291-ff_factors!$E291</f>
        <v>2.4147000000000002E-2</v>
      </c>
      <c r="N291" s="2">
        <f>ff_portfolios25!N291-ff_factors!$E291</f>
        <v>3.7060000000000003E-2</v>
      </c>
      <c r="O291" s="2">
        <f>ff_portfolios25!O291-ff_factors!$E291</f>
        <v>2.2946000000000001E-2</v>
      </c>
      <c r="P291" s="2">
        <f>ff_portfolios25!P291-ff_factors!$E291</f>
        <v>4.0214E-2</v>
      </c>
      <c r="Q291" s="2">
        <f>ff_portfolios25!Q291-ff_factors!$E291</f>
        <v>3.1316000000000004E-2</v>
      </c>
      <c r="R291" s="2">
        <f>ff_portfolios25!R291-ff_factors!$E291</f>
        <v>2.4322E-2</v>
      </c>
      <c r="S291" s="2">
        <f>ff_portfolios25!S291-ff_factors!$E291</f>
        <v>3.2420000000000004E-2</v>
      </c>
      <c r="T291" s="2">
        <f>ff_portfolios25!T291-ff_factors!$E291</f>
        <v>3.9511000000000004E-2</v>
      </c>
      <c r="U291" s="2">
        <f>ff_portfolios25!U291-ff_factors!$E291</f>
        <v>3.0150000000000003E-2</v>
      </c>
      <c r="V291" s="2">
        <f>ff_portfolios25!V291-ff_factors!$E291</f>
        <v>4.0701000000000001E-2</v>
      </c>
      <c r="W291" s="2">
        <f>ff_portfolios25!W291-ff_factors!$E291</f>
        <v>3.2640000000000002E-2</v>
      </c>
      <c r="X291" s="2">
        <f>ff_portfolios25!X291-ff_factors!$E291</f>
        <v>5.2084999999999999E-2</v>
      </c>
      <c r="Y291" s="2">
        <f>ff_portfolios25!Y291-ff_factors!$E291</f>
        <v>2.9671000000000003E-2</v>
      </c>
      <c r="Z291" s="2">
        <f>ff_portfolios25!Z291-ff_factors!$E291</f>
        <v>2.0316000000000001E-2</v>
      </c>
      <c r="AA291" s="2">
        <f>ff_portfolios25!AA291-ff_factors!$E291</f>
        <v>3.6617999999999998E-2</v>
      </c>
      <c r="AB291" s="2">
        <f>ff_portfolios25!AB291-ff_factors!$E291</f>
        <v>3.1163000000000003E-2</v>
      </c>
    </row>
    <row r="292" spans="1:28" x14ac:dyDescent="0.2">
      <c r="A292">
        <v>19560329</v>
      </c>
      <c r="B292">
        <v>1956</v>
      </c>
      <c r="C292">
        <v>3</v>
      </c>
      <c r="D292" s="2">
        <f>ff_portfolios25!D292-ff_factors!$E292</f>
        <v>4.7159999999999997E-3</v>
      </c>
      <c r="E292" s="2">
        <f>ff_portfolios25!E292-ff_factors!$E292</f>
        <v>3.1404999999999995E-2</v>
      </c>
      <c r="F292" s="2">
        <f>ff_portfolios25!F292-ff_factors!$E292</f>
        <v>9.4710000000000003E-3</v>
      </c>
      <c r="G292" s="2">
        <f>ff_portfolios25!G292-ff_factors!$E292</f>
        <v>7.8833E-2</v>
      </c>
      <c r="H292" s="2">
        <f>ff_portfolios25!H292-ff_factors!$E292</f>
        <v>4.7144999999999999E-2</v>
      </c>
      <c r="I292" s="2">
        <f>ff_portfolios25!I292-ff_factors!$E292</f>
        <v>6.3059999999999991E-3</v>
      </c>
      <c r="J292" s="2">
        <f>ff_portfolios25!J292-ff_factors!$E292</f>
        <v>4.5121999999999995E-2</v>
      </c>
      <c r="K292" s="2">
        <f>ff_portfolios25!K292-ff_factors!$E292</f>
        <v>4.7397000000000002E-2</v>
      </c>
      <c r="L292" s="2">
        <f>ff_portfolios25!L292-ff_factors!$E292</f>
        <v>3.5125999999999998E-2</v>
      </c>
      <c r="M292" s="2">
        <f>ff_portfolios25!M292-ff_factors!$E292</f>
        <v>5.6578999999999997E-2</v>
      </c>
      <c r="N292" s="2">
        <f>ff_portfolios25!N292-ff_factors!$E292</f>
        <v>7.6137999999999997E-2</v>
      </c>
      <c r="O292" s="2">
        <f>ff_portfolios25!O292-ff_factors!$E292</f>
        <v>4.0249E-2</v>
      </c>
      <c r="P292" s="2">
        <f>ff_portfolios25!P292-ff_factors!$E292</f>
        <v>5.5937000000000001E-2</v>
      </c>
      <c r="Q292" s="2">
        <f>ff_portfolios25!Q292-ff_factors!$E292</f>
        <v>5.6957000000000001E-2</v>
      </c>
      <c r="R292" s="2">
        <f>ff_portfolios25!R292-ff_factors!$E292</f>
        <v>3.4832999999999996E-2</v>
      </c>
      <c r="S292" s="2">
        <f>ff_portfolios25!S292-ff_factors!$E292</f>
        <v>5.7057999999999998E-2</v>
      </c>
      <c r="T292" s="2">
        <f>ff_portfolios25!T292-ff_factors!$E292</f>
        <v>5.9095000000000002E-2</v>
      </c>
      <c r="U292" s="2">
        <f>ff_portfolios25!U292-ff_factors!$E292</f>
        <v>6.4248E-2</v>
      </c>
      <c r="V292" s="2">
        <f>ff_portfolios25!V292-ff_factors!$E292</f>
        <v>4.3115000000000001E-2</v>
      </c>
      <c r="W292" s="2">
        <f>ff_portfolios25!W292-ff_factors!$E292</f>
        <v>2.6123E-2</v>
      </c>
      <c r="X292" s="2">
        <f>ff_portfolios25!X292-ff_factors!$E292</f>
        <v>6.8553000000000003E-2</v>
      </c>
      <c r="Y292" s="2">
        <f>ff_portfolios25!Y292-ff_factors!$E292</f>
        <v>9.8915000000000003E-2</v>
      </c>
      <c r="Z292" s="2">
        <f>ff_portfolios25!Z292-ff_factors!$E292</f>
        <v>4.8892999999999999E-2</v>
      </c>
      <c r="AA292" s="2">
        <f>ff_portfolios25!AA292-ff_factors!$E292</f>
        <v>5.6591999999999996E-2</v>
      </c>
      <c r="AB292" s="2">
        <f>ff_portfolios25!AB292-ff_factors!$E292</f>
        <v>8.6776999999999993E-2</v>
      </c>
    </row>
    <row r="293" spans="1:28" x14ac:dyDescent="0.2">
      <c r="A293">
        <v>19560430</v>
      </c>
      <c r="B293">
        <v>1956</v>
      </c>
      <c r="C293">
        <v>4</v>
      </c>
      <c r="D293" s="2">
        <f>ff_portfolios25!D293-ff_factors!$E293</f>
        <v>6.3260000000000009E-3</v>
      </c>
      <c r="E293" s="2">
        <f>ff_portfolios25!E293-ff_factors!$E293</f>
        <v>-1.1495E-2</v>
      </c>
      <c r="F293" s="2">
        <f>ff_portfolios25!F293-ff_factors!$E293</f>
        <v>-9.8270000000000007E-3</v>
      </c>
      <c r="G293" s="2">
        <f>ff_portfolios25!G293-ff_factors!$E293</f>
        <v>2.4369999999999999E-3</v>
      </c>
      <c r="H293" s="2">
        <f>ff_portfolios25!H293-ff_factors!$E293</f>
        <v>4.7130000000000002E-3</v>
      </c>
      <c r="I293" s="2">
        <f>ff_portfolios25!I293-ff_factors!$E293</f>
        <v>8.2119999999999988E-3</v>
      </c>
      <c r="J293" s="2">
        <f>ff_portfolios25!J293-ff_factors!$E293</f>
        <v>1.9450000000000002E-2</v>
      </c>
      <c r="K293" s="2">
        <f>ff_portfolios25!K293-ff_factors!$E293</f>
        <v>-8.6080000000000011E-3</v>
      </c>
      <c r="L293" s="2">
        <f>ff_portfolios25!L293-ff_factors!$E293</f>
        <v>-2.2499999999999998E-3</v>
      </c>
      <c r="M293" s="2">
        <f>ff_portfolios25!M293-ff_factors!$E293</f>
        <v>2.7940000000000005E-3</v>
      </c>
      <c r="N293" s="2">
        <f>ff_portfolios25!N293-ff_factors!$E293</f>
        <v>-2.1860999999999998E-2</v>
      </c>
      <c r="O293" s="2">
        <f>ff_portfolios25!O293-ff_factors!$E293</f>
        <v>4.1720000000000004E-3</v>
      </c>
      <c r="P293" s="2">
        <f>ff_portfolios25!P293-ff_factors!$E293</f>
        <v>9.2099999999999994E-3</v>
      </c>
      <c r="Q293" s="2">
        <f>ff_portfolios25!Q293-ff_factors!$E293</f>
        <v>1.6813000000000002E-2</v>
      </c>
      <c r="R293" s="2">
        <f>ff_portfolios25!R293-ff_factors!$E293</f>
        <v>-1.719E-3</v>
      </c>
      <c r="S293" s="2">
        <f>ff_portfolios25!S293-ff_factors!$E293</f>
        <v>8.9800000000000001E-3</v>
      </c>
      <c r="T293" s="2">
        <f>ff_portfolios25!T293-ff_factors!$E293</f>
        <v>-2.3579999999999999E-3</v>
      </c>
      <c r="U293" s="2">
        <f>ff_portfolios25!U293-ff_factors!$E293</f>
        <v>9.6659999999999992E-3</v>
      </c>
      <c r="V293" s="2">
        <f>ff_portfolios25!V293-ff_factors!$E293</f>
        <v>5.8840000000000003E-3</v>
      </c>
      <c r="W293" s="2">
        <f>ff_portfolios25!W293-ff_factors!$E293</f>
        <v>9.6679999999999995E-3</v>
      </c>
      <c r="X293" s="2">
        <f>ff_portfolios25!X293-ff_factors!$E293</f>
        <v>-9.784000000000001E-3</v>
      </c>
      <c r="Y293" s="2">
        <f>ff_portfolios25!Y293-ff_factors!$E293</f>
        <v>1.4999999999999998E-2</v>
      </c>
      <c r="Z293" s="2">
        <f>ff_portfolios25!Z293-ff_factors!$E293</f>
        <v>1.9429999999999999E-2</v>
      </c>
      <c r="AA293" s="2">
        <f>ff_portfolios25!AA293-ff_factors!$E293</f>
        <v>1.0154999999999999E-2</v>
      </c>
      <c r="AB293" s="2">
        <f>ff_portfolios25!AB293-ff_factors!$E293</f>
        <v>4.6319999999999998E-3</v>
      </c>
    </row>
    <row r="294" spans="1:28" x14ac:dyDescent="0.2">
      <c r="A294">
        <v>19560531</v>
      </c>
      <c r="B294">
        <v>1956</v>
      </c>
      <c r="C294">
        <v>5</v>
      </c>
      <c r="D294" s="2">
        <f>ff_portfolios25!D294-ff_factors!$E294</f>
        <v>-1.6083E-2</v>
      </c>
      <c r="E294" s="2">
        <f>ff_portfolios25!E294-ff_factors!$E294</f>
        <v>-5.9362999999999999E-2</v>
      </c>
      <c r="F294" s="2">
        <f>ff_portfolios25!F294-ff_factors!$E294</f>
        <v>-2.4025000000000001E-2</v>
      </c>
      <c r="G294" s="2">
        <f>ff_portfolios25!G294-ff_factors!$E294</f>
        <v>-4.0206000000000006E-2</v>
      </c>
      <c r="H294" s="2">
        <f>ff_portfolios25!H294-ff_factors!$E294</f>
        <v>-4.3896000000000004E-2</v>
      </c>
      <c r="I294" s="2">
        <f>ff_portfolios25!I294-ff_factors!$E294</f>
        <v>-4.6645999999999993E-2</v>
      </c>
      <c r="J294" s="2">
        <f>ff_portfolios25!J294-ff_factors!$E294</f>
        <v>-5.9632000000000004E-2</v>
      </c>
      <c r="K294" s="2">
        <f>ff_portfolios25!K294-ff_factors!$E294</f>
        <v>-4.2941999999999994E-2</v>
      </c>
      <c r="L294" s="2">
        <f>ff_portfolios25!L294-ff_factors!$E294</f>
        <v>-4.6614000000000003E-2</v>
      </c>
      <c r="M294" s="2">
        <f>ff_portfolios25!M294-ff_factors!$E294</f>
        <v>-4.5275999999999997E-2</v>
      </c>
      <c r="N294" s="2">
        <f>ff_portfolios25!N294-ff_factors!$E294</f>
        <v>-1.5715E-2</v>
      </c>
      <c r="O294" s="2">
        <f>ff_portfolios25!O294-ff_factors!$E294</f>
        <v>-3.9942000000000005E-2</v>
      </c>
      <c r="P294" s="2">
        <f>ff_portfolios25!P294-ff_factors!$E294</f>
        <v>-2.4971E-2</v>
      </c>
      <c r="Q294" s="2">
        <f>ff_portfolios25!Q294-ff_factors!$E294</f>
        <v>-4.8346E-2</v>
      </c>
      <c r="R294" s="2">
        <f>ff_portfolios25!R294-ff_factors!$E294</f>
        <v>-5.3008E-2</v>
      </c>
      <c r="S294" s="2">
        <f>ff_portfolios25!S294-ff_factors!$E294</f>
        <v>-3.0439999999999998E-2</v>
      </c>
      <c r="T294" s="2">
        <f>ff_portfolios25!T294-ff_factors!$E294</f>
        <v>-3.3079999999999998E-2</v>
      </c>
      <c r="U294" s="2">
        <f>ff_portfolios25!U294-ff_factors!$E294</f>
        <v>-5.2292000000000005E-2</v>
      </c>
      <c r="V294" s="2">
        <f>ff_portfolios25!V294-ff_factors!$E294</f>
        <v>-5.2511000000000002E-2</v>
      </c>
      <c r="W294" s="2">
        <f>ff_portfolios25!W294-ff_factors!$E294</f>
        <v>-5.3541000000000005E-2</v>
      </c>
      <c r="X294" s="2">
        <f>ff_portfolios25!X294-ff_factors!$E294</f>
        <v>-5.1586000000000007E-2</v>
      </c>
      <c r="Y294" s="2">
        <f>ff_portfolios25!Y294-ff_factors!$E294</f>
        <v>-6.1481999999999995E-2</v>
      </c>
      <c r="Z294" s="2">
        <f>ff_portfolios25!Z294-ff_factors!$E294</f>
        <v>-4.9097000000000002E-2</v>
      </c>
      <c r="AA294" s="2">
        <f>ff_portfolios25!AA294-ff_factors!$E294</f>
        <v>-6.7345000000000002E-2</v>
      </c>
      <c r="AB294" s="2">
        <f>ff_portfolios25!AB294-ff_factors!$E294</f>
        <v>-8.8371999999999992E-2</v>
      </c>
    </row>
    <row r="295" spans="1:28" x14ac:dyDescent="0.2">
      <c r="A295">
        <v>19560629</v>
      </c>
      <c r="B295">
        <v>1956</v>
      </c>
      <c r="C295">
        <v>6</v>
      </c>
      <c r="D295" s="2">
        <f>ff_portfolios25!D295-ff_factors!$E295</f>
        <v>-4.8902000000000001E-2</v>
      </c>
      <c r="E295" s="2">
        <f>ff_portfolios25!E295-ff_factors!$E295</f>
        <v>3.8890000000000001E-3</v>
      </c>
      <c r="F295" s="2">
        <f>ff_portfolios25!F295-ff_factors!$E295</f>
        <v>2.1567999999999997E-2</v>
      </c>
      <c r="G295" s="2">
        <f>ff_portfolios25!G295-ff_factors!$E295</f>
        <v>4.3099999999999996E-3</v>
      </c>
      <c r="H295" s="2">
        <f>ff_portfolios25!H295-ff_factors!$E295</f>
        <v>-1.9659999999999999E-3</v>
      </c>
      <c r="I295" s="2">
        <f>ff_portfolios25!I295-ff_factors!$E295</f>
        <v>4.7070000000000002E-3</v>
      </c>
      <c r="J295" s="2">
        <f>ff_portfolios25!J295-ff_factors!$E295</f>
        <v>2.4072000000000003E-2</v>
      </c>
      <c r="K295" s="2">
        <f>ff_portfolios25!K295-ff_factors!$E295</f>
        <v>2.0385E-2</v>
      </c>
      <c r="L295" s="2">
        <f>ff_portfolios25!L295-ff_factors!$E295</f>
        <v>1.4829E-2</v>
      </c>
      <c r="M295" s="2">
        <f>ff_portfolios25!M295-ff_factors!$E295</f>
        <v>1.4966999999999999E-2</v>
      </c>
      <c r="N295" s="2">
        <f>ff_portfolios25!N295-ff_factors!$E295</f>
        <v>4.1029999999999997E-2</v>
      </c>
      <c r="O295" s="2">
        <f>ff_portfolios25!O295-ff_factors!$E295</f>
        <v>2.5037999999999998E-2</v>
      </c>
      <c r="P295" s="2">
        <f>ff_portfolios25!P295-ff_factors!$E295</f>
        <v>3.669E-2</v>
      </c>
      <c r="Q295" s="2">
        <f>ff_portfolios25!Q295-ff_factors!$E295</f>
        <v>3.4872E-2</v>
      </c>
      <c r="R295" s="2">
        <f>ff_portfolios25!R295-ff_factors!$E295</f>
        <v>1.4011999999999998E-2</v>
      </c>
      <c r="S295" s="2">
        <f>ff_portfolios25!S295-ff_factors!$E295</f>
        <v>3.5739E-2</v>
      </c>
      <c r="T295" s="2">
        <f>ff_portfolios25!T295-ff_factors!$E295</f>
        <v>2.6249000000000001E-2</v>
      </c>
      <c r="U295" s="2">
        <f>ff_portfolios25!U295-ff_factors!$E295</f>
        <v>2.0985999999999998E-2</v>
      </c>
      <c r="V295" s="2">
        <f>ff_portfolios25!V295-ff_factors!$E295</f>
        <v>1.3664000000000001E-2</v>
      </c>
      <c r="W295" s="2">
        <f>ff_portfolios25!W295-ff_factors!$E295</f>
        <v>8.005E-3</v>
      </c>
      <c r="X295" s="2">
        <f>ff_portfolios25!X295-ff_factors!$E295</f>
        <v>5.1948000000000001E-2</v>
      </c>
      <c r="Y295" s="2">
        <f>ff_portfolios25!Y295-ff_factors!$E295</f>
        <v>1.4067999999999999E-2</v>
      </c>
      <c r="Z295" s="2">
        <f>ff_portfolios25!Z295-ff_factors!$E295</f>
        <v>3.3381000000000001E-2</v>
      </c>
      <c r="AA295" s="2">
        <f>ff_portfolios25!AA295-ff_factors!$E295</f>
        <v>3.1563999999999995E-2</v>
      </c>
      <c r="AB295" s="2">
        <f>ff_portfolios25!AB295-ff_factors!$E295</f>
        <v>1.6640000000000002E-2</v>
      </c>
    </row>
    <row r="296" spans="1:28" x14ac:dyDescent="0.2">
      <c r="A296">
        <v>19560731</v>
      </c>
      <c r="B296">
        <v>1956</v>
      </c>
      <c r="C296">
        <v>7</v>
      </c>
      <c r="D296" s="2">
        <f>ff_portfolios25!D296-ff_factors!$E296</f>
        <v>-1.1960000000000002E-3</v>
      </c>
      <c r="E296" s="2">
        <f>ff_portfolios25!E296-ff_factors!$E296</f>
        <v>2.3198E-2</v>
      </c>
      <c r="F296" s="2">
        <f>ff_portfolios25!F296-ff_factors!$E296</f>
        <v>-1.1660000000000002E-3</v>
      </c>
      <c r="G296" s="2">
        <f>ff_portfolios25!G296-ff_factors!$E296</f>
        <v>3.7954000000000002E-2</v>
      </c>
      <c r="H296" s="2">
        <f>ff_portfolios25!H296-ff_factors!$E296</f>
        <v>2.7061999999999999E-2</v>
      </c>
      <c r="I296" s="2">
        <f>ff_portfolios25!I296-ff_factors!$E296</f>
        <v>1.3964999999999998E-2</v>
      </c>
      <c r="J296" s="2">
        <f>ff_portfolios25!J296-ff_factors!$E296</f>
        <v>4.1619999999999997E-2</v>
      </c>
      <c r="K296" s="2">
        <f>ff_portfolios25!K296-ff_factors!$E296</f>
        <v>2.1257999999999999E-2</v>
      </c>
      <c r="L296" s="2">
        <f>ff_portfolios25!L296-ff_factors!$E296</f>
        <v>3.8549E-2</v>
      </c>
      <c r="M296" s="2">
        <f>ff_portfolios25!M296-ff_factors!$E296</f>
        <v>3.6582999999999997E-2</v>
      </c>
      <c r="N296" s="2">
        <f>ff_portfolios25!N296-ff_factors!$E296</f>
        <v>3.5117999999999996E-2</v>
      </c>
      <c r="O296" s="2">
        <f>ff_portfolios25!O296-ff_factors!$E296</f>
        <v>3.8064000000000001E-2</v>
      </c>
      <c r="P296" s="2">
        <f>ff_portfolios25!P296-ff_factors!$E296</f>
        <v>4.5913000000000002E-2</v>
      </c>
      <c r="Q296" s="2">
        <f>ff_portfolios25!Q296-ff_factors!$E296</f>
        <v>3.7642000000000002E-2</v>
      </c>
      <c r="R296" s="2">
        <f>ff_portfolios25!R296-ff_factors!$E296</f>
        <v>3.3363999999999998E-2</v>
      </c>
      <c r="S296" s="2">
        <f>ff_portfolios25!S296-ff_factors!$E296</f>
        <v>4.1869999999999997E-2</v>
      </c>
      <c r="T296" s="2">
        <f>ff_portfolios25!T296-ff_factors!$E296</f>
        <v>5.2290999999999997E-2</v>
      </c>
      <c r="U296" s="2">
        <f>ff_portfolios25!U296-ff_factors!$E296</f>
        <v>3.6421000000000002E-2</v>
      </c>
      <c r="V296" s="2">
        <f>ff_portfolios25!V296-ff_factors!$E296</f>
        <v>4.9410000000000003E-2</v>
      </c>
      <c r="W296" s="2">
        <f>ff_portfolios25!W296-ff_factors!$E296</f>
        <v>2.9092E-2</v>
      </c>
      <c r="X296" s="2">
        <f>ff_portfolios25!X296-ff_factors!$E296</f>
        <v>4.3816000000000001E-2</v>
      </c>
      <c r="Y296" s="2">
        <f>ff_portfolios25!Y296-ff_factors!$E296</f>
        <v>7.4844000000000008E-2</v>
      </c>
      <c r="Z296" s="2">
        <f>ff_portfolios25!Z296-ff_factors!$E296</f>
        <v>5.1462000000000001E-2</v>
      </c>
      <c r="AA296" s="2">
        <f>ff_portfolios25!AA296-ff_factors!$E296</f>
        <v>4.6870000000000002E-2</v>
      </c>
      <c r="AB296" s="2">
        <f>ff_portfolios25!AB296-ff_factors!$E296</f>
        <v>2.8156999999999998E-2</v>
      </c>
    </row>
    <row r="297" spans="1:28" x14ac:dyDescent="0.2">
      <c r="A297">
        <v>19560831</v>
      </c>
      <c r="B297">
        <v>1956</v>
      </c>
      <c r="C297">
        <v>8</v>
      </c>
      <c r="D297" s="2">
        <f>ff_portfolios25!D297-ff_factors!$E297</f>
        <v>-4.9281999999999999E-2</v>
      </c>
      <c r="E297" s="2">
        <f>ff_portfolios25!E297-ff_factors!$E297</f>
        <v>-2.6887000000000001E-2</v>
      </c>
      <c r="F297" s="2">
        <f>ff_portfolios25!F297-ff_factors!$E297</f>
        <v>1.0711E-2</v>
      </c>
      <c r="G297" s="2">
        <f>ff_portfolios25!G297-ff_factors!$E297</f>
        <v>-1.3179E-2</v>
      </c>
      <c r="H297" s="2">
        <f>ff_portfolios25!H297-ff_factors!$E297</f>
        <v>-1.1975E-2</v>
      </c>
      <c r="I297" s="2">
        <f>ff_portfolios25!I297-ff_factors!$E297</f>
        <v>-1.7469999999999999E-2</v>
      </c>
      <c r="J297" s="2">
        <f>ff_portfolios25!J297-ff_factors!$E297</f>
        <v>-4.1250000000000002E-3</v>
      </c>
      <c r="K297" s="2">
        <f>ff_portfolios25!K297-ff_factors!$E297</f>
        <v>-1.8046E-2</v>
      </c>
      <c r="L297" s="2">
        <f>ff_portfolios25!L297-ff_factors!$E297</f>
        <v>-1.4902E-2</v>
      </c>
      <c r="M297" s="2">
        <f>ff_portfolios25!M297-ff_factors!$E297</f>
        <v>-2.3511000000000001E-2</v>
      </c>
      <c r="N297" s="2">
        <f>ff_portfolios25!N297-ff_factors!$E297</f>
        <v>6.3619999999999996E-3</v>
      </c>
      <c r="O297" s="2">
        <f>ff_portfolios25!O297-ff_factors!$E297</f>
        <v>-1.5039E-2</v>
      </c>
      <c r="P297" s="2">
        <f>ff_portfolios25!P297-ff_factors!$E297</f>
        <v>-1.7169E-2</v>
      </c>
      <c r="Q297" s="2">
        <f>ff_portfolios25!Q297-ff_factors!$E297</f>
        <v>-1.5909E-2</v>
      </c>
      <c r="R297" s="2">
        <f>ff_portfolios25!R297-ff_factors!$E297</f>
        <v>-3.6679999999999997E-2</v>
      </c>
      <c r="S297" s="2">
        <f>ff_portfolios25!S297-ff_factors!$E297</f>
        <v>-3.2501999999999996E-2</v>
      </c>
      <c r="T297" s="2">
        <f>ff_portfolios25!T297-ff_factors!$E297</f>
        <v>-3.0556E-2</v>
      </c>
      <c r="U297" s="2">
        <f>ff_portfolios25!U297-ff_factors!$E297</f>
        <v>-2.2471999999999999E-2</v>
      </c>
      <c r="V297" s="2">
        <f>ff_portfolios25!V297-ff_factors!$E297</f>
        <v>-2.9797000000000001E-2</v>
      </c>
      <c r="W297" s="2">
        <f>ff_portfolios25!W297-ff_factors!$E297</f>
        <v>-2.9559999999999999E-2</v>
      </c>
      <c r="X297" s="2">
        <f>ff_portfolios25!X297-ff_factors!$E297</f>
        <v>-3.3221000000000001E-2</v>
      </c>
      <c r="Y297" s="2">
        <f>ff_portfolios25!Y297-ff_factors!$E297</f>
        <v>-5.1617000000000003E-2</v>
      </c>
      <c r="Z297" s="2">
        <f>ff_portfolios25!Z297-ff_factors!$E297</f>
        <v>-2.0299999999999999E-2</v>
      </c>
      <c r="AA297" s="2">
        <f>ff_portfolios25!AA297-ff_factors!$E297</f>
        <v>-3.2055E-2</v>
      </c>
      <c r="AB297" s="2">
        <f>ff_portfolios25!AB297-ff_factors!$E297</f>
        <v>-4.8076000000000001E-2</v>
      </c>
    </row>
    <row r="298" spans="1:28" x14ac:dyDescent="0.2">
      <c r="A298">
        <v>19560928</v>
      </c>
      <c r="B298">
        <v>1956</v>
      </c>
      <c r="C298">
        <v>9</v>
      </c>
      <c r="D298" s="2">
        <f>ff_portfolios25!D298-ff_factors!$E298</f>
        <v>-2.8410000000000001E-2</v>
      </c>
      <c r="E298" s="2">
        <f>ff_portfolios25!E298-ff_factors!$E298</f>
        <v>-7.8736E-2</v>
      </c>
      <c r="F298" s="2">
        <f>ff_portfolios25!F298-ff_factors!$E298</f>
        <v>-2.3331000000000001E-2</v>
      </c>
      <c r="G298" s="2">
        <f>ff_portfolios25!G298-ff_factors!$E298</f>
        <v>-2.5252E-2</v>
      </c>
      <c r="H298" s="2">
        <f>ff_portfolios25!H298-ff_factors!$E298</f>
        <v>-1.5073E-2</v>
      </c>
      <c r="I298" s="2">
        <f>ff_portfolios25!I298-ff_factors!$E298</f>
        <v>-4.4937000000000005E-2</v>
      </c>
      <c r="J298" s="2">
        <f>ff_portfolios25!J298-ff_factors!$E298</f>
        <v>-1.5845999999999999E-2</v>
      </c>
      <c r="K298" s="2">
        <f>ff_portfolios25!K298-ff_factors!$E298</f>
        <v>-3.4836000000000006E-2</v>
      </c>
      <c r="L298" s="2">
        <f>ff_portfolios25!L298-ff_factors!$E298</f>
        <v>-1.6355999999999999E-2</v>
      </c>
      <c r="M298" s="2">
        <f>ff_portfolios25!M298-ff_factors!$E298</f>
        <v>-2.3326E-2</v>
      </c>
      <c r="N298" s="2">
        <f>ff_portfolios25!N298-ff_factors!$E298</f>
        <v>-4.9905000000000005E-2</v>
      </c>
      <c r="O298" s="2">
        <f>ff_portfolios25!O298-ff_factors!$E298</f>
        <v>-4.9182000000000003E-2</v>
      </c>
      <c r="P298" s="2">
        <f>ff_portfolios25!P298-ff_factors!$E298</f>
        <v>-3.5695000000000005E-2</v>
      </c>
      <c r="Q298" s="2">
        <f>ff_portfolios25!Q298-ff_factors!$E298</f>
        <v>-2.8194999999999998E-2</v>
      </c>
      <c r="R298" s="2">
        <f>ff_portfolios25!R298-ff_factors!$E298</f>
        <v>-2.0736999999999998E-2</v>
      </c>
      <c r="S298" s="2">
        <f>ff_portfolios25!S298-ff_factors!$E298</f>
        <v>-4.7892000000000004E-2</v>
      </c>
      <c r="T298" s="2">
        <f>ff_portfolios25!T298-ff_factors!$E298</f>
        <v>-4.3896000000000004E-2</v>
      </c>
      <c r="U298" s="2">
        <f>ff_portfolios25!U298-ff_factors!$E298</f>
        <v>-3.7862E-2</v>
      </c>
      <c r="V298" s="2">
        <f>ff_portfolios25!V298-ff_factors!$E298</f>
        <v>-3.6086E-2</v>
      </c>
      <c r="W298" s="2">
        <f>ff_portfolios25!W298-ff_factors!$E298</f>
        <v>-2.9554E-2</v>
      </c>
      <c r="X298" s="2">
        <f>ff_portfolios25!X298-ff_factors!$E298</f>
        <v>-6.4367999999999995E-2</v>
      </c>
      <c r="Y298" s="2">
        <f>ff_portfolios25!Y298-ff_factors!$E298</f>
        <v>-4.8121000000000004E-2</v>
      </c>
      <c r="Z298" s="2">
        <f>ff_portfolios25!Z298-ff_factors!$E298</f>
        <v>-3.1378000000000003E-2</v>
      </c>
      <c r="AA298" s="2">
        <f>ff_portfolios25!AA298-ff_factors!$E298</f>
        <v>-5.7280000000000005E-2</v>
      </c>
      <c r="AB298" s="2">
        <f>ff_portfolios25!AB298-ff_factors!$E298</f>
        <v>-3.1600000000000003E-2</v>
      </c>
    </row>
    <row r="299" spans="1:28" x14ac:dyDescent="0.2">
      <c r="A299">
        <v>19561031</v>
      </c>
      <c r="B299">
        <v>1956</v>
      </c>
      <c r="C299">
        <v>10</v>
      </c>
      <c r="D299" s="2">
        <f>ff_portfolios25!D299-ff_factors!$E299</f>
        <v>-5.0511E-2</v>
      </c>
      <c r="E299" s="2">
        <f>ff_portfolios25!E299-ff_factors!$E299</f>
        <v>1.5054E-2</v>
      </c>
      <c r="F299" s="2">
        <f>ff_portfolios25!F299-ff_factors!$E299</f>
        <v>-8.4370000000000001E-3</v>
      </c>
      <c r="G299" s="2">
        <f>ff_portfolios25!G299-ff_factors!$E299</f>
        <v>1.3049999999999997E-3</v>
      </c>
      <c r="H299" s="2">
        <f>ff_portfolios25!H299-ff_factors!$E299</f>
        <v>8.6149999999999994E-3</v>
      </c>
      <c r="I299" s="2">
        <f>ff_portfolios25!I299-ff_factors!$E299</f>
        <v>-6.9300000000000004E-3</v>
      </c>
      <c r="J299" s="2">
        <f>ff_portfolios25!J299-ff_factors!$E299</f>
        <v>1.6511000000000001E-2</v>
      </c>
      <c r="K299" s="2">
        <f>ff_portfolios25!K299-ff_factors!$E299</f>
        <v>7.8639999999999995E-3</v>
      </c>
      <c r="L299" s="2">
        <f>ff_portfolios25!L299-ff_factors!$E299</f>
        <v>-2.3499999999999997E-4</v>
      </c>
      <c r="M299" s="2">
        <f>ff_portfolios25!M299-ff_factors!$E299</f>
        <v>-1.7170000000000002E-3</v>
      </c>
      <c r="N299" s="2">
        <f>ff_portfolios25!N299-ff_factors!$E299</f>
        <v>2.7960000000000003E-3</v>
      </c>
      <c r="O299" s="2">
        <f>ff_portfolios25!O299-ff_factors!$E299</f>
        <v>7.2049999999999996E-3</v>
      </c>
      <c r="P299" s="2">
        <f>ff_portfolios25!P299-ff_factors!$E299</f>
        <v>-5.2620000000000002E-3</v>
      </c>
      <c r="Q299" s="2">
        <f>ff_portfolios25!Q299-ff_factors!$E299</f>
        <v>1.6215E-2</v>
      </c>
      <c r="R299" s="2">
        <f>ff_portfolios25!R299-ff_factors!$E299</f>
        <v>6.5050000000000004E-3</v>
      </c>
      <c r="S299" s="2">
        <f>ff_portfolios25!S299-ff_factors!$E299</f>
        <v>-1.8730000000000001E-3</v>
      </c>
      <c r="T299" s="2">
        <f>ff_portfolios25!T299-ff_factors!$E299</f>
        <v>3.722E-3</v>
      </c>
      <c r="U299" s="2">
        <f>ff_portfolios25!U299-ff_factors!$E299</f>
        <v>9.7850000000000003E-3</v>
      </c>
      <c r="V299" s="2">
        <f>ff_portfolios25!V299-ff_factors!$E299</f>
        <v>1.0751999999999999E-2</v>
      </c>
      <c r="W299" s="2">
        <f>ff_portfolios25!W299-ff_factors!$E299</f>
        <v>4.0440000000000007E-3</v>
      </c>
      <c r="X299" s="2">
        <f>ff_portfolios25!X299-ff_factors!$E299</f>
        <v>4.8889999999999992E-3</v>
      </c>
      <c r="Y299" s="2">
        <f>ff_portfolios25!Y299-ff_factors!$E299</f>
        <v>5.5230000000000001E-3</v>
      </c>
      <c r="Z299" s="2">
        <f>ff_portfolios25!Z299-ff_factors!$E299</f>
        <v>4.666E-3</v>
      </c>
      <c r="AA299" s="2">
        <f>ff_portfolios25!AA299-ff_factors!$E299</f>
        <v>5.4059999999999993E-3</v>
      </c>
      <c r="AB299" s="2">
        <f>ff_portfolios25!AB299-ff_factors!$E299</f>
        <v>1.4667000000000001E-2</v>
      </c>
    </row>
    <row r="300" spans="1:28" x14ac:dyDescent="0.2">
      <c r="A300">
        <v>19561130</v>
      </c>
      <c r="B300">
        <v>1956</v>
      </c>
      <c r="C300">
        <v>11</v>
      </c>
      <c r="D300" s="2">
        <f>ff_portfolios25!D300-ff_factors!$E300</f>
        <v>-5.7326000000000002E-2</v>
      </c>
      <c r="E300" s="2">
        <f>ff_portfolios25!E300-ff_factors!$E300</f>
        <v>1.5617000000000001E-2</v>
      </c>
      <c r="F300" s="2">
        <f>ff_portfolios25!F300-ff_factors!$E300</f>
        <v>-1.3332999999999999E-2</v>
      </c>
      <c r="G300" s="2">
        <f>ff_portfolios25!G300-ff_factors!$E300</f>
        <v>-5.0569999999999999E-3</v>
      </c>
      <c r="H300" s="2">
        <f>ff_portfolios25!H300-ff_factors!$E300</f>
        <v>1.0579E-2</v>
      </c>
      <c r="I300" s="2">
        <f>ff_portfolios25!I300-ff_factors!$E300</f>
        <v>1.65E-3</v>
      </c>
      <c r="J300" s="2">
        <f>ff_portfolios25!J300-ff_factors!$E300</f>
        <v>-2.6008000000000003E-2</v>
      </c>
      <c r="K300" s="2">
        <f>ff_portfolios25!K300-ff_factors!$E300</f>
        <v>-9.3599999999999998E-4</v>
      </c>
      <c r="L300" s="2">
        <f>ff_portfolios25!L300-ff_factors!$E300</f>
        <v>2.4787999999999998E-2</v>
      </c>
      <c r="M300" s="2">
        <f>ff_portfolios25!M300-ff_factors!$E300</f>
        <v>2.5376999999999997E-2</v>
      </c>
      <c r="N300" s="2">
        <f>ff_portfolios25!N300-ff_factors!$E300</f>
        <v>-1.3663E-2</v>
      </c>
      <c r="O300" s="2">
        <f>ff_portfolios25!O300-ff_factors!$E300</f>
        <v>1.4451E-2</v>
      </c>
      <c r="P300" s="2">
        <f>ff_portfolios25!P300-ff_factors!$E300</f>
        <v>9.7610000000000006E-3</v>
      </c>
      <c r="Q300" s="2">
        <f>ff_portfolios25!Q300-ff_factors!$E300</f>
        <v>1.8000000000000004E-4</v>
      </c>
      <c r="R300" s="2">
        <f>ff_portfolios25!R300-ff_factors!$E300</f>
        <v>1.9437000000000003E-2</v>
      </c>
      <c r="S300" s="2">
        <f>ff_portfolios25!S300-ff_factors!$E300</f>
        <v>1.2607E-2</v>
      </c>
      <c r="T300" s="2">
        <f>ff_portfolios25!T300-ff_factors!$E300</f>
        <v>5.0210000000000003E-3</v>
      </c>
      <c r="U300" s="2">
        <f>ff_portfolios25!U300-ff_factors!$E300</f>
        <v>-3.8050000000000002E-3</v>
      </c>
      <c r="V300" s="2">
        <f>ff_portfolios25!V300-ff_factors!$E300</f>
        <v>1.1759E-2</v>
      </c>
      <c r="W300" s="2">
        <f>ff_portfolios25!W300-ff_factors!$E300</f>
        <v>-9.1919999999999988E-3</v>
      </c>
      <c r="X300" s="2">
        <f>ff_portfolios25!X300-ff_factors!$E300</f>
        <v>-7.0350000000000005E-3</v>
      </c>
      <c r="Y300" s="2">
        <f>ff_portfolios25!Y300-ff_factors!$E300</f>
        <v>1.0079999999999998E-3</v>
      </c>
      <c r="Z300" s="2">
        <f>ff_portfolios25!Z300-ff_factors!$E300</f>
        <v>2.0986999999999999E-2</v>
      </c>
      <c r="AA300" s="2">
        <f>ff_portfolios25!AA300-ff_factors!$E300</f>
        <v>5.7609E-2</v>
      </c>
      <c r="AB300" s="2">
        <f>ff_portfolios25!AB300-ff_factors!$E300</f>
        <v>-2.6654999999999998E-2</v>
      </c>
    </row>
    <row r="301" spans="1:28" x14ac:dyDescent="0.2">
      <c r="A301">
        <v>19561231</v>
      </c>
      <c r="B301">
        <v>1956</v>
      </c>
      <c r="C301">
        <v>12</v>
      </c>
      <c r="D301" s="2">
        <f>ff_portfolios25!D301-ff_factors!$E301</f>
        <v>5.8244000000000004E-2</v>
      </c>
      <c r="E301" s="2">
        <f>ff_portfolios25!E301-ff_factors!$E301</f>
        <v>-3.1652E-2</v>
      </c>
      <c r="F301" s="2">
        <f>ff_portfolios25!F301-ff_factors!$E301</f>
        <v>9.9909999999999999E-3</v>
      </c>
      <c r="G301" s="2">
        <f>ff_portfolios25!G301-ff_factors!$E301</f>
        <v>1.2312E-2</v>
      </c>
      <c r="H301" s="2">
        <f>ff_portfolios25!H301-ff_factors!$E301</f>
        <v>7.0750000000000014E-3</v>
      </c>
      <c r="I301" s="2">
        <f>ff_portfolios25!I301-ff_factors!$E301</f>
        <v>2.5270000000000001E-2</v>
      </c>
      <c r="J301" s="2">
        <f>ff_portfolios25!J301-ff_factors!$E301</f>
        <v>4.6841000000000001E-2</v>
      </c>
      <c r="K301" s="2">
        <f>ff_portfolios25!K301-ff_factors!$E301</f>
        <v>1.8460000000000001E-2</v>
      </c>
      <c r="L301" s="2">
        <f>ff_portfolios25!L301-ff_factors!$E301</f>
        <v>2.0292000000000001E-2</v>
      </c>
      <c r="M301" s="2">
        <f>ff_portfolios25!M301-ff_factors!$E301</f>
        <v>3.1989999999999998E-2</v>
      </c>
      <c r="N301" s="2">
        <f>ff_portfolios25!N301-ff_factors!$E301</f>
        <v>4.0662999999999998E-2</v>
      </c>
      <c r="O301" s="2">
        <f>ff_portfolios25!O301-ff_factors!$E301</f>
        <v>2.8707E-2</v>
      </c>
      <c r="P301" s="2">
        <f>ff_portfolios25!P301-ff_factors!$E301</f>
        <v>3.2536000000000002E-2</v>
      </c>
      <c r="Q301" s="2">
        <f>ff_portfolios25!Q301-ff_factors!$E301</f>
        <v>1.0264000000000001E-2</v>
      </c>
      <c r="R301" s="2">
        <f>ff_portfolios25!R301-ff_factors!$E301</f>
        <v>5.8500000000000002E-4</v>
      </c>
      <c r="S301" s="2">
        <f>ff_portfolios25!S301-ff_factors!$E301</f>
        <v>2.7136E-2</v>
      </c>
      <c r="T301" s="2">
        <f>ff_portfolios25!T301-ff_factors!$E301</f>
        <v>2.12E-2</v>
      </c>
      <c r="U301" s="2">
        <f>ff_portfolios25!U301-ff_factors!$E301</f>
        <v>2.7105000000000001E-2</v>
      </c>
      <c r="V301" s="2">
        <f>ff_portfolios25!V301-ff_factors!$E301</f>
        <v>3.6156000000000001E-2</v>
      </c>
      <c r="W301" s="2">
        <f>ff_portfolios25!W301-ff_factors!$E301</f>
        <v>3.4645000000000002E-2</v>
      </c>
      <c r="X301" s="2">
        <f>ff_portfolios25!X301-ff_factors!$E301</f>
        <v>3.2340000000000001E-2</v>
      </c>
      <c r="Y301" s="2">
        <f>ff_portfolios25!Y301-ff_factors!$E301</f>
        <v>4.6462000000000003E-2</v>
      </c>
      <c r="Z301" s="2">
        <f>ff_portfolios25!Z301-ff_factors!$E301</f>
        <v>3.6424999999999999E-2</v>
      </c>
      <c r="AA301" s="2">
        <f>ff_portfolios25!AA301-ff_factors!$E301</f>
        <v>1.2167000000000001E-2</v>
      </c>
      <c r="AB301" s="2">
        <f>ff_portfolios25!AB301-ff_factors!$E301</f>
        <v>1.7516E-2</v>
      </c>
    </row>
    <row r="302" spans="1:28" x14ac:dyDescent="0.2">
      <c r="A302">
        <v>19570131</v>
      </c>
      <c r="B302">
        <v>1957</v>
      </c>
      <c r="C302">
        <v>1</v>
      </c>
      <c r="D302" s="2">
        <f>ff_portfolios25!D302-ff_factors!$E302</f>
        <v>-2.503E-3</v>
      </c>
      <c r="E302" s="2">
        <f>ff_portfolios25!E302-ff_factors!$E302</f>
        <v>1.1498999999999999E-2</v>
      </c>
      <c r="F302" s="2">
        <f>ff_portfolios25!F302-ff_factors!$E302</f>
        <v>3.3909999999999999E-3</v>
      </c>
      <c r="G302" s="2">
        <f>ff_portfolios25!G302-ff_factors!$E302</f>
        <v>2.3947E-2</v>
      </c>
      <c r="H302" s="2">
        <f>ff_portfolios25!H302-ff_factors!$E302</f>
        <v>3.0661000000000001E-2</v>
      </c>
      <c r="I302" s="2">
        <f>ff_portfolios25!I302-ff_factors!$E302</f>
        <v>1.7551000000000001E-2</v>
      </c>
      <c r="J302" s="2">
        <f>ff_portfolios25!J302-ff_factors!$E302</f>
        <v>-9.7050000000000001E-3</v>
      </c>
      <c r="K302" s="2">
        <f>ff_portfolios25!K302-ff_factors!$E302</f>
        <v>1.4034999999999999E-2</v>
      </c>
      <c r="L302" s="2">
        <f>ff_portfolios25!L302-ff_factors!$E302</f>
        <v>-2.0110000000000002E-3</v>
      </c>
      <c r="M302" s="2">
        <f>ff_portfolios25!M302-ff_factors!$E302</f>
        <v>2.0711E-2</v>
      </c>
      <c r="N302" s="2">
        <f>ff_portfolios25!N302-ff_factors!$E302</f>
        <v>-1.804E-3</v>
      </c>
      <c r="O302" s="2">
        <f>ff_portfolios25!O302-ff_factors!$E302</f>
        <v>-7.3109999999999998E-3</v>
      </c>
      <c r="P302" s="2">
        <f>ff_portfolios25!P302-ff_factors!$E302</f>
        <v>-1.4190999999999999E-2</v>
      </c>
      <c r="Q302" s="2">
        <f>ff_portfolios25!Q302-ff_factors!$E302</f>
        <v>-5.254E-3</v>
      </c>
      <c r="R302" s="2">
        <f>ff_portfolios25!R302-ff_factors!$E302</f>
        <v>1.4048999999999999E-2</v>
      </c>
      <c r="S302" s="2">
        <f>ff_portfolios25!S302-ff_factors!$E302</f>
        <v>-1.7132999999999999E-2</v>
      </c>
      <c r="T302" s="2">
        <f>ff_portfolios25!T302-ff_factors!$E302</f>
        <v>-1.2759E-2</v>
      </c>
      <c r="U302" s="2">
        <f>ff_portfolios25!U302-ff_factors!$E302</f>
        <v>-1.2160000000000001E-2</v>
      </c>
      <c r="V302" s="2">
        <f>ff_portfolios25!V302-ff_factors!$E302</f>
        <v>-2.2442E-2</v>
      </c>
      <c r="W302" s="2">
        <f>ff_portfolios25!W302-ff_factors!$E302</f>
        <v>-1.9603000000000002E-2</v>
      </c>
      <c r="X302" s="2">
        <f>ff_portfolios25!X302-ff_factors!$E302</f>
        <v>-5.1548999999999998E-2</v>
      </c>
      <c r="Y302" s="2">
        <f>ff_portfolios25!Y302-ff_factors!$E302</f>
        <v>-4.7384000000000003E-2</v>
      </c>
      <c r="Z302" s="2">
        <f>ff_portfolios25!Z302-ff_factors!$E302</f>
        <v>-2.3125E-2</v>
      </c>
      <c r="AA302" s="2">
        <f>ff_portfolios25!AA302-ff_factors!$E302</f>
        <v>-4.6172999999999999E-2</v>
      </c>
      <c r="AB302" s="2">
        <f>ff_portfolios25!AB302-ff_factors!$E302</f>
        <v>-9.5329999999999998E-3</v>
      </c>
    </row>
    <row r="303" spans="1:28" x14ac:dyDescent="0.2">
      <c r="A303">
        <v>19570228</v>
      </c>
      <c r="B303">
        <v>1957</v>
      </c>
      <c r="C303">
        <v>2</v>
      </c>
      <c r="D303" s="2">
        <f>ff_portfolios25!D303-ff_factors!$E303</f>
        <v>2.9079000000000001E-2</v>
      </c>
      <c r="E303" s="2">
        <f>ff_portfolios25!E303-ff_factors!$E303</f>
        <v>-2.6839999999999999E-2</v>
      </c>
      <c r="F303" s="2">
        <f>ff_portfolios25!F303-ff_factors!$E303</f>
        <v>-2.9946999999999998E-2</v>
      </c>
      <c r="G303" s="2">
        <f>ff_portfolios25!G303-ff_factors!$E303</f>
        <v>-2.7768000000000001E-2</v>
      </c>
      <c r="H303" s="2">
        <f>ff_portfolios25!H303-ff_factors!$E303</f>
        <v>-1.9227000000000001E-2</v>
      </c>
      <c r="I303" s="2">
        <f>ff_portfolios25!I303-ff_factors!$E303</f>
        <v>-5.7327999999999997E-2</v>
      </c>
      <c r="J303" s="2">
        <f>ff_portfolios25!J303-ff_factors!$E303</f>
        <v>-1.8676999999999999E-2</v>
      </c>
      <c r="K303" s="2">
        <f>ff_portfolios25!K303-ff_factors!$E303</f>
        <v>-3.6199000000000002E-2</v>
      </c>
      <c r="L303" s="2">
        <f>ff_portfolios25!L303-ff_factors!$E303</f>
        <v>-3.6208999999999998E-2</v>
      </c>
      <c r="M303" s="2">
        <f>ff_portfolios25!M303-ff_factors!$E303</f>
        <v>-1.8231999999999998E-2</v>
      </c>
      <c r="N303" s="2">
        <f>ff_portfolios25!N303-ff_factors!$E303</f>
        <v>-2.8881999999999998E-2</v>
      </c>
      <c r="O303" s="2">
        <f>ff_portfolios25!O303-ff_factors!$E303</f>
        <v>-2.9647E-2</v>
      </c>
      <c r="P303" s="2">
        <f>ff_portfolios25!P303-ff_factors!$E303</f>
        <v>-2.7309E-2</v>
      </c>
      <c r="Q303" s="2">
        <f>ff_portfolios25!Q303-ff_factors!$E303</f>
        <v>-2.7913E-2</v>
      </c>
      <c r="R303" s="2">
        <f>ff_portfolios25!R303-ff_factors!$E303</f>
        <v>-3.8607000000000002E-2</v>
      </c>
      <c r="S303" s="2">
        <f>ff_portfolios25!S303-ff_factors!$E303</f>
        <v>-1.0445999999999999E-2</v>
      </c>
      <c r="T303" s="2">
        <f>ff_portfolios25!T303-ff_factors!$E303</f>
        <v>-1.3581999999999999E-2</v>
      </c>
      <c r="U303" s="2">
        <f>ff_portfolios25!U303-ff_factors!$E303</f>
        <v>-2.5052999999999999E-2</v>
      </c>
      <c r="V303" s="2">
        <f>ff_portfolios25!V303-ff_factors!$E303</f>
        <v>-3.8998999999999999E-2</v>
      </c>
      <c r="W303" s="2">
        <f>ff_portfolios25!W303-ff_factors!$E303</f>
        <v>-2.9295999999999999E-2</v>
      </c>
      <c r="X303" s="2">
        <f>ff_portfolios25!X303-ff_factors!$E303</f>
        <v>-1.8637000000000001E-2</v>
      </c>
      <c r="Y303" s="2">
        <f>ff_portfolios25!Y303-ff_factors!$E303</f>
        <v>-1.4001E-2</v>
      </c>
      <c r="Z303" s="2">
        <f>ff_portfolios25!Z303-ff_factors!$E303</f>
        <v>-1.9445E-2</v>
      </c>
      <c r="AA303" s="2">
        <f>ff_portfolios25!AA303-ff_factors!$E303</f>
        <v>-4.2998000000000001E-2</v>
      </c>
      <c r="AB303" s="2">
        <f>ff_portfolios25!AB303-ff_factors!$E303</f>
        <v>-4.2776000000000002E-2</v>
      </c>
    </row>
    <row r="304" spans="1:28" x14ac:dyDescent="0.2">
      <c r="A304">
        <v>19570329</v>
      </c>
      <c r="B304">
        <v>1957</v>
      </c>
      <c r="C304">
        <v>3</v>
      </c>
      <c r="D304" s="2">
        <f>ff_portfolios25!D304-ff_factors!$E304</f>
        <v>-2.7574000000000001E-2</v>
      </c>
      <c r="E304" s="2">
        <f>ff_portfolios25!E304-ff_factors!$E304</f>
        <v>4.6259999999999999E-3</v>
      </c>
      <c r="F304" s="2">
        <f>ff_portfolios25!F304-ff_factors!$E304</f>
        <v>3.0313999999999997E-2</v>
      </c>
      <c r="G304" s="2">
        <f>ff_portfolios25!G304-ff_factors!$E304</f>
        <v>2.5031999999999999E-2</v>
      </c>
      <c r="H304" s="2">
        <f>ff_portfolios25!H304-ff_factors!$E304</f>
        <v>6.1600000000000005E-3</v>
      </c>
      <c r="I304" s="2">
        <f>ff_portfolios25!I304-ff_factors!$E304</f>
        <v>2.3007E-2</v>
      </c>
      <c r="J304" s="2">
        <f>ff_portfolios25!J304-ff_factors!$E304</f>
        <v>7.3170000000000006E-3</v>
      </c>
      <c r="K304" s="2">
        <f>ff_portfolios25!K304-ff_factors!$E304</f>
        <v>1.6265999999999999E-2</v>
      </c>
      <c r="L304" s="2">
        <f>ff_portfolios25!L304-ff_factors!$E304</f>
        <v>1.9332999999999999E-2</v>
      </c>
      <c r="M304" s="2">
        <f>ff_portfolios25!M304-ff_factors!$E304</f>
        <v>2.8455999999999999E-2</v>
      </c>
      <c r="N304" s="2">
        <f>ff_portfolios25!N304-ff_factors!$E304</f>
        <v>1.3520000000000001E-2</v>
      </c>
      <c r="O304" s="2">
        <f>ff_portfolios25!O304-ff_factors!$E304</f>
        <v>3.2335000000000003E-2</v>
      </c>
      <c r="P304" s="2">
        <f>ff_portfolios25!P304-ff_factors!$E304</f>
        <v>2.8899999999999999E-2</v>
      </c>
      <c r="Q304" s="2">
        <f>ff_portfolios25!Q304-ff_factors!$E304</f>
        <v>1.6404999999999999E-2</v>
      </c>
      <c r="R304" s="2">
        <f>ff_portfolios25!R304-ff_factors!$E304</f>
        <v>1.5727000000000001E-2</v>
      </c>
      <c r="S304" s="2">
        <f>ff_portfolios25!S304-ff_factors!$E304</f>
        <v>2.7137000000000001E-2</v>
      </c>
      <c r="T304" s="2">
        <f>ff_portfolios25!T304-ff_factors!$E304</f>
        <v>1.2222E-2</v>
      </c>
      <c r="U304" s="2">
        <f>ff_portfolios25!U304-ff_factors!$E304</f>
        <v>3.1187000000000003E-2</v>
      </c>
      <c r="V304" s="2">
        <f>ff_portfolios25!V304-ff_factors!$E304</f>
        <v>2.0181999999999999E-2</v>
      </c>
      <c r="W304" s="2">
        <f>ff_portfolios25!W304-ff_factors!$E304</f>
        <v>1.4485999999999999E-2</v>
      </c>
      <c r="X304" s="2">
        <f>ff_portfolios25!X304-ff_factors!$E304</f>
        <v>2.3956999999999999E-2</v>
      </c>
      <c r="Y304" s="2">
        <f>ff_portfolios25!Y304-ff_factors!$E304</f>
        <v>1.9730999999999999E-2</v>
      </c>
      <c r="Z304" s="2">
        <f>ff_portfolios25!Z304-ff_factors!$E304</f>
        <v>2.0115000000000001E-2</v>
      </c>
      <c r="AA304" s="2">
        <f>ff_portfolios25!AA304-ff_factors!$E304</f>
        <v>8.6009999999999993E-3</v>
      </c>
      <c r="AB304" s="2">
        <f>ff_portfolios25!AB304-ff_factors!$E304</f>
        <v>1.9959000000000001E-2</v>
      </c>
    </row>
    <row r="305" spans="1:28" x14ac:dyDescent="0.2">
      <c r="A305">
        <v>19570430</v>
      </c>
      <c r="B305">
        <v>1957</v>
      </c>
      <c r="C305">
        <v>4</v>
      </c>
      <c r="D305" s="2">
        <f>ff_portfolios25!D305-ff_factors!$E305</f>
        <v>5.2599999999999999E-4</v>
      </c>
      <c r="E305" s="2">
        <f>ff_portfolios25!E305-ff_factors!$E305</f>
        <v>7.1199999999999996E-3</v>
      </c>
      <c r="F305" s="2">
        <f>ff_portfolios25!F305-ff_factors!$E305</f>
        <v>2.6600000000000002E-2</v>
      </c>
      <c r="G305" s="2">
        <f>ff_portfolios25!G305-ff_factors!$E305</f>
        <v>1.8131000000000001E-2</v>
      </c>
      <c r="H305" s="2">
        <f>ff_portfolios25!H305-ff_factors!$E305</f>
        <v>2.8892000000000004E-2</v>
      </c>
      <c r="I305" s="2">
        <f>ff_portfolios25!I305-ff_factors!$E305</f>
        <v>2.2013000000000001E-2</v>
      </c>
      <c r="J305" s="2">
        <f>ff_portfolios25!J305-ff_factors!$E305</f>
        <v>-1.0295E-2</v>
      </c>
      <c r="K305" s="2">
        <f>ff_portfolios25!K305-ff_factors!$E305</f>
        <v>3.6102999999999996E-2</v>
      </c>
      <c r="L305" s="2">
        <f>ff_portfolios25!L305-ff_factors!$E305</f>
        <v>8.3319999999999991E-3</v>
      </c>
      <c r="M305" s="2">
        <f>ff_portfolios25!M305-ff_factors!$E305</f>
        <v>4.0999000000000001E-2</v>
      </c>
      <c r="N305" s="2">
        <f>ff_portfolios25!N305-ff_factors!$E305</f>
        <v>2.9007000000000002E-2</v>
      </c>
      <c r="O305" s="2">
        <f>ff_portfolios25!O305-ff_factors!$E305</f>
        <v>1.3674E-2</v>
      </c>
      <c r="P305" s="2">
        <f>ff_portfolios25!P305-ff_factors!$E305</f>
        <v>3.2701999999999995E-2</v>
      </c>
      <c r="Q305" s="2">
        <f>ff_portfolios25!Q305-ff_factors!$E305</f>
        <v>1.4420999999999998E-2</v>
      </c>
      <c r="R305" s="2">
        <f>ff_portfolios25!R305-ff_factors!$E305</f>
        <v>7.4559999999999991E-3</v>
      </c>
      <c r="S305" s="2">
        <f>ff_portfolios25!S305-ff_factors!$E305</f>
        <v>4.2589999999999996E-2</v>
      </c>
      <c r="T305" s="2">
        <f>ff_portfolios25!T305-ff_factors!$E305</f>
        <v>1.8649000000000002E-2</v>
      </c>
      <c r="U305" s="2">
        <f>ff_portfolios25!U305-ff_factors!$E305</f>
        <v>2.4602000000000002E-2</v>
      </c>
      <c r="V305" s="2">
        <f>ff_portfolios25!V305-ff_factors!$E305</f>
        <v>3.5897999999999999E-2</v>
      </c>
      <c r="W305" s="2">
        <f>ff_portfolios25!W305-ff_factors!$E305</f>
        <v>1.5159999999999996E-3</v>
      </c>
      <c r="X305" s="2">
        <f>ff_portfolios25!X305-ff_factors!$E305</f>
        <v>5.3740999999999997E-2</v>
      </c>
      <c r="Y305" s="2">
        <f>ff_portfolios25!Y305-ff_factors!$E305</f>
        <v>5.4207999999999999E-2</v>
      </c>
      <c r="Z305" s="2">
        <f>ff_portfolios25!Z305-ff_factors!$E305</f>
        <v>2.8931000000000002E-2</v>
      </c>
      <c r="AA305" s="2">
        <f>ff_portfolios25!AA305-ff_factors!$E305</f>
        <v>4.6019999999999998E-2</v>
      </c>
      <c r="AB305" s="2">
        <f>ff_portfolios25!AB305-ff_factors!$E305</f>
        <v>1.6504000000000001E-2</v>
      </c>
    </row>
    <row r="306" spans="1:28" x14ac:dyDescent="0.2">
      <c r="A306">
        <v>19570531</v>
      </c>
      <c r="B306">
        <v>1957</v>
      </c>
      <c r="C306">
        <v>5</v>
      </c>
      <c r="D306" s="2">
        <f>ff_portfolios25!D306-ff_factors!$E306</f>
        <v>6.5714999999999996E-2</v>
      </c>
      <c r="E306" s="2">
        <f>ff_portfolios25!E306-ff_factors!$E306</f>
        <v>-3.6340000000000001E-3</v>
      </c>
      <c r="F306" s="2">
        <f>ff_portfolios25!F306-ff_factors!$E306</f>
        <v>-2.0049999999999998E-2</v>
      </c>
      <c r="G306" s="2">
        <f>ff_portfolios25!G306-ff_factors!$E306</f>
        <v>6.9160000000000003E-3</v>
      </c>
      <c r="H306" s="2">
        <f>ff_portfolios25!H306-ff_factors!$E306</f>
        <v>-1.0739999999999999E-3</v>
      </c>
      <c r="I306" s="2">
        <f>ff_portfolios25!I306-ff_factors!$E306</f>
        <v>3.2969999999999999E-2</v>
      </c>
      <c r="J306" s="2">
        <f>ff_portfolios25!J306-ff_factors!$E306</f>
        <v>4.1267000000000005E-2</v>
      </c>
      <c r="K306" s="2">
        <f>ff_portfolios25!K306-ff_factors!$E306</f>
        <v>4.9839999999999997E-3</v>
      </c>
      <c r="L306" s="2">
        <f>ff_portfolios25!L306-ff_factors!$E306</f>
        <v>5.7059999999999993E-3</v>
      </c>
      <c r="M306" s="2">
        <f>ff_portfolios25!M306-ff_factors!$E306</f>
        <v>2.7381000000000003E-2</v>
      </c>
      <c r="N306" s="2">
        <f>ff_portfolios25!N306-ff_factors!$E306</f>
        <v>2.7819999999999998E-2</v>
      </c>
      <c r="O306" s="2">
        <f>ff_portfolios25!O306-ff_factors!$E306</f>
        <v>1.6556000000000001E-2</v>
      </c>
      <c r="P306" s="2">
        <f>ff_portfolios25!P306-ff_factors!$E306</f>
        <v>3.0169000000000001E-2</v>
      </c>
      <c r="Q306" s="2">
        <f>ff_portfolios25!Q306-ff_factors!$E306</f>
        <v>1.5075E-2</v>
      </c>
      <c r="R306" s="2">
        <f>ff_portfolios25!R306-ff_factors!$E306</f>
        <v>1.9911999999999999E-2</v>
      </c>
      <c r="S306" s="2">
        <f>ff_portfolios25!S306-ff_factors!$E306</f>
        <v>2.8387000000000003E-2</v>
      </c>
      <c r="T306" s="2">
        <f>ff_portfolios25!T306-ff_factors!$E306</f>
        <v>1.9798999999999997E-2</v>
      </c>
      <c r="U306" s="2">
        <f>ff_portfolios25!U306-ff_factors!$E306</f>
        <v>4.411E-3</v>
      </c>
      <c r="V306" s="2">
        <f>ff_portfolios25!V306-ff_factors!$E306</f>
        <v>1.2033E-2</v>
      </c>
      <c r="W306" s="2">
        <f>ff_portfolios25!W306-ff_factors!$E306</f>
        <v>3.6732000000000001E-2</v>
      </c>
      <c r="X306" s="2">
        <f>ff_portfolios25!X306-ff_factors!$E306</f>
        <v>4.8306000000000002E-2</v>
      </c>
      <c r="Y306" s="2">
        <f>ff_portfolios25!Y306-ff_factors!$E306</f>
        <v>2.9949000000000003E-2</v>
      </c>
      <c r="Z306" s="2">
        <f>ff_portfolios25!Z306-ff_factors!$E306</f>
        <v>2.7252999999999999E-2</v>
      </c>
      <c r="AA306" s="2">
        <f>ff_portfolios25!AA306-ff_factors!$E306</f>
        <v>2.0774000000000001E-2</v>
      </c>
      <c r="AB306" s="2">
        <f>ff_portfolios25!AB306-ff_factors!$E306</f>
        <v>2.5779000000000003E-2</v>
      </c>
    </row>
    <row r="307" spans="1:28" x14ac:dyDescent="0.2">
      <c r="A307">
        <v>19570628</v>
      </c>
      <c r="B307">
        <v>1957</v>
      </c>
      <c r="C307">
        <v>6</v>
      </c>
      <c r="D307" s="2">
        <f>ff_portfolios25!D307-ff_factors!$E307</f>
        <v>-2.9304E-2</v>
      </c>
      <c r="E307" s="2">
        <f>ff_portfolios25!E307-ff_factors!$E307</f>
        <v>1.7096E-2</v>
      </c>
      <c r="F307" s="2">
        <f>ff_portfolios25!F307-ff_factors!$E307</f>
        <v>-6.317999999999999E-3</v>
      </c>
      <c r="G307" s="2">
        <f>ff_portfolios25!G307-ff_factors!$E307</f>
        <v>1.0397E-2</v>
      </c>
      <c r="H307" s="2">
        <f>ff_portfolios25!H307-ff_factors!$E307</f>
        <v>1.5065000000000002E-2</v>
      </c>
      <c r="I307" s="2">
        <f>ff_portfolios25!I307-ff_factors!$E307</f>
        <v>-3.5589999999999997E-3</v>
      </c>
      <c r="J307" s="2">
        <f>ff_portfolios25!J307-ff_factors!$E307</f>
        <v>-7.306E-3</v>
      </c>
      <c r="K307" s="2">
        <f>ff_portfolios25!K307-ff_factors!$E307</f>
        <v>-5.9249999999999997E-3</v>
      </c>
      <c r="L307" s="2">
        <f>ff_portfolios25!L307-ff_factors!$E307</f>
        <v>-2.2377000000000001E-2</v>
      </c>
      <c r="M307" s="2">
        <f>ff_portfolios25!M307-ff_factors!$E307</f>
        <v>1.3955000000000002E-2</v>
      </c>
      <c r="N307" s="2">
        <f>ff_portfolios25!N307-ff_factors!$E307</f>
        <v>1.1381E-2</v>
      </c>
      <c r="O307" s="2">
        <f>ff_portfolios25!O307-ff_factors!$E307</f>
        <v>-2.206E-2</v>
      </c>
      <c r="P307" s="2">
        <f>ff_portfolios25!P307-ff_factors!$E307</f>
        <v>-2.3015999999999998E-2</v>
      </c>
      <c r="Q307" s="2">
        <f>ff_portfolios25!Q307-ff_factors!$E307</f>
        <v>-5.8779999999999995E-3</v>
      </c>
      <c r="R307" s="2">
        <f>ff_portfolios25!R307-ff_factors!$E307</f>
        <v>-1.1458999999999999E-2</v>
      </c>
      <c r="S307" s="2">
        <f>ff_portfolios25!S307-ff_factors!$E307</f>
        <v>-1.6461E-2</v>
      </c>
      <c r="T307" s="2">
        <f>ff_portfolios25!T307-ff_factors!$E307</f>
        <v>-2.6200999999999999E-2</v>
      </c>
      <c r="U307" s="2">
        <f>ff_portfolios25!U307-ff_factors!$E307</f>
        <v>-2.2537999999999999E-2</v>
      </c>
      <c r="V307" s="2">
        <f>ff_portfolios25!V307-ff_factors!$E307</f>
        <v>-2.6227E-2</v>
      </c>
      <c r="W307" s="2">
        <f>ff_portfolios25!W307-ff_factors!$E307</f>
        <v>4.0400000000000028E-4</v>
      </c>
      <c r="X307" s="2">
        <f>ff_portfolios25!X307-ff_factors!$E307</f>
        <v>1.6780000000000002E-3</v>
      </c>
      <c r="Y307" s="2">
        <f>ff_portfolios25!Y307-ff_factors!$E307</f>
        <v>-2.0475999999999998E-2</v>
      </c>
      <c r="Z307" s="2">
        <f>ff_portfolios25!Z307-ff_factors!$E307</f>
        <v>-7.0169999999999989E-3</v>
      </c>
      <c r="AA307" s="2">
        <f>ff_portfolios25!AA307-ff_factors!$E307</f>
        <v>-2.3029999999999998E-2</v>
      </c>
      <c r="AB307" s="2">
        <f>ff_portfolios25!AB307-ff_factors!$E307</f>
        <v>7.2500000000000038E-4</v>
      </c>
    </row>
    <row r="308" spans="1:28" x14ac:dyDescent="0.2">
      <c r="A308">
        <v>19570731</v>
      </c>
      <c r="B308">
        <v>1957</v>
      </c>
      <c r="C308">
        <v>7</v>
      </c>
      <c r="D308" s="2">
        <f>ff_portfolios25!D308-ff_factors!$E308</f>
        <v>0.10822999999999999</v>
      </c>
      <c r="E308" s="2">
        <f>ff_portfolios25!E308-ff_factors!$E308</f>
        <v>-3.2746999999999998E-2</v>
      </c>
      <c r="F308" s="2">
        <f>ff_portfolios25!F308-ff_factors!$E308</f>
        <v>2.1399999999999978E-4</v>
      </c>
      <c r="G308" s="2">
        <f>ff_portfolios25!G308-ff_factors!$E308</f>
        <v>-3.3800000000000019E-4</v>
      </c>
      <c r="H308" s="2">
        <f>ff_portfolios25!H308-ff_factors!$E308</f>
        <v>-1.1770000000000001E-3</v>
      </c>
      <c r="I308" s="2">
        <f>ff_portfolios25!I308-ff_factors!$E308</f>
        <v>-1.8405000000000001E-2</v>
      </c>
      <c r="J308" s="2">
        <f>ff_portfolios25!J308-ff_factors!$E308</f>
        <v>2.5409999999999999E-3</v>
      </c>
      <c r="K308" s="2">
        <f>ff_portfolios25!K308-ff_factors!$E308</f>
        <v>3.0720000000000001E-3</v>
      </c>
      <c r="L308" s="2">
        <f>ff_portfolios25!L308-ff_factors!$E308</f>
        <v>8.3130000000000009E-3</v>
      </c>
      <c r="M308" s="2">
        <f>ff_portfolios25!M308-ff_factors!$E308</f>
        <v>4.0499999999999998E-3</v>
      </c>
      <c r="N308" s="2">
        <f>ff_portfolios25!N308-ff_factors!$E308</f>
        <v>4.8670000000000007E-3</v>
      </c>
      <c r="O308" s="2">
        <f>ff_portfolios25!O308-ff_factors!$E308</f>
        <v>-6.7530000000000003E-3</v>
      </c>
      <c r="P308" s="2">
        <f>ff_portfolios25!P308-ff_factors!$E308</f>
        <v>-3.2859999999999999E-3</v>
      </c>
      <c r="Q308" s="2">
        <f>ff_portfolios25!Q308-ff_factors!$E308</f>
        <v>1.1963999999999999E-2</v>
      </c>
      <c r="R308" s="2">
        <f>ff_portfolios25!R308-ff_factors!$E308</f>
        <v>8.0749999999999988E-3</v>
      </c>
      <c r="S308" s="2">
        <f>ff_portfolios25!S308-ff_factors!$E308</f>
        <v>-2.418E-3</v>
      </c>
      <c r="T308" s="2">
        <f>ff_portfolios25!T308-ff_factors!$E308</f>
        <v>-2.4970000000000001E-3</v>
      </c>
      <c r="U308" s="2">
        <f>ff_portfolios25!U308-ff_factors!$E308</f>
        <v>-8.3700000000000007E-4</v>
      </c>
      <c r="V308" s="2">
        <f>ff_portfolios25!V308-ff_factors!$E308</f>
        <v>1.0005E-2</v>
      </c>
      <c r="W308" s="2">
        <f>ff_portfolios25!W308-ff_factors!$E308</f>
        <v>1.0588E-2</v>
      </c>
      <c r="X308" s="2">
        <f>ff_portfolios25!X308-ff_factors!$E308</f>
        <v>1.2407999999999999E-2</v>
      </c>
      <c r="Y308" s="2">
        <f>ff_portfolios25!Y308-ff_factors!$E308</f>
        <v>8.0840000000000009E-3</v>
      </c>
      <c r="Z308" s="2">
        <f>ff_portfolios25!Z308-ff_factors!$E308</f>
        <v>-2E-3</v>
      </c>
      <c r="AA308" s="2">
        <f>ff_portfolios25!AA308-ff_factors!$E308</f>
        <v>7.9219999999999985E-3</v>
      </c>
      <c r="AB308" s="2">
        <f>ff_portfolios25!AB308-ff_factors!$E308</f>
        <v>9.0709999999999992E-3</v>
      </c>
    </row>
    <row r="309" spans="1:28" x14ac:dyDescent="0.2">
      <c r="A309">
        <v>19570830</v>
      </c>
      <c r="B309">
        <v>1957</v>
      </c>
      <c r="C309">
        <v>8</v>
      </c>
      <c r="D309" s="2">
        <f>ff_portfolios25!D309-ff_factors!$E309</f>
        <v>-3.7416999999999999E-2</v>
      </c>
      <c r="E309" s="2">
        <f>ff_portfolios25!E309-ff_factors!$E309</f>
        <v>-3.2251000000000002E-2</v>
      </c>
      <c r="F309" s="2">
        <f>ff_portfolios25!F309-ff_factors!$E309</f>
        <v>-3.7985000000000005E-2</v>
      </c>
      <c r="G309" s="2">
        <f>ff_portfolios25!G309-ff_factors!$E309</f>
        <v>-4.9373E-2</v>
      </c>
      <c r="H309" s="2">
        <f>ff_portfolios25!H309-ff_factors!$E309</f>
        <v>-4.2014000000000003E-2</v>
      </c>
      <c r="I309" s="2">
        <f>ff_portfolios25!I309-ff_factors!$E309</f>
        <v>-4.7740000000000005E-2</v>
      </c>
      <c r="J309" s="2">
        <f>ff_portfolios25!J309-ff_factors!$E309</f>
        <v>-3.6977000000000003E-2</v>
      </c>
      <c r="K309" s="2">
        <f>ff_portfolios25!K309-ff_factors!$E309</f>
        <v>-4.2721000000000002E-2</v>
      </c>
      <c r="L309" s="2">
        <f>ff_portfolios25!L309-ff_factors!$E309</f>
        <v>-5.3742000000000005E-2</v>
      </c>
      <c r="M309" s="2">
        <f>ff_portfolios25!M309-ff_factors!$E309</f>
        <v>-6.2741999999999992E-2</v>
      </c>
      <c r="N309" s="2">
        <f>ff_portfolios25!N309-ff_factors!$E309</f>
        <v>-6.2306E-2</v>
      </c>
      <c r="O309" s="2">
        <f>ff_portfolios25!O309-ff_factors!$E309</f>
        <v>-4.4656000000000001E-2</v>
      </c>
      <c r="P309" s="2">
        <f>ff_portfolios25!P309-ff_factors!$E309</f>
        <v>-5.2077000000000005E-2</v>
      </c>
      <c r="Q309" s="2">
        <f>ff_portfolios25!Q309-ff_factors!$E309</f>
        <v>-5.8299000000000004E-2</v>
      </c>
      <c r="R309" s="2">
        <f>ff_portfolios25!R309-ff_factors!$E309</f>
        <v>-6.2397000000000001E-2</v>
      </c>
      <c r="S309" s="2">
        <f>ff_portfolios25!S309-ff_factors!$E309</f>
        <v>-7.7127000000000001E-2</v>
      </c>
      <c r="T309" s="2">
        <f>ff_portfolios25!T309-ff_factors!$E309</f>
        <v>-5.8088000000000001E-2</v>
      </c>
      <c r="U309" s="2">
        <f>ff_portfolios25!U309-ff_factors!$E309</f>
        <v>-4.3101E-2</v>
      </c>
      <c r="V309" s="2">
        <f>ff_portfolios25!V309-ff_factors!$E309</f>
        <v>-5.9218E-2</v>
      </c>
      <c r="W309" s="2">
        <f>ff_portfolios25!W309-ff_factors!$E309</f>
        <v>-5.8241000000000001E-2</v>
      </c>
      <c r="X309" s="2">
        <f>ff_portfolios25!X309-ff_factors!$E309</f>
        <v>-5.6726000000000006E-2</v>
      </c>
      <c r="Y309" s="2">
        <f>ff_portfolios25!Y309-ff_factors!$E309</f>
        <v>-4.9762000000000001E-2</v>
      </c>
      <c r="Z309" s="2">
        <f>ff_portfolios25!Z309-ff_factors!$E309</f>
        <v>-2.5242999999999998E-2</v>
      </c>
      <c r="AA309" s="2">
        <f>ff_portfolios25!AA309-ff_factors!$E309</f>
        <v>-5.4849000000000002E-2</v>
      </c>
      <c r="AB309" s="2">
        <f>ff_portfolios25!AB309-ff_factors!$E309</f>
        <v>-5.1901000000000003E-2</v>
      </c>
    </row>
    <row r="310" spans="1:28" x14ac:dyDescent="0.2">
      <c r="A310">
        <v>19570930</v>
      </c>
      <c r="B310">
        <v>1957</v>
      </c>
      <c r="C310">
        <v>9</v>
      </c>
      <c r="D310" s="2">
        <f>ff_portfolios25!D310-ff_factors!$E310</f>
        <v>-8.4998000000000004E-2</v>
      </c>
      <c r="E310" s="2">
        <f>ff_portfolios25!E310-ff_factors!$E310</f>
        <v>-2.4004999999999999E-2</v>
      </c>
      <c r="F310" s="2">
        <f>ff_portfolios25!F310-ff_factors!$E310</f>
        <v>-4.0396000000000001E-2</v>
      </c>
      <c r="G310" s="2">
        <f>ff_portfolios25!G310-ff_factors!$E310</f>
        <v>-4.2978999999999996E-2</v>
      </c>
      <c r="H310" s="2">
        <f>ff_portfolios25!H310-ff_factors!$E310</f>
        <v>-4.7743999999999995E-2</v>
      </c>
      <c r="I310" s="2">
        <f>ff_portfolios25!I310-ff_factors!$E310</f>
        <v>-6.8747000000000003E-2</v>
      </c>
      <c r="J310" s="2">
        <f>ff_portfolios25!J310-ff_factors!$E310</f>
        <v>-4.6924E-2</v>
      </c>
      <c r="K310" s="2">
        <f>ff_portfolios25!K310-ff_factors!$E310</f>
        <v>-3.8077E-2</v>
      </c>
      <c r="L310" s="2">
        <f>ff_portfolios25!L310-ff_factors!$E310</f>
        <v>-4.3962000000000001E-2</v>
      </c>
      <c r="M310" s="2">
        <f>ff_portfolios25!M310-ff_factors!$E310</f>
        <v>-7.0585000000000009E-2</v>
      </c>
      <c r="N310" s="2">
        <f>ff_portfolios25!N310-ff_factors!$E310</f>
        <v>-5.7554000000000001E-2</v>
      </c>
      <c r="O310" s="2">
        <f>ff_portfolios25!O310-ff_factors!$E310</f>
        <v>-7.6589000000000004E-2</v>
      </c>
      <c r="P310" s="2">
        <f>ff_portfolios25!P310-ff_factors!$E310</f>
        <v>-4.6429999999999999E-2</v>
      </c>
      <c r="Q310" s="2">
        <f>ff_portfolios25!Q310-ff_factors!$E310</f>
        <v>-5.3616999999999998E-2</v>
      </c>
      <c r="R310" s="2">
        <f>ff_portfolios25!R310-ff_factors!$E310</f>
        <v>-4.5380999999999998E-2</v>
      </c>
      <c r="S310" s="2">
        <f>ff_portfolios25!S310-ff_factors!$E310</f>
        <v>-5.2004999999999996E-2</v>
      </c>
      <c r="T310" s="2">
        <f>ff_portfolios25!T310-ff_factors!$E310</f>
        <v>-5.3128000000000002E-2</v>
      </c>
      <c r="U310" s="2">
        <f>ff_portfolios25!U310-ff_factors!$E310</f>
        <v>-3.3985000000000001E-2</v>
      </c>
      <c r="V310" s="2">
        <f>ff_portfolios25!V310-ff_factors!$E310</f>
        <v>-7.104400000000001E-2</v>
      </c>
      <c r="W310" s="2">
        <f>ff_portfolios25!W310-ff_factors!$E310</f>
        <v>-8.7229000000000001E-2</v>
      </c>
      <c r="X310" s="2">
        <f>ff_portfolios25!X310-ff_factors!$E310</f>
        <v>-7.1147000000000002E-2</v>
      </c>
      <c r="Y310" s="2">
        <f>ff_portfolios25!Y310-ff_factors!$E310</f>
        <v>-5.2955999999999996E-2</v>
      </c>
      <c r="Z310" s="2">
        <f>ff_portfolios25!Z310-ff_factors!$E310</f>
        <v>-4.2653999999999997E-2</v>
      </c>
      <c r="AA310" s="2">
        <f>ff_portfolios25!AA310-ff_factors!$E310</f>
        <v>-5.6302999999999999E-2</v>
      </c>
      <c r="AB310" s="2">
        <f>ff_portfolios25!AB310-ff_factors!$E310</f>
        <v>-8.6878000000000011E-2</v>
      </c>
    </row>
    <row r="311" spans="1:28" x14ac:dyDescent="0.2">
      <c r="A311">
        <v>19571031</v>
      </c>
      <c r="B311">
        <v>1957</v>
      </c>
      <c r="C311">
        <v>10</v>
      </c>
      <c r="D311" s="2">
        <f>ff_portfolios25!D311-ff_factors!$E311</f>
        <v>-9.1340000000000005E-2</v>
      </c>
      <c r="E311" s="2">
        <f>ff_portfolios25!E311-ff_factors!$E311</f>
        <v>-0.100789</v>
      </c>
      <c r="F311" s="2">
        <f>ff_portfolios25!F311-ff_factors!$E311</f>
        <v>-6.2715999999999994E-2</v>
      </c>
      <c r="G311" s="2">
        <f>ff_portfolios25!G311-ff_factors!$E311</f>
        <v>-6.7298999999999998E-2</v>
      </c>
      <c r="H311" s="2">
        <f>ff_portfolios25!H311-ff_factors!$E311</f>
        <v>-9.7824999999999995E-2</v>
      </c>
      <c r="I311" s="2">
        <f>ff_portfolios25!I311-ff_factors!$E311</f>
        <v>-6.8878999999999996E-2</v>
      </c>
      <c r="J311" s="2">
        <f>ff_portfolios25!J311-ff_factors!$E311</f>
        <v>-6.7164000000000001E-2</v>
      </c>
      <c r="K311" s="2">
        <f>ff_portfolios25!K311-ff_factors!$E311</f>
        <v>-5.3892000000000002E-2</v>
      </c>
      <c r="L311" s="2">
        <f>ff_portfolios25!L311-ff_factors!$E311</f>
        <v>-6.4607999999999999E-2</v>
      </c>
      <c r="M311" s="2">
        <f>ff_portfolios25!M311-ff_factors!$E311</f>
        <v>-9.4412999999999997E-2</v>
      </c>
      <c r="N311" s="2">
        <f>ff_portfolios25!N311-ff_factors!$E311</f>
        <v>-7.6683000000000001E-2</v>
      </c>
      <c r="O311" s="2">
        <f>ff_portfolios25!O311-ff_factors!$E311</f>
        <v>-5.5315999999999997E-2</v>
      </c>
      <c r="P311" s="2">
        <f>ff_portfolios25!P311-ff_factors!$E311</f>
        <v>-5.6728000000000001E-2</v>
      </c>
      <c r="Q311" s="2">
        <f>ff_portfolios25!Q311-ff_factors!$E311</f>
        <v>-6.2945000000000001E-2</v>
      </c>
      <c r="R311" s="2">
        <f>ff_portfolios25!R311-ff_factors!$E311</f>
        <v>-7.5731000000000007E-2</v>
      </c>
      <c r="S311" s="2">
        <f>ff_portfolios25!S311-ff_factors!$E311</f>
        <v>-6.3393000000000005E-2</v>
      </c>
      <c r="T311" s="2">
        <f>ff_portfolios25!T311-ff_factors!$E311</f>
        <v>-2.6377000000000001E-2</v>
      </c>
      <c r="U311" s="2">
        <f>ff_portfolios25!U311-ff_factors!$E311</f>
        <v>-3.3453999999999998E-2</v>
      </c>
      <c r="V311" s="2">
        <f>ff_portfolios25!V311-ff_factors!$E311</f>
        <v>-7.2682999999999998E-2</v>
      </c>
      <c r="W311" s="2">
        <f>ff_portfolios25!W311-ff_factors!$E311</f>
        <v>-0.106485</v>
      </c>
      <c r="X311" s="2">
        <f>ff_portfolios25!X311-ff_factors!$E311</f>
        <v>-3.9226999999999998E-2</v>
      </c>
      <c r="Y311" s="2">
        <f>ff_portfolios25!Y311-ff_factors!$E311</f>
        <v>-3.7019999999999997E-2</v>
      </c>
      <c r="Z311" s="2">
        <f>ff_portfolios25!Z311-ff_factors!$E311</f>
        <v>-3.6365000000000001E-2</v>
      </c>
      <c r="AA311" s="2">
        <f>ff_portfolios25!AA311-ff_factors!$E311</f>
        <v>-5.7929000000000001E-2</v>
      </c>
      <c r="AB311" s="2">
        <f>ff_portfolios25!AB311-ff_factors!$E311</f>
        <v>-7.8173000000000006E-2</v>
      </c>
    </row>
    <row r="312" spans="1:28" x14ac:dyDescent="0.2">
      <c r="A312">
        <v>19571129</v>
      </c>
      <c r="B312">
        <v>1957</v>
      </c>
      <c r="C312">
        <v>11</v>
      </c>
      <c r="D312" s="2">
        <f>ff_portfolios25!D312-ff_factors!$E312</f>
        <v>2.3030999999999999E-2</v>
      </c>
      <c r="E312" s="2">
        <f>ff_portfolios25!E312-ff_factors!$E312</f>
        <v>-2.5086000000000001E-2</v>
      </c>
      <c r="F312" s="2">
        <f>ff_portfolios25!F312-ff_factors!$E312</f>
        <v>7.1120000000000003E-3</v>
      </c>
      <c r="G312" s="2">
        <f>ff_portfolios25!G312-ff_factors!$E312</f>
        <v>7.1209999999999989E-3</v>
      </c>
      <c r="H312" s="2">
        <f>ff_portfolios25!H312-ff_factors!$E312</f>
        <v>1.1377E-2</v>
      </c>
      <c r="I312" s="2">
        <f>ff_portfolios25!I312-ff_factors!$E312</f>
        <v>1.4579999999999999E-2</v>
      </c>
      <c r="J312" s="2">
        <f>ff_portfolios25!J312-ff_factors!$E312</f>
        <v>2.2513999999999999E-2</v>
      </c>
      <c r="K312" s="2">
        <f>ff_portfolios25!K312-ff_factors!$E312</f>
        <v>1.0827999999999999E-2</v>
      </c>
      <c r="L312" s="2">
        <f>ff_portfolios25!L312-ff_factors!$E312</f>
        <v>-1.6069E-2</v>
      </c>
      <c r="M312" s="2">
        <f>ff_portfolios25!M312-ff_factors!$E312</f>
        <v>3.3339999999999997E-3</v>
      </c>
      <c r="N312" s="2">
        <f>ff_portfolios25!N312-ff_factors!$E312</f>
        <v>3.8579000000000002E-2</v>
      </c>
      <c r="O312" s="2">
        <f>ff_portfolios25!O312-ff_factors!$E312</f>
        <v>3.1475000000000003E-2</v>
      </c>
      <c r="P312" s="2">
        <f>ff_portfolios25!P312-ff_factors!$E312</f>
        <v>2.0125999999999998E-2</v>
      </c>
      <c r="Q312" s="2">
        <f>ff_portfolios25!Q312-ff_factors!$E312</f>
        <v>1.7534999999999999E-2</v>
      </c>
      <c r="R312" s="2">
        <f>ff_portfolios25!R312-ff_factors!$E312</f>
        <v>3.4239000000000006E-2</v>
      </c>
      <c r="S312" s="2">
        <f>ff_portfolios25!S312-ff_factors!$E312</f>
        <v>3.8992000000000006E-2</v>
      </c>
      <c r="T312" s="2">
        <f>ff_portfolios25!T312-ff_factors!$E312</f>
        <v>3.6378000000000001E-2</v>
      </c>
      <c r="U312" s="2">
        <f>ff_portfolios25!U312-ff_factors!$E312</f>
        <v>1.5862000000000001E-2</v>
      </c>
      <c r="V312" s="2">
        <f>ff_portfolios25!V312-ff_factors!$E312</f>
        <v>1.3215999999999999E-2</v>
      </c>
      <c r="W312" s="2">
        <f>ff_portfolios25!W312-ff_factors!$E312</f>
        <v>-9.0600000000000003E-3</v>
      </c>
      <c r="X312" s="2">
        <f>ff_portfolios25!X312-ff_factors!$E312</f>
        <v>2.5652000000000001E-2</v>
      </c>
      <c r="Y312" s="2">
        <f>ff_portfolios25!Y312-ff_factors!$E312</f>
        <v>2.7913E-2</v>
      </c>
      <c r="Z312" s="2">
        <f>ff_portfolios25!Z312-ff_factors!$E312</f>
        <v>1.4897000000000001E-2</v>
      </c>
      <c r="AA312" s="2">
        <f>ff_portfolios25!AA312-ff_factors!$E312</f>
        <v>1.7485000000000001E-2</v>
      </c>
      <c r="AB312" s="2">
        <f>ff_portfolios25!AB312-ff_factors!$E312</f>
        <v>-4.4356E-2</v>
      </c>
    </row>
    <row r="313" spans="1:28" x14ac:dyDescent="0.2">
      <c r="A313">
        <v>19571231</v>
      </c>
      <c r="B313">
        <v>1957</v>
      </c>
      <c r="C313">
        <v>12</v>
      </c>
      <c r="D313" s="2">
        <f>ff_portfolios25!D313-ff_factors!$E313</f>
        <v>-0.107934</v>
      </c>
      <c r="E313" s="2">
        <f>ff_portfolios25!E313-ff_factors!$E313</f>
        <v>-5.2027999999999998E-2</v>
      </c>
      <c r="F313" s="2">
        <f>ff_portfolios25!F313-ff_factors!$E313</f>
        <v>-4.4563999999999999E-2</v>
      </c>
      <c r="G313" s="2">
        <f>ff_portfolios25!G313-ff_factors!$E313</f>
        <v>-6.0009E-2</v>
      </c>
      <c r="H313" s="2">
        <f>ff_portfolios25!H313-ff_factors!$E313</f>
        <v>-5.4892999999999997E-2</v>
      </c>
      <c r="I313" s="2">
        <f>ff_portfolios25!I313-ff_factors!$E313</f>
        <v>-5.9068999999999997E-2</v>
      </c>
      <c r="J313" s="2">
        <f>ff_portfolios25!J313-ff_factors!$E313</f>
        <v>-3.1280000000000002E-2</v>
      </c>
      <c r="K313" s="2">
        <f>ff_portfolios25!K313-ff_factors!$E313</f>
        <v>-1.5307999999999999E-2</v>
      </c>
      <c r="L313" s="2">
        <f>ff_portfolios25!L313-ff_factors!$E313</f>
        <v>-7.2317999999999993E-2</v>
      </c>
      <c r="M313" s="2">
        <f>ff_portfolios25!M313-ff_factors!$E313</f>
        <v>-7.2297E-2</v>
      </c>
      <c r="N313" s="2">
        <f>ff_portfolios25!N313-ff_factors!$E313</f>
        <v>-4.5266000000000001E-2</v>
      </c>
      <c r="O313" s="2">
        <f>ff_portfolios25!O313-ff_factors!$E313</f>
        <v>-2.6196000000000001E-2</v>
      </c>
      <c r="P313" s="2">
        <f>ff_portfolios25!P313-ff_factors!$E313</f>
        <v>-5.0963000000000001E-2</v>
      </c>
      <c r="Q313" s="2">
        <f>ff_portfolios25!Q313-ff_factors!$E313</f>
        <v>-7.0812E-2</v>
      </c>
      <c r="R313" s="2">
        <f>ff_portfolios25!R313-ff_factors!$E313</f>
        <v>-4.1991000000000001E-2</v>
      </c>
      <c r="S313" s="2">
        <f>ff_portfolios25!S313-ff_factors!$E313</f>
        <v>-3.7171999999999997E-2</v>
      </c>
      <c r="T313" s="2">
        <f>ff_portfolios25!T313-ff_factors!$E313</f>
        <v>-2.8931999999999999E-2</v>
      </c>
      <c r="U313" s="2">
        <f>ff_portfolios25!U313-ff_factors!$E313</f>
        <v>-8.7559999999999999E-3</v>
      </c>
      <c r="V313" s="2">
        <f>ff_portfolios25!V313-ff_factors!$E313</f>
        <v>-7.3885999999999993E-2</v>
      </c>
      <c r="W313" s="2">
        <f>ff_portfolios25!W313-ff_factors!$E313</f>
        <v>-5.8980999999999999E-2</v>
      </c>
      <c r="X313" s="2">
        <f>ff_portfolios25!X313-ff_factors!$E313</f>
        <v>-3.8818999999999999E-2</v>
      </c>
      <c r="Y313" s="2">
        <f>ff_portfolios25!Y313-ff_factors!$E313</f>
        <v>-4.5086000000000001E-2</v>
      </c>
      <c r="Z313" s="2">
        <f>ff_portfolios25!Z313-ff_factors!$E313</f>
        <v>-1.7600000000000001E-2</v>
      </c>
      <c r="AA313" s="2">
        <f>ff_portfolios25!AA313-ff_factors!$E313</f>
        <v>-7.3657E-2</v>
      </c>
      <c r="AB313" s="2">
        <f>ff_portfolios25!AB313-ff_factors!$E313</f>
        <v>-7.0047999999999999E-2</v>
      </c>
    </row>
    <row r="314" spans="1:28" x14ac:dyDescent="0.2">
      <c r="A314">
        <v>19580131</v>
      </c>
      <c r="B314">
        <v>1958</v>
      </c>
      <c r="C314">
        <v>1</v>
      </c>
      <c r="D314" s="2">
        <f>ff_portfolios25!D314-ff_factors!$E314</f>
        <v>0.22655900000000001</v>
      </c>
      <c r="E314" s="2">
        <f>ff_portfolios25!E314-ff_factors!$E314</f>
        <v>9.4805E-2</v>
      </c>
      <c r="F314" s="2">
        <f>ff_portfolios25!F314-ff_factors!$E314</f>
        <v>9.2809000000000003E-2</v>
      </c>
      <c r="G314" s="2">
        <f>ff_portfolios25!G314-ff_factors!$E314</f>
        <v>0.11480800000000001</v>
      </c>
      <c r="H314" s="2">
        <f>ff_portfolios25!H314-ff_factors!$E314</f>
        <v>0.14182900000000001</v>
      </c>
      <c r="I314" s="2">
        <f>ff_portfolios25!I314-ff_factors!$E314</f>
        <v>0.12202200000000001</v>
      </c>
      <c r="J314" s="2">
        <f>ff_portfolios25!J314-ff_factors!$E314</f>
        <v>0.10459500000000001</v>
      </c>
      <c r="K314" s="2">
        <f>ff_portfolios25!K314-ff_factors!$E314</f>
        <v>8.6883000000000002E-2</v>
      </c>
      <c r="L314" s="2">
        <f>ff_portfolios25!L314-ff_factors!$E314</f>
        <v>0.10738</v>
      </c>
      <c r="M314" s="2">
        <f>ff_portfolios25!M314-ff_factors!$E314</f>
        <v>0.12732599999999999</v>
      </c>
      <c r="N314" s="2">
        <f>ff_portfolios25!N314-ff_factors!$E314</f>
        <v>7.9130000000000006E-2</v>
      </c>
      <c r="O314" s="2">
        <f>ff_portfolios25!O314-ff_factors!$E314</f>
        <v>8.4186999999999998E-2</v>
      </c>
      <c r="P314" s="2">
        <f>ff_portfolios25!P314-ff_factors!$E314</f>
        <v>0.10105900000000001</v>
      </c>
      <c r="Q314" s="2">
        <f>ff_portfolios25!Q314-ff_factors!$E314</f>
        <v>0.12642800000000001</v>
      </c>
      <c r="R314" s="2">
        <f>ff_portfolios25!R314-ff_factors!$E314</f>
        <v>0.109095</v>
      </c>
      <c r="S314" s="2">
        <f>ff_portfolios25!S314-ff_factors!$E314</f>
        <v>6.9502000000000008E-2</v>
      </c>
      <c r="T314" s="2">
        <f>ff_portfolios25!T314-ff_factors!$E314</f>
        <v>7.9308000000000003E-2</v>
      </c>
      <c r="U314" s="2">
        <f>ff_portfolios25!U314-ff_factors!$E314</f>
        <v>7.3090000000000002E-2</v>
      </c>
      <c r="V314" s="2">
        <f>ff_portfolios25!V314-ff_factors!$E314</f>
        <v>0.13209000000000001</v>
      </c>
      <c r="W314" s="2">
        <f>ff_portfolios25!W314-ff_factors!$E314</f>
        <v>0.13552900000000001</v>
      </c>
      <c r="X314" s="2">
        <f>ff_portfolios25!X314-ff_factors!$E314</f>
        <v>2.6307999999999998E-2</v>
      </c>
      <c r="Y314" s="2">
        <f>ff_portfolios25!Y314-ff_factors!$E314</f>
        <v>3.4779000000000004E-2</v>
      </c>
      <c r="Z314" s="2">
        <f>ff_portfolios25!Z314-ff_factors!$E314</f>
        <v>5.0131000000000002E-2</v>
      </c>
      <c r="AA314" s="2">
        <f>ff_portfolios25!AA314-ff_factors!$E314</f>
        <v>6.9289000000000003E-2</v>
      </c>
      <c r="AB314" s="2">
        <f>ff_portfolios25!AB314-ff_factors!$E314</f>
        <v>0.115797</v>
      </c>
    </row>
    <row r="315" spans="1:28" x14ac:dyDescent="0.2">
      <c r="A315">
        <v>19580228</v>
      </c>
      <c r="B315">
        <v>1958</v>
      </c>
      <c r="C315">
        <v>2</v>
      </c>
      <c r="D315" s="2">
        <f>ff_portfolios25!D315-ff_factors!$E315</f>
        <v>-8.0991000000000007E-2</v>
      </c>
      <c r="E315" s="2">
        <f>ff_portfolios25!E315-ff_factors!$E315</f>
        <v>5.5920000000000006E-3</v>
      </c>
      <c r="F315" s="2">
        <f>ff_portfolios25!F315-ff_factors!$E315</f>
        <v>-1.7363E-2</v>
      </c>
      <c r="G315" s="2">
        <f>ff_portfolios25!G315-ff_factors!$E315</f>
        <v>-1.4308E-2</v>
      </c>
      <c r="H315" s="2">
        <f>ff_portfolios25!H315-ff_factors!$E315</f>
        <v>-9.9430000000000004E-3</v>
      </c>
      <c r="I315" s="2">
        <f>ff_portfolios25!I315-ff_factors!$E315</f>
        <v>5.5580000000000004E-3</v>
      </c>
      <c r="J315" s="2">
        <f>ff_portfolios25!J315-ff_factors!$E315</f>
        <v>-7.7899999999999996E-4</v>
      </c>
      <c r="K315" s="2">
        <f>ff_portfolios25!K315-ff_factors!$E315</f>
        <v>-6.1649999999999995E-3</v>
      </c>
      <c r="L315" s="2">
        <f>ff_portfolios25!L315-ff_factors!$E315</f>
        <v>-1.2929999999999999E-3</v>
      </c>
      <c r="M315" s="2">
        <f>ff_portfolios25!M315-ff_factors!$E315</f>
        <v>3.0379999999999999E-3</v>
      </c>
      <c r="N315" s="2">
        <f>ff_portfolios25!N315-ff_factors!$E315</f>
        <v>-4.9969999999999997E-3</v>
      </c>
      <c r="O315" s="2">
        <f>ff_portfolios25!O315-ff_factors!$E315</f>
        <v>-1.565E-3</v>
      </c>
      <c r="P315" s="2">
        <f>ff_portfolios25!P315-ff_factors!$E315</f>
        <v>-6.9679999999999994E-3</v>
      </c>
      <c r="Q315" s="2">
        <f>ff_portfolios25!Q315-ff_factors!$E315</f>
        <v>-7.6689999999999996E-3</v>
      </c>
      <c r="R315" s="2">
        <f>ff_portfolios25!R315-ff_factors!$E315</f>
        <v>1.0190000000000002E-3</v>
      </c>
      <c r="S315" s="2">
        <f>ff_portfolios25!S315-ff_factors!$E315</f>
        <v>-1.4508999999999999E-2</v>
      </c>
      <c r="T315" s="2">
        <f>ff_portfolios25!T315-ff_factors!$E315</f>
        <v>-6.1189999999999994E-3</v>
      </c>
      <c r="U315" s="2">
        <f>ff_portfolios25!U315-ff_factors!$E315</f>
        <v>7.8860000000000006E-3</v>
      </c>
      <c r="V315" s="2">
        <f>ff_portfolios25!V315-ff_factors!$E315</f>
        <v>-1.8963000000000001E-2</v>
      </c>
      <c r="W315" s="2">
        <f>ff_portfolios25!W315-ff_factors!$E315</f>
        <v>-2.6017999999999999E-2</v>
      </c>
      <c r="X315" s="2">
        <f>ff_portfolios25!X315-ff_factors!$E315</f>
        <v>-2.0986000000000001E-2</v>
      </c>
      <c r="Y315" s="2">
        <f>ff_portfolios25!Y315-ff_factors!$E315</f>
        <v>-1.3382E-2</v>
      </c>
      <c r="Z315" s="2">
        <f>ff_portfolios25!Z315-ff_factors!$E315</f>
        <v>-8.3210000000000003E-3</v>
      </c>
      <c r="AA315" s="2">
        <f>ff_portfolios25!AA315-ff_factors!$E315</f>
        <v>-3.2758000000000002E-2</v>
      </c>
      <c r="AB315" s="2">
        <f>ff_portfolios25!AB315-ff_factors!$E315</f>
        <v>-3.4113999999999998E-2</v>
      </c>
    </row>
    <row r="316" spans="1:28" x14ac:dyDescent="0.2">
      <c r="A316">
        <v>19580331</v>
      </c>
      <c r="B316">
        <v>1958</v>
      </c>
      <c r="C316">
        <v>3</v>
      </c>
      <c r="D316" s="2">
        <f>ff_portfolios25!D316-ff_factors!$E316</f>
        <v>1.2199999999999993E-4</v>
      </c>
      <c r="E316" s="2">
        <f>ff_portfolios25!E316-ff_factors!$E316</f>
        <v>5.8376000000000004E-2</v>
      </c>
      <c r="F316" s="2">
        <f>ff_portfolios25!F316-ff_factors!$E316</f>
        <v>4.1581E-2</v>
      </c>
      <c r="G316" s="2">
        <f>ff_portfolios25!G316-ff_factors!$E316</f>
        <v>4.6421000000000004E-2</v>
      </c>
      <c r="H316" s="2">
        <f>ff_portfolios25!H316-ff_factors!$E316</f>
        <v>2.7983999999999998E-2</v>
      </c>
      <c r="I316" s="2">
        <f>ff_portfolios25!I316-ff_factors!$E316</f>
        <v>8.1201999999999996E-2</v>
      </c>
      <c r="J316" s="2">
        <f>ff_portfolios25!J316-ff_factors!$E316</f>
        <v>2.3430999999999997E-2</v>
      </c>
      <c r="K316" s="2">
        <f>ff_portfolios25!K316-ff_factors!$E316</f>
        <v>3.1584000000000001E-2</v>
      </c>
      <c r="L316" s="2">
        <f>ff_portfolios25!L316-ff_factors!$E316</f>
        <v>2.7461999999999997E-2</v>
      </c>
      <c r="M316" s="2">
        <f>ff_portfolios25!M316-ff_factors!$E316</f>
        <v>3.5610000000000003E-2</v>
      </c>
      <c r="N316" s="2">
        <f>ff_portfolios25!N316-ff_factors!$E316</f>
        <v>3.1115E-2</v>
      </c>
      <c r="O316" s="2">
        <f>ff_portfolios25!O316-ff_factors!$E316</f>
        <v>4.58E-2</v>
      </c>
      <c r="P316" s="2">
        <f>ff_portfolios25!P316-ff_factors!$E316</f>
        <v>3.0431999999999997E-2</v>
      </c>
      <c r="Q316" s="2">
        <f>ff_portfolios25!Q316-ff_factors!$E316</f>
        <v>3.2638E-2</v>
      </c>
      <c r="R316" s="2">
        <f>ff_portfolios25!R316-ff_factors!$E316</f>
        <v>4.1297E-2</v>
      </c>
      <c r="S316" s="2">
        <f>ff_portfolios25!S316-ff_factors!$E316</f>
        <v>5.7128000000000005E-2</v>
      </c>
      <c r="T316" s="2">
        <f>ff_portfolios25!T316-ff_factors!$E316</f>
        <v>2.7064999999999999E-2</v>
      </c>
      <c r="U316" s="2">
        <f>ff_portfolios25!U316-ff_factors!$E316</f>
        <v>3.2176000000000003E-2</v>
      </c>
      <c r="V316" s="2">
        <f>ff_portfolios25!V316-ff_factors!$E316</f>
        <v>1.8580999999999997E-2</v>
      </c>
      <c r="W316" s="2">
        <f>ff_portfolios25!W316-ff_factors!$E316</f>
        <v>3.0886E-2</v>
      </c>
      <c r="X316" s="2">
        <f>ff_portfolios25!X316-ff_factors!$E316</f>
        <v>3.1062999999999997E-2</v>
      </c>
      <c r="Y316" s="2">
        <f>ff_portfolios25!Y316-ff_factors!$E316</f>
        <v>3.1628000000000003E-2</v>
      </c>
      <c r="Z316" s="2">
        <f>ff_portfolios25!Z316-ff_factors!$E316</f>
        <v>3.7127E-2</v>
      </c>
      <c r="AA316" s="2">
        <f>ff_portfolios25!AA316-ff_factors!$E316</f>
        <v>2.9054E-2</v>
      </c>
      <c r="AB316" s="2">
        <f>ff_portfolios25!AB316-ff_factors!$E316</f>
        <v>1.2488000000000001E-2</v>
      </c>
    </row>
    <row r="317" spans="1:28" x14ac:dyDescent="0.2">
      <c r="A317">
        <v>19580430</v>
      </c>
      <c r="B317">
        <v>1958</v>
      </c>
      <c r="C317">
        <v>4</v>
      </c>
      <c r="D317" s="2">
        <f>ff_portfolios25!D317-ff_factors!$E317</f>
        <v>3.9871999999999998E-2</v>
      </c>
      <c r="E317" s="2">
        <f>ff_portfolios25!E317-ff_factors!$E317</f>
        <v>5.6991E-2</v>
      </c>
      <c r="F317" s="2">
        <f>ff_portfolios25!F317-ff_factors!$E317</f>
        <v>2.3189000000000001E-2</v>
      </c>
      <c r="G317" s="2">
        <f>ff_portfolios25!G317-ff_factors!$E317</f>
        <v>3.3693000000000001E-2</v>
      </c>
      <c r="H317" s="2">
        <f>ff_portfolios25!H317-ff_factors!$E317</f>
        <v>3.6831999999999997E-2</v>
      </c>
      <c r="I317" s="2">
        <f>ff_portfolios25!I317-ff_factors!$E317</f>
        <v>4.8781999999999999E-2</v>
      </c>
      <c r="J317" s="2">
        <f>ff_portfolios25!J317-ff_factors!$E317</f>
        <v>3.8101999999999997E-2</v>
      </c>
      <c r="K317" s="2">
        <f>ff_portfolios25!K317-ff_factors!$E317</f>
        <v>2.7460000000000002E-2</v>
      </c>
      <c r="L317" s="2">
        <f>ff_portfolios25!L317-ff_factors!$E317</f>
        <v>2.1808000000000001E-2</v>
      </c>
      <c r="M317" s="2">
        <f>ff_portfolios25!M317-ff_factors!$E317</f>
        <v>4.8340999999999995E-2</v>
      </c>
      <c r="N317" s="2">
        <f>ff_portfolios25!N317-ff_factors!$E317</f>
        <v>2.7842000000000002E-2</v>
      </c>
      <c r="O317" s="2">
        <f>ff_portfolios25!O317-ff_factors!$E317</f>
        <v>7.9799999999999992E-3</v>
      </c>
      <c r="P317" s="2">
        <f>ff_portfolios25!P317-ff_factors!$E317</f>
        <v>1.7961000000000001E-2</v>
      </c>
      <c r="Q317" s="2">
        <f>ff_portfolios25!Q317-ff_factors!$E317</f>
        <v>8.4869999999999998E-3</v>
      </c>
      <c r="R317" s="2">
        <f>ff_portfolios25!R317-ff_factors!$E317</f>
        <v>4.7064999999999996E-2</v>
      </c>
      <c r="S317" s="2">
        <f>ff_portfolios25!S317-ff_factors!$E317</f>
        <v>3.7282999999999997E-2</v>
      </c>
      <c r="T317" s="2">
        <f>ff_portfolios25!T317-ff_factors!$E317</f>
        <v>2.58E-2</v>
      </c>
      <c r="U317" s="2">
        <f>ff_portfolios25!U317-ff_factors!$E317</f>
        <v>2.0817000000000002E-2</v>
      </c>
      <c r="V317" s="2">
        <f>ff_portfolios25!V317-ff_factors!$E317</f>
        <v>3.2884999999999998E-2</v>
      </c>
      <c r="W317" s="2">
        <f>ff_portfolios25!W317-ff_factors!$E317</f>
        <v>6.0736999999999999E-2</v>
      </c>
      <c r="X317" s="2">
        <f>ff_portfolios25!X317-ff_factors!$E317</f>
        <v>2.9589000000000001E-2</v>
      </c>
      <c r="Y317" s="2">
        <f>ff_portfolios25!Y317-ff_factors!$E317</f>
        <v>3.3916999999999996E-2</v>
      </c>
      <c r="Z317" s="2">
        <f>ff_portfolios25!Z317-ff_factors!$E317</f>
        <v>3.1273999999999996E-2</v>
      </c>
      <c r="AA317" s="2">
        <f>ff_portfolios25!AA317-ff_factors!$E317</f>
        <v>2.5705000000000002E-2</v>
      </c>
      <c r="AB317" s="2">
        <f>ff_portfolios25!AB317-ff_factors!$E317</f>
        <v>6.2047999999999999E-2</v>
      </c>
    </row>
    <row r="318" spans="1:28" x14ac:dyDescent="0.2">
      <c r="A318">
        <v>19580529</v>
      </c>
      <c r="B318">
        <v>1958</v>
      </c>
      <c r="C318">
        <v>5</v>
      </c>
      <c r="D318" s="2">
        <f>ff_portfolios25!D318-ff_factors!$E318</f>
        <v>8.019599999999999E-2</v>
      </c>
      <c r="E318" s="2">
        <f>ff_portfolios25!E318-ff_factors!$E318</f>
        <v>4.7564000000000002E-2</v>
      </c>
      <c r="F318" s="2">
        <f>ff_portfolios25!F318-ff_factors!$E318</f>
        <v>4.1872000000000006E-2</v>
      </c>
      <c r="G318" s="2">
        <f>ff_portfolios25!G318-ff_factors!$E318</f>
        <v>3.8889E-2</v>
      </c>
      <c r="H318" s="2">
        <f>ff_portfolios25!H318-ff_factors!$E318</f>
        <v>3.9037000000000002E-2</v>
      </c>
      <c r="I318" s="2">
        <f>ff_portfolios25!I318-ff_factors!$E318</f>
        <v>4.2682000000000005E-2</v>
      </c>
      <c r="J318" s="2">
        <f>ff_portfolios25!J318-ff_factors!$E318</f>
        <v>3.3286000000000003E-2</v>
      </c>
      <c r="K318" s="2">
        <f>ff_portfolios25!K318-ff_factors!$E318</f>
        <v>2.7570000000000001E-2</v>
      </c>
      <c r="L318" s="2">
        <f>ff_portfolios25!L318-ff_factors!$E318</f>
        <v>3.6956000000000003E-2</v>
      </c>
      <c r="M318" s="2">
        <f>ff_portfolios25!M318-ff_factors!$E318</f>
        <v>5.7237000000000003E-2</v>
      </c>
      <c r="N318" s="2">
        <f>ff_portfolios25!N318-ff_factors!$E318</f>
        <v>6.7292999999999992E-2</v>
      </c>
      <c r="O318" s="2">
        <f>ff_portfolios25!O318-ff_factors!$E318</f>
        <v>4.7252000000000002E-2</v>
      </c>
      <c r="P318" s="2">
        <f>ff_portfolios25!P318-ff_factors!$E318</f>
        <v>3.8527000000000006E-2</v>
      </c>
      <c r="Q318" s="2">
        <f>ff_portfolios25!Q318-ff_factors!$E318</f>
        <v>4.3544000000000006E-2</v>
      </c>
      <c r="R318" s="2">
        <f>ff_portfolios25!R318-ff_factors!$E318</f>
        <v>4.3938000000000005E-2</v>
      </c>
      <c r="S318" s="2">
        <f>ff_portfolios25!S318-ff_factors!$E318</f>
        <v>2.5366E-2</v>
      </c>
      <c r="T318" s="2">
        <f>ff_portfolios25!T318-ff_factors!$E318</f>
        <v>2.3185000000000001E-2</v>
      </c>
      <c r="U318" s="2">
        <f>ff_portfolios25!U318-ff_factors!$E318</f>
        <v>2.7692999999999999E-2</v>
      </c>
      <c r="V318" s="2">
        <f>ff_portfolios25!V318-ff_factors!$E318</f>
        <v>3.0029E-2</v>
      </c>
      <c r="W318" s="2">
        <f>ff_portfolios25!W318-ff_factors!$E318</f>
        <v>2.1082E-2</v>
      </c>
      <c r="X318" s="2">
        <f>ff_portfolios25!X318-ff_factors!$E318</f>
        <v>1.7297E-2</v>
      </c>
      <c r="Y318" s="2">
        <f>ff_portfolios25!Y318-ff_factors!$E318</f>
        <v>2.6598E-2</v>
      </c>
      <c r="Z318" s="2">
        <f>ff_portfolios25!Z318-ff_factors!$E318</f>
        <v>1.7919999999999998E-2</v>
      </c>
      <c r="AA318" s="2">
        <f>ff_portfolios25!AA318-ff_factors!$E318</f>
        <v>3.3908000000000001E-2</v>
      </c>
      <c r="AB318" s="2">
        <f>ff_portfolios25!AB318-ff_factors!$E318</f>
        <v>3.9438000000000001E-2</v>
      </c>
    </row>
    <row r="319" spans="1:28" x14ac:dyDescent="0.2">
      <c r="A319">
        <v>19580630</v>
      </c>
      <c r="B319">
        <v>1958</v>
      </c>
      <c r="C319">
        <v>6</v>
      </c>
      <c r="D319" s="2">
        <f>ff_portfolios25!D319-ff_factors!$E319</f>
        <v>2.8675999999999997E-2</v>
      </c>
      <c r="E319" s="2">
        <f>ff_portfolios25!E319-ff_factors!$E319</f>
        <v>1.8046E-2</v>
      </c>
      <c r="F319" s="2">
        <f>ff_portfolios25!F319-ff_factors!$E319</f>
        <v>1.2225E-2</v>
      </c>
      <c r="G319" s="2">
        <f>ff_portfolios25!G319-ff_factors!$E319</f>
        <v>3.2250000000000001E-2</v>
      </c>
      <c r="H319" s="2">
        <f>ff_portfolios25!H319-ff_factors!$E319</f>
        <v>3.2469999999999999E-2</v>
      </c>
      <c r="I319" s="2">
        <f>ff_portfolios25!I319-ff_factors!$E319</f>
        <v>2.2520000000000001E-3</v>
      </c>
      <c r="J319" s="2">
        <f>ff_portfolios25!J319-ff_factors!$E319</f>
        <v>4.9499999999999995E-2</v>
      </c>
      <c r="K319" s="2">
        <f>ff_portfolios25!K319-ff_factors!$E319</f>
        <v>2.2906999999999997E-2</v>
      </c>
      <c r="L319" s="2">
        <f>ff_portfolios25!L319-ff_factors!$E319</f>
        <v>3.4064999999999998E-2</v>
      </c>
      <c r="M319" s="2">
        <f>ff_portfolios25!M319-ff_factors!$E319</f>
        <v>2.9956E-2</v>
      </c>
      <c r="N319" s="2">
        <f>ff_portfolios25!N319-ff_factors!$E319</f>
        <v>2.9002999999999998E-2</v>
      </c>
      <c r="O319" s="2">
        <f>ff_portfolios25!O319-ff_factors!$E319</f>
        <v>2.4180999999999998E-2</v>
      </c>
      <c r="P319" s="2">
        <f>ff_portfolios25!P319-ff_factors!$E319</f>
        <v>2.8334999999999999E-2</v>
      </c>
      <c r="Q319" s="2">
        <f>ff_portfolios25!Q319-ff_factors!$E319</f>
        <v>1.7079999999999998E-2</v>
      </c>
      <c r="R319" s="2">
        <f>ff_portfolios25!R319-ff_factors!$E319</f>
        <v>3.4303E-2</v>
      </c>
      <c r="S319" s="2">
        <f>ff_portfolios25!S319-ff_factors!$E319</f>
        <v>3.3354999999999996E-2</v>
      </c>
      <c r="T319" s="2">
        <f>ff_portfolios25!T319-ff_factors!$E319</f>
        <v>1.9881999999999997E-2</v>
      </c>
      <c r="U319" s="2">
        <f>ff_portfolios25!U319-ff_factors!$E319</f>
        <v>2.8197E-2</v>
      </c>
      <c r="V319" s="2">
        <f>ff_portfolios25!V319-ff_factors!$E319</f>
        <v>3.0511E-2</v>
      </c>
      <c r="W319" s="2">
        <f>ff_portfolios25!W319-ff_factors!$E319</f>
        <v>4.7629999999999999E-2</v>
      </c>
      <c r="X319" s="2">
        <f>ff_portfolios25!X319-ff_factors!$E319</f>
        <v>2.9227E-2</v>
      </c>
      <c r="Y319" s="2">
        <f>ff_portfolios25!Y319-ff_factors!$E319</f>
        <v>3.2409E-2</v>
      </c>
      <c r="Z319" s="2">
        <f>ff_portfolios25!Z319-ff_factors!$E319</f>
        <v>2.9391999999999998E-2</v>
      </c>
      <c r="AA319" s="2">
        <f>ff_portfolios25!AA319-ff_factors!$E319</f>
        <v>2.7506999999999997E-2</v>
      </c>
      <c r="AB319" s="2">
        <f>ff_portfolios25!AB319-ff_factors!$E319</f>
        <v>3.1975999999999997E-2</v>
      </c>
    </row>
    <row r="320" spans="1:28" x14ac:dyDescent="0.2">
      <c r="A320">
        <v>19580731</v>
      </c>
      <c r="B320">
        <v>1958</v>
      </c>
      <c r="C320">
        <v>7</v>
      </c>
      <c r="D320" s="2">
        <f>ff_portfolios25!D320-ff_factors!$E320</f>
        <v>9.1549999999999999E-3</v>
      </c>
      <c r="E320" s="2">
        <f>ff_portfolios25!E320-ff_factors!$E320</f>
        <v>7.0891999999999997E-2</v>
      </c>
      <c r="F320" s="2">
        <f>ff_portfolios25!F320-ff_factors!$E320</f>
        <v>7.3030999999999999E-2</v>
      </c>
      <c r="G320" s="2">
        <f>ff_portfolios25!G320-ff_factors!$E320</f>
        <v>6.2092000000000001E-2</v>
      </c>
      <c r="H320" s="2">
        <f>ff_portfolios25!H320-ff_factors!$E320</f>
        <v>5.5628000000000004E-2</v>
      </c>
      <c r="I320" s="2">
        <f>ff_portfolios25!I320-ff_factors!$E320</f>
        <v>2.1459000000000002E-2</v>
      </c>
      <c r="J320" s="2">
        <f>ff_portfolios25!J320-ff_factors!$E320</f>
        <v>2.7439999999999999E-2</v>
      </c>
      <c r="K320" s="2">
        <f>ff_portfolios25!K320-ff_factors!$E320</f>
        <v>5.4908999999999999E-2</v>
      </c>
      <c r="L320" s="2">
        <f>ff_portfolios25!L320-ff_factors!$E320</f>
        <v>5.033E-2</v>
      </c>
      <c r="M320" s="2">
        <f>ff_portfolios25!M320-ff_factors!$E320</f>
        <v>7.3175999999999991E-2</v>
      </c>
      <c r="N320" s="2">
        <f>ff_portfolios25!N320-ff_factors!$E320</f>
        <v>2.5795000000000002E-2</v>
      </c>
      <c r="O320" s="2">
        <f>ff_portfolios25!O320-ff_factors!$E320</f>
        <v>5.6894E-2</v>
      </c>
      <c r="P320" s="2">
        <f>ff_portfolios25!P320-ff_factors!$E320</f>
        <v>6.8057999999999994E-2</v>
      </c>
      <c r="Q320" s="2">
        <f>ff_portfolios25!Q320-ff_factors!$E320</f>
        <v>7.1501999999999996E-2</v>
      </c>
      <c r="R320" s="2">
        <f>ff_portfolios25!R320-ff_factors!$E320</f>
        <v>0.10056999999999999</v>
      </c>
      <c r="S320" s="2">
        <f>ff_portfolios25!S320-ff_factors!$E320</f>
        <v>3.7266000000000001E-2</v>
      </c>
      <c r="T320" s="2">
        <f>ff_portfolios25!T320-ff_factors!$E320</f>
        <v>3.9238000000000002E-2</v>
      </c>
      <c r="U320" s="2">
        <f>ff_portfolios25!U320-ff_factors!$E320</f>
        <v>5.6228E-2</v>
      </c>
      <c r="V320" s="2">
        <f>ff_portfolios25!V320-ff_factors!$E320</f>
        <v>5.3103999999999998E-2</v>
      </c>
      <c r="W320" s="2">
        <f>ff_portfolios25!W320-ff_factors!$E320</f>
        <v>9.5369999999999996E-2</v>
      </c>
      <c r="X320" s="2">
        <f>ff_portfolios25!X320-ff_factors!$E320</f>
        <v>5.0309E-2</v>
      </c>
      <c r="Y320" s="2">
        <f>ff_portfolios25!Y320-ff_factors!$E320</f>
        <v>2.1203E-2</v>
      </c>
      <c r="Z320" s="2">
        <f>ff_portfolios25!Z320-ff_factors!$E320</f>
        <v>3.7290000000000004E-2</v>
      </c>
      <c r="AA320" s="2">
        <f>ff_portfolios25!AA320-ff_factors!$E320</f>
        <v>5.4629999999999998E-2</v>
      </c>
      <c r="AB320" s="2">
        <f>ff_portfolios25!AB320-ff_factors!$E320</f>
        <v>7.7578999999999995E-2</v>
      </c>
    </row>
    <row r="321" spans="1:28" x14ac:dyDescent="0.2">
      <c r="A321">
        <v>19580829</v>
      </c>
      <c r="B321">
        <v>1958</v>
      </c>
      <c r="C321">
        <v>8</v>
      </c>
      <c r="D321" s="2">
        <f>ff_portfolios25!D321-ff_factors!$E321</f>
        <v>3.6121E-2</v>
      </c>
      <c r="E321" s="2">
        <f>ff_portfolios25!E321-ff_factors!$E321</f>
        <v>-4.5360000000000001E-3</v>
      </c>
      <c r="F321" s="2">
        <f>ff_portfolios25!F321-ff_factors!$E321</f>
        <v>3.1771000000000001E-2</v>
      </c>
      <c r="G321" s="2">
        <f>ff_portfolios25!G321-ff_factors!$E321</f>
        <v>2.8971999999999998E-2</v>
      </c>
      <c r="H321" s="2">
        <f>ff_portfolios25!H321-ff_factors!$E321</f>
        <v>4.5524000000000002E-2</v>
      </c>
      <c r="I321" s="2">
        <f>ff_portfolios25!I321-ff_factors!$E321</f>
        <v>3.9586000000000003E-2</v>
      </c>
      <c r="J321" s="2">
        <f>ff_portfolios25!J321-ff_factors!$E321</f>
        <v>3.2929E-2</v>
      </c>
      <c r="K321" s="2">
        <f>ff_portfolios25!K321-ff_factors!$E321</f>
        <v>2.0367999999999997E-2</v>
      </c>
      <c r="L321" s="2">
        <f>ff_portfolios25!L321-ff_factors!$E321</f>
        <v>2.1134E-2</v>
      </c>
      <c r="M321" s="2">
        <f>ff_portfolios25!M321-ff_factors!$E321</f>
        <v>4.6113000000000001E-2</v>
      </c>
      <c r="N321" s="2">
        <f>ff_portfolios25!N321-ff_factors!$E321</f>
        <v>4.0556000000000002E-2</v>
      </c>
      <c r="O321" s="2">
        <f>ff_portfolios25!O321-ff_factors!$E321</f>
        <v>3.4092000000000004E-2</v>
      </c>
      <c r="P321" s="2">
        <f>ff_portfolios25!P321-ff_factors!$E321</f>
        <v>3.3262E-2</v>
      </c>
      <c r="Q321" s="2">
        <f>ff_portfolios25!Q321-ff_factors!$E321</f>
        <v>4.1152000000000001E-2</v>
      </c>
      <c r="R321" s="2">
        <f>ff_portfolios25!R321-ff_factors!$E321</f>
        <v>1.8303999999999997E-2</v>
      </c>
      <c r="S321" s="2">
        <f>ff_portfolios25!S321-ff_factors!$E321</f>
        <v>3.2130000000000006E-2</v>
      </c>
      <c r="T321" s="2">
        <f>ff_portfolios25!T321-ff_factors!$E321</f>
        <v>1.8505000000000001E-2</v>
      </c>
      <c r="U321" s="2">
        <f>ff_portfolios25!U321-ff_factors!$E321</f>
        <v>3.8941000000000003E-2</v>
      </c>
      <c r="V321" s="2">
        <f>ff_portfolios25!V321-ff_factors!$E321</f>
        <v>1.8810999999999998E-2</v>
      </c>
      <c r="W321" s="2">
        <f>ff_portfolios25!W321-ff_factors!$E321</f>
        <v>3.8238000000000001E-2</v>
      </c>
      <c r="X321" s="2">
        <f>ff_portfolios25!X321-ff_factors!$E321</f>
        <v>1.7732999999999999E-2</v>
      </c>
      <c r="Y321" s="2">
        <f>ff_portfolios25!Y321-ff_factors!$E321</f>
        <v>6.9619999999999994E-3</v>
      </c>
      <c r="Z321" s="2">
        <f>ff_portfolios25!Z321-ff_factors!$E321</f>
        <v>2.1506999999999998E-2</v>
      </c>
      <c r="AA321" s="2">
        <f>ff_portfolios25!AA321-ff_factors!$E321</f>
        <v>1.7839999999999998E-2</v>
      </c>
      <c r="AB321" s="2">
        <f>ff_portfolios25!AB321-ff_factors!$E321</f>
        <v>2.0333E-2</v>
      </c>
    </row>
    <row r="322" spans="1:28" x14ac:dyDescent="0.2">
      <c r="A322">
        <v>19580930</v>
      </c>
      <c r="B322">
        <v>1958</v>
      </c>
      <c r="C322">
        <v>9</v>
      </c>
      <c r="D322" s="2">
        <f>ff_portfolios25!D322-ff_factors!$E322</f>
        <v>2.8088000000000002E-2</v>
      </c>
      <c r="E322" s="2">
        <f>ff_portfolios25!E322-ff_factors!$E322</f>
        <v>9.3468999999999997E-2</v>
      </c>
      <c r="F322" s="2">
        <f>ff_portfolios25!F322-ff_factors!$E322</f>
        <v>4.9402000000000001E-2</v>
      </c>
      <c r="G322" s="2">
        <f>ff_portfolios25!G322-ff_factors!$E322</f>
        <v>3.6537E-2</v>
      </c>
      <c r="H322" s="2">
        <f>ff_portfolios25!H322-ff_factors!$E322</f>
        <v>7.2250999999999996E-2</v>
      </c>
      <c r="I322" s="2">
        <f>ff_portfolios25!I322-ff_factors!$E322</f>
        <v>1.7754000000000002E-2</v>
      </c>
      <c r="J322" s="2">
        <f>ff_portfolios25!J322-ff_factors!$E322</f>
        <v>3.8450999999999999E-2</v>
      </c>
      <c r="K322" s="2">
        <f>ff_portfolios25!K322-ff_factors!$E322</f>
        <v>4.2881000000000002E-2</v>
      </c>
      <c r="L322" s="2">
        <f>ff_portfolios25!L322-ff_factors!$E322</f>
        <v>7.467E-2</v>
      </c>
      <c r="M322" s="2">
        <f>ff_portfolios25!M322-ff_factors!$E322</f>
        <v>8.7850999999999999E-2</v>
      </c>
      <c r="N322" s="2">
        <f>ff_portfolios25!N322-ff_factors!$E322</f>
        <v>3.6534000000000004E-2</v>
      </c>
      <c r="O322" s="2">
        <f>ff_portfolios25!O322-ff_factors!$E322</f>
        <v>1.9521E-2</v>
      </c>
      <c r="P322" s="2">
        <f>ff_portfolios25!P322-ff_factors!$E322</f>
        <v>3.8525000000000004E-2</v>
      </c>
      <c r="Q322" s="2">
        <f>ff_portfolios25!Q322-ff_factors!$E322</f>
        <v>5.8355000000000004E-2</v>
      </c>
      <c r="R322" s="2">
        <f>ff_portfolios25!R322-ff_factors!$E322</f>
        <v>9.3747999999999998E-2</v>
      </c>
      <c r="S322" s="2">
        <f>ff_portfolios25!S322-ff_factors!$E322</f>
        <v>3.6972999999999999E-2</v>
      </c>
      <c r="T322" s="2">
        <f>ff_portfolios25!T322-ff_factors!$E322</f>
        <v>3.5934000000000001E-2</v>
      </c>
      <c r="U322" s="2">
        <f>ff_portfolios25!U322-ff_factors!$E322</f>
        <v>4.3607E-2</v>
      </c>
      <c r="V322" s="2">
        <f>ff_portfolios25!V322-ff_factors!$E322</f>
        <v>6.5234E-2</v>
      </c>
      <c r="W322" s="2">
        <f>ff_portfolios25!W322-ff_factors!$E322</f>
        <v>0.114228</v>
      </c>
      <c r="X322" s="2">
        <f>ff_portfolios25!X322-ff_factors!$E322</f>
        <v>4.6543000000000001E-2</v>
      </c>
      <c r="Y322" s="2">
        <f>ff_portfolios25!Y322-ff_factors!$E322</f>
        <v>4.2888000000000003E-2</v>
      </c>
      <c r="Z322" s="2">
        <f>ff_portfolios25!Z322-ff_factors!$E322</f>
        <v>4.6685000000000004E-2</v>
      </c>
      <c r="AA322" s="2">
        <f>ff_portfolios25!AA322-ff_factors!$E322</f>
        <v>4.0017999999999998E-2</v>
      </c>
      <c r="AB322" s="2">
        <f>ff_portfolios25!AB322-ff_factors!$E322</f>
        <v>8.4256999999999999E-2</v>
      </c>
    </row>
    <row r="323" spans="1:28" x14ac:dyDescent="0.2">
      <c r="A323">
        <v>19581031</v>
      </c>
      <c r="B323">
        <v>1958</v>
      </c>
      <c r="C323">
        <v>10</v>
      </c>
      <c r="D323" s="2">
        <f>ff_portfolios25!D323-ff_factors!$E323</f>
        <v>7.7559000000000003E-2</v>
      </c>
      <c r="E323" s="2">
        <f>ff_portfolios25!E323-ff_factors!$E323</f>
        <v>6.1166999999999992E-2</v>
      </c>
      <c r="F323" s="2">
        <f>ff_portfolios25!F323-ff_factors!$E323</f>
        <v>1.8947000000000002E-2</v>
      </c>
      <c r="G323" s="2">
        <f>ff_portfolios25!G323-ff_factors!$E323</f>
        <v>1.7032000000000002E-2</v>
      </c>
      <c r="H323" s="2">
        <f>ff_portfolios25!H323-ff_factors!$E323</f>
        <v>2.5316999999999999E-2</v>
      </c>
      <c r="I323" s="2">
        <f>ff_portfolios25!I323-ff_factors!$E323</f>
        <v>0.103424</v>
      </c>
      <c r="J323" s="2">
        <f>ff_portfolios25!J323-ff_factors!$E323</f>
        <v>5.0037999999999999E-2</v>
      </c>
      <c r="K323" s="2">
        <f>ff_portfolios25!K323-ff_factors!$E323</f>
        <v>1.8966E-2</v>
      </c>
      <c r="L323" s="2">
        <f>ff_portfolios25!L323-ff_factors!$E323</f>
        <v>4.1699E-2</v>
      </c>
      <c r="M323" s="2">
        <f>ff_portfolios25!M323-ff_factors!$E323</f>
        <v>4.4767999999999995E-2</v>
      </c>
      <c r="N323" s="2">
        <f>ff_portfolios25!N323-ff_factors!$E323</f>
        <v>8.0450000000000001E-3</v>
      </c>
      <c r="O323" s="2">
        <f>ff_portfolios25!O323-ff_factors!$E323</f>
        <v>5.2073999999999995E-2</v>
      </c>
      <c r="P323" s="2">
        <f>ff_portfolios25!P323-ff_factors!$E323</f>
        <v>2.4659E-2</v>
      </c>
      <c r="Q323" s="2">
        <f>ff_portfolios25!Q323-ff_factors!$E323</f>
        <v>3.6958999999999999E-2</v>
      </c>
      <c r="R323" s="2">
        <f>ff_portfolios25!R323-ff_factors!$E323</f>
        <v>4.9928E-2</v>
      </c>
      <c r="S323" s="2">
        <f>ff_portfolios25!S323-ff_factors!$E323</f>
        <v>3.0292000000000003E-2</v>
      </c>
      <c r="T323" s="2">
        <f>ff_portfolios25!T323-ff_factors!$E323</f>
        <v>3.2989999999999998E-2</v>
      </c>
      <c r="U323" s="2">
        <f>ff_portfolios25!U323-ff_factors!$E323</f>
        <v>2.8691000000000001E-2</v>
      </c>
      <c r="V323" s="2">
        <f>ff_portfolios25!V323-ff_factors!$E323</f>
        <v>2.104E-2</v>
      </c>
      <c r="W323" s="2">
        <f>ff_portfolios25!W323-ff_factors!$E323</f>
        <v>4.6077E-2</v>
      </c>
      <c r="X323" s="2">
        <f>ff_portfolios25!X323-ff_factors!$E323</f>
        <v>2.1517000000000001E-2</v>
      </c>
      <c r="Y323" s="2">
        <f>ff_portfolios25!Y323-ff_factors!$E323</f>
        <v>3.0169999999999999E-2</v>
      </c>
      <c r="Z323" s="2">
        <f>ff_portfolios25!Z323-ff_factors!$E323</f>
        <v>2.5174000000000002E-2</v>
      </c>
      <c r="AA323" s="2">
        <f>ff_portfolios25!AA323-ff_factors!$E323</f>
        <v>1.9257E-2</v>
      </c>
      <c r="AB323" s="2">
        <f>ff_portfolios25!AB323-ff_factors!$E323</f>
        <v>3.3588999999999994E-2</v>
      </c>
    </row>
    <row r="324" spans="1:28" x14ac:dyDescent="0.2">
      <c r="A324">
        <v>19581128</v>
      </c>
      <c r="B324">
        <v>1958</v>
      </c>
      <c r="C324">
        <v>11</v>
      </c>
      <c r="D324" s="2">
        <f>ff_portfolios25!D324-ff_factors!$E324</f>
        <v>0.122822</v>
      </c>
      <c r="E324" s="2">
        <f>ff_portfolios25!E324-ff_factors!$E324</f>
        <v>0.11855399999999999</v>
      </c>
      <c r="F324" s="2">
        <f>ff_portfolios25!F324-ff_factors!$E324</f>
        <v>8.9964000000000002E-2</v>
      </c>
      <c r="G324" s="2">
        <f>ff_portfolios25!G324-ff_factors!$E324</f>
        <v>4.0242E-2</v>
      </c>
      <c r="H324" s="2">
        <f>ff_portfolios25!H324-ff_factors!$E324</f>
        <v>3.0651000000000001E-2</v>
      </c>
      <c r="I324" s="2">
        <f>ff_portfolios25!I324-ff_factors!$E324</f>
        <v>4.9624000000000001E-2</v>
      </c>
      <c r="J324" s="2">
        <f>ff_portfolios25!J324-ff_factors!$E324</f>
        <v>7.1572999999999998E-2</v>
      </c>
      <c r="K324" s="2">
        <f>ff_portfolios25!K324-ff_factors!$E324</f>
        <v>4.4294E-2</v>
      </c>
      <c r="L324" s="2">
        <f>ff_portfolios25!L324-ff_factors!$E324</f>
        <v>4.8241000000000006E-2</v>
      </c>
      <c r="M324" s="2">
        <f>ff_portfolios25!M324-ff_factors!$E324</f>
        <v>5.1827000000000005E-2</v>
      </c>
      <c r="N324" s="2">
        <f>ff_portfolios25!N324-ff_factors!$E324</f>
        <v>6.0667000000000006E-2</v>
      </c>
      <c r="O324" s="2">
        <f>ff_portfolios25!O324-ff_factors!$E324</f>
        <v>1.5122E-2</v>
      </c>
      <c r="P324" s="2">
        <f>ff_portfolios25!P324-ff_factors!$E324</f>
        <v>2.6192E-2</v>
      </c>
      <c r="Q324" s="2">
        <f>ff_portfolios25!Q324-ff_factors!$E324</f>
        <v>3.6907000000000002E-2</v>
      </c>
      <c r="R324" s="2">
        <f>ff_portfolios25!R324-ff_factors!$E324</f>
        <v>2.9100000000000001E-2</v>
      </c>
      <c r="S324" s="2">
        <f>ff_portfolios25!S324-ff_factors!$E324</f>
        <v>4.6506000000000006E-2</v>
      </c>
      <c r="T324" s="2">
        <f>ff_portfolios25!T324-ff_factors!$E324</f>
        <v>3.7832000000000005E-2</v>
      </c>
      <c r="U324" s="2">
        <f>ff_portfolios25!U324-ff_factors!$E324</f>
        <v>5.8417000000000004E-2</v>
      </c>
      <c r="V324" s="2">
        <f>ff_portfolios25!V324-ff_factors!$E324</f>
        <v>4.5768000000000003E-2</v>
      </c>
      <c r="W324" s="2">
        <f>ff_portfolios25!W324-ff_factors!$E324</f>
        <v>4.8345000000000006E-2</v>
      </c>
      <c r="X324" s="2">
        <f>ff_portfolios25!X324-ff_factors!$E324</f>
        <v>3.1686000000000006E-2</v>
      </c>
      <c r="Y324" s="2">
        <f>ff_portfolios25!Y324-ff_factors!$E324</f>
        <v>2.6431E-2</v>
      </c>
      <c r="Z324" s="2">
        <f>ff_portfolios25!Z324-ff_factors!$E324</f>
        <v>1.2208E-2</v>
      </c>
      <c r="AA324" s="2">
        <f>ff_portfolios25!AA324-ff_factors!$E324</f>
        <v>2.5468999999999999E-2</v>
      </c>
      <c r="AB324" s="2">
        <f>ff_portfolios25!AB324-ff_factors!$E324</f>
        <v>3.1442000000000005E-2</v>
      </c>
    </row>
    <row r="325" spans="1:28" x14ac:dyDescent="0.2">
      <c r="A325">
        <v>19581231</v>
      </c>
      <c r="B325">
        <v>1958</v>
      </c>
      <c r="C325">
        <v>12</v>
      </c>
      <c r="D325" s="2">
        <f>ff_portfolios25!D325-ff_factors!$E325</f>
        <v>4.8645000000000001E-2</v>
      </c>
      <c r="E325" s="2">
        <f>ff_portfolios25!E325-ff_factors!$E325</f>
        <v>-9.2449999999999997E-3</v>
      </c>
      <c r="F325" s="2">
        <f>ff_portfolios25!F325-ff_factors!$E325</f>
        <v>2.7472E-2</v>
      </c>
      <c r="G325" s="2">
        <f>ff_portfolios25!G325-ff_factors!$E325</f>
        <v>3.9439000000000002E-2</v>
      </c>
      <c r="H325" s="2">
        <f>ff_portfolios25!H325-ff_factors!$E325</f>
        <v>3.2682999999999997E-2</v>
      </c>
      <c r="I325" s="2">
        <f>ff_portfolios25!I325-ff_factors!$E325</f>
        <v>5.6172E-2</v>
      </c>
      <c r="J325" s="2">
        <f>ff_portfolios25!J325-ff_factors!$E325</f>
        <v>6.0275000000000002E-2</v>
      </c>
      <c r="K325" s="2">
        <f>ff_portfolios25!K325-ff_factors!$E325</f>
        <v>2.5534999999999999E-2</v>
      </c>
      <c r="L325" s="2">
        <f>ff_portfolios25!L325-ff_factors!$E325</f>
        <v>3.8334E-2</v>
      </c>
      <c r="M325" s="2">
        <f>ff_portfolios25!M325-ff_factors!$E325</f>
        <v>3.4597999999999997E-2</v>
      </c>
      <c r="N325" s="2">
        <f>ff_portfolios25!N325-ff_factors!$E325</f>
        <v>5.2169999999999994E-3</v>
      </c>
      <c r="O325" s="2">
        <f>ff_portfolios25!O325-ff_factors!$E325</f>
        <v>2.8357999999999998E-2</v>
      </c>
      <c r="P325" s="2">
        <f>ff_portfolios25!P325-ff_factors!$E325</f>
        <v>2.0711999999999998E-2</v>
      </c>
      <c r="Q325" s="2">
        <f>ff_portfolios25!Q325-ff_factors!$E325</f>
        <v>3.5060000000000001E-2</v>
      </c>
      <c r="R325" s="2">
        <f>ff_portfolios25!R325-ff_factors!$E325</f>
        <v>4.0504999999999999E-2</v>
      </c>
      <c r="S325" s="2">
        <f>ff_portfolios25!S325-ff_factors!$E325</f>
        <v>3.2675000000000003E-2</v>
      </c>
      <c r="T325" s="2">
        <f>ff_portfolios25!T325-ff_factors!$E325</f>
        <v>4.8418999999999997E-2</v>
      </c>
      <c r="U325" s="2">
        <f>ff_portfolios25!U325-ff_factors!$E325</f>
        <v>5.2359999999999997E-2</v>
      </c>
      <c r="V325" s="2">
        <f>ff_portfolios25!V325-ff_factors!$E325</f>
        <v>3.4597000000000003E-2</v>
      </c>
      <c r="W325" s="2">
        <f>ff_portfolios25!W325-ff_factors!$E325</f>
        <v>1.9281E-2</v>
      </c>
      <c r="X325" s="2">
        <f>ff_portfolios25!X325-ff_factors!$E325</f>
        <v>5.0611999999999997E-2</v>
      </c>
      <c r="Y325" s="2">
        <f>ff_portfolios25!Y325-ff_factors!$E325</f>
        <v>4.5913000000000002E-2</v>
      </c>
      <c r="Z325" s="2">
        <f>ff_portfolios25!Z325-ff_factors!$E325</f>
        <v>9.1476000000000002E-2</v>
      </c>
      <c r="AA325" s="2">
        <f>ff_portfolios25!AA325-ff_factors!$E325</f>
        <v>2.4524000000000001E-2</v>
      </c>
      <c r="AB325" s="2">
        <f>ff_portfolios25!AB325-ff_factors!$E325</f>
        <v>4.6059999999999997E-2</v>
      </c>
    </row>
    <row r="326" spans="1:28" x14ac:dyDescent="0.2">
      <c r="A326">
        <v>19590130</v>
      </c>
      <c r="B326">
        <v>1959</v>
      </c>
      <c r="C326">
        <v>1</v>
      </c>
      <c r="D326" s="2">
        <f>ff_portfolios25!D326-ff_factors!$E326</f>
        <v>8.4948999999999997E-2</v>
      </c>
      <c r="E326" s="2">
        <f>ff_portfolios25!E326-ff_factors!$E326</f>
        <v>1.503E-2</v>
      </c>
      <c r="F326" s="2">
        <f>ff_portfolios25!F326-ff_factors!$E326</f>
        <v>0.14733500000000002</v>
      </c>
      <c r="G326" s="2">
        <f>ff_portfolios25!G326-ff_factors!$E326</f>
        <v>5.5810000000000005E-2</v>
      </c>
      <c r="H326" s="2">
        <f>ff_portfolios25!H326-ff_factors!$E326</f>
        <v>7.038599999999999E-2</v>
      </c>
      <c r="I326" s="2">
        <f>ff_portfolios25!I326-ff_factors!$E326</f>
        <v>3.7908000000000004E-2</v>
      </c>
      <c r="J326" s="2">
        <f>ff_portfolios25!J326-ff_factors!$E326</f>
        <v>2.9888000000000001E-2</v>
      </c>
      <c r="K326" s="2">
        <f>ff_portfolios25!K326-ff_factors!$E326</f>
        <v>3.2204000000000003E-2</v>
      </c>
      <c r="L326" s="2">
        <f>ff_portfolios25!L326-ff_factors!$E326</f>
        <v>6.9487999999999994E-2</v>
      </c>
      <c r="M326" s="2">
        <f>ff_portfolios25!M326-ff_factors!$E326</f>
        <v>5.1837000000000001E-2</v>
      </c>
      <c r="N326" s="2">
        <f>ff_portfolios25!N326-ff_factors!$E326</f>
        <v>3.2730000000000002E-2</v>
      </c>
      <c r="O326" s="2">
        <f>ff_portfolios25!O326-ff_factors!$E326</f>
        <v>1.2792000000000001E-2</v>
      </c>
      <c r="P326" s="2">
        <f>ff_portfolios25!P326-ff_factors!$E326</f>
        <v>5.1093E-2</v>
      </c>
      <c r="Q326" s="2">
        <f>ff_portfolios25!Q326-ff_factors!$E326</f>
        <v>4.7692999999999999E-2</v>
      </c>
      <c r="R326" s="2">
        <f>ff_portfolios25!R326-ff_factors!$E326</f>
        <v>3.8322000000000002E-2</v>
      </c>
      <c r="S326" s="2">
        <f>ff_portfolios25!S326-ff_factors!$E326</f>
        <v>1.8230000000000004E-3</v>
      </c>
      <c r="T326" s="2">
        <f>ff_portfolios25!T326-ff_factors!$E326</f>
        <v>1.8723999999999998E-2</v>
      </c>
      <c r="U326" s="2">
        <f>ff_portfolios25!U326-ff_factors!$E326</f>
        <v>2.3379E-2</v>
      </c>
      <c r="V326" s="2">
        <f>ff_portfolios25!V326-ff_factors!$E326</f>
        <v>5.5719000000000005E-2</v>
      </c>
      <c r="W326" s="2">
        <f>ff_portfolios25!W326-ff_factors!$E326</f>
        <v>1.7545999999999999E-2</v>
      </c>
      <c r="X326" s="2">
        <f>ff_portfolios25!X326-ff_factors!$E326</f>
        <v>-1.3035999999999999E-2</v>
      </c>
      <c r="Y326" s="2">
        <f>ff_portfolios25!Y326-ff_factors!$E326</f>
        <v>8.6170000000000014E-3</v>
      </c>
      <c r="Z326" s="2">
        <f>ff_portfolios25!Z326-ff_factors!$E326</f>
        <v>2.6787999999999999E-2</v>
      </c>
      <c r="AA326" s="2">
        <f>ff_portfolios25!AA326-ff_factors!$E326</f>
        <v>1.7946E-2</v>
      </c>
      <c r="AB326" s="2">
        <f>ff_portfolios25!AB326-ff_factors!$E326</f>
        <v>5.1593E-2</v>
      </c>
    </row>
    <row r="327" spans="1:28" x14ac:dyDescent="0.2">
      <c r="A327">
        <v>19590227</v>
      </c>
      <c r="B327">
        <v>1959</v>
      </c>
      <c r="C327">
        <v>2</v>
      </c>
      <c r="D327" s="2">
        <f>ff_portfolios25!D327-ff_factors!$E327</f>
        <v>2.1059000000000001E-2</v>
      </c>
      <c r="E327" s="2">
        <f>ff_portfolios25!E327-ff_factors!$E327</f>
        <v>4.6553999999999998E-2</v>
      </c>
      <c r="F327" s="2">
        <f>ff_portfolios25!F327-ff_factors!$E327</f>
        <v>2.4133000000000002E-2</v>
      </c>
      <c r="G327" s="2">
        <f>ff_portfolios25!G327-ff_factors!$E327</f>
        <v>4.4902000000000004E-2</v>
      </c>
      <c r="H327" s="2">
        <f>ff_portfolios25!H327-ff_factors!$E327</f>
        <v>2.6417E-2</v>
      </c>
      <c r="I327" s="2">
        <f>ff_portfolios25!I327-ff_factors!$E327</f>
        <v>5.4995000000000002E-2</v>
      </c>
      <c r="J327" s="2">
        <f>ff_portfolios25!J327-ff_factors!$E327</f>
        <v>1.6361000000000001E-2</v>
      </c>
      <c r="K327" s="2">
        <f>ff_portfolios25!K327-ff_factors!$E327</f>
        <v>3.5334000000000004E-2</v>
      </c>
      <c r="L327" s="2">
        <f>ff_portfolios25!L327-ff_factors!$E327</f>
        <v>1.9855000000000001E-2</v>
      </c>
      <c r="M327" s="2">
        <f>ff_portfolios25!M327-ff_factors!$E327</f>
        <v>3.0572000000000002E-2</v>
      </c>
      <c r="N327" s="2">
        <f>ff_portfolios25!N327-ff_factors!$E327</f>
        <v>2.0153000000000001E-2</v>
      </c>
      <c r="O327" s="2">
        <f>ff_portfolios25!O327-ff_factors!$E327</f>
        <v>4.1745999999999998E-2</v>
      </c>
      <c r="P327" s="2">
        <f>ff_portfolios25!P327-ff_factors!$E327</f>
        <v>3.7122000000000002E-2</v>
      </c>
      <c r="Q327" s="2">
        <f>ff_portfolios25!Q327-ff_factors!$E327</f>
        <v>5.8515000000000005E-2</v>
      </c>
      <c r="R327" s="2">
        <f>ff_portfolios25!R327-ff_factors!$E327</f>
        <v>-9.3720000000000001E-3</v>
      </c>
      <c r="S327" s="2">
        <f>ff_portfolios25!S327-ff_factors!$E327</f>
        <v>3.3902000000000002E-2</v>
      </c>
      <c r="T327" s="2">
        <f>ff_portfolios25!T327-ff_factors!$E327</f>
        <v>2.5646000000000002E-2</v>
      </c>
      <c r="U327" s="2">
        <f>ff_portfolios25!U327-ff_factors!$E327</f>
        <v>2.9873000000000004E-2</v>
      </c>
      <c r="V327" s="2">
        <f>ff_portfolios25!V327-ff_factors!$E327</f>
        <v>2.3779000000000002E-2</v>
      </c>
      <c r="W327" s="2">
        <f>ff_portfolios25!W327-ff_factors!$E327</f>
        <v>1.0215999999999999E-2</v>
      </c>
      <c r="X327" s="2">
        <f>ff_portfolios25!X327-ff_factors!$E327</f>
        <v>5.666E-3</v>
      </c>
      <c r="Y327" s="2">
        <f>ff_portfolios25!Y327-ff_factors!$E327</f>
        <v>-5.7999999999999996E-3</v>
      </c>
      <c r="Z327" s="2">
        <f>ff_portfolios25!Z327-ff_factors!$E327</f>
        <v>4.9970000000000006E-3</v>
      </c>
      <c r="AA327" s="2">
        <f>ff_portfolios25!AA327-ff_factors!$E327</f>
        <v>1.0688E-2</v>
      </c>
      <c r="AB327" s="2">
        <f>ff_portfolios25!AB327-ff_factors!$E327</f>
        <v>1.9427E-2</v>
      </c>
    </row>
    <row r="328" spans="1:28" x14ac:dyDescent="0.2">
      <c r="A328">
        <v>19590331</v>
      </c>
      <c r="B328">
        <v>1959</v>
      </c>
      <c r="C328">
        <v>3</v>
      </c>
      <c r="D328" s="2">
        <f>ff_portfolios25!D328-ff_factors!$E328</f>
        <v>1.4387999999999998E-2</v>
      </c>
      <c r="E328" s="2">
        <f>ff_portfolios25!E328-ff_factors!$E328</f>
        <v>-3.6747000000000002E-2</v>
      </c>
      <c r="F328" s="2">
        <f>ff_portfolios25!F328-ff_factors!$E328</f>
        <v>-1.7170000000000002E-3</v>
      </c>
      <c r="G328" s="2">
        <f>ff_portfolios25!G328-ff_factors!$E328</f>
        <v>1.3306E-2</v>
      </c>
      <c r="H328" s="2">
        <f>ff_portfolios25!H328-ff_factors!$E328</f>
        <v>3.0427000000000003E-2</v>
      </c>
      <c r="I328" s="2">
        <f>ff_portfolios25!I328-ff_factors!$E328</f>
        <v>2.5471999999999998E-2</v>
      </c>
      <c r="J328" s="2">
        <f>ff_portfolios25!J328-ff_factors!$E328</f>
        <v>1.3127999999999999E-2</v>
      </c>
      <c r="K328" s="2">
        <f>ff_portfolios25!K328-ff_factors!$E328</f>
        <v>1.7982999999999999E-2</v>
      </c>
      <c r="L328" s="2">
        <f>ff_portfolios25!L328-ff_factors!$E328</f>
        <v>1.6138E-2</v>
      </c>
      <c r="M328" s="2">
        <f>ff_portfolios25!M328-ff_factors!$E328</f>
        <v>3.0772000000000001E-2</v>
      </c>
      <c r="N328" s="2">
        <f>ff_portfolios25!N328-ff_factors!$E328</f>
        <v>6.9999999999999993E-3</v>
      </c>
      <c r="O328" s="2">
        <f>ff_portfolios25!O328-ff_factors!$E328</f>
        <v>1.9456999999999999E-2</v>
      </c>
      <c r="P328" s="2">
        <f>ff_portfolios25!P328-ff_factors!$E328</f>
        <v>1.8398000000000001E-2</v>
      </c>
      <c r="Q328" s="2">
        <f>ff_portfolios25!Q328-ff_factors!$E328</f>
        <v>-1.4772E-2</v>
      </c>
      <c r="R328" s="2">
        <f>ff_portfolios25!R328-ff_factors!$E328</f>
        <v>5.3760000000000006E-3</v>
      </c>
      <c r="S328" s="2">
        <f>ff_portfolios25!S328-ff_factors!$E328</f>
        <v>6.9079999999999992E-3</v>
      </c>
      <c r="T328" s="2">
        <f>ff_portfolios25!T328-ff_factors!$E328</f>
        <v>-5.4910000000000002E-3</v>
      </c>
      <c r="U328" s="2">
        <f>ff_portfolios25!U328-ff_factors!$E328</f>
        <v>3.4390999999999998E-2</v>
      </c>
      <c r="V328" s="2">
        <f>ff_portfolios25!V328-ff_factors!$E328</f>
        <v>8.631999999999999E-3</v>
      </c>
      <c r="W328" s="2">
        <f>ff_portfolios25!W328-ff_factors!$E328</f>
        <v>-1.7374999999999998E-2</v>
      </c>
      <c r="X328" s="2">
        <f>ff_portfolios25!X328-ff_factors!$E328</f>
        <v>4.5299999999999993E-3</v>
      </c>
      <c r="Y328" s="2">
        <f>ff_portfolios25!Y328-ff_factors!$E328</f>
        <v>7.7120000000000001E-3</v>
      </c>
      <c r="Z328" s="2">
        <f>ff_portfolios25!Z328-ff_factors!$E328</f>
        <v>-1.6844999999999999E-2</v>
      </c>
      <c r="AA328" s="2">
        <f>ff_portfolios25!AA328-ff_factors!$E328</f>
        <v>1.4088E-2</v>
      </c>
      <c r="AB328" s="2">
        <f>ff_portfolios25!AB328-ff_factors!$E328</f>
        <v>-5.5989999999999998E-3</v>
      </c>
    </row>
    <row r="329" spans="1:28" x14ac:dyDescent="0.2">
      <c r="A329">
        <v>19590430</v>
      </c>
      <c r="B329">
        <v>1959</v>
      </c>
      <c r="C329">
        <v>4</v>
      </c>
      <c r="D329" s="2">
        <f>ff_portfolios25!D329-ff_factors!$E329</f>
        <v>-1.4511E-2</v>
      </c>
      <c r="E329" s="2">
        <f>ff_portfolios25!E329-ff_factors!$E329</f>
        <v>6.1885999999999997E-2</v>
      </c>
      <c r="F329" s="2">
        <f>ff_portfolios25!F329-ff_factors!$E329</f>
        <v>-1.2521000000000001E-2</v>
      </c>
      <c r="G329" s="2">
        <f>ff_portfolios25!G329-ff_factors!$E329</f>
        <v>1.7064000000000003E-2</v>
      </c>
      <c r="H329" s="2">
        <f>ff_portfolios25!H329-ff_factors!$E329</f>
        <v>3.6618999999999999E-2</v>
      </c>
      <c r="I329" s="2">
        <f>ff_portfolios25!I329-ff_factors!$E329</f>
        <v>3.6302999999999995E-2</v>
      </c>
      <c r="J329" s="2">
        <f>ff_portfolios25!J329-ff_factors!$E329</f>
        <v>5.9730999999999999E-2</v>
      </c>
      <c r="K329" s="2">
        <f>ff_portfolios25!K329-ff_factors!$E329</f>
        <v>2.6383999999999998E-2</v>
      </c>
      <c r="L329" s="2">
        <f>ff_portfolios25!L329-ff_factors!$E329</f>
        <v>2.6478000000000002E-2</v>
      </c>
      <c r="M329" s="2">
        <f>ff_portfolios25!M329-ff_factors!$E329</f>
        <v>1.4879000000000002E-2</v>
      </c>
      <c r="N329" s="2">
        <f>ff_portfolios25!N329-ff_factors!$E329</f>
        <v>1.9584999999999998E-2</v>
      </c>
      <c r="O329" s="2">
        <f>ff_portfolios25!O329-ff_factors!$E329</f>
        <v>4.7534E-2</v>
      </c>
      <c r="P329" s="2">
        <f>ff_portfolios25!P329-ff_factors!$E329</f>
        <v>2.4546999999999999E-2</v>
      </c>
      <c r="Q329" s="2">
        <f>ff_portfolios25!Q329-ff_factors!$E329</f>
        <v>5.3154E-2</v>
      </c>
      <c r="R329" s="2">
        <f>ff_portfolios25!R329-ff_factors!$E329</f>
        <v>2.5066999999999999E-2</v>
      </c>
      <c r="S329" s="2">
        <f>ff_portfolios25!S329-ff_factors!$E329</f>
        <v>3.9581999999999999E-2</v>
      </c>
      <c r="T329" s="2">
        <f>ff_portfolios25!T329-ff_factors!$E329</f>
        <v>2.4805000000000001E-2</v>
      </c>
      <c r="U329" s="2">
        <f>ff_portfolios25!U329-ff_factors!$E329</f>
        <v>3.0370999999999995E-2</v>
      </c>
      <c r="V329" s="2">
        <f>ff_portfolios25!V329-ff_factors!$E329</f>
        <v>4.1524999999999999E-2</v>
      </c>
      <c r="W329" s="2">
        <f>ff_portfolios25!W329-ff_factors!$E329</f>
        <v>3.9379999999999998E-2</v>
      </c>
      <c r="X329" s="2">
        <f>ff_portfolios25!X329-ff_factors!$E329</f>
        <v>5.6087999999999999E-2</v>
      </c>
      <c r="Y329" s="2">
        <f>ff_portfolios25!Y329-ff_factors!$E329</f>
        <v>8.1089999999999999E-3</v>
      </c>
      <c r="Z329" s="2">
        <f>ff_portfolios25!Z329-ff_factors!$E329</f>
        <v>2.5370999999999998E-2</v>
      </c>
      <c r="AA329" s="2">
        <f>ff_portfolios25!AA329-ff_factors!$E329</f>
        <v>2.7610000000000003E-2</v>
      </c>
      <c r="AB329" s="2">
        <f>ff_portfolios25!AB329-ff_factors!$E329</f>
        <v>3.1421999999999999E-2</v>
      </c>
    </row>
    <row r="330" spans="1:28" x14ac:dyDescent="0.2">
      <c r="A330">
        <v>19590529</v>
      </c>
      <c r="B330">
        <v>1959</v>
      </c>
      <c r="C330">
        <v>5</v>
      </c>
      <c r="D330" s="2">
        <f>ff_portfolios25!D330-ff_factors!$E330</f>
        <v>-7.1070000000000005E-3</v>
      </c>
      <c r="E330" s="2">
        <f>ff_portfolios25!E330-ff_factors!$E330</f>
        <v>2.8439999999999997E-3</v>
      </c>
      <c r="F330" s="2">
        <f>ff_portfolios25!F330-ff_factors!$E330</f>
        <v>3.0102999999999998E-2</v>
      </c>
      <c r="G330" s="2">
        <f>ff_portfolios25!G330-ff_factors!$E330</f>
        <v>2.0222E-2</v>
      </c>
      <c r="H330" s="2">
        <f>ff_portfolios25!H330-ff_factors!$E330</f>
        <v>1.5564999999999999E-2</v>
      </c>
      <c r="I330" s="2">
        <f>ff_portfolios25!I330-ff_factors!$E330</f>
        <v>-1.0151E-2</v>
      </c>
      <c r="J330" s="2">
        <f>ff_portfolios25!J330-ff_factors!$E330</f>
        <v>-7.5740000000000009E-3</v>
      </c>
      <c r="K330" s="2">
        <f>ff_portfolios25!K330-ff_factors!$E330</f>
        <v>1.6180000000000001E-3</v>
      </c>
      <c r="L330" s="2">
        <f>ff_portfolios25!L330-ff_factors!$E330</f>
        <v>-2.8046999999999999E-2</v>
      </c>
      <c r="M330" s="2">
        <f>ff_portfolios25!M330-ff_factors!$E330</f>
        <v>1.1802E-2</v>
      </c>
      <c r="N330" s="2">
        <f>ff_portfolios25!N330-ff_factors!$E330</f>
        <v>-3.101E-3</v>
      </c>
      <c r="O330" s="2">
        <f>ff_portfolios25!O330-ff_factors!$E330</f>
        <v>9.9199999999999983E-4</v>
      </c>
      <c r="P330" s="2">
        <f>ff_portfolios25!P330-ff_factors!$E330</f>
        <v>-8.797000000000001E-3</v>
      </c>
      <c r="Q330" s="2">
        <f>ff_portfolios25!Q330-ff_factors!$E330</f>
        <v>2.3564999999999999E-2</v>
      </c>
      <c r="R330" s="2">
        <f>ff_portfolios25!R330-ff_factors!$E330</f>
        <v>3.8029E-2</v>
      </c>
      <c r="S330" s="2">
        <f>ff_portfolios25!S330-ff_factors!$E330</f>
        <v>-7.3749999999999996E-3</v>
      </c>
      <c r="T330" s="2">
        <f>ff_portfolios25!T330-ff_factors!$E330</f>
        <v>1.1611E-2</v>
      </c>
      <c r="U330" s="2">
        <f>ff_portfolios25!U330-ff_factors!$E330</f>
        <v>2.5055999999999998E-2</v>
      </c>
      <c r="V330" s="2">
        <f>ff_portfolios25!V330-ff_factors!$E330</f>
        <v>1.6108000000000001E-2</v>
      </c>
      <c r="W330" s="2">
        <f>ff_portfolios25!W330-ff_factors!$E330</f>
        <v>1.1372E-2</v>
      </c>
      <c r="X330" s="2">
        <f>ff_portfolios25!X330-ff_factors!$E330</f>
        <v>3.1856000000000002E-2</v>
      </c>
      <c r="Y330" s="2">
        <f>ff_portfolios25!Y330-ff_factors!$E330</f>
        <v>1.6819999999999999E-3</v>
      </c>
      <c r="Z330" s="2">
        <f>ff_portfolios25!Z330-ff_factors!$E330</f>
        <v>1.1085999999999999E-2</v>
      </c>
      <c r="AA330" s="2">
        <f>ff_portfolios25!AA330-ff_factors!$E330</f>
        <v>8.3800000000000003E-3</v>
      </c>
      <c r="AB330" s="2">
        <f>ff_portfolios25!AB330-ff_factors!$E330</f>
        <v>4.4875999999999999E-2</v>
      </c>
    </row>
    <row r="331" spans="1:28" x14ac:dyDescent="0.2">
      <c r="A331">
        <v>19590630</v>
      </c>
      <c r="B331">
        <v>1959</v>
      </c>
      <c r="C331">
        <v>6</v>
      </c>
      <c r="D331" s="2">
        <f>ff_portfolios25!D331-ff_factors!$E331</f>
        <v>-2.1107999999999998E-2</v>
      </c>
      <c r="E331" s="2">
        <f>ff_portfolios25!E331-ff_factors!$E331</f>
        <v>9.2659999999999999E-3</v>
      </c>
      <c r="F331" s="2">
        <f>ff_portfolios25!F331-ff_factors!$E331</f>
        <v>-1.1623E-2</v>
      </c>
      <c r="G331" s="2">
        <f>ff_portfolios25!G331-ff_factors!$E331</f>
        <v>8.3349999999999987E-3</v>
      </c>
      <c r="H331" s="2">
        <f>ff_portfolios25!H331-ff_factors!$E331</f>
        <v>8.0599999999999995E-3</v>
      </c>
      <c r="I331" s="2">
        <f>ff_portfolios25!I331-ff_factors!$E331</f>
        <v>-1.967E-3</v>
      </c>
      <c r="J331" s="2">
        <f>ff_portfolios25!J331-ff_factors!$E331</f>
        <v>1.4771000000000001E-2</v>
      </c>
      <c r="K331" s="2">
        <f>ff_portfolios25!K331-ff_factors!$E331</f>
        <v>1.4789999999999998E-3</v>
      </c>
      <c r="L331" s="2">
        <f>ff_portfolios25!L331-ff_factors!$E331</f>
        <v>7.4579999999999994E-3</v>
      </c>
      <c r="M331" s="2">
        <f>ff_portfolios25!M331-ff_factors!$E331</f>
        <v>2.0539999999999998E-3</v>
      </c>
      <c r="N331" s="2">
        <f>ff_portfolios25!N331-ff_factors!$E331</f>
        <v>2.0287000000000003E-2</v>
      </c>
      <c r="O331" s="2">
        <f>ff_portfolios25!O331-ff_factors!$E331</f>
        <v>4.9999999999999992E-3</v>
      </c>
      <c r="P331" s="2">
        <f>ff_portfolios25!P331-ff_factors!$E331</f>
        <v>7.6550000000000003E-3</v>
      </c>
      <c r="Q331" s="2">
        <f>ff_portfolios25!Q331-ff_factors!$E331</f>
        <v>2.4890000000000003E-3</v>
      </c>
      <c r="R331" s="2">
        <f>ff_portfolios25!R331-ff_factors!$E331</f>
        <v>4.054E-2</v>
      </c>
      <c r="S331" s="2">
        <f>ff_portfolios25!S331-ff_factors!$E331</f>
        <v>9.9589999999999991E-3</v>
      </c>
      <c r="T331" s="2">
        <f>ff_portfolios25!T331-ff_factors!$E331</f>
        <v>8.9160000000000003E-3</v>
      </c>
      <c r="U331" s="2">
        <f>ff_portfolios25!U331-ff_factors!$E331</f>
        <v>1.8476000000000003E-2</v>
      </c>
      <c r="V331" s="2">
        <f>ff_portfolios25!V331-ff_factors!$E331</f>
        <v>-2.6459999999999999E-3</v>
      </c>
      <c r="W331" s="2">
        <f>ff_portfolios25!W331-ff_factors!$E331</f>
        <v>1.9740000000000001E-2</v>
      </c>
      <c r="X331" s="2">
        <f>ff_portfolios25!X331-ff_factors!$E331</f>
        <v>-7.3340000000000002E-3</v>
      </c>
      <c r="Y331" s="2">
        <f>ff_portfolios25!Y331-ff_factors!$E331</f>
        <v>-1.807E-3</v>
      </c>
      <c r="Z331" s="2">
        <f>ff_portfolios25!Z331-ff_factors!$E331</f>
        <v>-5.0629999999999998E-3</v>
      </c>
      <c r="AA331" s="2">
        <f>ff_portfolios25!AA331-ff_factors!$E331</f>
        <v>-2.248E-3</v>
      </c>
      <c r="AB331" s="2">
        <f>ff_portfolios25!AB331-ff_factors!$E331</f>
        <v>2.3685000000000001E-2</v>
      </c>
    </row>
    <row r="332" spans="1:28" x14ac:dyDescent="0.2">
      <c r="A332">
        <v>19590731</v>
      </c>
      <c r="B332">
        <v>1959</v>
      </c>
      <c r="C332">
        <v>7</v>
      </c>
      <c r="D332" s="2">
        <f>ff_portfolios25!D332-ff_factors!$E332</f>
        <v>3.2999999999999995E-2</v>
      </c>
      <c r="E332" s="2">
        <f>ff_portfolios25!E332-ff_factors!$E332</f>
        <v>-1.2611000000000001E-2</v>
      </c>
      <c r="F332" s="2">
        <f>ff_portfolios25!F332-ff_factors!$E332</f>
        <v>3.9971E-2</v>
      </c>
      <c r="G332" s="2">
        <f>ff_portfolios25!G332-ff_factors!$E332</f>
        <v>9.809E-3</v>
      </c>
      <c r="H332" s="2">
        <f>ff_portfolios25!H332-ff_factors!$E332</f>
        <v>3.2661999999999997E-2</v>
      </c>
      <c r="I332" s="2">
        <f>ff_portfolios25!I332-ff_factors!$E332</f>
        <v>4.7403999999999995E-2</v>
      </c>
      <c r="J332" s="2">
        <f>ff_portfolios25!J332-ff_factors!$E332</f>
        <v>1.5002E-2</v>
      </c>
      <c r="K332" s="2">
        <f>ff_portfolios25!K332-ff_factors!$E332</f>
        <v>3.3181999999999996E-2</v>
      </c>
      <c r="L332" s="2">
        <f>ff_portfolios25!L332-ff_factors!$E332</f>
        <v>3.1982999999999998E-2</v>
      </c>
      <c r="M332" s="2">
        <f>ff_portfolios25!M332-ff_factors!$E332</f>
        <v>4.3665999999999996E-2</v>
      </c>
      <c r="N332" s="2">
        <f>ff_portfolios25!N332-ff_factors!$E332</f>
        <v>2.0681000000000001E-2</v>
      </c>
      <c r="O332" s="2">
        <f>ff_portfolios25!O332-ff_factors!$E332</f>
        <v>1.8107000000000002E-2</v>
      </c>
      <c r="P332" s="2">
        <f>ff_portfolios25!P332-ff_factors!$E332</f>
        <v>4.0666999999999995E-2</v>
      </c>
      <c r="Q332" s="2">
        <f>ff_portfolios25!Q332-ff_factors!$E332</f>
        <v>3.3819999999999996E-2</v>
      </c>
      <c r="R332" s="2">
        <f>ff_portfolios25!R332-ff_factors!$E332</f>
        <v>3.9231999999999996E-2</v>
      </c>
      <c r="S332" s="2">
        <f>ff_portfolios25!S332-ff_factors!$E332</f>
        <v>2.3511000000000001E-2</v>
      </c>
      <c r="T332" s="2">
        <f>ff_portfolios25!T332-ff_factors!$E332</f>
        <v>1.9173000000000003E-2</v>
      </c>
      <c r="U332" s="2">
        <f>ff_portfolios25!U332-ff_factors!$E332</f>
        <v>1.0053999999999999E-2</v>
      </c>
      <c r="V332" s="2">
        <f>ff_portfolios25!V332-ff_factors!$E332</f>
        <v>3.2417999999999995E-2</v>
      </c>
      <c r="W332" s="2">
        <f>ff_portfolios25!W332-ff_factors!$E332</f>
        <v>2.8563000000000002E-2</v>
      </c>
      <c r="X332" s="2">
        <f>ff_portfolios25!X332-ff_factors!$E332</f>
        <v>4.0275999999999999E-2</v>
      </c>
      <c r="Y332" s="2">
        <f>ff_portfolios25!Y332-ff_factors!$E332</f>
        <v>3.3551999999999998E-2</v>
      </c>
      <c r="Z332" s="2">
        <f>ff_portfolios25!Z332-ff_factors!$E332</f>
        <v>1.5516999999999998E-2</v>
      </c>
      <c r="AA332" s="2">
        <f>ff_portfolios25!AA332-ff_factors!$E332</f>
        <v>3.0617000000000002E-2</v>
      </c>
      <c r="AB332" s="2">
        <f>ff_portfolios25!AB332-ff_factors!$E332</f>
        <v>5.4039999999999991E-3</v>
      </c>
    </row>
    <row r="333" spans="1:28" x14ac:dyDescent="0.2">
      <c r="A333">
        <v>19590831</v>
      </c>
      <c r="B333">
        <v>1959</v>
      </c>
      <c r="C333">
        <v>8</v>
      </c>
      <c r="D333" s="2">
        <f>ff_portfolios25!D333-ff_factors!$E333</f>
        <v>1.4754999999999999E-2</v>
      </c>
      <c r="E333" s="2">
        <f>ff_portfolios25!E333-ff_factors!$E333</f>
        <v>5.6235E-2</v>
      </c>
      <c r="F333" s="2">
        <f>ff_portfolios25!F333-ff_factors!$E333</f>
        <v>-1.5958E-2</v>
      </c>
      <c r="G333" s="2">
        <f>ff_portfolios25!G333-ff_factors!$E333</f>
        <v>-3.3239999999999997E-3</v>
      </c>
      <c r="H333" s="2">
        <f>ff_portfolios25!H333-ff_factors!$E333</f>
        <v>-1.882E-2</v>
      </c>
      <c r="I333" s="2">
        <f>ff_portfolios25!I333-ff_factors!$E333</f>
        <v>-3.1217999999999999E-2</v>
      </c>
      <c r="J333" s="2">
        <f>ff_portfolios25!J333-ff_factors!$E333</f>
        <v>-1.9226999999999998E-2</v>
      </c>
      <c r="K333" s="2">
        <f>ff_portfolios25!K333-ff_factors!$E333</f>
        <v>-6.0759999999999998E-3</v>
      </c>
      <c r="L333" s="2">
        <f>ff_portfolios25!L333-ff_factors!$E333</f>
        <v>-2.9701999999999999E-2</v>
      </c>
      <c r="M333" s="2">
        <f>ff_portfolios25!M333-ff_factors!$E333</f>
        <v>-1.3860000000000001E-2</v>
      </c>
      <c r="N333" s="2">
        <f>ff_portfolios25!N333-ff_factors!$E333</f>
        <v>-1.5338000000000001E-2</v>
      </c>
      <c r="O333" s="2">
        <f>ff_portfolios25!O333-ff_factors!$E333</f>
        <v>5.4480000000000006E-3</v>
      </c>
      <c r="P333" s="2">
        <f>ff_portfolios25!P333-ff_factors!$E333</f>
        <v>-7.6629999999999997E-3</v>
      </c>
      <c r="Q333" s="2">
        <f>ff_portfolios25!Q333-ff_factors!$E333</f>
        <v>-1.3653E-2</v>
      </c>
      <c r="R333" s="2">
        <f>ff_portfolios25!R333-ff_factors!$E333</f>
        <v>-3.1594999999999998E-2</v>
      </c>
      <c r="S333" s="2">
        <f>ff_portfolios25!S333-ff_factors!$E333</f>
        <v>-2.6192999999999998E-2</v>
      </c>
      <c r="T333" s="2">
        <f>ff_portfolios25!T333-ff_factors!$E333</f>
        <v>-7.9150000000000002E-3</v>
      </c>
      <c r="U333" s="2">
        <f>ff_portfolios25!U333-ff_factors!$E333</f>
        <v>-2.7112999999999998E-2</v>
      </c>
      <c r="V333" s="2">
        <f>ff_portfolios25!V333-ff_factors!$E333</f>
        <v>-2.8773999999999997E-2</v>
      </c>
      <c r="W333" s="2">
        <f>ff_portfolios25!W333-ff_factors!$E333</f>
        <v>-1.8452999999999997E-2</v>
      </c>
      <c r="X333" s="2">
        <f>ff_portfolios25!X333-ff_factors!$E333</f>
        <v>-1.5702999999999998E-2</v>
      </c>
      <c r="Y333" s="2">
        <f>ff_portfolios25!Y333-ff_factors!$E333</f>
        <v>-1.6042000000000001E-2</v>
      </c>
      <c r="Z333" s="2">
        <f>ff_portfolios25!Z333-ff_factors!$E333</f>
        <v>8.0399999999999981E-4</v>
      </c>
      <c r="AA333" s="2">
        <f>ff_portfolios25!AA333-ff_factors!$E333</f>
        <v>-3.1125999999999997E-2</v>
      </c>
      <c r="AB333" s="2">
        <f>ff_portfolios25!AB333-ff_factors!$E333</f>
        <v>2.3857E-2</v>
      </c>
    </row>
    <row r="334" spans="1:28" x14ac:dyDescent="0.2">
      <c r="A334">
        <v>19590930</v>
      </c>
      <c r="B334">
        <v>1959</v>
      </c>
      <c r="C334">
        <v>9</v>
      </c>
      <c r="D334" s="2">
        <f>ff_portfolios25!D334-ff_factors!$E334</f>
        <v>-9.7241000000000008E-2</v>
      </c>
      <c r="E334" s="2">
        <f>ff_portfolios25!E334-ff_factors!$E334</f>
        <v>-3.3936000000000001E-2</v>
      </c>
      <c r="F334" s="2">
        <f>ff_portfolios25!F334-ff_factors!$E334</f>
        <v>-5.6320000000000002E-2</v>
      </c>
      <c r="G334" s="2">
        <f>ff_portfolios25!G334-ff_factors!$E334</f>
        <v>-1.9122E-2</v>
      </c>
      <c r="H334" s="2">
        <f>ff_portfolios25!H334-ff_factors!$E334</f>
        <v>-6.2504000000000004E-2</v>
      </c>
      <c r="I334" s="2">
        <f>ff_portfolios25!I334-ff_factors!$E334</f>
        <v>-5.1265999999999999E-2</v>
      </c>
      <c r="J334" s="2">
        <f>ff_portfolios25!J334-ff_factors!$E334</f>
        <v>-5.2524000000000001E-2</v>
      </c>
      <c r="K334" s="2">
        <f>ff_portfolios25!K334-ff_factors!$E334</f>
        <v>-3.0261999999999997E-2</v>
      </c>
      <c r="L334" s="2">
        <f>ff_portfolios25!L334-ff_factors!$E334</f>
        <v>-5.6438999999999996E-2</v>
      </c>
      <c r="M334" s="2">
        <f>ff_portfolios25!M334-ff_factors!$E334</f>
        <v>-4.3281E-2</v>
      </c>
      <c r="N334" s="2">
        <f>ff_portfolios25!N334-ff_factors!$E334</f>
        <v>-4.9609E-2</v>
      </c>
      <c r="O334" s="2">
        <f>ff_portfolios25!O334-ff_factors!$E334</f>
        <v>-2.7268999999999998E-2</v>
      </c>
      <c r="P334" s="2">
        <f>ff_portfolios25!P334-ff_factors!$E334</f>
        <v>-5.7012E-2</v>
      </c>
      <c r="Q334" s="2">
        <f>ff_portfolios25!Q334-ff_factors!$E334</f>
        <v>-5.4578000000000002E-2</v>
      </c>
      <c r="R334" s="2">
        <f>ff_portfolios25!R334-ff_factors!$E334</f>
        <v>-2.7649999999999997E-2</v>
      </c>
      <c r="S334" s="2">
        <f>ff_portfolios25!S334-ff_factors!$E334</f>
        <v>-6.2125E-2</v>
      </c>
      <c r="T334" s="2">
        <f>ff_portfolios25!T334-ff_factors!$E334</f>
        <v>-5.0198E-2</v>
      </c>
      <c r="U334" s="2">
        <f>ff_portfolios25!U334-ff_factors!$E334</f>
        <v>-5.3281000000000002E-2</v>
      </c>
      <c r="V334" s="2">
        <f>ff_portfolios25!V334-ff_factors!$E334</f>
        <v>-4.1270999999999995E-2</v>
      </c>
      <c r="W334" s="2">
        <f>ff_portfolios25!W334-ff_factors!$E334</f>
        <v>-4.1717999999999998E-2</v>
      </c>
      <c r="X334" s="2">
        <f>ff_portfolios25!X334-ff_factors!$E334</f>
        <v>-4.9388000000000001E-2</v>
      </c>
      <c r="Y334" s="2">
        <f>ff_portfolios25!Y334-ff_factors!$E334</f>
        <v>-5.2686999999999998E-2</v>
      </c>
      <c r="Z334" s="2">
        <f>ff_portfolios25!Z334-ff_factors!$E334</f>
        <v>-2.7361E-2</v>
      </c>
      <c r="AA334" s="2">
        <f>ff_portfolios25!AA334-ff_factors!$E334</f>
        <v>-6.6752000000000006E-2</v>
      </c>
      <c r="AB334" s="2">
        <f>ff_portfolios25!AB334-ff_factors!$E334</f>
        <v>-5.9250999999999998E-2</v>
      </c>
    </row>
    <row r="335" spans="1:28" x14ac:dyDescent="0.2">
      <c r="A335">
        <v>19591030</v>
      </c>
      <c r="B335">
        <v>1959</v>
      </c>
      <c r="C335">
        <v>10</v>
      </c>
      <c r="D335" s="2">
        <f>ff_portfolios25!D335-ff_factors!$E335</f>
        <v>1.3793E-2</v>
      </c>
      <c r="E335" s="2">
        <f>ff_portfolios25!E335-ff_factors!$E335</f>
        <v>7.6136999999999996E-2</v>
      </c>
      <c r="F335" s="2">
        <f>ff_portfolios25!F335-ff_factors!$E335</f>
        <v>3.3049999999999998E-3</v>
      </c>
      <c r="G335" s="2">
        <f>ff_portfolios25!G335-ff_factors!$E335</f>
        <v>1.3219999999999999E-2</v>
      </c>
      <c r="H335" s="2">
        <f>ff_portfolios25!H335-ff_factors!$E335</f>
        <v>7.2769999999999996E-3</v>
      </c>
      <c r="I335" s="2">
        <f>ff_portfolios25!I335-ff_factors!$E335</f>
        <v>3.2305E-2</v>
      </c>
      <c r="J335" s="2">
        <f>ff_portfolios25!J335-ff_factors!$E335</f>
        <v>2.3073E-2</v>
      </c>
      <c r="K335" s="2">
        <f>ff_portfolios25!K335-ff_factors!$E335</f>
        <v>2.7746E-2</v>
      </c>
      <c r="L335" s="2">
        <f>ff_portfolios25!L335-ff_factors!$E335</f>
        <v>1.8759000000000001E-2</v>
      </c>
      <c r="M335" s="2">
        <f>ff_portfolios25!M335-ff_factors!$E335</f>
        <v>1.404E-2</v>
      </c>
      <c r="N335" s="2">
        <f>ff_portfolios25!N335-ff_factors!$E335</f>
        <v>3.9902999999999994E-2</v>
      </c>
      <c r="O335" s="2">
        <f>ff_portfolios25!O335-ff_factors!$E335</f>
        <v>4.9255E-2</v>
      </c>
      <c r="P335" s="2">
        <f>ff_portfolios25!P335-ff_factors!$E335</f>
        <v>1.6886000000000002E-2</v>
      </c>
      <c r="Q335" s="2">
        <f>ff_portfolios25!Q335-ff_factors!$E335</f>
        <v>2.0519000000000003E-2</v>
      </c>
      <c r="R335" s="2">
        <f>ff_portfolios25!R335-ff_factors!$E335</f>
        <v>-1.617E-2</v>
      </c>
      <c r="S335" s="2">
        <f>ff_portfolios25!S335-ff_factors!$E335</f>
        <v>3.1816999999999998E-2</v>
      </c>
      <c r="T335" s="2">
        <f>ff_portfolios25!T335-ff_factors!$E335</f>
        <v>3.5734999999999996E-2</v>
      </c>
      <c r="U335" s="2">
        <f>ff_portfolios25!U335-ff_factors!$E335</f>
        <v>2.1958999999999999E-2</v>
      </c>
      <c r="V335" s="2">
        <f>ff_portfolios25!V335-ff_factors!$E335</f>
        <v>2.7108E-2</v>
      </c>
      <c r="W335" s="2">
        <f>ff_portfolios25!W335-ff_factors!$E335</f>
        <v>-7.8639999999999995E-3</v>
      </c>
      <c r="X335" s="2">
        <f>ff_portfolios25!X335-ff_factors!$E335</f>
        <v>8.0609999999999987E-3</v>
      </c>
      <c r="Y335" s="2">
        <f>ff_portfolios25!Y335-ff_factors!$E335</f>
        <v>1.2982E-2</v>
      </c>
      <c r="Z335" s="2">
        <f>ff_portfolios25!Z335-ff_factors!$E335</f>
        <v>1.0756999999999999E-2</v>
      </c>
      <c r="AA335" s="2">
        <f>ff_portfolios25!AA335-ff_factors!$E335</f>
        <v>-3.2330000000000002E-3</v>
      </c>
      <c r="AB335" s="2">
        <f>ff_portfolios25!AB335-ff_factors!$E335</f>
        <v>-1.0540000000000001E-2</v>
      </c>
    </row>
    <row r="336" spans="1:28" x14ac:dyDescent="0.2">
      <c r="A336">
        <v>19591130</v>
      </c>
      <c r="B336">
        <v>1959</v>
      </c>
      <c r="C336">
        <v>11</v>
      </c>
      <c r="D336" s="2">
        <f>ff_portfolios25!D336-ff_factors!$E336</f>
        <v>-1.9583000000000003E-2</v>
      </c>
      <c r="E336" s="2">
        <f>ff_portfolios25!E336-ff_factors!$E336</f>
        <v>1.2580000000000001E-2</v>
      </c>
      <c r="F336" s="2">
        <f>ff_portfolios25!F336-ff_factors!$E336</f>
        <v>-1.2792E-2</v>
      </c>
      <c r="G336" s="2">
        <f>ff_portfolios25!G336-ff_factors!$E336</f>
        <v>1.4959000000000002E-2</v>
      </c>
      <c r="H336" s="2">
        <f>ff_portfolios25!H336-ff_factors!$E336</f>
        <v>1.8830000000000001E-3</v>
      </c>
      <c r="I336" s="2">
        <f>ff_portfolios25!I336-ff_factors!$E336</f>
        <v>5.8403000000000004E-2</v>
      </c>
      <c r="J336" s="2">
        <f>ff_portfolios25!J336-ff_factors!$E336</f>
        <v>-2.3341000000000001E-2</v>
      </c>
      <c r="K336" s="2">
        <f>ff_portfolios25!K336-ff_factors!$E336</f>
        <v>1.5080999999999999E-2</v>
      </c>
      <c r="L336" s="2">
        <f>ff_portfolios25!L336-ff_factors!$E336</f>
        <v>2.5708000000000002E-2</v>
      </c>
      <c r="M336" s="2">
        <f>ff_portfolios25!M336-ff_factors!$E336</f>
        <v>1.6003999999999997E-2</v>
      </c>
      <c r="N336" s="2">
        <f>ff_portfolios25!N336-ff_factors!$E336</f>
        <v>3.0431E-2</v>
      </c>
      <c r="O336" s="2">
        <f>ff_portfolios25!O336-ff_factors!$E336</f>
        <v>3.751E-3</v>
      </c>
      <c r="P336" s="2">
        <f>ff_portfolios25!P336-ff_factors!$E336</f>
        <v>3.1540000000000006E-3</v>
      </c>
      <c r="Q336" s="2">
        <f>ff_portfolios25!Q336-ff_factors!$E336</f>
        <v>2.2546000000000004E-2</v>
      </c>
      <c r="R336" s="2">
        <f>ff_portfolios25!R336-ff_factors!$E336</f>
        <v>-1.1294999999999999E-2</v>
      </c>
      <c r="S336" s="2">
        <f>ff_portfolios25!S336-ff_factors!$E336</f>
        <v>3.4214000000000001E-2</v>
      </c>
      <c r="T336" s="2">
        <f>ff_portfolios25!T336-ff_factors!$E336</f>
        <v>2.3955999999999998E-2</v>
      </c>
      <c r="U336" s="2">
        <f>ff_portfolios25!U336-ff_factors!$E336</f>
        <v>2.9276000000000003E-2</v>
      </c>
      <c r="V336" s="2">
        <f>ff_portfolios25!V336-ff_factors!$E336</f>
        <v>-9.7089999999999989E-3</v>
      </c>
      <c r="W336" s="2">
        <f>ff_portfolios25!W336-ff_factors!$E336</f>
        <v>6.5229999999999993E-3</v>
      </c>
      <c r="X336" s="2">
        <f>ff_portfolios25!X336-ff_factors!$E336</f>
        <v>3.9061999999999999E-2</v>
      </c>
      <c r="Y336" s="2">
        <f>ff_portfolios25!Y336-ff_factors!$E336</f>
        <v>-6.7729999999999995E-3</v>
      </c>
      <c r="Z336" s="2">
        <f>ff_portfolios25!Z336-ff_factors!$E336</f>
        <v>-9.6210000000000011E-3</v>
      </c>
      <c r="AA336" s="2">
        <f>ff_portfolios25!AA336-ff_factors!$E336</f>
        <v>-2.1840999999999999E-2</v>
      </c>
      <c r="AB336" s="2">
        <f>ff_portfolios25!AB336-ff_factors!$E336</f>
        <v>-2.604E-3</v>
      </c>
    </row>
    <row r="337" spans="1:28" x14ac:dyDescent="0.2">
      <c r="A337">
        <v>19591231</v>
      </c>
      <c r="B337">
        <v>1959</v>
      </c>
      <c r="C337">
        <v>12</v>
      </c>
      <c r="D337" s="2">
        <f>ff_portfolios25!D337-ff_factors!$E337</f>
        <v>4.9017999999999999E-2</v>
      </c>
      <c r="E337" s="2">
        <f>ff_portfolios25!E337-ff_factors!$E337</f>
        <v>5.3384000000000001E-2</v>
      </c>
      <c r="F337" s="2">
        <f>ff_portfolios25!F337-ff_factors!$E337</f>
        <v>1.72E-2</v>
      </c>
      <c r="G337" s="2">
        <f>ff_portfolios25!G337-ff_factors!$E337</f>
        <v>2.7104E-2</v>
      </c>
      <c r="H337" s="2">
        <f>ff_portfolios25!H337-ff_factors!$E337</f>
        <v>1.8881999999999999E-2</v>
      </c>
      <c r="I337" s="2">
        <f>ff_portfolios25!I337-ff_factors!$E337</f>
        <v>5.0410000000000003E-3</v>
      </c>
      <c r="J337" s="2">
        <f>ff_portfolios25!J337-ff_factors!$E337</f>
        <v>4.8439000000000003E-2</v>
      </c>
      <c r="K337" s="2">
        <f>ff_portfolios25!K337-ff_factors!$E337</f>
        <v>1.1276E-2</v>
      </c>
      <c r="L337" s="2">
        <f>ff_portfolios25!L337-ff_factors!$E337</f>
        <v>3.8981000000000002E-2</v>
      </c>
      <c r="M337" s="2">
        <f>ff_portfolios25!M337-ff_factors!$E337</f>
        <v>5.9080000000000001E-3</v>
      </c>
      <c r="N337" s="2">
        <f>ff_portfolios25!N337-ff_factors!$E337</f>
        <v>2.8277999999999998E-2</v>
      </c>
      <c r="O337" s="2">
        <f>ff_portfolios25!O337-ff_factors!$E337</f>
        <v>6.2389999999999998E-3</v>
      </c>
      <c r="P337" s="2">
        <f>ff_portfolios25!P337-ff_factors!$E337</f>
        <v>1.9699000000000001E-2</v>
      </c>
      <c r="Q337" s="2">
        <f>ff_portfolios25!Q337-ff_factors!$E337</f>
        <v>2.1804E-2</v>
      </c>
      <c r="R337" s="2">
        <f>ff_portfolios25!R337-ff_factors!$E337</f>
        <v>1.0954E-2</v>
      </c>
      <c r="S337" s="2">
        <f>ff_portfolios25!S337-ff_factors!$E337</f>
        <v>6.6370000000000005E-3</v>
      </c>
      <c r="T337" s="2">
        <f>ff_portfolios25!T337-ff_factors!$E337</f>
        <v>8.1669999999999989E-3</v>
      </c>
      <c r="U337" s="2">
        <f>ff_portfolios25!U337-ff_factors!$E337</f>
        <v>-5.7660000000000003E-3</v>
      </c>
      <c r="V337" s="2">
        <f>ff_portfolios25!V337-ff_factors!$E337</f>
        <v>2.8886000000000002E-2</v>
      </c>
      <c r="W337" s="2">
        <f>ff_portfolios25!W337-ff_factors!$E337</f>
        <v>1.8291999999999999E-2</v>
      </c>
      <c r="X337" s="2">
        <f>ff_portfolios25!X337-ff_factors!$E337</f>
        <v>2.8074000000000002E-2</v>
      </c>
      <c r="Y337" s="2">
        <f>ff_portfolios25!Y337-ff_factors!$E337</f>
        <v>2.8700999999999997E-2</v>
      </c>
      <c r="Z337" s="2">
        <f>ff_portfolios25!Z337-ff_factors!$E337</f>
        <v>2.4063999999999999E-2</v>
      </c>
      <c r="AA337" s="2">
        <f>ff_portfolios25!AA337-ff_factors!$E337</f>
        <v>3.6524000000000001E-2</v>
      </c>
      <c r="AB337" s="2">
        <f>ff_portfolios25!AB337-ff_factors!$E337</f>
        <v>5.9323000000000001E-2</v>
      </c>
    </row>
    <row r="338" spans="1:28" x14ac:dyDescent="0.2">
      <c r="A338">
        <v>19600129</v>
      </c>
      <c r="B338">
        <v>1960</v>
      </c>
      <c r="C338">
        <v>1</v>
      </c>
      <c r="D338" s="2">
        <f>ff_portfolios25!D338-ff_factors!$E338</f>
        <v>-6.4133999999999997E-2</v>
      </c>
      <c r="E338" s="2">
        <f>ff_portfolios25!E338-ff_factors!$E338</f>
        <v>-6.2449999999999999E-2</v>
      </c>
      <c r="F338" s="2">
        <f>ff_portfolios25!F338-ff_factors!$E338</f>
        <v>-1.3801999999999998E-2</v>
      </c>
      <c r="G338" s="2">
        <f>ff_portfolios25!G338-ff_factors!$E338</f>
        <v>-1.7774000000000002E-2</v>
      </c>
      <c r="H338" s="2">
        <f>ff_portfolios25!H338-ff_factors!$E338</f>
        <v>-1.0721E-2</v>
      </c>
      <c r="I338" s="2">
        <f>ff_portfolios25!I338-ff_factors!$E338</f>
        <v>-5.1736999999999998E-2</v>
      </c>
      <c r="J338" s="2">
        <f>ff_portfolios25!J338-ff_factors!$E338</f>
        <v>-6.3256000000000007E-2</v>
      </c>
      <c r="K338" s="2">
        <f>ff_portfolios25!K338-ff_factors!$E338</f>
        <v>-2.7186999999999999E-2</v>
      </c>
      <c r="L338" s="2">
        <f>ff_portfolios25!L338-ff_factors!$E338</f>
        <v>-3.7923999999999999E-2</v>
      </c>
      <c r="M338" s="2">
        <f>ff_portfolios25!M338-ff_factors!$E338</f>
        <v>-4.6353999999999999E-2</v>
      </c>
      <c r="N338" s="2">
        <f>ff_portfolios25!N338-ff_factors!$E338</f>
        <v>-6.9169999999999995E-2</v>
      </c>
      <c r="O338" s="2">
        <f>ff_portfolios25!O338-ff_factors!$E338</f>
        <v>-4.4003999999999995E-2</v>
      </c>
      <c r="P338" s="2">
        <f>ff_portfolios25!P338-ff_factors!$E338</f>
        <v>-6.3814999999999997E-2</v>
      </c>
      <c r="Q338" s="2">
        <f>ff_portfolios25!Q338-ff_factors!$E338</f>
        <v>-4.5203999999999994E-2</v>
      </c>
      <c r="R338" s="2">
        <f>ff_portfolios25!R338-ff_factors!$E338</f>
        <v>-5.0702999999999998E-2</v>
      </c>
      <c r="S338" s="2">
        <f>ff_portfolios25!S338-ff_factors!$E338</f>
        <v>-6.0946E-2</v>
      </c>
      <c r="T338" s="2">
        <f>ff_portfolios25!T338-ff_factors!$E338</f>
        <v>-4.6036000000000001E-2</v>
      </c>
      <c r="U338" s="2">
        <f>ff_portfolios25!U338-ff_factors!$E338</f>
        <v>-6.6124000000000002E-2</v>
      </c>
      <c r="V338" s="2">
        <f>ff_portfolios25!V338-ff_factors!$E338</f>
        <v>-7.7741999999999992E-2</v>
      </c>
      <c r="W338" s="2">
        <f>ff_portfolios25!W338-ff_factors!$E338</f>
        <v>-2.9381000000000001E-2</v>
      </c>
      <c r="X338" s="2">
        <f>ff_portfolios25!X338-ff_factors!$E338</f>
        <v>-9.4422999999999993E-2</v>
      </c>
      <c r="Y338" s="2">
        <f>ff_portfolios25!Y338-ff_factors!$E338</f>
        <v>-7.3111999999999996E-2</v>
      </c>
      <c r="Z338" s="2">
        <f>ff_portfolios25!Z338-ff_factors!$E338</f>
        <v>-1.9278E-2</v>
      </c>
      <c r="AA338" s="2">
        <f>ff_portfolios25!AA338-ff_factors!$E338</f>
        <v>-6.1605999999999994E-2</v>
      </c>
      <c r="AB338" s="2">
        <f>ff_portfolios25!AB338-ff_factors!$E338</f>
        <v>-7.8726999999999991E-2</v>
      </c>
    </row>
    <row r="339" spans="1:28" x14ac:dyDescent="0.2">
      <c r="A339">
        <v>19600229</v>
      </c>
      <c r="B339">
        <v>1960</v>
      </c>
      <c r="C339">
        <v>2</v>
      </c>
      <c r="D339" s="2">
        <f>ff_portfolios25!D339-ff_factors!$E339</f>
        <v>-2.231E-2</v>
      </c>
      <c r="E339" s="2">
        <f>ff_portfolios25!E339-ff_factors!$E339</f>
        <v>3.6565E-2</v>
      </c>
      <c r="F339" s="2">
        <f>ff_portfolios25!F339-ff_factors!$E339</f>
        <v>-1.0477E-2</v>
      </c>
      <c r="G339" s="2">
        <f>ff_portfolios25!G339-ff_factors!$E339</f>
        <v>-1.189E-2</v>
      </c>
      <c r="H339" s="2">
        <f>ff_portfolios25!H339-ff_factors!$E339</f>
        <v>8.6350000000000003E-3</v>
      </c>
      <c r="I339" s="2">
        <f>ff_portfolios25!I339-ff_factors!$E339</f>
        <v>1.4383E-2</v>
      </c>
      <c r="J339" s="2">
        <f>ff_portfolios25!J339-ff_factors!$E339</f>
        <v>1.8835999999999999E-2</v>
      </c>
      <c r="K339" s="2">
        <f>ff_portfolios25!K339-ff_factors!$E339</f>
        <v>1.1865000000000001E-2</v>
      </c>
      <c r="L339" s="2">
        <f>ff_portfolios25!L339-ff_factors!$E339</f>
        <v>2.5975999999999999E-2</v>
      </c>
      <c r="M339" s="2">
        <f>ff_portfolios25!M339-ff_factors!$E339</f>
        <v>2.2960000000000003E-3</v>
      </c>
      <c r="N339" s="2">
        <f>ff_portfolios25!N339-ff_factors!$E339</f>
        <v>1.5012999999999999E-2</v>
      </c>
      <c r="O339" s="2">
        <f>ff_portfolios25!O339-ff_factors!$E339</f>
        <v>-1.5979999999999998E-3</v>
      </c>
      <c r="P339" s="2">
        <f>ff_portfolios25!P339-ff_factors!$E339</f>
        <v>-2.1669999999999997E-3</v>
      </c>
      <c r="Q339" s="2">
        <f>ff_portfolios25!Q339-ff_factors!$E339</f>
        <v>6.5610000000000009E-3</v>
      </c>
      <c r="R339" s="2">
        <f>ff_portfolios25!R339-ff_factors!$E339</f>
        <v>-1.248E-2</v>
      </c>
      <c r="S339" s="2">
        <f>ff_portfolios25!S339-ff_factors!$E339</f>
        <v>1.8069000000000002E-2</v>
      </c>
      <c r="T339" s="2">
        <f>ff_portfolios25!T339-ff_factors!$E339</f>
        <v>1.3982999999999999E-2</v>
      </c>
      <c r="U339" s="2">
        <f>ff_portfolios25!U339-ff_factors!$E339</f>
        <v>1.9827000000000001E-2</v>
      </c>
      <c r="V339" s="2">
        <f>ff_portfolios25!V339-ff_factors!$E339</f>
        <v>4.4660000000000004E-3</v>
      </c>
      <c r="W339" s="2">
        <f>ff_portfolios25!W339-ff_factors!$E339</f>
        <v>1.3308E-2</v>
      </c>
      <c r="X339" s="2">
        <f>ff_portfolios25!X339-ff_factors!$E339</f>
        <v>2.0282000000000001E-2</v>
      </c>
      <c r="Y339" s="2">
        <f>ff_portfolios25!Y339-ff_factors!$E339</f>
        <v>-1.7218000000000001E-2</v>
      </c>
      <c r="Z339" s="2">
        <f>ff_portfolios25!Z339-ff_factors!$E339</f>
        <v>4.7435999999999999E-2</v>
      </c>
      <c r="AA339" s="2">
        <f>ff_portfolios25!AA339-ff_factors!$E339</f>
        <v>-2.9627000000000001E-2</v>
      </c>
      <c r="AB339" s="2">
        <f>ff_portfolios25!AB339-ff_factors!$E339</f>
        <v>-4.2403999999999997E-2</v>
      </c>
    </row>
    <row r="340" spans="1:28" x14ac:dyDescent="0.2">
      <c r="A340">
        <v>19600331</v>
      </c>
      <c r="B340">
        <v>1960</v>
      </c>
      <c r="C340">
        <v>3</v>
      </c>
      <c r="D340" s="2">
        <f>ff_portfolios25!D340-ff_factors!$E340</f>
        <v>-2.9509999999999998E-2</v>
      </c>
      <c r="E340" s="2">
        <f>ff_portfolios25!E340-ff_factors!$E340</f>
        <v>-5.4921000000000005E-2</v>
      </c>
      <c r="F340" s="2">
        <f>ff_portfolios25!F340-ff_factors!$E340</f>
        <v>-3.9248000000000005E-2</v>
      </c>
      <c r="G340" s="2">
        <f>ff_portfolios25!G340-ff_factors!$E340</f>
        <v>-1.8846999999999999E-2</v>
      </c>
      <c r="H340" s="2">
        <f>ff_portfolios25!H340-ff_factors!$E340</f>
        <v>-2.9457999999999998E-2</v>
      </c>
      <c r="I340" s="2">
        <f>ff_portfolios25!I340-ff_factors!$E340</f>
        <v>-3.9428000000000005E-2</v>
      </c>
      <c r="J340" s="2">
        <f>ff_portfolios25!J340-ff_factors!$E340</f>
        <v>-2.9585E-2</v>
      </c>
      <c r="K340" s="2">
        <f>ff_portfolios25!K340-ff_factors!$E340</f>
        <v>-3.4851E-2</v>
      </c>
      <c r="L340" s="2">
        <f>ff_portfolios25!L340-ff_factors!$E340</f>
        <v>-2.5683999999999998E-2</v>
      </c>
      <c r="M340" s="2">
        <f>ff_portfolios25!M340-ff_factors!$E340</f>
        <v>-4.8645000000000001E-2</v>
      </c>
      <c r="N340" s="2">
        <f>ff_portfolios25!N340-ff_factors!$E340</f>
        <v>-2.0499E-2</v>
      </c>
      <c r="O340" s="2">
        <f>ff_portfolios25!O340-ff_factors!$E340</f>
        <v>-4.6110000000000005E-3</v>
      </c>
      <c r="P340" s="2">
        <f>ff_portfolios25!P340-ff_factors!$E340</f>
        <v>-3.2383000000000002E-2</v>
      </c>
      <c r="Q340" s="2">
        <f>ff_portfolios25!Q340-ff_factors!$E340</f>
        <v>-4.0395E-2</v>
      </c>
      <c r="R340" s="2">
        <f>ff_portfolios25!R340-ff_factors!$E340</f>
        <v>-7.0275000000000004E-2</v>
      </c>
      <c r="S340" s="2">
        <f>ff_portfolios25!S340-ff_factors!$E340</f>
        <v>-7.5980000000000006E-3</v>
      </c>
      <c r="T340" s="2">
        <f>ff_portfolios25!T340-ff_factors!$E340</f>
        <v>-6.3920000000000001E-3</v>
      </c>
      <c r="U340" s="2">
        <f>ff_portfolios25!U340-ff_factors!$E340</f>
        <v>-4.3970000000000002E-2</v>
      </c>
      <c r="V340" s="2">
        <f>ff_portfolios25!V340-ff_factors!$E340</f>
        <v>-4.0750000000000001E-2</v>
      </c>
      <c r="W340" s="2">
        <f>ff_portfolios25!W340-ff_factors!$E340</f>
        <v>-7.1409E-2</v>
      </c>
      <c r="X340" s="2">
        <f>ff_portfolios25!X340-ff_factors!$E340</f>
        <v>-7.5519999999999997E-3</v>
      </c>
      <c r="Y340" s="2">
        <f>ff_portfolios25!Y340-ff_factors!$E340</f>
        <v>-2.1148E-2</v>
      </c>
      <c r="Z340" s="2">
        <f>ff_portfolios25!Z340-ff_factors!$E340</f>
        <v>-9.8110000000000003E-3</v>
      </c>
      <c r="AA340" s="2">
        <f>ff_portfolios25!AA340-ff_factors!$E340</f>
        <v>-3.5909000000000003E-2</v>
      </c>
      <c r="AB340" s="2">
        <f>ff_portfolios25!AB340-ff_factors!$E340</f>
        <v>-7.5092000000000006E-2</v>
      </c>
    </row>
    <row r="341" spans="1:28" x14ac:dyDescent="0.2">
      <c r="A341">
        <v>19600429</v>
      </c>
      <c r="B341">
        <v>1960</v>
      </c>
      <c r="C341">
        <v>4</v>
      </c>
      <c r="D341" s="2">
        <f>ff_portfolios25!D341-ff_factors!$E341</f>
        <v>-5.2269999999999997E-2</v>
      </c>
      <c r="E341" s="2">
        <f>ff_portfolios25!E341-ff_factors!$E341</f>
        <v>8.2410000000000001E-3</v>
      </c>
      <c r="F341" s="2">
        <f>ff_portfolios25!F341-ff_factors!$E341</f>
        <v>-2.6169999999999999E-2</v>
      </c>
      <c r="G341" s="2">
        <f>ff_portfolios25!G341-ff_factors!$E341</f>
        <v>-2.8250999999999998E-2</v>
      </c>
      <c r="H341" s="2">
        <f>ff_portfolios25!H341-ff_factors!$E341</f>
        <v>-2.6605999999999998E-2</v>
      </c>
      <c r="I341" s="2">
        <f>ff_portfolios25!I341-ff_factors!$E341</f>
        <v>1.6699000000000002E-2</v>
      </c>
      <c r="J341" s="2">
        <f>ff_portfolios25!J341-ff_factors!$E341</f>
        <v>-4.7903000000000001E-2</v>
      </c>
      <c r="K341" s="2">
        <f>ff_portfolios25!K341-ff_factors!$E341</f>
        <v>-1.9529999999999999E-2</v>
      </c>
      <c r="L341" s="2">
        <f>ff_portfolios25!L341-ff_factors!$E341</f>
        <v>-1.6642999999999998E-2</v>
      </c>
      <c r="M341" s="2">
        <f>ff_portfolios25!M341-ff_factors!$E341</f>
        <v>-3.0487999999999998E-2</v>
      </c>
      <c r="N341" s="2">
        <f>ff_portfolios25!N341-ff_factors!$E341</f>
        <v>3.3579999999999999E-3</v>
      </c>
      <c r="O341" s="2">
        <f>ff_portfolios25!O341-ff_factors!$E341</f>
        <v>-1.8806E-2</v>
      </c>
      <c r="P341" s="2">
        <f>ff_portfolios25!P341-ff_factors!$E341</f>
        <v>-2.7972E-2</v>
      </c>
      <c r="Q341" s="2">
        <f>ff_portfolios25!Q341-ff_factors!$E341</f>
        <v>-2.8919999999999998E-2</v>
      </c>
      <c r="R341" s="2">
        <f>ff_portfolios25!R341-ff_factors!$E341</f>
        <v>-5.5170999999999998E-2</v>
      </c>
      <c r="S341" s="2">
        <f>ff_portfolios25!S341-ff_factors!$E341</f>
        <v>-1.8879999999999999E-3</v>
      </c>
      <c r="T341" s="2">
        <f>ff_portfolios25!T341-ff_factors!$E341</f>
        <v>-6.7019999999999996E-3</v>
      </c>
      <c r="U341" s="2">
        <f>ff_portfolios25!U341-ff_factors!$E341</f>
        <v>-2.5418E-2</v>
      </c>
      <c r="V341" s="2">
        <f>ff_portfolios25!V341-ff_factors!$E341</f>
        <v>-2.9765E-2</v>
      </c>
      <c r="W341" s="2">
        <f>ff_portfolios25!W341-ff_factors!$E341</f>
        <v>-2.5411E-2</v>
      </c>
      <c r="X341" s="2">
        <f>ff_portfolios25!X341-ff_factors!$E341</f>
        <v>-1.2620000000000001E-2</v>
      </c>
      <c r="Y341" s="2">
        <f>ff_portfolios25!Y341-ff_factors!$E341</f>
        <v>-2.9068E-2</v>
      </c>
      <c r="Z341" s="2">
        <f>ff_portfolios25!Z341-ff_factors!$E341</f>
        <v>-1.6879999999999999E-2</v>
      </c>
      <c r="AA341" s="2">
        <f>ff_portfolios25!AA341-ff_factors!$E341</f>
        <v>-2.3633999999999999E-2</v>
      </c>
      <c r="AB341" s="2">
        <f>ff_portfolios25!AB341-ff_factors!$E341</f>
        <v>-3.9157999999999998E-2</v>
      </c>
    </row>
    <row r="342" spans="1:28" x14ac:dyDescent="0.2">
      <c r="A342">
        <v>19600531</v>
      </c>
      <c r="B342">
        <v>1960</v>
      </c>
      <c r="C342">
        <v>5</v>
      </c>
      <c r="D342" s="2">
        <f>ff_portfolios25!D342-ff_factors!$E342</f>
        <v>-5.2179000000000003E-2</v>
      </c>
      <c r="E342" s="2">
        <f>ff_portfolios25!E342-ff_factors!$E342</f>
        <v>-1.6354E-2</v>
      </c>
      <c r="F342" s="2">
        <f>ff_portfolios25!F342-ff_factors!$E342</f>
        <v>-1.7670000000000002E-2</v>
      </c>
      <c r="G342" s="2">
        <f>ff_portfolios25!G342-ff_factors!$E342</f>
        <v>1.4905999999999999E-2</v>
      </c>
      <c r="H342" s="2">
        <f>ff_portfolios25!H342-ff_factors!$E342</f>
        <v>1.5091E-2</v>
      </c>
      <c r="I342" s="2">
        <f>ff_portfolios25!I342-ff_factors!$E342</f>
        <v>1.8886E-2</v>
      </c>
      <c r="J342" s="2">
        <f>ff_portfolios25!J342-ff_factors!$E342</f>
        <v>5.9574999999999996E-2</v>
      </c>
      <c r="K342" s="2">
        <f>ff_portfolios25!K342-ff_factors!$E342</f>
        <v>1.4911000000000001E-2</v>
      </c>
      <c r="L342" s="2">
        <f>ff_portfolios25!L342-ff_factors!$E342</f>
        <v>2.6491000000000001E-2</v>
      </c>
      <c r="M342" s="2">
        <f>ff_portfolios25!M342-ff_factors!$E342</f>
        <v>5.8617000000000002E-2</v>
      </c>
      <c r="N342" s="2">
        <f>ff_portfolios25!N342-ff_factors!$E342</f>
        <v>7.2744000000000003E-2</v>
      </c>
      <c r="O342" s="2">
        <f>ff_portfolios25!O342-ff_factors!$E342</f>
        <v>9.3699999999999999E-3</v>
      </c>
      <c r="P342" s="2">
        <f>ff_portfolios25!P342-ff_factors!$E342</f>
        <v>3.5584999999999999E-2</v>
      </c>
      <c r="Q342" s="2">
        <f>ff_portfolios25!Q342-ff_factors!$E342</f>
        <v>2.264E-2</v>
      </c>
      <c r="R342" s="2">
        <f>ff_portfolios25!R342-ff_factors!$E342</f>
        <v>-3.9520000000000007E-3</v>
      </c>
      <c r="S342" s="2">
        <f>ff_portfolios25!S342-ff_factors!$E342</f>
        <v>3.8841000000000001E-2</v>
      </c>
      <c r="T342" s="2">
        <f>ff_portfolios25!T342-ff_factors!$E342</f>
        <v>1.6565E-2</v>
      </c>
      <c r="U342" s="2">
        <f>ff_portfolios25!U342-ff_factors!$E342</f>
        <v>3.4479999999999997E-3</v>
      </c>
      <c r="V342" s="2">
        <f>ff_portfolios25!V342-ff_factors!$E342</f>
        <v>2.5418E-2</v>
      </c>
      <c r="W342" s="2">
        <f>ff_portfolios25!W342-ff_factors!$E342</f>
        <v>2.2919999999999998E-3</v>
      </c>
      <c r="X342" s="2">
        <f>ff_portfolios25!X342-ff_factors!$E342</f>
        <v>4.7760999999999998E-2</v>
      </c>
      <c r="Y342" s="2">
        <f>ff_portfolios25!Y342-ff_factors!$E342</f>
        <v>2.2789999999999998E-2</v>
      </c>
      <c r="Z342" s="2">
        <f>ff_portfolios25!Z342-ff_factors!$E342</f>
        <v>1.3169E-2</v>
      </c>
      <c r="AA342" s="2">
        <f>ff_portfolios25!AA342-ff_factors!$E342</f>
        <v>-2.2967000000000001E-2</v>
      </c>
      <c r="AB342" s="2">
        <f>ff_portfolios25!AB342-ff_factors!$E342</f>
        <v>-1.1991999999999999E-2</v>
      </c>
    </row>
    <row r="343" spans="1:28" x14ac:dyDescent="0.2">
      <c r="A343">
        <v>19600630</v>
      </c>
      <c r="B343">
        <v>1960</v>
      </c>
      <c r="C343">
        <v>6</v>
      </c>
      <c r="D343" s="2">
        <f>ff_portfolios25!D343-ff_factors!$E343</f>
        <v>3.4179000000000001E-2</v>
      </c>
      <c r="E343" s="2">
        <f>ff_portfolios25!E343-ff_factors!$E343</f>
        <v>-3.5657000000000001E-2</v>
      </c>
      <c r="F343" s="2">
        <f>ff_portfolios25!F343-ff_factors!$E343</f>
        <v>5.5957E-2</v>
      </c>
      <c r="G343" s="2">
        <f>ff_portfolios25!G343-ff_factors!$E343</f>
        <v>3.0220000000000004E-2</v>
      </c>
      <c r="H343" s="2">
        <f>ff_portfolios25!H343-ff_factors!$E343</f>
        <v>1.7114000000000001E-2</v>
      </c>
      <c r="I343" s="2">
        <f>ff_portfolios25!I343-ff_factors!$E343</f>
        <v>3.0513999999999999E-2</v>
      </c>
      <c r="J343" s="2">
        <f>ff_portfolios25!J343-ff_factors!$E343</f>
        <v>2.5062000000000001E-2</v>
      </c>
      <c r="K343" s="2">
        <f>ff_portfolios25!K343-ff_factors!$E343</f>
        <v>1.5460000000000002E-2</v>
      </c>
      <c r="L343" s="2">
        <f>ff_portfolios25!L343-ff_factors!$E343</f>
        <v>2.3737000000000001E-2</v>
      </c>
      <c r="M343" s="2">
        <f>ff_portfolios25!M343-ff_factors!$E343</f>
        <v>-1.8939999999999999E-3</v>
      </c>
      <c r="N343" s="2">
        <f>ff_portfolios25!N343-ff_factors!$E343</f>
        <v>4.4880000000000003E-2</v>
      </c>
      <c r="O343" s="2">
        <f>ff_portfolios25!O343-ff_factors!$E343</f>
        <v>7.4070000000000004E-3</v>
      </c>
      <c r="P343" s="2">
        <f>ff_portfolios25!P343-ff_factors!$E343</f>
        <v>2.0039000000000001E-2</v>
      </c>
      <c r="Q343" s="2">
        <f>ff_portfolios25!Q343-ff_factors!$E343</f>
        <v>3.4827000000000004E-2</v>
      </c>
      <c r="R343" s="2">
        <f>ff_portfolios25!R343-ff_factors!$E343</f>
        <v>1.0592000000000001E-2</v>
      </c>
      <c r="S343" s="2">
        <f>ff_portfolios25!S343-ff_factors!$E343</f>
        <v>2.3360000000000002E-2</v>
      </c>
      <c r="T343" s="2">
        <f>ff_portfolios25!T343-ff_factors!$E343</f>
        <v>2.0573000000000001E-2</v>
      </c>
      <c r="U343" s="2">
        <f>ff_portfolios25!U343-ff_factors!$E343</f>
        <v>2.3478000000000002E-2</v>
      </c>
      <c r="V343" s="2">
        <f>ff_portfolios25!V343-ff_factors!$E343</f>
        <v>1.1629E-2</v>
      </c>
      <c r="W343" s="2">
        <f>ff_portfolios25!W343-ff_factors!$E343</f>
        <v>2.6520000000000002E-2</v>
      </c>
      <c r="X343" s="2">
        <f>ff_portfolios25!X343-ff_factors!$E343</f>
        <v>2.1707000000000001E-2</v>
      </c>
      <c r="Y343" s="2">
        <f>ff_portfolios25!Y343-ff_factors!$E343</f>
        <v>2.3354E-2</v>
      </c>
      <c r="Z343" s="2">
        <f>ff_portfolios25!Z343-ff_factors!$E343</f>
        <v>1.0279E-2</v>
      </c>
      <c r="AA343" s="2">
        <f>ff_portfolios25!AA343-ff_factors!$E343</f>
        <v>3.0018000000000003E-2</v>
      </c>
      <c r="AB343" s="2">
        <f>ff_portfolios25!AB343-ff_factors!$E343</f>
        <v>2.4507000000000001E-2</v>
      </c>
    </row>
    <row r="344" spans="1:28" x14ac:dyDescent="0.2">
      <c r="A344">
        <v>19600729</v>
      </c>
      <c r="B344">
        <v>1960</v>
      </c>
      <c r="C344">
        <v>7</v>
      </c>
      <c r="D344" s="2">
        <f>ff_portfolios25!D344-ff_factors!$E344</f>
        <v>-5.5442000000000005E-2</v>
      </c>
      <c r="E344" s="2">
        <f>ff_portfolios25!E344-ff_factors!$E344</f>
        <v>-4.0723000000000002E-2</v>
      </c>
      <c r="F344" s="2">
        <f>ff_portfolios25!F344-ff_factors!$E344</f>
        <v>8.9669999999999993E-3</v>
      </c>
      <c r="G344" s="2">
        <f>ff_portfolios25!G344-ff_factors!$E344</f>
        <v>-1.3391E-2</v>
      </c>
      <c r="H344" s="2">
        <f>ff_portfolios25!H344-ff_factors!$E344</f>
        <v>-1.7016999999999997E-2</v>
      </c>
      <c r="I344" s="2">
        <f>ff_portfolios25!I344-ff_factors!$E344</f>
        <v>-3.3285000000000002E-2</v>
      </c>
      <c r="J344" s="2">
        <f>ff_portfolios25!J344-ff_factors!$E344</f>
        <v>-1.9085999999999999E-2</v>
      </c>
      <c r="K344" s="2">
        <f>ff_portfolios25!K344-ff_factors!$E344</f>
        <v>-1.9621E-2</v>
      </c>
      <c r="L344" s="2">
        <f>ff_portfolios25!L344-ff_factors!$E344</f>
        <v>-2.8591999999999999E-2</v>
      </c>
      <c r="M344" s="2">
        <f>ff_portfolios25!M344-ff_factors!$E344</f>
        <v>-2.1429E-2</v>
      </c>
      <c r="N344" s="2">
        <f>ff_portfolios25!N344-ff_factors!$E344</f>
        <v>-3.2629000000000005E-2</v>
      </c>
      <c r="O344" s="2">
        <f>ff_portfolios25!O344-ff_factors!$E344</f>
        <v>-1.1148000000000002E-2</v>
      </c>
      <c r="P344" s="2">
        <f>ff_portfolios25!P344-ff_factors!$E344</f>
        <v>-1.9289000000000001E-2</v>
      </c>
      <c r="Q344" s="2">
        <f>ff_portfolios25!Q344-ff_factors!$E344</f>
        <v>-1.2989000000000001E-2</v>
      </c>
      <c r="R344" s="2">
        <f>ff_portfolios25!R344-ff_factors!$E344</f>
        <v>-2.0417999999999999E-2</v>
      </c>
      <c r="S344" s="2">
        <f>ff_portfolios25!S344-ff_factors!$E344</f>
        <v>-3.6181000000000005E-2</v>
      </c>
      <c r="T344" s="2">
        <f>ff_portfolios25!T344-ff_factors!$E344</f>
        <v>-7.0000000000000001E-3</v>
      </c>
      <c r="U344" s="2">
        <f>ff_portfolios25!U344-ff_factors!$E344</f>
        <v>-6.2880000000000002E-3</v>
      </c>
      <c r="V344" s="2">
        <f>ff_portfolios25!V344-ff_factors!$E344</f>
        <v>2.444E-3</v>
      </c>
      <c r="W344" s="2">
        <f>ff_portfolios25!W344-ff_factors!$E344</f>
        <v>-6.2482000000000003E-2</v>
      </c>
      <c r="X344" s="2">
        <f>ff_portfolios25!X344-ff_factors!$E344</f>
        <v>-4.2162000000000005E-2</v>
      </c>
      <c r="Y344" s="2">
        <f>ff_portfolios25!Y344-ff_factors!$E344</f>
        <v>-1.9868E-2</v>
      </c>
      <c r="Z344" s="2">
        <f>ff_portfolios25!Z344-ff_factors!$E344</f>
        <v>2.7410000000000004E-3</v>
      </c>
      <c r="AA344" s="2">
        <f>ff_portfolios25!AA344-ff_factors!$E344</f>
        <v>-1.0463E-2</v>
      </c>
      <c r="AB344" s="2">
        <f>ff_portfolios25!AB344-ff_factors!$E344</f>
        <v>-2.114E-3</v>
      </c>
    </row>
    <row r="345" spans="1:28" x14ac:dyDescent="0.2">
      <c r="A345">
        <v>19600831</v>
      </c>
      <c r="B345">
        <v>1960</v>
      </c>
      <c r="C345">
        <v>8</v>
      </c>
      <c r="D345" s="2">
        <f>ff_portfolios25!D345-ff_factors!$E345</f>
        <v>0.22816599999999998</v>
      </c>
      <c r="E345" s="2">
        <f>ff_portfolios25!E345-ff_factors!$E345</f>
        <v>9.0311000000000002E-2</v>
      </c>
      <c r="F345" s="2">
        <f>ff_portfolios25!F345-ff_factors!$E345</f>
        <v>2.2142999999999999E-2</v>
      </c>
      <c r="G345" s="2">
        <f>ff_portfolios25!G345-ff_factors!$E345</f>
        <v>4.5030000000000001E-2</v>
      </c>
      <c r="H345" s="2">
        <f>ff_portfolios25!H345-ff_factors!$E345</f>
        <v>4.0971E-2</v>
      </c>
      <c r="I345" s="2">
        <f>ff_portfolios25!I345-ff_factors!$E345</f>
        <v>-3.5099999999999997E-4</v>
      </c>
      <c r="J345" s="2">
        <f>ff_portfolios25!J345-ff_factors!$E345</f>
        <v>1.4950999999999999E-2</v>
      </c>
      <c r="K345" s="2">
        <f>ff_portfolios25!K345-ff_factors!$E345</f>
        <v>4.0656999999999999E-2</v>
      </c>
      <c r="L345" s="2">
        <f>ff_portfolios25!L345-ff_factors!$E345</f>
        <v>4.7233999999999998E-2</v>
      </c>
      <c r="M345" s="2">
        <f>ff_portfolios25!M345-ff_factors!$E345</f>
        <v>4.1182999999999997E-2</v>
      </c>
      <c r="N345" s="2">
        <f>ff_portfolios25!N345-ff_factors!$E345</f>
        <v>4.5270999999999999E-2</v>
      </c>
      <c r="O345" s="2">
        <f>ff_portfolios25!O345-ff_factors!$E345</f>
        <v>5.8290000000000002E-2</v>
      </c>
      <c r="P345" s="2">
        <f>ff_portfolios25!P345-ff_factors!$E345</f>
        <v>3.3168000000000003E-2</v>
      </c>
      <c r="Q345" s="2">
        <f>ff_portfolios25!Q345-ff_factors!$E345</f>
        <v>3.8871999999999997E-2</v>
      </c>
      <c r="R345" s="2">
        <f>ff_portfolios25!R345-ff_factors!$E345</f>
        <v>1.1669000000000001E-2</v>
      </c>
      <c r="S345" s="2">
        <f>ff_portfolios25!S345-ff_factors!$E345</f>
        <v>1.4690999999999999E-2</v>
      </c>
      <c r="T345" s="2">
        <f>ff_portfolios25!T345-ff_factors!$E345</f>
        <v>3.4638000000000002E-2</v>
      </c>
      <c r="U345" s="2">
        <f>ff_portfolios25!U345-ff_factors!$E345</f>
        <v>3.7499999999999999E-2</v>
      </c>
      <c r="V345" s="2">
        <f>ff_portfolios25!V345-ff_factors!$E345</f>
        <v>3.8850000000000003E-2</v>
      </c>
      <c r="W345" s="2">
        <f>ff_portfolios25!W345-ff_factors!$E345</f>
        <v>9.9299999999999996E-3</v>
      </c>
      <c r="X345" s="2">
        <f>ff_portfolios25!X345-ff_factors!$E345</f>
        <v>2.4885000000000001E-2</v>
      </c>
      <c r="Y345" s="2">
        <f>ff_portfolios25!Y345-ff_factors!$E345</f>
        <v>2.6813E-2</v>
      </c>
      <c r="Z345" s="2">
        <f>ff_portfolios25!Z345-ff_factors!$E345</f>
        <v>4.3572E-2</v>
      </c>
      <c r="AA345" s="2">
        <f>ff_portfolios25!AA345-ff_factors!$E345</f>
        <v>3.9629999999999999E-2</v>
      </c>
      <c r="AB345" s="2">
        <f>ff_portfolios25!AB345-ff_factors!$E345</f>
        <v>2.3359000000000001E-2</v>
      </c>
    </row>
    <row r="346" spans="1:28" x14ac:dyDescent="0.2">
      <c r="A346">
        <v>19600930</v>
      </c>
      <c r="B346">
        <v>1960</v>
      </c>
      <c r="C346">
        <v>9</v>
      </c>
      <c r="D346" s="2">
        <f>ff_portfolios25!D346-ff_factors!$E346</f>
        <v>-0.158554</v>
      </c>
      <c r="E346" s="2">
        <f>ff_portfolios25!E346-ff_factors!$E346</f>
        <v>-7.5476000000000001E-2</v>
      </c>
      <c r="F346" s="2">
        <f>ff_portfolios25!F346-ff_factors!$E346</f>
        <v>-3.7035999999999999E-2</v>
      </c>
      <c r="G346" s="2">
        <f>ff_portfolios25!G346-ff_factors!$E346</f>
        <v>-4.7903999999999995E-2</v>
      </c>
      <c r="H346" s="2">
        <f>ff_portfolios25!H346-ff_factors!$E346</f>
        <v>-7.3837E-2</v>
      </c>
      <c r="I346" s="2">
        <f>ff_portfolios25!I346-ff_factors!$E346</f>
        <v>-7.5329000000000007E-2</v>
      </c>
      <c r="J346" s="2">
        <f>ff_portfolios25!J346-ff_factors!$E346</f>
        <v>-5.6867999999999995E-2</v>
      </c>
      <c r="K346" s="2">
        <f>ff_portfolios25!K346-ff_factors!$E346</f>
        <v>-6.9621000000000002E-2</v>
      </c>
      <c r="L346" s="2">
        <f>ff_portfolios25!L346-ff_factors!$E346</f>
        <v>-5.9788999999999995E-2</v>
      </c>
      <c r="M346" s="2">
        <f>ff_portfolios25!M346-ff_factors!$E346</f>
        <v>-7.8920000000000004E-2</v>
      </c>
      <c r="N346" s="2">
        <f>ff_portfolios25!N346-ff_factors!$E346</f>
        <v>-7.942600000000001E-2</v>
      </c>
      <c r="O346" s="2">
        <f>ff_portfolios25!O346-ff_factors!$E346</f>
        <v>-5.4171999999999998E-2</v>
      </c>
      <c r="P346" s="2">
        <f>ff_portfolios25!P346-ff_factors!$E346</f>
        <v>-4.8319999999999995E-2</v>
      </c>
      <c r="Q346" s="2">
        <f>ff_portfolios25!Q346-ff_factors!$E346</f>
        <v>-6.2490999999999998E-2</v>
      </c>
      <c r="R346" s="2">
        <f>ff_portfolios25!R346-ff_factors!$E346</f>
        <v>-5.7117999999999995E-2</v>
      </c>
      <c r="S346" s="2">
        <f>ff_portfolios25!S346-ff_factors!$E346</f>
        <v>-6.0850999999999995E-2</v>
      </c>
      <c r="T346" s="2">
        <f>ff_portfolios25!T346-ff_factors!$E346</f>
        <v>-4.8190999999999998E-2</v>
      </c>
      <c r="U346" s="2">
        <f>ff_portfolios25!U346-ff_factors!$E346</f>
        <v>-5.4711999999999997E-2</v>
      </c>
      <c r="V346" s="2">
        <f>ff_portfolios25!V346-ff_factors!$E346</f>
        <v>-5.2228999999999998E-2</v>
      </c>
      <c r="W346" s="2">
        <f>ff_portfolios25!W346-ff_factors!$E346</f>
        <v>-9.4057000000000002E-2</v>
      </c>
      <c r="X346" s="2">
        <f>ff_portfolios25!X346-ff_factors!$E346</f>
        <v>-7.2595000000000007E-2</v>
      </c>
      <c r="Y346" s="2">
        <f>ff_portfolios25!Y346-ff_factors!$E346</f>
        <v>-5.7398999999999999E-2</v>
      </c>
      <c r="Z346" s="2">
        <f>ff_portfolios25!Z346-ff_factors!$E346</f>
        <v>-4.1227999999999994E-2</v>
      </c>
      <c r="AA346" s="2">
        <f>ff_portfolios25!AA346-ff_factors!$E346</f>
        <v>-5.1455999999999995E-2</v>
      </c>
      <c r="AB346" s="2">
        <f>ff_portfolios25!AB346-ff_factors!$E346</f>
        <v>-3.9123999999999999E-2</v>
      </c>
    </row>
    <row r="347" spans="1:28" x14ac:dyDescent="0.2">
      <c r="A347">
        <v>19601031</v>
      </c>
      <c r="B347">
        <v>1960</v>
      </c>
      <c r="C347">
        <v>10</v>
      </c>
      <c r="D347" s="2">
        <f>ff_portfolios25!D347-ff_factors!$E347</f>
        <v>-9.0052999999999994E-2</v>
      </c>
      <c r="E347" s="2">
        <f>ff_portfolios25!E347-ff_factors!$E347</f>
        <v>-3.6783999999999997E-2</v>
      </c>
      <c r="F347" s="2">
        <f>ff_portfolios25!F347-ff_factors!$E347</f>
        <v>-3.1601999999999998E-2</v>
      </c>
      <c r="G347" s="2">
        <f>ff_portfolios25!G347-ff_factors!$E347</f>
        <v>-1.5176E-2</v>
      </c>
      <c r="H347" s="2">
        <f>ff_portfolios25!H347-ff_factors!$E347</f>
        <v>-2.9392999999999999E-2</v>
      </c>
      <c r="I347" s="2">
        <f>ff_portfolios25!I347-ff_factors!$E347</f>
        <v>-7.2496999999999992E-2</v>
      </c>
      <c r="J347" s="2">
        <f>ff_portfolios25!J347-ff_factors!$E347</f>
        <v>-2.6765000000000001E-2</v>
      </c>
      <c r="K347" s="2">
        <f>ff_portfolios25!K347-ff_factors!$E347</f>
        <v>-2.6627999999999999E-2</v>
      </c>
      <c r="L347" s="2">
        <f>ff_portfolios25!L347-ff_factors!$E347</f>
        <v>-4.0672E-2</v>
      </c>
      <c r="M347" s="2">
        <f>ff_portfolios25!M347-ff_factors!$E347</f>
        <v>-1.3903E-2</v>
      </c>
      <c r="N347" s="2">
        <f>ff_portfolios25!N347-ff_factors!$E347</f>
        <v>-3.4317E-2</v>
      </c>
      <c r="O347" s="2">
        <f>ff_portfolios25!O347-ff_factors!$E347</f>
        <v>-2.9010000000000001E-2</v>
      </c>
      <c r="P347" s="2">
        <f>ff_portfolios25!P347-ff_factors!$E347</f>
        <v>-2.6668000000000001E-2</v>
      </c>
      <c r="Q347" s="2">
        <f>ff_portfolios25!Q347-ff_factors!$E347</f>
        <v>-2.8059000000000001E-2</v>
      </c>
      <c r="R347" s="2">
        <f>ff_portfolios25!R347-ff_factors!$E347</f>
        <v>-3.8716E-2</v>
      </c>
      <c r="S347" s="2">
        <f>ff_portfolios25!S347-ff_factors!$E347</f>
        <v>-2.2555000000000002E-2</v>
      </c>
      <c r="T347" s="2">
        <f>ff_portfolios25!T347-ff_factors!$E347</f>
        <v>-2.1103E-2</v>
      </c>
      <c r="U347" s="2">
        <f>ff_portfolios25!U347-ff_factors!$E347</f>
        <v>-1.7472999999999999E-2</v>
      </c>
      <c r="V347" s="2">
        <f>ff_portfolios25!V347-ff_factors!$E347</f>
        <v>9.637999999999999E-3</v>
      </c>
      <c r="W347" s="2">
        <f>ff_portfolios25!W347-ff_factors!$E347</f>
        <v>-4.2549000000000003E-2</v>
      </c>
      <c r="X347" s="2">
        <f>ff_portfolios25!X347-ff_factors!$E347</f>
        <v>-8.8649999999999996E-3</v>
      </c>
      <c r="Y347" s="2">
        <f>ff_portfolios25!Y347-ff_factors!$E347</f>
        <v>1.6069999999999999E-3</v>
      </c>
      <c r="Z347" s="2">
        <f>ff_portfolios25!Z347-ff_factors!$E347</f>
        <v>9.6599999999999984E-4</v>
      </c>
      <c r="AA347" s="2">
        <f>ff_portfolios25!AA347-ff_factors!$E347</f>
        <v>-1.5060000000000002E-3</v>
      </c>
      <c r="AB347" s="2">
        <f>ff_portfolios25!AB347-ff_factors!$E347</f>
        <v>1.9991999999999999E-2</v>
      </c>
    </row>
    <row r="348" spans="1:28" x14ac:dyDescent="0.2">
      <c r="A348">
        <v>19601130</v>
      </c>
      <c r="B348">
        <v>1960</v>
      </c>
      <c r="C348">
        <v>11</v>
      </c>
      <c r="D348" s="2">
        <f>ff_portfolios25!D348-ff_factors!$E348</f>
        <v>-2.9918999999999998E-2</v>
      </c>
      <c r="E348" s="2">
        <f>ff_portfolios25!E348-ff_factors!$E348</f>
        <v>-2.0070000000000001E-3</v>
      </c>
      <c r="F348" s="2">
        <f>ff_portfolios25!F348-ff_factors!$E348</f>
        <v>-9.1170000000000001E-3</v>
      </c>
      <c r="G348" s="2">
        <f>ff_portfolios25!G348-ff_factors!$E348</f>
        <v>2.2821000000000001E-2</v>
      </c>
      <c r="H348" s="2">
        <f>ff_portfolios25!H348-ff_factors!$E348</f>
        <v>1.9062000000000003E-2</v>
      </c>
      <c r="I348" s="2">
        <f>ff_portfolios25!I348-ff_factors!$E348</f>
        <v>6.4433000000000004E-2</v>
      </c>
      <c r="J348" s="2">
        <f>ff_portfolios25!J348-ff_factors!$E348</f>
        <v>7.8355000000000008E-2</v>
      </c>
      <c r="K348" s="2">
        <f>ff_portfolios25!K348-ff_factors!$E348</f>
        <v>4.5286E-2</v>
      </c>
      <c r="L348" s="2">
        <f>ff_portfolios25!L348-ff_factors!$E348</f>
        <v>4.2574000000000001E-2</v>
      </c>
      <c r="M348" s="2">
        <f>ff_portfolios25!M348-ff_factors!$E348</f>
        <v>1.6921000000000002E-2</v>
      </c>
      <c r="N348" s="2">
        <f>ff_portfolios25!N348-ff_factors!$E348</f>
        <v>7.1765000000000009E-2</v>
      </c>
      <c r="O348" s="2">
        <f>ff_portfolios25!O348-ff_factors!$E348</f>
        <v>5.2224E-2</v>
      </c>
      <c r="P348" s="2">
        <f>ff_portfolios25!P348-ff_factors!$E348</f>
        <v>5.9353999999999997E-2</v>
      </c>
      <c r="Q348" s="2">
        <f>ff_portfolios25!Q348-ff_factors!$E348</f>
        <v>6.0651999999999998E-2</v>
      </c>
      <c r="R348" s="2">
        <f>ff_portfolios25!R348-ff_factors!$E348</f>
        <v>3.9276999999999999E-2</v>
      </c>
      <c r="S348" s="2">
        <f>ff_portfolios25!S348-ff_factors!$E348</f>
        <v>8.5344000000000003E-2</v>
      </c>
      <c r="T348" s="2">
        <f>ff_portfolios25!T348-ff_factors!$E348</f>
        <v>4.3801E-2</v>
      </c>
      <c r="U348" s="2">
        <f>ff_portfolios25!U348-ff_factors!$E348</f>
        <v>4.8715999999999995E-2</v>
      </c>
      <c r="V348" s="2">
        <f>ff_portfolios25!V348-ff_factors!$E348</f>
        <v>4.4798999999999999E-2</v>
      </c>
      <c r="W348" s="2">
        <f>ff_portfolios25!W348-ff_factors!$E348</f>
        <v>3.8772000000000001E-2</v>
      </c>
      <c r="X348" s="2">
        <f>ff_portfolios25!X348-ff_factors!$E348</f>
        <v>5.1542999999999999E-2</v>
      </c>
      <c r="Y348" s="2">
        <f>ff_portfolios25!Y348-ff_factors!$E348</f>
        <v>5.1877E-2</v>
      </c>
      <c r="Z348" s="2">
        <f>ff_portfolios25!Z348-ff_factors!$E348</f>
        <v>2.8688000000000002E-2</v>
      </c>
      <c r="AA348" s="2">
        <f>ff_portfolios25!AA348-ff_factors!$E348</f>
        <v>3.9539999999999999E-2</v>
      </c>
      <c r="AB348" s="2">
        <f>ff_portfolios25!AB348-ff_factors!$E348</f>
        <v>4.4394999999999997E-2</v>
      </c>
    </row>
    <row r="349" spans="1:28" x14ac:dyDescent="0.2">
      <c r="A349">
        <v>19601230</v>
      </c>
      <c r="B349">
        <v>1960</v>
      </c>
      <c r="C349">
        <v>12</v>
      </c>
      <c r="D349" s="2">
        <f>ff_portfolios25!D349-ff_factors!$E349</f>
        <v>7.622799999999999E-2</v>
      </c>
      <c r="E349" s="2">
        <f>ff_portfolios25!E349-ff_factors!$E349</f>
        <v>3.2129000000000005E-2</v>
      </c>
      <c r="F349" s="2">
        <f>ff_portfolios25!F349-ff_factors!$E349</f>
        <v>2.6563E-2</v>
      </c>
      <c r="G349" s="2">
        <f>ff_portfolios25!G349-ff_factors!$E349</f>
        <v>2.622E-2</v>
      </c>
      <c r="H349" s="2">
        <f>ff_portfolios25!H349-ff_factors!$E349</f>
        <v>1.1340999999999999E-2</v>
      </c>
      <c r="I349" s="2">
        <f>ff_portfolios25!I349-ff_factors!$E349</f>
        <v>4.3857E-2</v>
      </c>
      <c r="J349" s="2">
        <f>ff_portfolios25!J349-ff_factors!$E349</f>
        <v>2.4916999999999998E-2</v>
      </c>
      <c r="K349" s="2">
        <f>ff_portfolios25!K349-ff_factors!$E349</f>
        <v>3.1703000000000002E-2</v>
      </c>
      <c r="L349" s="2">
        <f>ff_portfolios25!L349-ff_factors!$E349</f>
        <v>3.5955000000000001E-2</v>
      </c>
      <c r="M349" s="2">
        <f>ff_portfolios25!M349-ff_factors!$E349</f>
        <v>2.3496E-2</v>
      </c>
      <c r="N349" s="2">
        <f>ff_portfolios25!N349-ff_factors!$E349</f>
        <v>2.4799999999999999E-2</v>
      </c>
      <c r="O349" s="2">
        <f>ff_portfolios25!O349-ff_factors!$E349</f>
        <v>4.2823E-2</v>
      </c>
      <c r="P349" s="2">
        <f>ff_portfolios25!P349-ff_factors!$E349</f>
        <v>3.8642000000000003E-2</v>
      </c>
      <c r="Q349" s="2">
        <f>ff_portfolios25!Q349-ff_factors!$E349</f>
        <v>3.1314000000000002E-2</v>
      </c>
      <c r="R349" s="2">
        <f>ff_portfolios25!R349-ff_factors!$E349</f>
        <v>1.678E-2</v>
      </c>
      <c r="S349" s="2">
        <f>ff_portfolios25!S349-ff_factors!$E349</f>
        <v>5.5960000000000003E-2</v>
      </c>
      <c r="T349" s="2">
        <f>ff_portfolios25!T349-ff_factors!$E349</f>
        <v>4.6261000000000004E-2</v>
      </c>
      <c r="U349" s="2">
        <f>ff_portfolios25!U349-ff_factors!$E349</f>
        <v>5.2511000000000002E-2</v>
      </c>
      <c r="V349" s="2">
        <f>ff_portfolios25!V349-ff_factors!$E349</f>
        <v>3.5318000000000002E-2</v>
      </c>
      <c r="W349" s="2">
        <f>ff_portfolios25!W349-ff_factors!$E349</f>
        <v>2.5073999999999999E-2</v>
      </c>
      <c r="X349" s="2">
        <f>ff_portfolios25!X349-ff_factors!$E349</f>
        <v>3.1640000000000001E-2</v>
      </c>
      <c r="Y349" s="2">
        <f>ff_portfolios25!Y349-ff_factors!$E349</f>
        <v>4.5502000000000001E-2</v>
      </c>
      <c r="Z349" s="2">
        <f>ff_portfolios25!Z349-ff_factors!$E349</f>
        <v>8.7890999999999997E-2</v>
      </c>
      <c r="AA349" s="2">
        <f>ff_portfolios25!AA349-ff_factors!$E349</f>
        <v>3.4303E-2</v>
      </c>
      <c r="AB349" s="2">
        <f>ff_portfolios25!AB349-ff_factors!$E349</f>
        <v>3.1938000000000001E-2</v>
      </c>
    </row>
    <row r="350" spans="1:28" x14ac:dyDescent="0.2">
      <c r="A350">
        <v>19610131</v>
      </c>
      <c r="B350">
        <v>1961</v>
      </c>
      <c r="C350">
        <v>1</v>
      </c>
      <c r="D350" s="2">
        <f>ff_portfolios25!D350-ff_factors!$E350</f>
        <v>0.102894</v>
      </c>
      <c r="E350" s="2">
        <f>ff_portfolios25!E350-ff_factors!$E350</f>
        <v>8.9441000000000007E-2</v>
      </c>
      <c r="F350" s="2">
        <f>ff_portfolios25!F350-ff_factors!$E350</f>
        <v>8.2917000000000005E-2</v>
      </c>
      <c r="G350" s="2">
        <f>ff_portfolios25!G350-ff_factors!$E350</f>
        <v>8.1909999999999997E-2</v>
      </c>
      <c r="H350" s="2">
        <f>ff_portfolios25!H350-ff_factors!$E350</f>
        <v>8.2864999999999994E-2</v>
      </c>
      <c r="I350" s="2">
        <f>ff_portfolios25!I350-ff_factors!$E350</f>
        <v>0.101961</v>
      </c>
      <c r="J350" s="2">
        <f>ff_portfolios25!J350-ff_factors!$E350</f>
        <v>5.8730999999999998E-2</v>
      </c>
      <c r="K350" s="2">
        <f>ff_portfolios25!K350-ff_factors!$E350</f>
        <v>6.7697999999999994E-2</v>
      </c>
      <c r="L350" s="2">
        <f>ff_portfolios25!L350-ff_factors!$E350</f>
        <v>9.6822000000000005E-2</v>
      </c>
      <c r="M350" s="2">
        <f>ff_portfolios25!M350-ff_factors!$E350</f>
        <v>9.2774999999999996E-2</v>
      </c>
      <c r="N350" s="2">
        <f>ff_portfolios25!N350-ff_factors!$E350</f>
        <v>5.7686000000000001E-2</v>
      </c>
      <c r="O350" s="2">
        <f>ff_portfolios25!O350-ff_factors!$E350</f>
        <v>6.4232999999999998E-2</v>
      </c>
      <c r="P350" s="2">
        <f>ff_portfolios25!P350-ff_factors!$E350</f>
        <v>8.1455E-2</v>
      </c>
      <c r="Q350" s="2">
        <f>ff_portfolios25!Q350-ff_factors!$E350</f>
        <v>9.6971000000000002E-2</v>
      </c>
      <c r="R350" s="2">
        <f>ff_portfolios25!R350-ff_factors!$E350</f>
        <v>0.12692499999999998</v>
      </c>
      <c r="S350" s="2">
        <f>ff_portfolios25!S350-ff_factors!$E350</f>
        <v>6.6821000000000005E-2</v>
      </c>
      <c r="T350" s="2">
        <f>ff_portfolios25!T350-ff_factors!$E350</f>
        <v>7.4883000000000005E-2</v>
      </c>
      <c r="U350" s="2">
        <f>ff_portfolios25!U350-ff_factors!$E350</f>
        <v>7.4358000000000007E-2</v>
      </c>
      <c r="V350" s="2">
        <f>ff_portfolios25!V350-ff_factors!$E350</f>
        <v>9.1399000000000008E-2</v>
      </c>
      <c r="W350" s="2">
        <f>ff_portfolios25!W350-ff_factors!$E350</f>
        <v>0.12812299999999999</v>
      </c>
      <c r="X350" s="2">
        <f>ff_portfolios25!X350-ff_factors!$E350</f>
        <v>4.0316999999999999E-2</v>
      </c>
      <c r="Y350" s="2">
        <f>ff_portfolios25!Y350-ff_factors!$E350</f>
        <v>6.5428E-2</v>
      </c>
      <c r="Z350" s="2">
        <f>ff_portfolios25!Z350-ff_factors!$E350</f>
        <v>7.7179999999999999E-2</v>
      </c>
      <c r="AA350" s="2">
        <f>ff_portfolios25!AA350-ff_factors!$E350</f>
        <v>7.6550000000000007E-2</v>
      </c>
      <c r="AB350" s="2">
        <f>ff_portfolios25!AB350-ff_factors!$E350</f>
        <v>9.7318000000000002E-2</v>
      </c>
    </row>
    <row r="351" spans="1:28" x14ac:dyDescent="0.2">
      <c r="A351">
        <v>19610228</v>
      </c>
      <c r="B351">
        <v>1961</v>
      </c>
      <c r="C351">
        <v>2</v>
      </c>
      <c r="D351" s="2">
        <f>ff_portfolios25!D351-ff_factors!$E351</f>
        <v>5.3297000000000004E-2</v>
      </c>
      <c r="E351" s="2">
        <f>ff_portfolios25!E351-ff_factors!$E351</f>
        <v>7.8112000000000001E-2</v>
      </c>
      <c r="F351" s="2">
        <f>ff_portfolios25!F351-ff_factors!$E351</f>
        <v>5.7266999999999998E-2</v>
      </c>
      <c r="G351" s="2">
        <f>ff_portfolios25!G351-ff_factors!$E351</f>
        <v>6.2356999999999996E-2</v>
      </c>
      <c r="H351" s="2">
        <f>ff_portfolios25!H351-ff_factors!$E351</f>
        <v>6.5143000000000006E-2</v>
      </c>
      <c r="I351" s="2">
        <f>ff_portfolios25!I351-ff_factors!$E351</f>
        <v>8.2681000000000004E-2</v>
      </c>
      <c r="J351" s="2">
        <f>ff_portfolios25!J351-ff_factors!$E351</f>
        <v>9.0110999999999997E-2</v>
      </c>
      <c r="K351" s="2">
        <f>ff_portfolios25!K351-ff_factors!$E351</f>
        <v>5.3529E-2</v>
      </c>
      <c r="L351" s="2">
        <f>ff_portfolios25!L351-ff_factors!$E351</f>
        <v>9.1285000000000005E-2</v>
      </c>
      <c r="M351" s="2">
        <f>ff_portfolios25!M351-ff_factors!$E351</f>
        <v>7.5744000000000006E-2</v>
      </c>
      <c r="N351" s="2">
        <f>ff_portfolios25!N351-ff_factors!$E351</f>
        <v>6.9847000000000006E-2</v>
      </c>
      <c r="O351" s="2">
        <f>ff_portfolios25!O351-ff_factors!$E351</f>
        <v>6.2349000000000002E-2</v>
      </c>
      <c r="P351" s="2">
        <f>ff_portfolios25!P351-ff_factors!$E351</f>
        <v>5.3580000000000003E-2</v>
      </c>
      <c r="Q351" s="2">
        <f>ff_portfolios25!Q351-ff_factors!$E351</f>
        <v>5.4192000000000004E-2</v>
      </c>
      <c r="R351" s="2">
        <f>ff_portfolios25!R351-ff_factors!$E351</f>
        <v>4.8972000000000002E-2</v>
      </c>
      <c r="S351" s="2">
        <f>ff_portfolios25!S351-ff_factors!$E351</f>
        <v>5.9271999999999998E-2</v>
      </c>
      <c r="T351" s="2">
        <f>ff_portfolios25!T351-ff_factors!$E351</f>
        <v>5.9829E-2</v>
      </c>
      <c r="U351" s="2">
        <f>ff_portfolios25!U351-ff_factors!$E351</f>
        <v>4.9515000000000003E-2</v>
      </c>
      <c r="V351" s="2">
        <f>ff_portfolios25!V351-ff_factors!$E351</f>
        <v>4.2817000000000001E-2</v>
      </c>
      <c r="W351" s="2">
        <f>ff_portfolios25!W351-ff_factors!$E351</f>
        <v>4.1006000000000001E-2</v>
      </c>
      <c r="X351" s="2">
        <f>ff_portfolios25!X351-ff_factors!$E351</f>
        <v>3.5625000000000004E-2</v>
      </c>
      <c r="Y351" s="2">
        <f>ff_portfolios25!Y351-ff_factors!$E351</f>
        <v>4.3999000000000003E-2</v>
      </c>
      <c r="Z351" s="2">
        <f>ff_portfolios25!Z351-ff_factors!$E351</f>
        <v>7.1850000000000004E-3</v>
      </c>
      <c r="AA351" s="2">
        <f>ff_portfolios25!AA351-ff_factors!$E351</f>
        <v>3.5496E-2</v>
      </c>
      <c r="AB351" s="2">
        <f>ff_portfolios25!AB351-ff_factors!$E351</f>
        <v>2.1787000000000001E-2</v>
      </c>
    </row>
    <row r="352" spans="1:28" x14ac:dyDescent="0.2">
      <c r="A352">
        <v>19610330</v>
      </c>
      <c r="B352">
        <v>1961</v>
      </c>
      <c r="C352">
        <v>3</v>
      </c>
      <c r="D352" s="2">
        <f>ff_portfolios25!D352-ff_factors!$E352</f>
        <v>0.121865</v>
      </c>
      <c r="E352" s="2">
        <f>ff_portfolios25!E352-ff_factors!$E352</f>
        <v>4.5332999999999998E-2</v>
      </c>
      <c r="F352" s="2">
        <f>ff_portfolios25!F352-ff_factors!$E352</f>
        <v>7.2419999999999998E-2</v>
      </c>
      <c r="G352" s="2">
        <f>ff_portfolios25!G352-ff_factors!$E352</f>
        <v>5.1804999999999997E-2</v>
      </c>
      <c r="H352" s="2">
        <f>ff_portfolios25!H352-ff_factors!$E352</f>
        <v>7.7192999999999998E-2</v>
      </c>
      <c r="I352" s="2">
        <f>ff_portfolios25!I352-ff_factors!$E352</f>
        <v>0.106892</v>
      </c>
      <c r="J352" s="2">
        <f>ff_portfolios25!J352-ff_factors!$E352</f>
        <v>8.9074E-2</v>
      </c>
      <c r="K352" s="2">
        <f>ff_portfolios25!K352-ff_factors!$E352</f>
        <v>4.2929999999999996E-2</v>
      </c>
      <c r="L352" s="2">
        <f>ff_portfolios25!L352-ff_factors!$E352</f>
        <v>5.4822999999999997E-2</v>
      </c>
      <c r="M352" s="2">
        <f>ff_portfolios25!M352-ff_factors!$E352</f>
        <v>5.7547999999999995E-2</v>
      </c>
      <c r="N352" s="2">
        <f>ff_portfolios25!N352-ff_factors!$E352</f>
        <v>6.4476999999999993E-2</v>
      </c>
      <c r="O352" s="2">
        <f>ff_portfolios25!O352-ff_factors!$E352</f>
        <v>3.8871999999999997E-2</v>
      </c>
      <c r="P352" s="2">
        <f>ff_portfolios25!P352-ff_factors!$E352</f>
        <v>3.6115999999999995E-2</v>
      </c>
      <c r="Q352" s="2">
        <f>ff_portfolios25!Q352-ff_factors!$E352</f>
        <v>4.3388999999999997E-2</v>
      </c>
      <c r="R352" s="2">
        <f>ff_portfolios25!R352-ff_factors!$E352</f>
        <v>5.4537999999999996E-2</v>
      </c>
      <c r="S352" s="2">
        <f>ff_portfolios25!S352-ff_factors!$E352</f>
        <v>5.7890999999999998E-2</v>
      </c>
      <c r="T352" s="2">
        <f>ff_portfolios25!T352-ff_factors!$E352</f>
        <v>2.5078000000000003E-2</v>
      </c>
      <c r="U352" s="2">
        <f>ff_portfolios25!U352-ff_factors!$E352</f>
        <v>4.1531999999999999E-2</v>
      </c>
      <c r="V352" s="2">
        <f>ff_portfolios25!V352-ff_factors!$E352</f>
        <v>6.1614000000000002E-2</v>
      </c>
      <c r="W352" s="2">
        <f>ff_portfolios25!W352-ff_factors!$E352</f>
        <v>3.3625999999999996E-2</v>
      </c>
      <c r="X352" s="2">
        <f>ff_portfolios25!X352-ff_factors!$E352</f>
        <v>1.6965000000000001E-2</v>
      </c>
      <c r="Y352" s="2">
        <f>ff_portfolios25!Y352-ff_factors!$E352</f>
        <v>2.4367E-2</v>
      </c>
      <c r="Z352" s="2">
        <f>ff_portfolios25!Z352-ff_factors!$E352</f>
        <v>3.9992E-2</v>
      </c>
      <c r="AA352" s="2">
        <f>ff_portfolios25!AA352-ff_factors!$E352</f>
        <v>-7.2030000000000002E-3</v>
      </c>
      <c r="AB352" s="2">
        <f>ff_portfolios25!AB352-ff_factors!$E352</f>
        <v>1.3516E-2</v>
      </c>
    </row>
    <row r="353" spans="1:28" x14ac:dyDescent="0.2">
      <c r="A353">
        <v>19610428</v>
      </c>
      <c r="B353">
        <v>1961</v>
      </c>
      <c r="C353">
        <v>4</v>
      </c>
      <c r="D353" s="2">
        <f>ff_portfolios25!D353-ff_factors!$E353</f>
        <v>1.0801999999999999E-2</v>
      </c>
      <c r="E353" s="2">
        <f>ff_portfolios25!E353-ff_factors!$E353</f>
        <v>3.1295999999999997E-2</v>
      </c>
      <c r="F353" s="2">
        <f>ff_portfolios25!F353-ff_factors!$E353</f>
        <v>1.2156999999999999E-2</v>
      </c>
      <c r="G353" s="2">
        <f>ff_portfolios25!G353-ff_factors!$E353</f>
        <v>2.1048999999999998E-2</v>
      </c>
      <c r="H353" s="2">
        <f>ff_portfolios25!H353-ff_factors!$E353</f>
        <v>3.7580000000000001E-3</v>
      </c>
      <c r="I353" s="2">
        <f>ff_portfolios25!I353-ff_factors!$E353</f>
        <v>2.0566999999999998E-2</v>
      </c>
      <c r="J353" s="2">
        <f>ff_portfolios25!J353-ff_factors!$E353</f>
        <v>1.263E-3</v>
      </c>
      <c r="K353" s="2">
        <f>ff_portfolios25!K353-ff_factors!$E353</f>
        <v>5.4250000000000001E-3</v>
      </c>
      <c r="L353" s="2">
        <f>ff_portfolios25!L353-ff_factors!$E353</f>
        <v>3.1823999999999998E-2</v>
      </c>
      <c r="M353" s="2">
        <f>ff_portfolios25!M353-ff_factors!$E353</f>
        <v>4.6030000000000001E-2</v>
      </c>
      <c r="N353" s="2">
        <f>ff_portfolios25!N353-ff_factors!$E353</f>
        <v>-8.855E-3</v>
      </c>
      <c r="O353" s="2">
        <f>ff_portfolios25!O353-ff_factors!$E353</f>
        <v>9.023999999999999E-3</v>
      </c>
      <c r="P353" s="2">
        <f>ff_portfolios25!P353-ff_factors!$E353</f>
        <v>-2.3460000000000002E-2</v>
      </c>
      <c r="Q353" s="2">
        <f>ff_portfolios25!Q353-ff_factors!$E353</f>
        <v>6.6389999999999991E-3</v>
      </c>
      <c r="R353" s="2">
        <f>ff_portfolios25!R353-ff_factors!$E353</f>
        <v>1.1768000000000001E-2</v>
      </c>
      <c r="S353" s="2">
        <f>ff_portfolios25!S353-ff_factors!$E353</f>
        <v>-8.8719999999999997E-3</v>
      </c>
      <c r="T353" s="2">
        <f>ff_portfolios25!T353-ff_factors!$E353</f>
        <v>8.626E-3</v>
      </c>
      <c r="U353" s="2">
        <f>ff_portfolios25!U353-ff_factors!$E353</f>
        <v>1.5328999999999999E-2</v>
      </c>
      <c r="V353" s="2">
        <f>ff_portfolios25!V353-ff_factors!$E353</f>
        <v>-7.9100000000000004E-3</v>
      </c>
      <c r="W353" s="2">
        <f>ff_portfolios25!W353-ff_factors!$E353</f>
        <v>-5.9167999999999998E-2</v>
      </c>
      <c r="X353" s="2">
        <f>ff_portfolios25!X353-ff_factors!$E353</f>
        <v>-8.1349999999999999E-3</v>
      </c>
      <c r="Y353" s="2">
        <f>ff_portfolios25!Y353-ff_factors!$E353</f>
        <v>-3.6359999999999999E-3</v>
      </c>
      <c r="Z353" s="2">
        <f>ff_portfolios25!Z353-ff_factors!$E353</f>
        <v>2.0834999999999999E-2</v>
      </c>
      <c r="AA353" s="2">
        <f>ff_portfolios25!AA353-ff_factors!$E353</f>
        <v>5.3299999999999997E-3</v>
      </c>
      <c r="AB353" s="2">
        <f>ff_portfolios25!AB353-ff_factors!$E353</f>
        <v>4.8032999999999999E-2</v>
      </c>
    </row>
    <row r="354" spans="1:28" x14ac:dyDescent="0.2">
      <c r="A354">
        <v>19610531</v>
      </c>
      <c r="B354">
        <v>1961</v>
      </c>
      <c r="C354">
        <v>5</v>
      </c>
      <c r="D354" s="2">
        <f>ff_portfolios25!D354-ff_factors!$E354</f>
        <v>-8.6400000000000001E-3</v>
      </c>
      <c r="E354" s="2">
        <f>ff_portfolios25!E354-ff_factors!$E354</f>
        <v>4.1908999999999995E-2</v>
      </c>
      <c r="F354" s="2">
        <f>ff_portfolios25!F354-ff_factors!$E354</f>
        <v>2.0445000000000001E-2</v>
      </c>
      <c r="G354" s="2">
        <f>ff_portfolios25!G354-ff_factors!$E354</f>
        <v>3.3517999999999999E-2</v>
      </c>
      <c r="H354" s="2">
        <f>ff_portfolios25!H354-ff_factors!$E354</f>
        <v>5.4191999999999997E-2</v>
      </c>
      <c r="I354" s="2">
        <f>ff_portfolios25!I354-ff_factors!$E354</f>
        <v>1.3288000000000001E-2</v>
      </c>
      <c r="J354" s="2">
        <f>ff_portfolios25!J354-ff_factors!$E354</f>
        <v>4.7779999999999993E-3</v>
      </c>
      <c r="K354" s="2">
        <f>ff_portfolios25!K354-ff_factors!$E354</f>
        <v>7.2193000000000007E-2</v>
      </c>
      <c r="L354" s="2">
        <f>ff_portfolios25!L354-ff_factors!$E354</f>
        <v>2.6719E-2</v>
      </c>
      <c r="M354" s="2">
        <f>ff_portfolios25!M354-ff_factors!$E354</f>
        <v>5.6215999999999995E-2</v>
      </c>
      <c r="N354" s="2">
        <f>ff_portfolios25!N354-ff_factors!$E354</f>
        <v>3.5059E-2</v>
      </c>
      <c r="O354" s="2">
        <f>ff_portfolios25!O354-ff_factors!$E354</f>
        <v>4.2507999999999997E-2</v>
      </c>
      <c r="P354" s="2">
        <f>ff_portfolios25!P354-ff_factors!$E354</f>
        <v>3.3236999999999996E-2</v>
      </c>
      <c r="Q354" s="2">
        <f>ff_portfolios25!Q354-ff_factors!$E354</f>
        <v>6.9044000000000008E-2</v>
      </c>
      <c r="R354" s="2">
        <f>ff_portfolios25!R354-ff_factors!$E354</f>
        <v>2.8511999999999999E-2</v>
      </c>
      <c r="S354" s="2">
        <f>ff_portfolios25!S354-ff_factors!$E354</f>
        <v>3.3495999999999998E-2</v>
      </c>
      <c r="T354" s="2">
        <f>ff_portfolios25!T354-ff_factors!$E354</f>
        <v>3.5020999999999997E-2</v>
      </c>
      <c r="U354" s="2">
        <f>ff_portfolios25!U354-ff_factors!$E354</f>
        <v>3.1403E-2</v>
      </c>
      <c r="V354" s="2">
        <f>ff_portfolios25!V354-ff_factors!$E354</f>
        <v>4.2890999999999999E-2</v>
      </c>
      <c r="W354" s="2">
        <f>ff_portfolios25!W354-ff_factors!$E354</f>
        <v>6.750600000000001E-2</v>
      </c>
      <c r="X354" s="2">
        <f>ff_portfolios25!X354-ff_factors!$E354</f>
        <v>3.0687000000000002E-2</v>
      </c>
      <c r="Y354" s="2">
        <f>ff_portfolios25!Y354-ff_factors!$E354</f>
        <v>2.9229000000000002E-2</v>
      </c>
      <c r="Z354" s="2">
        <f>ff_portfolios25!Z354-ff_factors!$E354</f>
        <v>-1.616E-3</v>
      </c>
      <c r="AA354" s="2">
        <f>ff_portfolios25!AA354-ff_factors!$E354</f>
        <v>2.3529000000000001E-2</v>
      </c>
      <c r="AB354" s="2">
        <f>ff_portfolios25!AB354-ff_factors!$E354</f>
        <v>1.2575000000000001E-2</v>
      </c>
    </row>
    <row r="355" spans="1:28" x14ac:dyDescent="0.2">
      <c r="A355">
        <v>19610630</v>
      </c>
      <c r="B355">
        <v>1961</v>
      </c>
      <c r="C355">
        <v>6</v>
      </c>
      <c r="D355" s="2">
        <f>ff_portfolios25!D355-ff_factors!$E355</f>
        <v>-6.2810000000000005E-2</v>
      </c>
      <c r="E355" s="2">
        <f>ff_portfolios25!E355-ff_factors!$E355</f>
        <v>-5.7461000000000005E-2</v>
      </c>
      <c r="F355" s="2">
        <f>ff_portfolios25!F355-ff_factors!$E355</f>
        <v>-4.6051000000000002E-2</v>
      </c>
      <c r="G355" s="2">
        <f>ff_portfolios25!G355-ff_factors!$E355</f>
        <v>-5.9694000000000004E-2</v>
      </c>
      <c r="H355" s="2">
        <f>ff_portfolios25!H355-ff_factors!$E355</f>
        <v>-6.2181E-2</v>
      </c>
      <c r="I355" s="2">
        <f>ff_portfolios25!I355-ff_factors!$E355</f>
        <v>-7.3509000000000005E-2</v>
      </c>
      <c r="J355" s="2">
        <f>ff_portfolios25!J355-ff_factors!$E355</f>
        <v>-3.0753000000000003E-2</v>
      </c>
      <c r="K355" s="2">
        <f>ff_portfolios25!K355-ff_factors!$E355</f>
        <v>-4.3639000000000004E-2</v>
      </c>
      <c r="L355" s="2">
        <f>ff_portfolios25!L355-ff_factors!$E355</f>
        <v>-5.1609000000000002E-2</v>
      </c>
      <c r="M355" s="2">
        <f>ff_portfolios25!M355-ff_factors!$E355</f>
        <v>-5.5666E-2</v>
      </c>
      <c r="N355" s="2">
        <f>ff_portfolios25!N355-ff_factors!$E355</f>
        <v>-5.4024000000000003E-2</v>
      </c>
      <c r="O355" s="2">
        <f>ff_portfolios25!O355-ff_factors!$E355</f>
        <v>-5.4205000000000003E-2</v>
      </c>
      <c r="P355" s="2">
        <f>ff_portfolios25!P355-ff_factors!$E355</f>
        <v>-2.9356E-2</v>
      </c>
      <c r="Q355" s="2">
        <f>ff_portfolios25!Q355-ff_factors!$E355</f>
        <v>-5.6625000000000002E-2</v>
      </c>
      <c r="R355" s="2">
        <f>ff_portfolios25!R355-ff_factors!$E355</f>
        <v>-4.5510000000000002E-2</v>
      </c>
      <c r="S355" s="2">
        <f>ff_portfolios25!S355-ff_factors!$E355</f>
        <v>-4.9033E-2</v>
      </c>
      <c r="T355" s="2">
        <f>ff_portfolios25!T355-ff_factors!$E355</f>
        <v>-3.6831000000000003E-2</v>
      </c>
      <c r="U355" s="2">
        <f>ff_portfolios25!U355-ff_factors!$E355</f>
        <v>-3.4002999999999999E-2</v>
      </c>
      <c r="V355" s="2">
        <f>ff_portfolios25!V355-ff_factors!$E355</f>
        <v>-9.8169999999999993E-3</v>
      </c>
      <c r="W355" s="2">
        <f>ff_portfolios25!W355-ff_factors!$E355</f>
        <v>-3.4816E-2</v>
      </c>
      <c r="X355" s="2">
        <f>ff_portfolios25!X355-ff_factors!$E355</f>
        <v>-1.6309000000000001E-2</v>
      </c>
      <c r="Y355" s="2">
        <f>ff_portfolios25!Y355-ff_factors!$E355</f>
        <v>-4.2408000000000001E-2</v>
      </c>
      <c r="Z355" s="2">
        <f>ff_portfolios25!Z355-ff_factors!$E355</f>
        <v>-3.2891999999999998E-2</v>
      </c>
      <c r="AA355" s="2">
        <f>ff_portfolios25!AA355-ff_factors!$E355</f>
        <v>-4.3123000000000002E-2</v>
      </c>
      <c r="AB355" s="2">
        <f>ff_portfolios25!AB355-ff_factors!$E355</f>
        <v>-3.1859999999999999E-2</v>
      </c>
    </row>
    <row r="356" spans="1:28" x14ac:dyDescent="0.2">
      <c r="A356">
        <v>19610731</v>
      </c>
      <c r="B356">
        <v>1961</v>
      </c>
      <c r="C356">
        <v>7</v>
      </c>
      <c r="D356" s="2">
        <f>ff_portfolios25!D356-ff_factors!$E356</f>
        <v>1.5085000000000001E-2</v>
      </c>
      <c r="E356" s="2">
        <f>ff_portfolios25!E356-ff_factors!$E356</f>
        <v>-1.8259999999999999E-3</v>
      </c>
      <c r="F356" s="2">
        <f>ff_portfolios25!F356-ff_factors!$E356</f>
        <v>-2.4471E-2</v>
      </c>
      <c r="G356" s="2">
        <f>ff_portfolios25!G356-ff_factors!$E356</f>
        <v>2.2440999999999999E-2</v>
      </c>
      <c r="H356" s="2">
        <f>ff_portfolios25!H356-ff_factors!$E356</f>
        <v>-8.6119999999999999E-3</v>
      </c>
      <c r="I356" s="2">
        <f>ff_portfolios25!I356-ff_factors!$E356</f>
        <v>-4.2190000000000005E-3</v>
      </c>
      <c r="J356" s="2">
        <f>ff_portfolios25!J356-ff_factors!$E356</f>
        <v>-1.2005E-2</v>
      </c>
      <c r="K356" s="2">
        <f>ff_portfolios25!K356-ff_factors!$E356</f>
        <v>4.4609999999999997E-3</v>
      </c>
      <c r="L356" s="2">
        <f>ff_portfolios25!L356-ff_factors!$E356</f>
        <v>4.9460000000000007E-3</v>
      </c>
      <c r="M356" s="2">
        <f>ff_portfolios25!M356-ff_factors!$E356</f>
        <v>1.9509000000000002E-2</v>
      </c>
      <c r="N356" s="2">
        <f>ff_portfolios25!N356-ff_factors!$E356</f>
        <v>-4.3800000000000002E-3</v>
      </c>
      <c r="O356" s="2">
        <f>ff_portfolios25!O356-ff_factors!$E356</f>
        <v>1.1619000000000001E-2</v>
      </c>
      <c r="P356" s="2">
        <f>ff_portfolios25!P356-ff_factors!$E356</f>
        <v>1.8922000000000001E-2</v>
      </c>
      <c r="Q356" s="2">
        <f>ff_portfolios25!Q356-ff_factors!$E356</f>
        <v>1.0055E-2</v>
      </c>
      <c r="R356" s="2">
        <f>ff_portfolios25!R356-ff_factors!$E356</f>
        <v>1.4503000000000002E-2</v>
      </c>
      <c r="S356" s="2">
        <f>ff_portfolios25!S356-ff_factors!$E356</f>
        <v>4.3619999999999996E-3</v>
      </c>
      <c r="T356" s="2">
        <f>ff_portfolios25!T356-ff_factors!$E356</f>
        <v>2.5993000000000002E-2</v>
      </c>
      <c r="U356" s="2">
        <f>ff_portfolios25!U356-ff_factors!$E356</f>
        <v>2.4500000000000001E-2</v>
      </c>
      <c r="V356" s="2">
        <f>ff_portfolios25!V356-ff_factors!$E356</f>
        <v>9.1800000000000007E-3</v>
      </c>
      <c r="W356" s="2">
        <f>ff_portfolios25!W356-ff_factors!$E356</f>
        <v>-2.6480000000000002E-3</v>
      </c>
      <c r="X356" s="2">
        <f>ff_portfolios25!X356-ff_factors!$E356</f>
        <v>1.6924000000000002E-2</v>
      </c>
      <c r="Y356" s="2">
        <f>ff_portfolios25!Y356-ff_factors!$E356</f>
        <v>4.9279999999999997E-2</v>
      </c>
      <c r="Z356" s="2">
        <f>ff_portfolios25!Z356-ff_factors!$E356</f>
        <v>3.8477999999999998E-2</v>
      </c>
      <c r="AA356" s="2">
        <f>ff_portfolios25!AA356-ff_factors!$E356</f>
        <v>9.0460000000000002E-3</v>
      </c>
      <c r="AB356" s="2">
        <f>ff_portfolios25!AB356-ff_factors!$E356</f>
        <v>2.7304000000000002E-2</v>
      </c>
    </row>
    <row r="357" spans="1:28" x14ac:dyDescent="0.2">
      <c r="A357">
        <v>19610831</v>
      </c>
      <c r="B357">
        <v>1961</v>
      </c>
      <c r="C357">
        <v>8</v>
      </c>
      <c r="D357" s="2">
        <f>ff_portfolios25!D357-ff_factors!$E357</f>
        <v>3.5109000000000001E-2</v>
      </c>
      <c r="E357" s="2">
        <f>ff_portfolios25!E357-ff_factors!$E357</f>
        <v>8.9379999999999998E-3</v>
      </c>
      <c r="F357" s="2">
        <f>ff_portfolios25!F357-ff_factors!$E357</f>
        <v>-7.4299999999999995E-4</v>
      </c>
      <c r="G357" s="2">
        <f>ff_portfolios25!G357-ff_factors!$E357</f>
        <v>-7.11E-3</v>
      </c>
      <c r="H357" s="2">
        <f>ff_portfolios25!H357-ff_factors!$E357</f>
        <v>1.6873000000000003E-2</v>
      </c>
      <c r="I357" s="2">
        <f>ff_portfolios25!I357-ff_factors!$E357</f>
        <v>3.0984999999999999E-2</v>
      </c>
      <c r="J357" s="2">
        <f>ff_portfolios25!J357-ff_factors!$E357</f>
        <v>3.124E-3</v>
      </c>
      <c r="K357" s="2">
        <f>ff_portfolios25!K357-ff_factors!$E357</f>
        <v>9.8250000000000004E-3</v>
      </c>
      <c r="L357" s="2">
        <f>ff_portfolios25!L357-ff_factors!$E357</f>
        <v>6.7510000000000001E-3</v>
      </c>
      <c r="M357" s="2">
        <f>ff_portfolios25!M357-ff_factors!$E357</f>
        <v>1.6020000000000003E-2</v>
      </c>
      <c r="N357" s="2">
        <f>ff_portfolios25!N357-ff_factors!$E357</f>
        <v>-4.1089999999999998E-3</v>
      </c>
      <c r="O357" s="2">
        <f>ff_portfolios25!O357-ff_factors!$E357</f>
        <v>1.5243999999999999E-2</v>
      </c>
      <c r="P357" s="2">
        <f>ff_portfolios25!P357-ff_factors!$E357</f>
        <v>-3.4939999999999997E-3</v>
      </c>
      <c r="Q357" s="2">
        <f>ff_portfolios25!Q357-ff_factors!$E357</f>
        <v>2.0316000000000001E-2</v>
      </c>
      <c r="R357" s="2">
        <f>ff_portfolios25!R357-ff_factors!$E357</f>
        <v>2.5659999999999997E-3</v>
      </c>
      <c r="S357" s="2">
        <f>ff_portfolios25!S357-ff_factors!$E357</f>
        <v>4.8741E-2</v>
      </c>
      <c r="T357" s="2">
        <f>ff_portfolios25!T357-ff_factors!$E357</f>
        <v>4.0798000000000001E-2</v>
      </c>
      <c r="U357" s="2">
        <f>ff_portfolios25!U357-ff_factors!$E357</f>
        <v>3.8508000000000001E-2</v>
      </c>
      <c r="V357" s="2">
        <f>ff_portfolios25!V357-ff_factors!$E357</f>
        <v>4.9819999999999994E-3</v>
      </c>
      <c r="W357" s="2">
        <f>ff_portfolios25!W357-ff_factors!$E357</f>
        <v>2.7060000000000001E-2</v>
      </c>
      <c r="X357" s="2">
        <f>ff_portfolios25!X357-ff_factors!$E357</f>
        <v>4.0455000000000005E-2</v>
      </c>
      <c r="Y357" s="2">
        <f>ff_portfolios25!Y357-ff_factors!$E357</f>
        <v>1.8745000000000001E-2</v>
      </c>
      <c r="Z357" s="2">
        <f>ff_portfolios25!Z357-ff_factors!$E357</f>
        <v>5.3629999999999997E-3</v>
      </c>
      <c r="AA357" s="2">
        <f>ff_portfolios25!AA357-ff_factors!$E357</f>
        <v>1.5475000000000001E-2</v>
      </c>
      <c r="AB357" s="2">
        <f>ff_portfolios25!AB357-ff_factors!$E357</f>
        <v>3.5476000000000001E-2</v>
      </c>
    </row>
    <row r="358" spans="1:28" x14ac:dyDescent="0.2">
      <c r="A358">
        <v>19610929</v>
      </c>
      <c r="B358">
        <v>1961</v>
      </c>
      <c r="C358">
        <v>9</v>
      </c>
      <c r="D358" s="2">
        <f>ff_portfolios25!D358-ff_factors!$E358</f>
        <v>-5.7030999999999998E-2</v>
      </c>
      <c r="E358" s="2">
        <f>ff_portfolios25!E358-ff_factors!$E358</f>
        <v>-6.2100000000000002E-2</v>
      </c>
      <c r="F358" s="2">
        <f>ff_portfolios25!F358-ff_factors!$E358</f>
        <v>-2.7918999999999999E-2</v>
      </c>
      <c r="G358" s="2">
        <f>ff_portfolios25!G358-ff_factors!$E358</f>
        <v>-2.8081999999999999E-2</v>
      </c>
      <c r="H358" s="2">
        <f>ff_portfolios25!H358-ff_factors!$E358</f>
        <v>-4.3955000000000001E-2</v>
      </c>
      <c r="I358" s="2">
        <f>ff_portfolios25!I358-ff_factors!$E358</f>
        <v>-4.9540000000000001E-2</v>
      </c>
      <c r="J358" s="2">
        <f>ff_portfolios25!J358-ff_factors!$E358</f>
        <v>-5.4836999999999997E-2</v>
      </c>
      <c r="K358" s="2">
        <f>ff_portfolios25!K358-ff_factors!$E358</f>
        <v>-3.2764000000000001E-2</v>
      </c>
      <c r="L358" s="2">
        <f>ff_portfolios25!L358-ff_factors!$E358</f>
        <v>-3.9184000000000004E-2</v>
      </c>
      <c r="M358" s="2">
        <f>ff_portfolios25!M358-ff_factors!$E358</f>
        <v>-1.5758999999999999E-2</v>
      </c>
      <c r="N358" s="2">
        <f>ff_portfolios25!N358-ff_factors!$E358</f>
        <v>-3.9608999999999998E-2</v>
      </c>
      <c r="O358" s="2">
        <f>ff_portfolios25!O358-ff_factors!$E358</f>
        <v>7.0999999999999991E-4</v>
      </c>
      <c r="P358" s="2">
        <f>ff_portfolios25!P358-ff_factors!$E358</f>
        <v>-3.0575000000000001E-2</v>
      </c>
      <c r="Q358" s="2">
        <f>ff_portfolios25!Q358-ff_factors!$E358</f>
        <v>-2.9659000000000001E-2</v>
      </c>
      <c r="R358" s="2">
        <f>ff_portfolios25!R358-ff_factors!$E358</f>
        <v>-4.947E-2</v>
      </c>
      <c r="S358" s="2">
        <f>ff_portfolios25!S358-ff_factors!$E358</f>
        <v>-2.1933000000000001E-2</v>
      </c>
      <c r="T358" s="2">
        <f>ff_portfolios25!T358-ff_factors!$E358</f>
        <v>-2.5101000000000002E-2</v>
      </c>
      <c r="U358" s="2">
        <f>ff_portfolios25!U358-ff_factors!$E358</f>
        <v>-3.0572999999999999E-2</v>
      </c>
      <c r="V358" s="2">
        <f>ff_portfolios25!V358-ff_factors!$E358</f>
        <v>-4.1065999999999998E-2</v>
      </c>
      <c r="W358" s="2">
        <f>ff_portfolios25!W358-ff_factors!$E358</f>
        <v>-3.8908999999999999E-2</v>
      </c>
      <c r="X358" s="2">
        <f>ff_portfolios25!X358-ff_factors!$E358</f>
        <v>-8.1589999999999996E-3</v>
      </c>
      <c r="Y358" s="2">
        <f>ff_portfolios25!Y358-ff_factors!$E358</f>
        <v>-2.0667000000000001E-2</v>
      </c>
      <c r="Z358" s="2">
        <f>ff_portfolios25!Z358-ff_factors!$E358</f>
        <v>-3.7491999999999998E-2</v>
      </c>
      <c r="AA358" s="2">
        <f>ff_portfolios25!AA358-ff_factors!$E358</f>
        <v>-4.9402000000000001E-2</v>
      </c>
      <c r="AB358" s="2">
        <f>ff_portfolios25!AB358-ff_factors!$E358</f>
        <v>-4.4190000000000002E-3</v>
      </c>
    </row>
    <row r="359" spans="1:28" x14ac:dyDescent="0.2">
      <c r="A359">
        <v>19611031</v>
      </c>
      <c r="B359">
        <v>1961</v>
      </c>
      <c r="C359">
        <v>10</v>
      </c>
      <c r="D359" s="2">
        <f>ff_portfolios25!D359-ff_factors!$E359</f>
        <v>1.5507999999999999E-2</v>
      </c>
      <c r="E359" s="2">
        <f>ff_portfolios25!E359-ff_factors!$E359</f>
        <v>6.4930000000000002E-2</v>
      </c>
      <c r="F359" s="2">
        <f>ff_portfolios25!F359-ff_factors!$E359</f>
        <v>3.3113000000000004E-2</v>
      </c>
      <c r="G359" s="2">
        <f>ff_portfolios25!G359-ff_factors!$E359</f>
        <v>1.7867000000000001E-2</v>
      </c>
      <c r="H359" s="2">
        <f>ff_portfolios25!H359-ff_factors!$E359</f>
        <v>9.9010000000000001E-3</v>
      </c>
      <c r="I359" s="2">
        <f>ff_portfolios25!I359-ff_factors!$E359</f>
        <v>-1.7464E-2</v>
      </c>
      <c r="J359" s="2">
        <f>ff_portfolios25!J359-ff_factors!$E359</f>
        <v>1.9792000000000001E-2</v>
      </c>
      <c r="K359" s="2">
        <f>ff_portfolios25!K359-ff_factors!$E359</f>
        <v>3.4929000000000002E-2</v>
      </c>
      <c r="L359" s="2">
        <f>ff_portfolios25!L359-ff_factors!$E359</f>
        <v>6.791000000000001E-3</v>
      </c>
      <c r="M359" s="2">
        <f>ff_portfolios25!M359-ff_factors!$E359</f>
        <v>8.3759999999999998E-3</v>
      </c>
      <c r="N359" s="2">
        <f>ff_portfolios25!N359-ff_factors!$E359</f>
        <v>1.9044000000000002E-2</v>
      </c>
      <c r="O359" s="2">
        <f>ff_portfolios25!O359-ff_factors!$E359</f>
        <v>3.5059E-2</v>
      </c>
      <c r="P359" s="2">
        <f>ff_portfolios25!P359-ff_factors!$E359</f>
        <v>1.4815E-2</v>
      </c>
      <c r="Q359" s="2">
        <f>ff_portfolios25!Q359-ff_factors!$E359</f>
        <v>2.3536000000000001E-2</v>
      </c>
      <c r="R359" s="2">
        <f>ff_portfolios25!R359-ff_factors!$E359</f>
        <v>-1.2558000000000001E-2</v>
      </c>
      <c r="S359" s="2">
        <f>ff_portfolios25!S359-ff_factors!$E359</f>
        <v>2.6290000000000001E-2</v>
      </c>
      <c r="T359" s="2">
        <f>ff_portfolios25!T359-ff_factors!$E359</f>
        <v>3.2242E-2</v>
      </c>
      <c r="U359" s="2">
        <f>ff_portfolios25!U359-ff_factors!$E359</f>
        <v>4.8190000000000004E-2</v>
      </c>
      <c r="V359" s="2">
        <f>ff_portfolios25!V359-ff_factors!$E359</f>
        <v>-1.8286E-2</v>
      </c>
      <c r="W359" s="2">
        <f>ff_portfolios25!W359-ff_factors!$E359</f>
        <v>2.3339000000000002E-2</v>
      </c>
      <c r="X359" s="2">
        <f>ff_portfolios25!X359-ff_factors!$E359</f>
        <v>3.3338E-2</v>
      </c>
      <c r="Y359" s="2">
        <f>ff_portfolios25!Y359-ff_factors!$E359</f>
        <v>1.1077E-2</v>
      </c>
      <c r="Z359" s="2">
        <f>ff_portfolios25!Z359-ff_factors!$E359</f>
        <v>3.6683E-2</v>
      </c>
      <c r="AA359" s="2">
        <f>ff_portfolios25!AA359-ff_factors!$E359</f>
        <v>5.5867E-2</v>
      </c>
      <c r="AB359" s="2">
        <f>ff_portfolios25!AB359-ff_factors!$E359</f>
        <v>5.7790000000000003E-3</v>
      </c>
    </row>
    <row r="360" spans="1:28" x14ac:dyDescent="0.2">
      <c r="A360">
        <v>19611130</v>
      </c>
      <c r="B360">
        <v>1961</v>
      </c>
      <c r="C360">
        <v>11</v>
      </c>
      <c r="D360" s="2">
        <f>ff_portfolios25!D360-ff_factors!$E360</f>
        <v>6.4181000000000002E-2</v>
      </c>
      <c r="E360" s="2">
        <f>ff_portfolios25!E360-ff_factors!$E360</f>
        <v>4.9724999999999998E-2</v>
      </c>
      <c r="F360" s="2">
        <f>ff_portfolios25!F360-ff_factors!$E360</f>
        <v>5.7582999999999995E-2</v>
      </c>
      <c r="G360" s="2">
        <f>ff_portfolios25!G360-ff_factors!$E360</f>
        <v>6.1719999999999997E-2</v>
      </c>
      <c r="H360" s="2">
        <f>ff_portfolios25!H360-ff_factors!$E360</f>
        <v>4.6156999999999997E-2</v>
      </c>
      <c r="I360" s="2">
        <f>ff_portfolios25!I360-ff_factors!$E360</f>
        <v>3.5436999999999996E-2</v>
      </c>
      <c r="J360" s="2">
        <f>ff_portfolios25!J360-ff_factors!$E360</f>
        <v>7.4625999999999998E-2</v>
      </c>
      <c r="K360" s="2">
        <f>ff_portfolios25!K360-ff_factors!$E360</f>
        <v>5.4648000000000002E-2</v>
      </c>
      <c r="L360" s="2">
        <f>ff_portfolios25!L360-ff_factors!$E360</f>
        <v>5.8422000000000002E-2</v>
      </c>
      <c r="M360" s="2">
        <f>ff_portfolios25!M360-ff_factors!$E360</f>
        <v>5.7118000000000002E-2</v>
      </c>
      <c r="N360" s="2">
        <f>ff_portfolios25!N360-ff_factors!$E360</f>
        <v>8.2054000000000002E-2</v>
      </c>
      <c r="O360" s="2">
        <f>ff_portfolios25!O360-ff_factors!$E360</f>
        <v>4.5558000000000001E-2</v>
      </c>
      <c r="P360" s="2">
        <f>ff_portfolios25!P360-ff_factors!$E360</f>
        <v>3.9809999999999998E-2</v>
      </c>
      <c r="Q360" s="2">
        <f>ff_portfolios25!Q360-ff_factors!$E360</f>
        <v>4.6113999999999995E-2</v>
      </c>
      <c r="R360" s="2">
        <f>ff_portfolios25!R360-ff_factors!$E360</f>
        <v>1.5702999999999998E-2</v>
      </c>
      <c r="S360" s="2">
        <f>ff_portfolios25!S360-ff_factors!$E360</f>
        <v>4.4750999999999999E-2</v>
      </c>
      <c r="T360" s="2">
        <f>ff_portfolios25!T360-ff_factors!$E360</f>
        <v>2.2213E-2</v>
      </c>
      <c r="U360" s="2">
        <f>ff_portfolios25!U360-ff_factors!$E360</f>
        <v>5.2608999999999996E-2</v>
      </c>
      <c r="V360" s="2">
        <f>ff_portfolios25!V360-ff_factors!$E360</f>
        <v>3.7071E-2</v>
      </c>
      <c r="W360" s="2">
        <f>ff_portfolios25!W360-ff_factors!$E360</f>
        <v>3.5496E-2</v>
      </c>
      <c r="X360" s="2">
        <f>ff_portfolios25!X360-ff_factors!$E360</f>
        <v>3.1445000000000001E-2</v>
      </c>
      <c r="Y360" s="2">
        <f>ff_portfolios25!Y360-ff_factors!$E360</f>
        <v>6.6564999999999999E-2</v>
      </c>
      <c r="Z360" s="2">
        <f>ff_portfolios25!Z360-ff_factors!$E360</f>
        <v>3.8967000000000002E-2</v>
      </c>
      <c r="AA360" s="2">
        <f>ff_portfolios25!AA360-ff_factors!$E360</f>
        <v>3.1016999999999996E-2</v>
      </c>
      <c r="AB360" s="2">
        <f>ff_portfolios25!AB360-ff_factors!$E360</f>
        <v>3.9118E-2</v>
      </c>
    </row>
    <row r="361" spans="1:28" x14ac:dyDescent="0.2">
      <c r="A361">
        <v>19611229</v>
      </c>
      <c r="B361">
        <v>1961</v>
      </c>
      <c r="C361">
        <v>12</v>
      </c>
      <c r="D361" s="2">
        <f>ff_portfolios25!D361-ff_factors!$E361</f>
        <v>-3.8619000000000001E-2</v>
      </c>
      <c r="E361" s="2">
        <f>ff_portfolios25!E361-ff_factors!$E361</f>
        <v>3.9292000000000001E-2</v>
      </c>
      <c r="F361" s="2">
        <f>ff_portfolios25!F361-ff_factors!$E361</f>
        <v>-1.5886000000000001E-2</v>
      </c>
      <c r="G361" s="2">
        <f>ff_portfolios25!G361-ff_factors!$E361</f>
        <v>1.1463999999999998E-2</v>
      </c>
      <c r="H361" s="2">
        <f>ff_portfolios25!H361-ff_factors!$E361</f>
        <v>1.7700000000000001E-3</v>
      </c>
      <c r="I361" s="2">
        <f>ff_portfolios25!I361-ff_factors!$E361</f>
        <v>-4.5150999999999997E-2</v>
      </c>
      <c r="J361" s="2">
        <f>ff_portfolios25!J361-ff_factors!$E361</f>
        <v>-5.1000000000000047E-5</v>
      </c>
      <c r="K361" s="2">
        <f>ff_portfolios25!K361-ff_factors!$E361</f>
        <v>-2.6770000000000001E-3</v>
      </c>
      <c r="L361" s="2">
        <f>ff_portfolios25!L361-ff_factors!$E361</f>
        <v>1.5996E-2</v>
      </c>
      <c r="M361" s="2">
        <f>ff_portfolios25!M361-ff_factors!$E361</f>
        <v>-1.4886E-2</v>
      </c>
      <c r="N361" s="2">
        <f>ff_portfolios25!N361-ff_factors!$E361</f>
        <v>-1.7689E-2</v>
      </c>
      <c r="O361" s="2">
        <f>ff_portfolios25!O361-ff_factors!$E361</f>
        <v>-2.6814999999999999E-2</v>
      </c>
      <c r="P361" s="2">
        <f>ff_portfolios25!P361-ff_factors!$E361</f>
        <v>3.1400000000000004E-3</v>
      </c>
      <c r="Q361" s="2">
        <f>ff_portfolios25!Q361-ff_factors!$E361</f>
        <v>1.3738999999999999E-2</v>
      </c>
      <c r="R361" s="2">
        <f>ff_portfolios25!R361-ff_factors!$E361</f>
        <v>1.1604E-2</v>
      </c>
      <c r="S361" s="2">
        <f>ff_portfolios25!S361-ff_factors!$E361</f>
        <v>-3.8979E-2</v>
      </c>
      <c r="T361" s="2">
        <f>ff_portfolios25!T361-ff_factors!$E361</f>
        <v>-1.9657999999999998E-2</v>
      </c>
      <c r="U361" s="2">
        <f>ff_portfolios25!U361-ff_factors!$E361</f>
        <v>-2.0709999999999999E-3</v>
      </c>
      <c r="V361" s="2">
        <f>ff_portfolios25!V361-ff_factors!$E361</f>
        <v>1.3252E-2</v>
      </c>
      <c r="W361" s="2">
        <f>ff_portfolios25!W361-ff_factors!$E361</f>
        <v>-1.4373E-2</v>
      </c>
      <c r="X361" s="2">
        <f>ff_portfolios25!X361-ff_factors!$E361</f>
        <v>-1.7228E-2</v>
      </c>
      <c r="Y361" s="2">
        <f>ff_portfolios25!Y361-ff_factors!$E361</f>
        <v>9.8709999999999996E-3</v>
      </c>
      <c r="Z361" s="2">
        <f>ff_portfolios25!Z361-ff_factors!$E361</f>
        <v>2.3814000000000002E-2</v>
      </c>
      <c r="AA361" s="2">
        <f>ff_portfolios25!AA361-ff_factors!$E361</f>
        <v>2.5121000000000001E-2</v>
      </c>
      <c r="AB361" s="2">
        <f>ff_portfolios25!AB361-ff_factors!$E361</f>
        <v>-1.6229999999999999E-3</v>
      </c>
    </row>
    <row r="362" spans="1:28" x14ac:dyDescent="0.2">
      <c r="A362">
        <v>19620131</v>
      </c>
      <c r="B362">
        <v>1962</v>
      </c>
      <c r="C362">
        <v>1</v>
      </c>
      <c r="D362" s="2">
        <f>ff_portfolios25!D362-ff_factors!$E362</f>
        <v>6.0520000000000004E-2</v>
      </c>
      <c r="E362" s="2">
        <f>ff_portfolios25!E362-ff_factors!$E362</f>
        <v>-3.7571E-2</v>
      </c>
      <c r="F362" s="2">
        <f>ff_portfolios25!F362-ff_factors!$E362</f>
        <v>8.7889999999999999E-3</v>
      </c>
      <c r="G362" s="2">
        <f>ff_portfolios25!G362-ff_factors!$E362</f>
        <v>1.5005000000000001E-2</v>
      </c>
      <c r="H362" s="2">
        <f>ff_portfolios25!H362-ff_factors!$E362</f>
        <v>2.9444999999999999E-2</v>
      </c>
      <c r="I362" s="2">
        <f>ff_portfolios25!I362-ff_factors!$E362</f>
        <v>-4.2978000000000002E-2</v>
      </c>
      <c r="J362" s="2">
        <f>ff_portfolios25!J362-ff_factors!$E362</f>
        <v>-4.9420000000000002E-3</v>
      </c>
      <c r="K362" s="2">
        <f>ff_portfolios25!K362-ff_factors!$E362</f>
        <v>-7.273E-3</v>
      </c>
      <c r="L362" s="2">
        <f>ff_portfolios25!L362-ff_factors!$E362</f>
        <v>4.7209999999999995E-3</v>
      </c>
      <c r="M362" s="2">
        <f>ff_portfolios25!M362-ff_factors!$E362</f>
        <v>2.4551E-2</v>
      </c>
      <c r="N362" s="2">
        <f>ff_portfolios25!N362-ff_factors!$E362</f>
        <v>-4.8315999999999998E-2</v>
      </c>
      <c r="O362" s="2">
        <f>ff_portfolios25!O362-ff_factors!$E362</f>
        <v>-2.1849E-2</v>
      </c>
      <c r="P362" s="2">
        <f>ff_portfolios25!P362-ff_factors!$E362</f>
        <v>-2.3888E-2</v>
      </c>
      <c r="Q362" s="2">
        <f>ff_portfolios25!Q362-ff_factors!$E362</f>
        <v>-2.6977999999999999E-2</v>
      </c>
      <c r="R362" s="2">
        <f>ff_portfolios25!R362-ff_factors!$E362</f>
        <v>1.4725000000000002E-2</v>
      </c>
      <c r="S362" s="2">
        <f>ff_portfolios25!S362-ff_factors!$E362</f>
        <v>-5.5503999999999998E-2</v>
      </c>
      <c r="T362" s="2">
        <f>ff_portfolios25!T362-ff_factors!$E362</f>
        <v>-2.4278999999999998E-2</v>
      </c>
      <c r="U362" s="2">
        <f>ff_portfolios25!U362-ff_factors!$E362</f>
        <v>-2.8160000000000001E-2</v>
      </c>
      <c r="V362" s="2">
        <f>ff_portfolios25!V362-ff_factors!$E362</f>
        <v>1.5452E-2</v>
      </c>
      <c r="W362" s="2">
        <f>ff_portfolios25!W362-ff_factors!$E362</f>
        <v>3.3916000000000002E-2</v>
      </c>
      <c r="X362" s="2">
        <f>ff_portfolios25!X362-ff_factors!$E362</f>
        <v>-6.1030000000000001E-2</v>
      </c>
      <c r="Y362" s="2">
        <f>ff_portfolios25!Y362-ff_factors!$E362</f>
        <v>-4.1652000000000002E-2</v>
      </c>
      <c r="Z362" s="2">
        <f>ff_portfolios25!Z362-ff_factors!$E362</f>
        <v>-1.5045999999999999E-2</v>
      </c>
      <c r="AA362" s="2">
        <f>ff_portfolios25!AA362-ff_factors!$E362</f>
        <v>-5.6489999999999995E-3</v>
      </c>
      <c r="AB362" s="2">
        <f>ff_portfolios25!AB362-ff_factors!$E362</f>
        <v>-1.8719999999999997E-3</v>
      </c>
    </row>
    <row r="363" spans="1:28" x14ac:dyDescent="0.2">
      <c r="A363">
        <v>19620228</v>
      </c>
      <c r="B363">
        <v>1962</v>
      </c>
      <c r="C363">
        <v>2</v>
      </c>
      <c r="D363" s="2">
        <f>ff_portfolios25!D363-ff_factors!$E363</f>
        <v>1.189E-3</v>
      </c>
      <c r="E363" s="2">
        <f>ff_portfolios25!E363-ff_factors!$E363</f>
        <v>-1.3847999999999999E-2</v>
      </c>
      <c r="F363" s="2">
        <f>ff_portfolios25!F363-ff_factors!$E363</f>
        <v>1.908E-2</v>
      </c>
      <c r="G363" s="2">
        <f>ff_portfolios25!G363-ff_factors!$E363</f>
        <v>1.5559999999999999E-2</v>
      </c>
      <c r="H363" s="2">
        <f>ff_portfolios25!H363-ff_factors!$E363</f>
        <v>1.7129999999999999E-2</v>
      </c>
      <c r="I363" s="2">
        <f>ff_portfolios25!I363-ff_factors!$E363</f>
        <v>9.5569999999999995E-3</v>
      </c>
      <c r="J363" s="2">
        <f>ff_portfolios25!J363-ff_factors!$E363</f>
        <v>1.098E-2</v>
      </c>
      <c r="K363" s="2">
        <f>ff_portfolios25!K363-ff_factors!$E363</f>
        <v>-4.28E-3</v>
      </c>
      <c r="L363" s="2">
        <f>ff_portfolios25!L363-ff_factors!$E363</f>
        <v>2.1576999999999999E-2</v>
      </c>
      <c r="M363" s="2">
        <f>ff_portfolios25!M363-ff_factors!$E363</f>
        <v>1.2711999999999999E-2</v>
      </c>
      <c r="N363" s="2">
        <f>ff_portfolios25!N363-ff_factors!$E363</f>
        <v>3.0665999999999999E-2</v>
      </c>
      <c r="O363" s="2">
        <f>ff_portfolios25!O363-ff_factors!$E363</f>
        <v>-4.0029999999999996E-3</v>
      </c>
      <c r="P363" s="2">
        <f>ff_portfolios25!P363-ff_factors!$E363</f>
        <v>4.7019999999999996E-3</v>
      </c>
      <c r="Q363" s="2">
        <f>ff_portfolios25!Q363-ff_factors!$E363</f>
        <v>1.6178999999999999E-2</v>
      </c>
      <c r="R363" s="2">
        <f>ff_portfolios25!R363-ff_factors!$E363</f>
        <v>1.3389999999999999E-2</v>
      </c>
      <c r="S363" s="2">
        <f>ff_portfolios25!S363-ff_factors!$E363</f>
        <v>1.2246E-2</v>
      </c>
      <c r="T363" s="2">
        <f>ff_portfolios25!T363-ff_factors!$E363</f>
        <v>1.1323E-2</v>
      </c>
      <c r="U363" s="2">
        <f>ff_portfolios25!U363-ff_factors!$E363</f>
        <v>2.4027E-2</v>
      </c>
      <c r="V363" s="2">
        <f>ff_portfolios25!V363-ff_factors!$E363</f>
        <v>5.9240000000000004E-3</v>
      </c>
      <c r="W363" s="2">
        <f>ff_portfolios25!W363-ff_factors!$E363</f>
        <v>7.6889999999999997E-3</v>
      </c>
      <c r="X363" s="2">
        <f>ff_portfolios25!X363-ff_factors!$E363</f>
        <v>1.4837000000000001E-2</v>
      </c>
      <c r="Y363" s="2">
        <f>ff_portfolios25!Y363-ff_factors!$E363</f>
        <v>1.9512000000000002E-2</v>
      </c>
      <c r="Z363" s="2">
        <f>ff_portfolios25!Z363-ff_factors!$E363</f>
        <v>2.7638999999999997E-2</v>
      </c>
      <c r="AA363" s="2">
        <f>ff_portfolios25!AA363-ff_factors!$E363</f>
        <v>2.9442999999999997E-2</v>
      </c>
      <c r="AB363" s="2">
        <f>ff_portfolios25!AB363-ff_factors!$E363</f>
        <v>1.5654000000000001E-2</v>
      </c>
    </row>
    <row r="364" spans="1:28" x14ac:dyDescent="0.2">
      <c r="A364">
        <v>19620330</v>
      </c>
      <c r="B364">
        <v>1962</v>
      </c>
      <c r="C364">
        <v>3</v>
      </c>
      <c r="D364" s="2">
        <f>ff_portfolios25!D364-ff_factors!$E364</f>
        <v>-1.8943000000000002E-2</v>
      </c>
      <c r="E364" s="2">
        <f>ff_portfolios25!E364-ff_factors!$E364</f>
        <v>1.4768999999999999E-2</v>
      </c>
      <c r="F364" s="2">
        <f>ff_portfolios25!F364-ff_factors!$E364</f>
        <v>1.1384E-2</v>
      </c>
      <c r="G364" s="2">
        <f>ff_portfolios25!G364-ff_factors!$E364</f>
        <v>8.7779999999999993E-3</v>
      </c>
      <c r="H364" s="2">
        <f>ff_portfolios25!H364-ff_factors!$E364</f>
        <v>-2.4910000000000002E-3</v>
      </c>
      <c r="I364" s="2">
        <f>ff_portfolios25!I364-ff_factors!$E364</f>
        <v>-2.5180000000000003E-3</v>
      </c>
      <c r="J364" s="2">
        <f>ff_portfolios25!J364-ff_factors!$E364</f>
        <v>7.9279999999999993E-3</v>
      </c>
      <c r="K364" s="2">
        <f>ff_portfolios25!K364-ff_factors!$E364</f>
        <v>-1.2324E-2</v>
      </c>
      <c r="L364" s="2">
        <f>ff_portfolios25!L364-ff_factors!$E364</f>
        <v>-1.5592999999999999E-2</v>
      </c>
      <c r="M364" s="2">
        <f>ff_portfolios25!M364-ff_factors!$E364</f>
        <v>-1.1511E-2</v>
      </c>
      <c r="N364" s="2">
        <f>ff_portfolios25!N364-ff_factors!$E364</f>
        <v>5.8799999999999998E-4</v>
      </c>
      <c r="O364" s="2">
        <f>ff_portfolios25!O364-ff_factors!$E364</f>
        <v>6.2380000000000005E-3</v>
      </c>
      <c r="P364" s="2">
        <f>ff_portfolios25!P364-ff_factors!$E364</f>
        <v>-6.2589999999999998E-3</v>
      </c>
      <c r="Q364" s="2">
        <f>ff_portfolios25!Q364-ff_factors!$E364</f>
        <v>-2.1727999999999997E-2</v>
      </c>
      <c r="R364" s="2">
        <f>ff_portfolios25!R364-ff_factors!$E364</f>
        <v>-1.0761E-2</v>
      </c>
      <c r="S364" s="2">
        <f>ff_portfolios25!S364-ff_factors!$E364</f>
        <v>-1.7989999999999999E-2</v>
      </c>
      <c r="T364" s="2">
        <f>ff_portfolios25!T364-ff_factors!$E364</f>
        <v>-1.0132E-2</v>
      </c>
      <c r="U364" s="2">
        <f>ff_portfolios25!U364-ff_factors!$E364</f>
        <v>-8.8149999999999999E-3</v>
      </c>
      <c r="V364" s="2">
        <f>ff_portfolios25!V364-ff_factors!$E364</f>
        <v>-5.692E-3</v>
      </c>
      <c r="W364" s="2">
        <f>ff_portfolios25!W364-ff_factors!$E364</f>
        <v>-2.6478000000000002E-2</v>
      </c>
      <c r="X364" s="2">
        <f>ff_portfolios25!X364-ff_factors!$E364</f>
        <v>1.2260000000000001E-3</v>
      </c>
      <c r="Y364" s="2">
        <f>ff_portfolios25!Y364-ff_factors!$E364</f>
        <v>-1.0446E-2</v>
      </c>
      <c r="Z364" s="2">
        <f>ff_portfolios25!Z364-ff_factors!$E364</f>
        <v>-6.1089999999999998E-3</v>
      </c>
      <c r="AA364" s="2">
        <f>ff_portfolios25!AA364-ff_factors!$E364</f>
        <v>-1.2702E-2</v>
      </c>
      <c r="AB364" s="2">
        <f>ff_portfolios25!AB364-ff_factors!$E364</f>
        <v>-3.8415000000000005E-2</v>
      </c>
    </row>
    <row r="365" spans="1:28" x14ac:dyDescent="0.2">
      <c r="A365">
        <v>19620430</v>
      </c>
      <c r="B365">
        <v>1962</v>
      </c>
      <c r="C365">
        <v>4</v>
      </c>
      <c r="D365" s="2">
        <f>ff_portfolios25!D365-ff_factors!$E365</f>
        <v>-8.5720999999999992E-2</v>
      </c>
      <c r="E365" s="2">
        <f>ff_portfolios25!E365-ff_factors!$E365</f>
        <v>-8.1441E-2</v>
      </c>
      <c r="F365" s="2">
        <f>ff_portfolios25!F365-ff_factors!$E365</f>
        <v>-7.3207999999999995E-2</v>
      </c>
      <c r="G365" s="2">
        <f>ff_portfolios25!G365-ff_factors!$E365</f>
        <v>-8.0107999999999999E-2</v>
      </c>
      <c r="H365" s="2">
        <f>ff_portfolios25!H365-ff_factors!$E365</f>
        <v>-6.9960999999999995E-2</v>
      </c>
      <c r="I365" s="2">
        <f>ff_portfolios25!I365-ff_factors!$E365</f>
        <v>-8.075199999999999E-2</v>
      </c>
      <c r="J365" s="2">
        <f>ff_portfolios25!J365-ff_factors!$E365</f>
        <v>-7.263E-2</v>
      </c>
      <c r="K365" s="2">
        <f>ff_portfolios25!K365-ff_factors!$E365</f>
        <v>-8.4711999999999996E-2</v>
      </c>
      <c r="L365" s="2">
        <f>ff_portfolios25!L365-ff_factors!$E365</f>
        <v>-6.9281999999999996E-2</v>
      </c>
      <c r="M365" s="2">
        <f>ff_portfolios25!M365-ff_factors!$E365</f>
        <v>-6.4249000000000001E-2</v>
      </c>
      <c r="N365" s="2">
        <f>ff_portfolios25!N365-ff_factors!$E365</f>
        <v>-5.8945999999999998E-2</v>
      </c>
      <c r="O365" s="2">
        <f>ff_portfolios25!O365-ff_factors!$E365</f>
        <v>-4.2386E-2</v>
      </c>
      <c r="P365" s="2">
        <f>ff_portfolios25!P365-ff_factors!$E365</f>
        <v>-7.5356999999999993E-2</v>
      </c>
      <c r="Q365" s="2">
        <f>ff_portfolios25!Q365-ff_factors!$E365</f>
        <v>-6.6268999999999995E-2</v>
      </c>
      <c r="R365" s="2">
        <f>ff_portfolios25!R365-ff_factors!$E365</f>
        <v>-6.7089999999999997E-2</v>
      </c>
      <c r="S365" s="2">
        <f>ff_portfolios25!S365-ff_factors!$E365</f>
        <v>-6.9710999999999995E-2</v>
      </c>
      <c r="T365" s="2">
        <f>ff_portfolios25!T365-ff_factors!$E365</f>
        <v>-6.6633999999999999E-2</v>
      </c>
      <c r="U365" s="2">
        <f>ff_portfolios25!U365-ff_factors!$E365</f>
        <v>-7.2059999999999999E-2</v>
      </c>
      <c r="V365" s="2">
        <f>ff_portfolios25!V365-ff_factors!$E365</f>
        <v>-8.051599999999999E-2</v>
      </c>
      <c r="W365" s="2">
        <f>ff_portfolios25!W365-ff_factors!$E365</f>
        <v>-5.7969E-2</v>
      </c>
      <c r="X365" s="2">
        <f>ff_portfolios25!X365-ff_factors!$E365</f>
        <v>-8.2050999999999999E-2</v>
      </c>
      <c r="Y365" s="2">
        <f>ff_portfolios25!Y365-ff_factors!$E365</f>
        <v>-5.2524000000000001E-2</v>
      </c>
      <c r="Z365" s="2">
        <f>ff_portfolios25!Z365-ff_factors!$E365</f>
        <v>-5.6273000000000004E-2</v>
      </c>
      <c r="AA365" s="2">
        <f>ff_portfolios25!AA365-ff_factors!$E365</f>
        <v>-5.8724999999999999E-2</v>
      </c>
      <c r="AB365" s="2">
        <f>ff_portfolios25!AB365-ff_factors!$E365</f>
        <v>-5.7092999999999998E-2</v>
      </c>
    </row>
    <row r="366" spans="1:28" x14ac:dyDescent="0.2">
      <c r="A366">
        <v>19620531</v>
      </c>
      <c r="B366">
        <v>1962</v>
      </c>
      <c r="C366">
        <v>5</v>
      </c>
      <c r="D366" s="2">
        <f>ff_portfolios25!D366-ff_factors!$E366</f>
        <v>-0.111508</v>
      </c>
      <c r="E366" s="2">
        <f>ff_portfolios25!E366-ff_factors!$E366</f>
        <v>-0.11296199999999999</v>
      </c>
      <c r="F366" s="2">
        <f>ff_portfolios25!F366-ff_factors!$E366</f>
        <v>-0.109102</v>
      </c>
      <c r="G366" s="2">
        <f>ff_portfolios25!G366-ff_factors!$E366</f>
        <v>-7.9446000000000003E-2</v>
      </c>
      <c r="H366" s="2">
        <f>ff_portfolios25!H366-ff_factors!$E366</f>
        <v>-0.113952</v>
      </c>
      <c r="I366" s="2">
        <f>ff_portfolios25!I366-ff_factors!$E366</f>
        <v>-0.125442</v>
      </c>
      <c r="J366" s="2">
        <f>ff_portfolios25!J366-ff_factors!$E366</f>
        <v>-0.113175</v>
      </c>
      <c r="K366" s="2">
        <f>ff_portfolios25!K366-ff_factors!$E366</f>
        <v>-9.3793000000000001E-2</v>
      </c>
      <c r="L366" s="2">
        <f>ff_portfolios25!L366-ff_factors!$E366</f>
        <v>-9.7631999999999997E-2</v>
      </c>
      <c r="M366" s="2">
        <f>ff_portfolios25!M366-ff_factors!$E366</f>
        <v>-0.11126999999999999</v>
      </c>
      <c r="N366" s="2">
        <f>ff_portfolios25!N366-ff_factors!$E366</f>
        <v>-0.13311800000000001</v>
      </c>
      <c r="O366" s="2">
        <f>ff_portfolios25!O366-ff_factors!$E366</f>
        <v>-0.103267</v>
      </c>
      <c r="P366" s="2">
        <f>ff_portfolios25!P366-ff_factors!$E366</f>
        <v>-0.113396</v>
      </c>
      <c r="Q366" s="2">
        <f>ff_portfolios25!Q366-ff_factors!$E366</f>
        <v>-0.108833</v>
      </c>
      <c r="R366" s="2">
        <f>ff_portfolios25!R366-ff_factors!$E366</f>
        <v>-9.0837000000000001E-2</v>
      </c>
      <c r="S366" s="2">
        <f>ff_portfolios25!S366-ff_factors!$E366</f>
        <v>-0.13353800000000002</v>
      </c>
      <c r="T366" s="2">
        <f>ff_portfolios25!T366-ff_factors!$E366</f>
        <v>-9.2447000000000001E-2</v>
      </c>
      <c r="U366" s="2">
        <f>ff_portfolios25!U366-ff_factors!$E366</f>
        <v>-8.5790000000000005E-2</v>
      </c>
      <c r="V366" s="2">
        <f>ff_portfolios25!V366-ff_factors!$E366</f>
        <v>-5.2925E-2</v>
      </c>
      <c r="W366" s="2">
        <f>ff_portfolios25!W366-ff_factors!$E366</f>
        <v>-7.4591000000000005E-2</v>
      </c>
      <c r="X366" s="2">
        <f>ff_portfolios25!X366-ff_factors!$E366</f>
        <v>-0.105587</v>
      </c>
      <c r="Y366" s="2">
        <f>ff_portfolios25!Y366-ff_factors!$E366</f>
        <v>-7.4623999999999996E-2</v>
      </c>
      <c r="Z366" s="2">
        <f>ff_portfolios25!Z366-ff_factors!$E366</f>
        <v>-5.3541999999999999E-2</v>
      </c>
      <c r="AA366" s="2">
        <f>ff_portfolios25!AA366-ff_factors!$E366</f>
        <v>-5.9234000000000002E-2</v>
      </c>
      <c r="AB366" s="2">
        <f>ff_portfolios25!AB366-ff_factors!$E366</f>
        <v>-6.1773000000000002E-2</v>
      </c>
    </row>
    <row r="367" spans="1:28" x14ac:dyDescent="0.2">
      <c r="A367">
        <v>19620629</v>
      </c>
      <c r="B367">
        <v>1962</v>
      </c>
      <c r="C367">
        <v>6</v>
      </c>
      <c r="D367" s="2">
        <f>ff_portfolios25!D367-ff_factors!$E367</f>
        <v>-1.3322000000000001E-2</v>
      </c>
      <c r="E367" s="2">
        <f>ff_portfolios25!E367-ff_factors!$E367</f>
        <v>-7.0335999999999996E-2</v>
      </c>
      <c r="F367" s="2">
        <f>ff_portfolios25!F367-ff_factors!$E367</f>
        <v>-7.9851000000000005E-2</v>
      </c>
      <c r="G367" s="2">
        <f>ff_portfolios25!G367-ff_factors!$E367</f>
        <v>-7.6479000000000005E-2</v>
      </c>
      <c r="H367" s="2">
        <f>ff_portfolios25!H367-ff_factors!$E367</f>
        <v>-7.5521000000000005E-2</v>
      </c>
      <c r="I367" s="2">
        <f>ff_portfolios25!I367-ff_factors!$E367</f>
        <v>-0.12770000000000001</v>
      </c>
      <c r="J367" s="2">
        <f>ff_portfolios25!J367-ff_factors!$E367</f>
        <v>-9.2141000000000001E-2</v>
      </c>
      <c r="K367" s="2">
        <f>ff_portfolios25!K367-ff_factors!$E367</f>
        <v>-6.9483000000000003E-2</v>
      </c>
      <c r="L367" s="2">
        <f>ff_portfolios25!L367-ff_factors!$E367</f>
        <v>-6.0849E-2</v>
      </c>
      <c r="M367" s="2">
        <f>ff_portfolios25!M367-ff_factors!$E367</f>
        <v>-7.6202000000000006E-2</v>
      </c>
      <c r="N367" s="2">
        <f>ff_portfolios25!N367-ff_factors!$E367</f>
        <v>-8.6861000000000008E-2</v>
      </c>
      <c r="O367" s="2">
        <f>ff_portfolios25!O367-ff_factors!$E367</f>
        <v>-7.5492000000000004E-2</v>
      </c>
      <c r="P367" s="2">
        <f>ff_portfolios25!P367-ff_factors!$E367</f>
        <v>-9.3919000000000002E-2</v>
      </c>
      <c r="Q367" s="2">
        <f>ff_portfolios25!Q367-ff_factors!$E367</f>
        <v>-6.2688999999999995E-2</v>
      </c>
      <c r="R367" s="2">
        <f>ff_portfolios25!R367-ff_factors!$E367</f>
        <v>-7.2964000000000001E-2</v>
      </c>
      <c r="S367" s="2">
        <f>ff_portfolios25!S367-ff_factors!$E367</f>
        <v>-0.107879</v>
      </c>
      <c r="T367" s="2">
        <f>ff_portfolios25!T367-ff_factors!$E367</f>
        <v>-9.0631000000000003E-2</v>
      </c>
      <c r="U367" s="2">
        <f>ff_portfolios25!U367-ff_factors!$E367</f>
        <v>-6.7759E-2</v>
      </c>
      <c r="V367" s="2">
        <f>ff_portfolios25!V367-ff_factors!$E367</f>
        <v>-8.8421E-2</v>
      </c>
      <c r="W367" s="2">
        <f>ff_portfolios25!W367-ff_factors!$E367</f>
        <v>-7.7684000000000003E-2</v>
      </c>
      <c r="X367" s="2">
        <f>ff_portfolios25!X367-ff_factors!$E367</f>
        <v>-0.106944</v>
      </c>
      <c r="Y367" s="2">
        <f>ff_portfolios25!Y367-ff_factors!$E367</f>
        <v>-7.4555999999999997E-2</v>
      </c>
      <c r="Z367" s="2">
        <f>ff_portfolios25!Z367-ff_factors!$E367</f>
        <v>-6.5577999999999997E-2</v>
      </c>
      <c r="AA367" s="2">
        <f>ff_portfolios25!AA367-ff_factors!$E367</f>
        <v>-5.6381000000000001E-2</v>
      </c>
      <c r="AB367" s="2">
        <f>ff_portfolios25!AB367-ff_factors!$E367</f>
        <v>-7.1260000000000004E-2</v>
      </c>
    </row>
    <row r="368" spans="1:28" x14ac:dyDescent="0.2">
      <c r="A368">
        <v>19620731</v>
      </c>
      <c r="B368">
        <v>1962</v>
      </c>
      <c r="C368">
        <v>7</v>
      </c>
      <c r="D368" s="2">
        <f>ff_portfolios25!D368-ff_factors!$E368</f>
        <v>9.3554000000000012E-2</v>
      </c>
      <c r="E368" s="2">
        <f>ff_portfolios25!E368-ff_factors!$E368</f>
        <v>9.1537000000000007E-2</v>
      </c>
      <c r="F368" s="2">
        <f>ff_portfolios25!F368-ff_factors!$E368</f>
        <v>8.2845000000000002E-2</v>
      </c>
      <c r="G368" s="2">
        <f>ff_portfolios25!G368-ff_factors!$E368</f>
        <v>5.3185999999999997E-2</v>
      </c>
      <c r="H368" s="2">
        <f>ff_portfolios25!H368-ff_factors!$E368</f>
        <v>7.3605000000000004E-2</v>
      </c>
      <c r="I368" s="2">
        <f>ff_portfolios25!I368-ff_factors!$E368</f>
        <v>6.5631000000000009E-2</v>
      </c>
      <c r="J368" s="2">
        <f>ff_portfolios25!J368-ff_factors!$E368</f>
        <v>6.1739999999999996E-2</v>
      </c>
      <c r="K368" s="2">
        <f>ff_portfolios25!K368-ff_factors!$E368</f>
        <v>7.5169E-2</v>
      </c>
      <c r="L368" s="2">
        <f>ff_portfolios25!L368-ff_factors!$E368</f>
        <v>4.9277000000000001E-2</v>
      </c>
      <c r="M368" s="2">
        <f>ff_portfolios25!M368-ff_factors!$E368</f>
        <v>8.4071000000000007E-2</v>
      </c>
      <c r="N368" s="2">
        <f>ff_portfolios25!N368-ff_factors!$E368</f>
        <v>9.7074000000000008E-2</v>
      </c>
      <c r="O368" s="2">
        <f>ff_portfolios25!O368-ff_factors!$E368</f>
        <v>3.4931999999999998E-2</v>
      </c>
      <c r="P368" s="2">
        <f>ff_portfolios25!P368-ff_factors!$E368</f>
        <v>4.0884999999999998E-2</v>
      </c>
      <c r="Q368" s="2">
        <f>ff_portfolios25!Q368-ff_factors!$E368</f>
        <v>3.4763999999999996E-2</v>
      </c>
      <c r="R368" s="2">
        <f>ff_portfolios25!R368-ff_factors!$E368</f>
        <v>6.6855000000000012E-2</v>
      </c>
      <c r="S368" s="2">
        <f>ff_portfolios25!S368-ff_factors!$E368</f>
        <v>7.3586000000000013E-2</v>
      </c>
      <c r="T368" s="2">
        <f>ff_portfolios25!T368-ff_factors!$E368</f>
        <v>5.6604999999999996E-2</v>
      </c>
      <c r="U368" s="2">
        <f>ff_portfolios25!U368-ff_factors!$E368</f>
        <v>4.5095999999999997E-2</v>
      </c>
      <c r="V368" s="2">
        <f>ff_portfolios25!V368-ff_factors!$E368</f>
        <v>4.5648000000000001E-2</v>
      </c>
      <c r="W368" s="2">
        <f>ff_portfolios25!W368-ff_factors!$E368</f>
        <v>4.2354999999999997E-2</v>
      </c>
      <c r="X368" s="2">
        <f>ff_portfolios25!X368-ff_factors!$E368</f>
        <v>8.3593000000000001E-2</v>
      </c>
      <c r="Y368" s="2">
        <f>ff_portfolios25!Y368-ff_factors!$E368</f>
        <v>6.3002000000000002E-2</v>
      </c>
      <c r="Z368" s="2">
        <f>ff_portfolios25!Z368-ff_factors!$E368</f>
        <v>4.4684000000000001E-2</v>
      </c>
      <c r="AA368" s="2">
        <f>ff_portfolios25!AA368-ff_factors!$E368</f>
        <v>1.5573E-2</v>
      </c>
      <c r="AB368" s="2">
        <f>ff_portfolios25!AB368-ff_factors!$E368</f>
        <v>3.0239999999999996E-2</v>
      </c>
    </row>
    <row r="369" spans="1:28" x14ac:dyDescent="0.2">
      <c r="A369">
        <v>19620831</v>
      </c>
      <c r="B369">
        <v>1962</v>
      </c>
      <c r="C369">
        <v>8</v>
      </c>
      <c r="D369" s="2">
        <f>ff_portfolios25!D369-ff_factors!$E369</f>
        <v>9.3339000000000005E-2</v>
      </c>
      <c r="E369" s="2">
        <f>ff_portfolios25!E369-ff_factors!$E369</f>
        <v>2.2877000000000002E-2</v>
      </c>
      <c r="F369" s="2">
        <f>ff_portfolios25!F369-ff_factors!$E369</f>
        <v>3.7296999999999997E-2</v>
      </c>
      <c r="G369" s="2">
        <f>ff_portfolios25!G369-ff_factors!$E369</f>
        <v>7.1070000000000005E-3</v>
      </c>
      <c r="H369" s="2">
        <f>ff_portfolios25!H369-ff_factors!$E369</f>
        <v>2.6099000000000001E-2</v>
      </c>
      <c r="I369" s="2">
        <f>ff_portfolios25!I369-ff_factors!$E369</f>
        <v>7.4607000000000007E-2</v>
      </c>
      <c r="J369" s="2">
        <f>ff_portfolios25!J369-ff_factors!$E369</f>
        <v>1.498E-2</v>
      </c>
      <c r="K369" s="2">
        <f>ff_portfolios25!K369-ff_factors!$E369</f>
        <v>4.4181999999999999E-2</v>
      </c>
      <c r="L369" s="2">
        <f>ff_portfolios25!L369-ff_factors!$E369</f>
        <v>2.5659000000000001E-2</v>
      </c>
      <c r="M369" s="2">
        <f>ff_portfolios25!M369-ff_factors!$E369</f>
        <v>2.0171000000000001E-2</v>
      </c>
      <c r="N369" s="2">
        <f>ff_portfolios25!N369-ff_factors!$E369</f>
        <v>2.7557999999999999E-2</v>
      </c>
      <c r="O369" s="2">
        <f>ff_portfolios25!O369-ff_factors!$E369</f>
        <v>3.3277000000000001E-2</v>
      </c>
      <c r="P369" s="2">
        <f>ff_portfolios25!P369-ff_factors!$E369</f>
        <v>3.1924999999999995E-2</v>
      </c>
      <c r="Q369" s="2">
        <f>ff_portfolios25!Q369-ff_factors!$E369</f>
        <v>1.8394000000000001E-2</v>
      </c>
      <c r="R369" s="2">
        <f>ff_portfolios25!R369-ff_factors!$E369</f>
        <v>1.0026E-2</v>
      </c>
      <c r="S369" s="2">
        <f>ff_portfolios25!S369-ff_factors!$E369</f>
        <v>2.9618000000000002E-2</v>
      </c>
      <c r="T369" s="2">
        <f>ff_portfolios25!T369-ff_factors!$E369</f>
        <v>2.9708000000000002E-2</v>
      </c>
      <c r="U369" s="2">
        <f>ff_portfolios25!U369-ff_factors!$E369</f>
        <v>1.3690999999999998E-2</v>
      </c>
      <c r="V369" s="2">
        <f>ff_portfolios25!V369-ff_factors!$E369</f>
        <v>3.3024999999999999E-2</v>
      </c>
      <c r="W369" s="2">
        <f>ff_portfolios25!W369-ff_factors!$E369</f>
        <v>7.6270000000000001E-3</v>
      </c>
      <c r="X369" s="2">
        <f>ff_portfolios25!X369-ff_factors!$E369</f>
        <v>2.5356E-2</v>
      </c>
      <c r="Y369" s="2">
        <f>ff_portfolios25!Y369-ff_factors!$E369</f>
        <v>2.0358000000000001E-2</v>
      </c>
      <c r="Z369" s="2">
        <f>ff_portfolios25!Z369-ff_factors!$E369</f>
        <v>8.7209999999999996E-3</v>
      </c>
      <c r="AA369" s="2">
        <f>ff_portfolios25!AA369-ff_factors!$E369</f>
        <v>8.5240000000000003E-3</v>
      </c>
      <c r="AB369" s="2">
        <f>ff_portfolios25!AB369-ff_factors!$E369</f>
        <v>3.4532999999999994E-2</v>
      </c>
    </row>
    <row r="370" spans="1:28" x14ac:dyDescent="0.2">
      <c r="A370">
        <v>19620928</v>
      </c>
      <c r="B370">
        <v>1962</v>
      </c>
      <c r="C370">
        <v>9</v>
      </c>
      <c r="D370" s="2">
        <f>ff_portfolios25!D370-ff_factors!$E370</f>
        <v>-8.7974000000000011E-2</v>
      </c>
      <c r="E370" s="2">
        <f>ff_portfolios25!E370-ff_factors!$E370</f>
        <v>-8.8971000000000008E-2</v>
      </c>
      <c r="F370" s="2">
        <f>ff_portfolios25!F370-ff_factors!$E370</f>
        <v>-9.7871E-2</v>
      </c>
      <c r="G370" s="2">
        <f>ff_portfolios25!G370-ff_factors!$E370</f>
        <v>-5.4989999999999997E-2</v>
      </c>
      <c r="H370" s="2">
        <f>ff_portfolios25!H370-ff_factors!$E370</f>
        <v>-6.6308000000000006E-2</v>
      </c>
      <c r="I370" s="2">
        <f>ff_portfolios25!I370-ff_factors!$E370</f>
        <v>-8.4348000000000006E-2</v>
      </c>
      <c r="J370" s="2">
        <f>ff_portfolios25!J370-ff_factors!$E370</f>
        <v>-5.5511999999999999E-2</v>
      </c>
      <c r="K370" s="2">
        <f>ff_portfolios25!K370-ff_factors!$E370</f>
        <v>-8.0655000000000004E-2</v>
      </c>
      <c r="L370" s="2">
        <f>ff_portfolios25!L370-ff_factors!$E370</f>
        <v>-6.616000000000001E-2</v>
      </c>
      <c r="M370" s="2">
        <f>ff_portfolios25!M370-ff_factors!$E370</f>
        <v>-8.0741000000000007E-2</v>
      </c>
      <c r="N370" s="2">
        <f>ff_portfolios25!N370-ff_factors!$E370</f>
        <v>-9.5878000000000005E-2</v>
      </c>
      <c r="O370" s="2">
        <f>ff_portfolios25!O370-ff_factors!$E370</f>
        <v>-6.1427999999999996E-2</v>
      </c>
      <c r="P370" s="2">
        <f>ff_portfolios25!P370-ff_factors!$E370</f>
        <v>-4.8655999999999998E-2</v>
      </c>
      <c r="Q370" s="2">
        <f>ff_portfolios25!Q370-ff_factors!$E370</f>
        <v>-6.7303000000000002E-2</v>
      </c>
      <c r="R370" s="2">
        <f>ff_portfolios25!R370-ff_factors!$E370</f>
        <v>-5.4972E-2</v>
      </c>
      <c r="S370" s="2">
        <f>ff_portfolios25!S370-ff_factors!$E370</f>
        <v>-5.9389999999999998E-2</v>
      </c>
      <c r="T370" s="2">
        <f>ff_portfolios25!T370-ff_factors!$E370</f>
        <v>-4.5423999999999999E-2</v>
      </c>
      <c r="U370" s="2">
        <f>ff_portfolios25!U370-ff_factors!$E370</f>
        <v>-4.7033999999999999E-2</v>
      </c>
      <c r="V370" s="2">
        <f>ff_portfolios25!V370-ff_factors!$E370</f>
        <v>-7.0074999999999998E-2</v>
      </c>
      <c r="W370" s="2">
        <f>ff_portfolios25!W370-ff_factors!$E370</f>
        <v>-5.3392999999999996E-2</v>
      </c>
      <c r="X370" s="2">
        <f>ff_portfolios25!X370-ff_factors!$E370</f>
        <v>-5.4468999999999997E-2</v>
      </c>
      <c r="Y370" s="2">
        <f>ff_portfolios25!Y370-ff_factors!$E370</f>
        <v>-4.7694E-2</v>
      </c>
      <c r="Z370" s="2">
        <f>ff_portfolios25!Z370-ff_factors!$E370</f>
        <v>-4.2851E-2</v>
      </c>
      <c r="AA370" s="2">
        <f>ff_portfolios25!AA370-ff_factors!$E370</f>
        <v>-4.4517000000000001E-2</v>
      </c>
      <c r="AB370" s="2">
        <f>ff_portfolios25!AB370-ff_factors!$E370</f>
        <v>-4.8371999999999998E-2</v>
      </c>
    </row>
    <row r="371" spans="1:28" x14ac:dyDescent="0.2">
      <c r="A371">
        <v>19621031</v>
      </c>
      <c r="B371">
        <v>1962</v>
      </c>
      <c r="C371">
        <v>10</v>
      </c>
      <c r="D371" s="2">
        <f>ff_portfolios25!D371-ff_factors!$E371</f>
        <v>-0.106225</v>
      </c>
      <c r="E371" s="2">
        <f>ff_portfolios25!E371-ff_factors!$E371</f>
        <v>-7.6363E-2</v>
      </c>
      <c r="F371" s="2">
        <f>ff_portfolios25!F371-ff_factors!$E371</f>
        <v>-3.8027000000000005E-2</v>
      </c>
      <c r="G371" s="2">
        <f>ff_portfolios25!G371-ff_factors!$E371</f>
        <v>-5.4697000000000003E-2</v>
      </c>
      <c r="H371" s="2">
        <f>ff_portfolios25!H371-ff_factors!$E371</f>
        <v>-2.7243E-2</v>
      </c>
      <c r="I371" s="2">
        <f>ff_portfolios25!I371-ff_factors!$E371</f>
        <v>-5.0359000000000001E-2</v>
      </c>
      <c r="J371" s="2">
        <f>ff_portfolios25!J371-ff_factors!$E371</f>
        <v>-5.5215E-2</v>
      </c>
      <c r="K371" s="2">
        <f>ff_portfolios25!K371-ff_factors!$E371</f>
        <v>-4.7016000000000002E-2</v>
      </c>
      <c r="L371" s="2">
        <f>ff_portfolios25!L371-ff_factors!$E371</f>
        <v>-1.4930000000000001E-2</v>
      </c>
      <c r="M371" s="2">
        <f>ff_portfolios25!M371-ff_factors!$E371</f>
        <v>-1.2634000000000001E-2</v>
      </c>
      <c r="N371" s="2">
        <f>ff_portfolios25!N371-ff_factors!$E371</f>
        <v>-4.7969999999999999E-2</v>
      </c>
      <c r="O371" s="2">
        <f>ff_portfolios25!O371-ff_factors!$E371</f>
        <v>-1.7031000000000001E-2</v>
      </c>
      <c r="P371" s="2">
        <f>ff_portfolios25!P371-ff_factors!$E371</f>
        <v>-4.0020000000000003E-3</v>
      </c>
      <c r="Q371" s="2">
        <f>ff_portfolios25!Q371-ff_factors!$E371</f>
        <v>-1.8109E-2</v>
      </c>
      <c r="R371" s="2">
        <f>ff_portfolios25!R371-ff_factors!$E371</f>
        <v>-1.5447000000000001E-2</v>
      </c>
      <c r="S371" s="2">
        <f>ff_portfolios25!S371-ff_factors!$E371</f>
        <v>-3.4824000000000001E-2</v>
      </c>
      <c r="T371" s="2">
        <f>ff_portfolios25!T371-ff_factors!$E371</f>
        <v>-5.8440000000000002E-3</v>
      </c>
      <c r="U371" s="2">
        <f>ff_portfolios25!U371-ff_factors!$E371</f>
        <v>-6.8719999999999996E-3</v>
      </c>
      <c r="V371" s="2">
        <f>ff_portfolios25!V371-ff_factors!$E371</f>
        <v>-3.0369E-2</v>
      </c>
      <c r="W371" s="2">
        <f>ff_portfolios25!W371-ff_factors!$E371</f>
        <v>1.0329E-2</v>
      </c>
      <c r="X371" s="2">
        <f>ff_portfolios25!X371-ff_factors!$E371</f>
        <v>1.0258E-2</v>
      </c>
      <c r="Y371" s="2">
        <f>ff_portfolios25!Y371-ff_factors!$E371</f>
        <v>6.3099999999999996E-3</v>
      </c>
      <c r="Z371" s="2">
        <f>ff_portfolios25!Z371-ff_factors!$E371</f>
        <v>2.807E-3</v>
      </c>
      <c r="AA371" s="2">
        <f>ff_portfolios25!AA371-ff_factors!$E371</f>
        <v>-4.0930000000000003E-3</v>
      </c>
      <c r="AB371" s="2">
        <f>ff_portfolios25!AB371-ff_factors!$E371</f>
        <v>1.8541000000000002E-2</v>
      </c>
    </row>
    <row r="372" spans="1:28" x14ac:dyDescent="0.2">
      <c r="A372">
        <v>19621130</v>
      </c>
      <c r="B372">
        <v>1962</v>
      </c>
      <c r="C372">
        <v>11</v>
      </c>
      <c r="D372" s="2">
        <f>ff_portfolios25!D372-ff_factors!$E372</f>
        <v>0.144563</v>
      </c>
      <c r="E372" s="2">
        <f>ff_portfolios25!E372-ff_factors!$E372</f>
        <v>0.16536599999999999</v>
      </c>
      <c r="F372" s="2">
        <f>ff_portfolios25!F372-ff_factors!$E372</f>
        <v>0.11975999999999999</v>
      </c>
      <c r="G372" s="2">
        <f>ff_portfolios25!G372-ff_factors!$E372</f>
        <v>0.14802499999999999</v>
      </c>
      <c r="H372" s="2">
        <f>ff_portfolios25!H372-ff_factors!$E372</f>
        <v>0.136847</v>
      </c>
      <c r="I372" s="2">
        <f>ff_portfolios25!I372-ff_factors!$E372</f>
        <v>0.147677</v>
      </c>
      <c r="J372" s="2">
        <f>ff_portfolios25!J372-ff_factors!$E372</f>
        <v>0.15781200000000001</v>
      </c>
      <c r="K372" s="2">
        <f>ff_portfolios25!K372-ff_factors!$E372</f>
        <v>0.109014</v>
      </c>
      <c r="L372" s="2">
        <f>ff_portfolios25!L372-ff_factors!$E372</f>
        <v>0.14351800000000001</v>
      </c>
      <c r="M372" s="2">
        <f>ff_portfolios25!M372-ff_factors!$E372</f>
        <v>0.15421199999999999</v>
      </c>
      <c r="N372" s="2">
        <f>ff_portfolios25!N372-ff_factors!$E372</f>
        <v>0.158636</v>
      </c>
      <c r="O372" s="2">
        <f>ff_portfolios25!O372-ff_factors!$E372</f>
        <v>0.11504</v>
      </c>
      <c r="P372" s="2">
        <f>ff_portfolios25!P372-ff_factors!$E372</f>
        <v>0.119853</v>
      </c>
      <c r="Q372" s="2">
        <f>ff_portfolios25!Q372-ff_factors!$E372</f>
        <v>0.13805899999999999</v>
      </c>
      <c r="R372" s="2">
        <f>ff_portfolios25!R372-ff_factors!$E372</f>
        <v>0.13107199999999999</v>
      </c>
      <c r="S372" s="2">
        <f>ff_portfolios25!S372-ff_factors!$E372</f>
        <v>0.143345</v>
      </c>
      <c r="T372" s="2">
        <f>ff_portfolios25!T372-ff_factors!$E372</f>
        <v>0.113689</v>
      </c>
      <c r="U372" s="2">
        <f>ff_portfolios25!U372-ff_factors!$E372</f>
        <v>0.117185</v>
      </c>
      <c r="V372" s="2">
        <f>ff_portfolios25!V372-ff_factors!$E372</f>
        <v>0.116657</v>
      </c>
      <c r="W372" s="2">
        <f>ff_portfolios25!W372-ff_factors!$E372</f>
        <v>0.16692399999999999</v>
      </c>
      <c r="X372" s="2">
        <f>ff_portfolios25!X372-ff_factors!$E372</f>
        <v>0.10791099999999999</v>
      </c>
      <c r="Y372" s="2">
        <f>ff_portfolios25!Y372-ff_factors!$E372</f>
        <v>8.9083999999999997E-2</v>
      </c>
      <c r="Z372" s="2">
        <f>ff_portfolios25!Z372-ff_factors!$E372</f>
        <v>0.109427</v>
      </c>
      <c r="AA372" s="2">
        <f>ff_portfolios25!AA372-ff_factors!$E372</f>
        <v>0.117882</v>
      </c>
      <c r="AB372" s="2">
        <f>ff_portfolios25!AB372-ff_factors!$E372</f>
        <v>0.13875899999999999</v>
      </c>
    </row>
    <row r="373" spans="1:28" x14ac:dyDescent="0.2">
      <c r="A373">
        <v>19621231</v>
      </c>
      <c r="B373">
        <v>1962</v>
      </c>
      <c r="C373">
        <v>12</v>
      </c>
      <c r="D373" s="2">
        <f>ff_portfolios25!D373-ff_factors!$E373</f>
        <v>-3.5477999999999996E-2</v>
      </c>
      <c r="E373" s="2">
        <f>ff_portfolios25!E373-ff_factors!$E373</f>
        <v>-5.0688999999999998E-2</v>
      </c>
      <c r="F373" s="2">
        <f>ff_portfolios25!F373-ff_factors!$E373</f>
        <v>-6.5640000000000004E-3</v>
      </c>
      <c r="G373" s="2">
        <f>ff_portfolios25!G373-ff_factors!$E373</f>
        <v>-2.5413999999999999E-2</v>
      </c>
      <c r="H373" s="2">
        <f>ff_portfolios25!H373-ff_factors!$E373</f>
        <v>-2.5281999999999999E-2</v>
      </c>
      <c r="I373" s="2">
        <f>ff_portfolios25!I373-ff_factors!$E373</f>
        <v>-3.1397000000000001E-2</v>
      </c>
      <c r="J373" s="2">
        <f>ff_portfolios25!J373-ff_factors!$E373</f>
        <v>-9.833999999999999E-3</v>
      </c>
      <c r="K373" s="2">
        <f>ff_portfolios25!K373-ff_factors!$E373</f>
        <v>-1.6167000000000001E-2</v>
      </c>
      <c r="L373" s="2">
        <f>ff_portfolios25!L373-ff_factors!$E373</f>
        <v>-2.1395999999999998E-2</v>
      </c>
      <c r="M373" s="2">
        <f>ff_portfolios25!M373-ff_factors!$E373</f>
        <v>-4.0909000000000001E-2</v>
      </c>
      <c r="N373" s="2">
        <f>ff_portfolios25!N373-ff_factors!$E373</f>
        <v>-3.3885999999999999E-2</v>
      </c>
      <c r="O373" s="2">
        <f>ff_portfolios25!O373-ff_factors!$E373</f>
        <v>1.0593999999999999E-2</v>
      </c>
      <c r="P373" s="2">
        <f>ff_portfolios25!P373-ff_factors!$E373</f>
        <v>-1.2458E-2</v>
      </c>
      <c r="Q373" s="2">
        <f>ff_portfolios25!Q373-ff_factors!$E373</f>
        <v>-2.2904000000000001E-2</v>
      </c>
      <c r="R373" s="2">
        <f>ff_portfolios25!R373-ff_factors!$E373</f>
        <v>-1.5572000000000001E-2</v>
      </c>
      <c r="S373" s="2">
        <f>ff_portfolios25!S373-ff_factors!$E373</f>
        <v>-1.193E-3</v>
      </c>
      <c r="T373" s="2">
        <f>ff_portfolios25!T373-ff_factors!$E373</f>
        <v>9.8289999999999992E-3</v>
      </c>
      <c r="U373" s="2">
        <f>ff_portfolios25!U373-ff_factors!$E373</f>
        <v>1.1624000000000001E-2</v>
      </c>
      <c r="V373" s="2">
        <f>ff_portfolios25!V373-ff_factors!$E373</f>
        <v>-1.3301E-2</v>
      </c>
      <c r="W373" s="2">
        <f>ff_portfolios25!W373-ff_factors!$E373</f>
        <v>1.8617000000000002E-2</v>
      </c>
      <c r="X373" s="2">
        <f>ff_portfolios25!X373-ff_factors!$E373</f>
        <v>1.1396E-2</v>
      </c>
      <c r="Y373" s="2">
        <f>ff_portfolios25!Y373-ff_factors!$E373</f>
        <v>2.3341000000000001E-2</v>
      </c>
      <c r="Z373" s="2">
        <f>ff_portfolios25!Z373-ff_factors!$E373</f>
        <v>2.1049999999999999E-2</v>
      </c>
      <c r="AA373" s="2">
        <f>ff_portfolios25!AA373-ff_factors!$E373</f>
        <v>-6.2030000000000002E-3</v>
      </c>
      <c r="AB373" s="2">
        <f>ff_portfolios25!AB373-ff_factors!$E373</f>
        <v>7.2320000000000006E-3</v>
      </c>
    </row>
    <row r="374" spans="1:28" x14ac:dyDescent="0.2">
      <c r="A374">
        <v>19630131</v>
      </c>
      <c r="B374">
        <v>1963</v>
      </c>
      <c r="C374">
        <v>1</v>
      </c>
      <c r="D374" s="2">
        <f>ff_portfolios25!D374-ff_factors!$E374</f>
        <v>0.12765199999999999</v>
      </c>
      <c r="E374" s="2">
        <f>ff_portfolios25!E374-ff_factors!$E374</f>
        <v>0.111913</v>
      </c>
      <c r="F374" s="2">
        <f>ff_portfolios25!F374-ff_factors!$E374</f>
        <v>9.4411999999999996E-2</v>
      </c>
      <c r="G374" s="2">
        <f>ff_portfolios25!G374-ff_factors!$E374</f>
        <v>0.10609099999999999</v>
      </c>
      <c r="H374" s="2">
        <f>ff_portfolios25!H374-ff_factors!$E374</f>
        <v>0.10880099999999999</v>
      </c>
      <c r="I374" s="2">
        <f>ff_portfolios25!I374-ff_factors!$E374</f>
        <v>7.3763999999999996E-2</v>
      </c>
      <c r="J374" s="2">
        <f>ff_portfolios25!J374-ff_factors!$E374</f>
        <v>5.5633999999999996E-2</v>
      </c>
      <c r="K374" s="2">
        <f>ff_portfolios25!K374-ff_factors!$E374</f>
        <v>7.3604000000000003E-2</v>
      </c>
      <c r="L374" s="2">
        <f>ff_portfolios25!L374-ff_factors!$E374</f>
        <v>7.9975999999999992E-2</v>
      </c>
      <c r="M374" s="2">
        <f>ff_portfolios25!M374-ff_factors!$E374</f>
        <v>0.108621</v>
      </c>
      <c r="N374" s="2">
        <f>ff_portfolios25!N374-ff_factors!$E374</f>
        <v>6.1214000000000005E-2</v>
      </c>
      <c r="O374" s="2">
        <f>ff_portfolios25!O374-ff_factors!$E374</f>
        <v>5.3981000000000001E-2</v>
      </c>
      <c r="P374" s="2">
        <f>ff_portfolios25!P374-ff_factors!$E374</f>
        <v>4.6251E-2</v>
      </c>
      <c r="Q374" s="2">
        <f>ff_portfolios25!Q374-ff_factors!$E374</f>
        <v>8.6409E-2</v>
      </c>
      <c r="R374" s="2">
        <f>ff_portfolios25!R374-ff_factors!$E374</f>
        <v>9.0767E-2</v>
      </c>
      <c r="S374" s="2">
        <f>ff_portfolios25!S374-ff_factors!$E374</f>
        <v>5.1271999999999998E-2</v>
      </c>
      <c r="T374" s="2">
        <f>ff_portfolios25!T374-ff_factors!$E374</f>
        <v>4.6427999999999997E-2</v>
      </c>
      <c r="U374" s="2">
        <f>ff_portfolios25!U374-ff_factors!$E374</f>
        <v>5.6403999999999996E-2</v>
      </c>
      <c r="V374" s="2">
        <f>ff_portfolios25!V374-ff_factors!$E374</f>
        <v>9.2767000000000002E-2</v>
      </c>
      <c r="W374" s="2">
        <f>ff_portfolios25!W374-ff_factors!$E374</f>
        <v>6.5977999999999995E-2</v>
      </c>
      <c r="X374" s="2">
        <f>ff_portfolios25!X374-ff_factors!$E374</f>
        <v>5.0044999999999999E-2</v>
      </c>
      <c r="Y374" s="2">
        <f>ff_portfolios25!Y374-ff_factors!$E374</f>
        <v>3.8439000000000001E-2</v>
      </c>
      <c r="Z374" s="2">
        <f>ff_portfolios25!Z374-ff_factors!$E374</f>
        <v>3.2085999999999996E-2</v>
      </c>
      <c r="AA374" s="2">
        <f>ff_portfolios25!AA374-ff_factors!$E374</f>
        <v>6.7184999999999995E-2</v>
      </c>
      <c r="AB374" s="2">
        <f>ff_portfolios25!AB374-ff_factors!$E374</f>
        <v>5.4030999999999996E-2</v>
      </c>
    </row>
    <row r="375" spans="1:28" x14ac:dyDescent="0.2">
      <c r="A375">
        <v>19630228</v>
      </c>
      <c r="B375">
        <v>1963</v>
      </c>
      <c r="C375">
        <v>2</v>
      </c>
      <c r="D375" s="2">
        <f>ff_portfolios25!D375-ff_factors!$E375</f>
        <v>-3.4768999999999994E-2</v>
      </c>
      <c r="E375" s="2">
        <f>ff_portfolios25!E375-ff_factors!$E375</f>
        <v>-3.7229999999999999E-2</v>
      </c>
      <c r="F375" s="2">
        <f>ff_portfolios25!F375-ff_factors!$E375</f>
        <v>-1.0956E-2</v>
      </c>
      <c r="G375" s="2">
        <f>ff_portfolios25!G375-ff_factors!$E375</f>
        <v>-1.0411E-2</v>
      </c>
      <c r="H375" s="2">
        <f>ff_portfolios25!H375-ff_factors!$E375</f>
        <v>2.554E-2</v>
      </c>
      <c r="I375" s="2">
        <f>ff_portfolios25!I375-ff_factors!$E375</f>
        <v>-4.249E-2</v>
      </c>
      <c r="J375" s="2">
        <f>ff_portfolios25!J375-ff_factors!$E375</f>
        <v>-2.1193E-2</v>
      </c>
      <c r="K375" s="2">
        <f>ff_portfolios25!K375-ff_factors!$E375</f>
        <v>-2.6279E-2</v>
      </c>
      <c r="L375" s="2">
        <f>ff_portfolios25!L375-ff_factors!$E375</f>
        <v>-1.7648999999999998E-2</v>
      </c>
      <c r="M375" s="2">
        <f>ff_portfolios25!M375-ff_factors!$E375</f>
        <v>-3.176E-3</v>
      </c>
      <c r="N375" s="2">
        <f>ff_portfolios25!N375-ff_factors!$E375</f>
        <v>-3.9917999999999995E-2</v>
      </c>
      <c r="O375" s="2">
        <f>ff_portfolios25!O375-ff_factors!$E375</f>
        <v>-1.4899000000000001E-2</v>
      </c>
      <c r="P375" s="2">
        <f>ff_portfolios25!P375-ff_factors!$E375</f>
        <v>-8.6670000000000011E-3</v>
      </c>
      <c r="Q375" s="2">
        <f>ff_portfolios25!Q375-ff_factors!$E375</f>
        <v>-2.7585999999999999E-2</v>
      </c>
      <c r="R375" s="2">
        <f>ff_portfolios25!R375-ff_factors!$E375</f>
        <v>6.6429999999999996E-3</v>
      </c>
      <c r="S375" s="2">
        <f>ff_portfolios25!S375-ff_factors!$E375</f>
        <v>-3.5635E-2</v>
      </c>
      <c r="T375" s="2">
        <f>ff_portfolios25!T375-ff_factors!$E375</f>
        <v>-1.5561999999999999E-2</v>
      </c>
      <c r="U375" s="2">
        <f>ff_portfolios25!U375-ff_factors!$E375</f>
        <v>-1.0773E-2</v>
      </c>
      <c r="V375" s="2">
        <f>ff_portfolios25!V375-ff_factors!$E375</f>
        <v>-1.8318999999999998E-2</v>
      </c>
      <c r="W375" s="2">
        <f>ff_portfolios25!W375-ff_factors!$E375</f>
        <v>-2.274E-3</v>
      </c>
      <c r="X375" s="2">
        <f>ff_portfolios25!X375-ff_factors!$E375</f>
        <v>-3.4684000000000006E-2</v>
      </c>
      <c r="Y375" s="2">
        <f>ff_portfolios25!Y375-ff_factors!$E375</f>
        <v>-1.8939000000000001E-2</v>
      </c>
      <c r="Z375" s="2">
        <f>ff_portfolios25!Z375-ff_factors!$E375</f>
        <v>-2.2782E-2</v>
      </c>
      <c r="AA375" s="2">
        <f>ff_portfolios25!AA375-ff_factors!$E375</f>
        <v>-1.4246E-2</v>
      </c>
      <c r="AB375" s="2">
        <f>ff_portfolios25!AB375-ff_factors!$E375</f>
        <v>-1.3990000000000001E-2</v>
      </c>
    </row>
    <row r="376" spans="1:28" x14ac:dyDescent="0.2">
      <c r="A376">
        <v>19630329</v>
      </c>
      <c r="B376">
        <v>1963</v>
      </c>
      <c r="C376">
        <v>3</v>
      </c>
      <c r="D376" s="2">
        <f>ff_portfolios25!D376-ff_factors!$E376</f>
        <v>4.7501000000000002E-2</v>
      </c>
      <c r="E376" s="2">
        <f>ff_portfolios25!E376-ff_factors!$E376</f>
        <v>-1.7031999999999999E-2</v>
      </c>
      <c r="F376" s="2">
        <f>ff_portfolios25!F376-ff_factors!$E376</f>
        <v>-8.1600000000000006E-3</v>
      </c>
      <c r="G376" s="2">
        <f>ff_portfolios25!G376-ff_factors!$E376</f>
        <v>1.2184E-2</v>
      </c>
      <c r="H376" s="2">
        <f>ff_portfolios25!H376-ff_factors!$E376</f>
        <v>2.3545E-2</v>
      </c>
      <c r="I376" s="2">
        <f>ff_portfolios25!I376-ff_factors!$E376</f>
        <v>-3.8900000000000002E-3</v>
      </c>
      <c r="J376" s="2">
        <f>ff_portfolios25!J376-ff_factors!$E376</f>
        <v>9.5029999999999993E-3</v>
      </c>
      <c r="K376" s="2">
        <f>ff_portfolios25!K376-ff_factors!$E376</f>
        <v>1.0122000000000001E-2</v>
      </c>
      <c r="L376" s="2">
        <f>ff_portfolios25!L376-ff_factors!$E376</f>
        <v>2.7795E-2</v>
      </c>
      <c r="M376" s="2">
        <f>ff_portfolios25!M376-ff_factors!$E376</f>
        <v>1.0822E-2</v>
      </c>
      <c r="N376" s="2">
        <f>ff_portfolios25!N376-ff_factors!$E376</f>
        <v>-2.758E-3</v>
      </c>
      <c r="O376" s="2">
        <f>ff_portfolios25!O376-ff_factors!$E376</f>
        <v>1.3239000000000001E-2</v>
      </c>
      <c r="P376" s="2">
        <f>ff_portfolios25!P376-ff_factors!$E376</f>
        <v>8.9370000000000005E-3</v>
      </c>
      <c r="Q376" s="2">
        <f>ff_portfolios25!Q376-ff_factors!$E376</f>
        <v>3.3442E-2</v>
      </c>
      <c r="R376" s="2">
        <f>ff_portfolios25!R376-ff_factors!$E376</f>
        <v>1.4976E-2</v>
      </c>
      <c r="S376" s="2">
        <f>ff_portfolios25!S376-ff_factors!$E376</f>
        <v>1.9366999999999999E-2</v>
      </c>
      <c r="T376" s="2">
        <f>ff_portfolios25!T376-ff_factors!$E376</f>
        <v>1.4856000000000001E-2</v>
      </c>
      <c r="U376" s="2">
        <f>ff_portfolios25!U376-ff_factors!$E376</f>
        <v>2.5714000000000001E-2</v>
      </c>
      <c r="V376" s="2">
        <f>ff_portfolios25!V376-ff_factors!$E376</f>
        <v>3.8131999999999999E-2</v>
      </c>
      <c r="W376" s="2">
        <f>ff_portfolios25!W376-ff_factors!$E376</f>
        <v>3.1194999999999997E-2</v>
      </c>
      <c r="X376" s="2">
        <f>ff_portfolios25!X376-ff_factors!$E376</f>
        <v>3.4913E-2</v>
      </c>
      <c r="Y376" s="2">
        <f>ff_portfolios25!Y376-ff_factors!$E376</f>
        <v>2.6020000000000001E-2</v>
      </c>
      <c r="Z376" s="2">
        <f>ff_portfolios25!Z376-ff_factors!$E376</f>
        <v>4.3443999999999997E-2</v>
      </c>
      <c r="AA376" s="2">
        <f>ff_portfolios25!AA376-ff_factors!$E376</f>
        <v>4.9244999999999997E-2</v>
      </c>
      <c r="AB376" s="2">
        <f>ff_portfolios25!AB376-ff_factors!$E376</f>
        <v>4.8249E-2</v>
      </c>
    </row>
    <row r="377" spans="1:28" x14ac:dyDescent="0.2">
      <c r="A377">
        <v>19630430</v>
      </c>
      <c r="B377">
        <v>1963</v>
      </c>
      <c r="C377">
        <v>4</v>
      </c>
      <c r="D377" s="2">
        <f>ff_portfolios25!D377-ff_factors!$E377</f>
        <v>4.5463999999999997E-2</v>
      </c>
      <c r="E377" s="2">
        <f>ff_portfolios25!E377-ff_factors!$E377</f>
        <v>1.2484E-2</v>
      </c>
      <c r="F377" s="2">
        <f>ff_portfolios25!F377-ff_factors!$E377</f>
        <v>2.0266000000000003E-2</v>
      </c>
      <c r="G377" s="2">
        <f>ff_portfolios25!G377-ff_factors!$E377</f>
        <v>3.1924999999999995E-2</v>
      </c>
      <c r="H377" s="2">
        <f>ff_portfolios25!H377-ff_factors!$E377</f>
        <v>2.5432E-2</v>
      </c>
      <c r="I377" s="2">
        <f>ff_portfolios25!I377-ff_factors!$E377</f>
        <v>2.0807000000000003E-2</v>
      </c>
      <c r="J377" s="2">
        <f>ff_portfolios25!J377-ff_factors!$E377</f>
        <v>5.0664000000000001E-2</v>
      </c>
      <c r="K377" s="2">
        <f>ff_portfolios25!K377-ff_factors!$E377</f>
        <v>3.4280000000000001E-3</v>
      </c>
      <c r="L377" s="2">
        <f>ff_portfolios25!L377-ff_factors!$E377</f>
        <v>3.9201E-2</v>
      </c>
      <c r="M377" s="2">
        <f>ff_portfolios25!M377-ff_factors!$E377</f>
        <v>5.7405999999999999E-2</v>
      </c>
      <c r="N377" s="2">
        <f>ff_portfolios25!N377-ff_factors!$E377</f>
        <v>3.3145999999999995E-2</v>
      </c>
      <c r="O377" s="2">
        <f>ff_portfolios25!O377-ff_factors!$E377</f>
        <v>3.6866999999999997E-2</v>
      </c>
      <c r="P377" s="2">
        <f>ff_portfolios25!P377-ff_factors!$E377</f>
        <v>2.9773000000000004E-2</v>
      </c>
      <c r="Q377" s="2">
        <f>ff_portfolios25!Q377-ff_factors!$E377</f>
        <v>3.0078999999999998E-2</v>
      </c>
      <c r="R377" s="2">
        <f>ff_portfolios25!R377-ff_factors!$E377</f>
        <v>4.8580999999999999E-2</v>
      </c>
      <c r="S377" s="2">
        <f>ff_portfolios25!S377-ff_factors!$E377</f>
        <v>4.0499999999999994E-2</v>
      </c>
      <c r="T377" s="2">
        <f>ff_portfolios25!T377-ff_factors!$E377</f>
        <v>3.0845000000000001E-2</v>
      </c>
      <c r="U377" s="2">
        <f>ff_portfolios25!U377-ff_factors!$E377</f>
        <v>4.6811999999999999E-2</v>
      </c>
      <c r="V377" s="2">
        <f>ff_portfolios25!V377-ff_factors!$E377</f>
        <v>6.6778000000000004E-2</v>
      </c>
      <c r="W377" s="2">
        <f>ff_portfolios25!W377-ff_factors!$E377</f>
        <v>4.8881999999999995E-2</v>
      </c>
      <c r="X377" s="2">
        <f>ff_portfolios25!X377-ff_factors!$E377</f>
        <v>4.5970999999999998E-2</v>
      </c>
      <c r="Y377" s="2">
        <f>ff_portfolios25!Y377-ff_factors!$E377</f>
        <v>3.8943999999999999E-2</v>
      </c>
      <c r="Z377" s="2">
        <f>ff_portfolios25!Z377-ff_factors!$E377</f>
        <v>5.7290999999999995E-2</v>
      </c>
      <c r="AA377" s="2">
        <f>ff_portfolios25!AA377-ff_factors!$E377</f>
        <v>4.0566999999999999E-2</v>
      </c>
      <c r="AB377" s="2">
        <f>ff_portfolios25!AB377-ff_factors!$E377</f>
        <v>8.1929000000000002E-2</v>
      </c>
    </row>
    <row r="378" spans="1:28" x14ac:dyDescent="0.2">
      <c r="A378">
        <v>19630531</v>
      </c>
      <c r="B378">
        <v>1963</v>
      </c>
      <c r="C378">
        <v>5</v>
      </c>
      <c r="D378" s="2">
        <f>ff_portfolios25!D378-ff_factors!$E378</f>
        <v>3.1528E-2</v>
      </c>
      <c r="E378" s="2">
        <f>ff_portfolios25!E378-ff_factors!$E378</f>
        <v>1.4354000000000002E-2</v>
      </c>
      <c r="F378" s="2">
        <f>ff_portfolios25!F378-ff_factors!$E378</f>
        <v>2.5284000000000001E-2</v>
      </c>
      <c r="G378" s="2">
        <f>ff_portfolios25!G378-ff_factors!$E378</f>
        <v>3.8397000000000001E-2</v>
      </c>
      <c r="H378" s="2">
        <f>ff_portfolios25!H378-ff_factors!$E378</f>
        <v>7.6908000000000004E-2</v>
      </c>
      <c r="I378" s="2">
        <f>ff_portfolios25!I378-ff_factors!$E378</f>
        <v>1.8525E-2</v>
      </c>
      <c r="J378" s="2">
        <f>ff_portfolios25!J378-ff_factors!$E378</f>
        <v>2.4919E-2</v>
      </c>
      <c r="K378" s="2">
        <f>ff_portfolios25!K378-ff_factors!$E378</f>
        <v>6.7730000000000012E-3</v>
      </c>
      <c r="L378" s="2">
        <f>ff_portfolios25!L378-ff_factors!$E378</f>
        <v>4.5994E-2</v>
      </c>
      <c r="M378" s="2">
        <f>ff_portfolios25!M378-ff_factors!$E378</f>
        <v>4.428E-2</v>
      </c>
      <c r="N378" s="2">
        <f>ff_portfolios25!N378-ff_factors!$E378</f>
        <v>2.1131E-2</v>
      </c>
      <c r="O378" s="2">
        <f>ff_portfolios25!O378-ff_factors!$E378</f>
        <v>1.8690000000000002E-2</v>
      </c>
      <c r="P378" s="2">
        <f>ff_portfolios25!P378-ff_factors!$E378</f>
        <v>2.3035E-2</v>
      </c>
      <c r="Q378" s="2">
        <f>ff_portfolios25!Q378-ff_factors!$E378</f>
        <v>4.9210999999999998E-2</v>
      </c>
      <c r="R378" s="2">
        <f>ff_portfolios25!R378-ff_factors!$E378</f>
        <v>5.7979000000000003E-2</v>
      </c>
      <c r="S378" s="2">
        <f>ff_portfolios25!S378-ff_factors!$E378</f>
        <v>1.3670999999999999E-2</v>
      </c>
      <c r="T378" s="2">
        <f>ff_portfolios25!T378-ff_factors!$E378</f>
        <v>1.3285000000000002E-2</v>
      </c>
      <c r="U378" s="2">
        <f>ff_portfolios25!U378-ff_factors!$E378</f>
        <v>1.7219999999999999E-2</v>
      </c>
      <c r="V378" s="2">
        <f>ff_portfolios25!V378-ff_factors!$E378</f>
        <v>4.0863000000000003E-2</v>
      </c>
      <c r="W378" s="2">
        <f>ff_portfolios25!W378-ff_factors!$E378</f>
        <v>3.4480999999999998E-2</v>
      </c>
      <c r="X378" s="2">
        <f>ff_portfolios25!X378-ff_factors!$E378</f>
        <v>2.9448000000000002E-2</v>
      </c>
      <c r="Y378" s="2">
        <f>ff_portfolios25!Y378-ff_factors!$E378</f>
        <v>-5.7120000000000001E-3</v>
      </c>
      <c r="Z378" s="2">
        <f>ff_portfolios25!Z378-ff_factors!$E378</f>
        <v>1.5776999999999999E-2</v>
      </c>
      <c r="AA378" s="2">
        <f>ff_portfolios25!AA378-ff_factors!$E378</f>
        <v>1.4624000000000002E-2</v>
      </c>
      <c r="AB378" s="2">
        <f>ff_portfolios25!AB378-ff_factors!$E378</f>
        <v>5.5326E-2</v>
      </c>
    </row>
    <row r="379" spans="1:28" x14ac:dyDescent="0.2">
      <c r="A379">
        <v>19630628</v>
      </c>
      <c r="B379">
        <v>1963</v>
      </c>
      <c r="C379">
        <v>6</v>
      </c>
      <c r="D379" s="2">
        <f>ff_portfolios25!D379-ff_factors!$E379</f>
        <v>3.5433000000000006E-2</v>
      </c>
      <c r="E379" s="2">
        <f>ff_portfolios25!E379-ff_factors!$E379</f>
        <v>-1.4042000000000001E-2</v>
      </c>
      <c r="F379" s="2">
        <f>ff_portfolios25!F379-ff_factors!$E379</f>
        <v>-1.7084999999999999E-2</v>
      </c>
      <c r="G379" s="2">
        <f>ff_portfolios25!G379-ff_factors!$E379</f>
        <v>-2.8177000000000001E-2</v>
      </c>
      <c r="H379" s="2">
        <f>ff_portfolios25!H379-ff_factors!$E379</f>
        <v>-1.2711999999999999E-2</v>
      </c>
      <c r="I379" s="2">
        <f>ff_portfolios25!I379-ff_factors!$E379</f>
        <v>-2.5530000000000001E-3</v>
      </c>
      <c r="J379" s="2">
        <f>ff_portfolios25!J379-ff_factors!$E379</f>
        <v>-1.9695999999999998E-2</v>
      </c>
      <c r="K379" s="2">
        <f>ff_portfolios25!K379-ff_factors!$E379</f>
        <v>-2.2832999999999999E-2</v>
      </c>
      <c r="L379" s="2">
        <f>ff_portfolios25!L379-ff_factors!$E379</f>
        <v>-2.0045E-2</v>
      </c>
      <c r="M379" s="2">
        <f>ff_portfolios25!M379-ff_factors!$E379</f>
        <v>-2.0471E-2</v>
      </c>
      <c r="N379" s="2">
        <f>ff_portfolios25!N379-ff_factors!$E379</f>
        <v>-1.5327E-2</v>
      </c>
      <c r="O379" s="2">
        <f>ff_portfolios25!O379-ff_factors!$E379</f>
        <v>-9.3589999999999993E-3</v>
      </c>
      <c r="P379" s="2">
        <f>ff_portfolios25!P379-ff_factors!$E379</f>
        <v>-2.1734E-2</v>
      </c>
      <c r="Q379" s="2">
        <f>ff_portfolios25!Q379-ff_factors!$E379</f>
        <v>-3.1259999999999996E-2</v>
      </c>
      <c r="R379" s="2">
        <f>ff_portfolios25!R379-ff_factors!$E379</f>
        <v>-1.2848999999999999E-2</v>
      </c>
      <c r="S379" s="2">
        <f>ff_portfolios25!S379-ff_factors!$E379</f>
        <v>-1.5958E-2</v>
      </c>
      <c r="T379" s="2">
        <f>ff_portfolios25!T379-ff_factors!$E379</f>
        <v>-1.6142999999999998E-2</v>
      </c>
      <c r="U379" s="2">
        <f>ff_portfolios25!U379-ff_factors!$E379</f>
        <v>-2.8931999999999999E-2</v>
      </c>
      <c r="V379" s="2">
        <f>ff_portfolios25!V379-ff_factors!$E379</f>
        <v>-3.2050999999999996E-2</v>
      </c>
      <c r="W379" s="2">
        <f>ff_portfolios25!W379-ff_factors!$E379</f>
        <v>7.9070000000000008E-3</v>
      </c>
      <c r="X379" s="2">
        <f>ff_portfolios25!X379-ff_factors!$E379</f>
        <v>-3.4328999999999998E-2</v>
      </c>
      <c r="Y379" s="2">
        <f>ff_portfolios25!Y379-ff_factors!$E379</f>
        <v>-1.1963E-2</v>
      </c>
      <c r="Z379" s="2">
        <f>ff_portfolios25!Z379-ff_factors!$E379</f>
        <v>-9.7469999999999987E-3</v>
      </c>
      <c r="AA379" s="2">
        <f>ff_portfolios25!AA379-ff_factors!$E379</f>
        <v>-1.5605000000000001E-2</v>
      </c>
      <c r="AB379" s="2">
        <f>ff_portfolios25!AB379-ff_factors!$E379</f>
        <v>-5.8899999999999994E-3</v>
      </c>
    </row>
    <row r="380" spans="1:28" x14ac:dyDescent="0.2">
      <c r="A380">
        <v>19630731</v>
      </c>
      <c r="B380">
        <v>1963</v>
      </c>
      <c r="C380">
        <v>7</v>
      </c>
      <c r="D380" s="2">
        <f>ff_portfolios25!D380-ff_factors!$E380</f>
        <v>8.5339999999999999E-3</v>
      </c>
      <c r="E380" s="2">
        <f>ff_portfolios25!E380-ff_factors!$E380</f>
        <v>-4.1809999999999998E-3</v>
      </c>
      <c r="F380" s="2">
        <f>ff_portfolios25!F380-ff_factors!$E380</f>
        <v>2.8630000000000001E-3</v>
      </c>
      <c r="G380" s="2">
        <f>ff_portfolios25!G380-ff_factors!$E380</f>
        <v>-1.603E-3</v>
      </c>
      <c r="H380" s="2">
        <f>ff_portfolios25!H380-ff_factors!$E380</f>
        <v>-1.5911999999999999E-2</v>
      </c>
      <c r="I380" s="2">
        <f>ff_portfolios25!I380-ff_factors!$E380</f>
        <v>-2.1421000000000003E-2</v>
      </c>
      <c r="J380" s="2">
        <f>ff_portfolios25!J380-ff_factors!$E380</f>
        <v>2.4499999999999999E-4</v>
      </c>
      <c r="K380" s="2">
        <f>ff_portfolios25!K380-ff_factors!$E380</f>
        <v>-1.1144999999999999E-2</v>
      </c>
      <c r="L380" s="2">
        <f>ff_portfolios25!L380-ff_factors!$E380</f>
        <v>-2.2343999999999999E-2</v>
      </c>
      <c r="M380" s="2">
        <f>ff_portfolios25!M380-ff_factors!$E380</f>
        <v>-1.4589000000000001E-2</v>
      </c>
      <c r="N380" s="2">
        <f>ff_portfolios25!N380-ff_factors!$E380</f>
        <v>-2.5995000000000001E-2</v>
      </c>
      <c r="O380" s="2">
        <f>ff_portfolios25!O380-ff_factors!$E380</f>
        <v>-1.5741999999999999E-2</v>
      </c>
      <c r="P380" s="2">
        <f>ff_portfolios25!P380-ff_factors!$E380</f>
        <v>-1.0666999999999999E-2</v>
      </c>
      <c r="Q380" s="2">
        <f>ff_portfolios25!Q380-ff_factors!$E380</f>
        <v>-2.5004999999999999E-2</v>
      </c>
      <c r="R380" s="2">
        <f>ff_portfolios25!R380-ff_factors!$E380</f>
        <v>-2.0684000000000001E-2</v>
      </c>
      <c r="S380" s="2">
        <f>ff_portfolios25!S380-ff_factors!$E380</f>
        <v>-1.1155999999999999E-2</v>
      </c>
      <c r="T380" s="2">
        <f>ff_portfolios25!T380-ff_factors!$E380</f>
        <v>-1.9752000000000002E-2</v>
      </c>
      <c r="U380" s="2">
        <f>ff_portfolios25!U380-ff_factors!$E380</f>
        <v>-2.2742000000000002E-2</v>
      </c>
      <c r="V380" s="2">
        <f>ff_portfolios25!V380-ff_factors!$E380</f>
        <v>-1.9357000000000003E-2</v>
      </c>
      <c r="W380" s="2">
        <f>ff_portfolios25!W380-ff_factors!$E380</f>
        <v>-2.1267000000000001E-2</v>
      </c>
      <c r="X380" s="2">
        <f>ff_portfolios25!X380-ff_factors!$E380</f>
        <v>-1.2990000000000002E-3</v>
      </c>
      <c r="Y380" s="2">
        <f>ff_portfolios25!Y380-ff_factors!$E380</f>
        <v>1.8240000000000001E-3</v>
      </c>
      <c r="Z380" s="2">
        <f>ff_portfolios25!Z380-ff_factors!$E380</f>
        <v>9.8570000000000012E-3</v>
      </c>
      <c r="AA380" s="2">
        <f>ff_portfolios25!AA380-ff_factors!$E380</f>
        <v>-6.9900000000000006E-3</v>
      </c>
      <c r="AB380" s="2">
        <f>ff_portfolios25!AB380-ff_factors!$E380</f>
        <v>-1.3725999999999999E-2</v>
      </c>
    </row>
    <row r="381" spans="1:28" x14ac:dyDescent="0.2">
      <c r="A381">
        <v>19630830</v>
      </c>
      <c r="B381">
        <v>1963</v>
      </c>
      <c r="C381">
        <v>8</v>
      </c>
      <c r="D381" s="2">
        <f>ff_portfolios25!D381-ff_factors!$E381</f>
        <v>3.9928999999999999E-2</v>
      </c>
      <c r="E381" s="2">
        <f>ff_portfolios25!E381-ff_factors!$E381</f>
        <v>1.2331E-2</v>
      </c>
      <c r="F381" s="2">
        <f>ff_portfolios25!F381-ff_factors!$E381</f>
        <v>1.0714E-2</v>
      </c>
      <c r="G381" s="2">
        <f>ff_portfolios25!G381-ff_factors!$E381</f>
        <v>2.1201000000000001E-2</v>
      </c>
      <c r="H381" s="2">
        <f>ff_portfolios25!H381-ff_factors!$E381</f>
        <v>4.4245E-2</v>
      </c>
      <c r="I381" s="2">
        <f>ff_portfolios25!I381-ff_factors!$E381</f>
        <v>5.1483000000000001E-2</v>
      </c>
      <c r="J381" s="2">
        <f>ff_portfolios25!J381-ff_factors!$E381</f>
        <v>4.3962000000000001E-2</v>
      </c>
      <c r="K381" s="2">
        <f>ff_portfolios25!K381-ff_factors!$E381</f>
        <v>4.1138999999999995E-2</v>
      </c>
      <c r="L381" s="2">
        <f>ff_portfolios25!L381-ff_factors!$E381</f>
        <v>4.1687999999999996E-2</v>
      </c>
      <c r="M381" s="2">
        <f>ff_portfolios25!M381-ff_factors!$E381</f>
        <v>7.9828999999999997E-2</v>
      </c>
      <c r="N381" s="2">
        <f>ff_portfolios25!N381-ff_factors!$E381</f>
        <v>5.0076999999999997E-2</v>
      </c>
      <c r="O381" s="2">
        <f>ff_portfolios25!O381-ff_factors!$E381</f>
        <v>4.7754999999999999E-2</v>
      </c>
      <c r="P381" s="2">
        <f>ff_portfolios25!P381-ff_factors!$E381</f>
        <v>5.2132999999999999E-2</v>
      </c>
      <c r="Q381" s="2">
        <f>ff_portfolios25!Q381-ff_factors!$E381</f>
        <v>4.5763999999999999E-2</v>
      </c>
      <c r="R381" s="2">
        <f>ff_portfolios25!R381-ff_factors!$E381</f>
        <v>4.9040999999999994E-2</v>
      </c>
      <c r="S381" s="2">
        <f>ff_portfolios25!S381-ff_factors!$E381</f>
        <v>5.1464999999999997E-2</v>
      </c>
      <c r="T381" s="2">
        <f>ff_portfolios25!T381-ff_factors!$E381</f>
        <v>4.5113999999999994E-2</v>
      </c>
      <c r="U381" s="2">
        <f>ff_portfolios25!U381-ff_factors!$E381</f>
        <v>5.9567999999999996E-2</v>
      </c>
      <c r="V381" s="2">
        <f>ff_portfolios25!V381-ff_factors!$E381</f>
        <v>7.3119000000000003E-2</v>
      </c>
      <c r="W381" s="2">
        <f>ff_portfolios25!W381-ff_factors!$E381</f>
        <v>5.0969E-2</v>
      </c>
      <c r="X381" s="2">
        <f>ff_portfolios25!X381-ff_factors!$E381</f>
        <v>5.5209999999999995E-2</v>
      </c>
      <c r="Y381" s="2">
        <f>ff_portfolios25!Y381-ff_factors!$E381</f>
        <v>3.9729999999999994E-2</v>
      </c>
      <c r="Z381" s="2">
        <f>ff_portfolios25!Z381-ff_factors!$E381</f>
        <v>4.4986999999999999E-2</v>
      </c>
      <c r="AA381" s="2">
        <f>ff_portfolios25!AA381-ff_factors!$E381</f>
        <v>7.8919000000000003E-2</v>
      </c>
      <c r="AB381" s="2">
        <f>ff_portfolios25!AB381-ff_factors!$E381</f>
        <v>6.1324000000000004E-2</v>
      </c>
    </row>
    <row r="382" spans="1:28" x14ac:dyDescent="0.2">
      <c r="A382">
        <v>19630930</v>
      </c>
      <c r="B382">
        <v>1963</v>
      </c>
      <c r="C382">
        <v>9</v>
      </c>
      <c r="D382" s="2">
        <f>ff_portfolios25!D382-ff_factors!$E382</f>
        <v>-3.1621999999999997E-2</v>
      </c>
      <c r="E382" s="2">
        <f>ff_portfolios25!E382-ff_factors!$E382</f>
        <v>4.3270000000000001E-3</v>
      </c>
      <c r="F382" s="2">
        <f>ff_portfolios25!F382-ff_factors!$E382</f>
        <v>-1.3569000000000001E-2</v>
      </c>
      <c r="G382" s="2">
        <f>ff_portfolios25!G382-ff_factors!$E382</f>
        <v>-1.8512000000000001E-2</v>
      </c>
      <c r="H382" s="2">
        <f>ff_portfolios25!H382-ff_factors!$E382</f>
        <v>-6.2810000000000001E-3</v>
      </c>
      <c r="I382" s="2">
        <f>ff_portfolios25!I382-ff_factors!$E382</f>
        <v>-4.1863999999999998E-2</v>
      </c>
      <c r="J382" s="2">
        <f>ff_portfolios25!J382-ff_factors!$E382</f>
        <v>-1.8413000000000002E-2</v>
      </c>
      <c r="K382" s="2">
        <f>ff_portfolios25!K382-ff_factors!$E382</f>
        <v>-9.1170000000000001E-3</v>
      </c>
      <c r="L382" s="2">
        <f>ff_portfolios25!L382-ff_factors!$E382</f>
        <v>-1.4512000000000001E-2</v>
      </c>
      <c r="M382" s="2">
        <f>ff_portfolios25!M382-ff_factors!$E382</f>
        <v>-3.1849000000000002E-2</v>
      </c>
      <c r="N382" s="2">
        <f>ff_portfolios25!N382-ff_factors!$E382</f>
        <v>-4.7344000000000004E-2</v>
      </c>
      <c r="O382" s="2">
        <f>ff_portfolios25!O382-ff_factors!$E382</f>
        <v>-1.8013999999999999E-2</v>
      </c>
      <c r="P382" s="2">
        <f>ff_portfolios25!P382-ff_factors!$E382</f>
        <v>-7.5760000000000003E-3</v>
      </c>
      <c r="Q382" s="2">
        <f>ff_portfolios25!Q382-ff_factors!$E382</f>
        <v>-5.9680000000000002E-3</v>
      </c>
      <c r="R382" s="2">
        <f>ff_portfolios25!R382-ff_factors!$E382</f>
        <v>-2.0903000000000001E-2</v>
      </c>
      <c r="S382" s="2">
        <f>ff_portfolios25!S382-ff_factors!$E382</f>
        <v>-2.9593000000000001E-2</v>
      </c>
      <c r="T382" s="2">
        <f>ff_portfolios25!T382-ff_factors!$E382</f>
        <v>-2.2839000000000002E-2</v>
      </c>
      <c r="U382" s="2">
        <f>ff_portfolios25!U382-ff_factors!$E382</f>
        <v>-2.1641000000000001E-2</v>
      </c>
      <c r="V382" s="2">
        <f>ff_portfolios25!V382-ff_factors!$E382</f>
        <v>-3.8523000000000002E-2</v>
      </c>
      <c r="W382" s="2">
        <f>ff_portfolios25!W382-ff_factors!$E382</f>
        <v>-2.2643E-2</v>
      </c>
      <c r="X382" s="2">
        <f>ff_portfolios25!X382-ff_factors!$E382</f>
        <v>-1.6421000000000002E-2</v>
      </c>
      <c r="Y382" s="2">
        <f>ff_portfolios25!Y382-ff_factors!$E382</f>
        <v>-1.042E-2</v>
      </c>
      <c r="Z382" s="2">
        <f>ff_portfolios25!Z382-ff_factors!$E382</f>
        <v>-1.2552000000000001E-2</v>
      </c>
      <c r="AA382" s="2">
        <f>ff_portfolios25!AA382-ff_factors!$E382</f>
        <v>-4.6049999999999997E-3</v>
      </c>
      <c r="AB382" s="2">
        <f>ff_portfolios25!AB382-ff_factors!$E382</f>
        <v>-3.7663000000000002E-2</v>
      </c>
    </row>
    <row r="383" spans="1:28" x14ac:dyDescent="0.2">
      <c r="A383">
        <v>19631031</v>
      </c>
      <c r="B383">
        <v>1963</v>
      </c>
      <c r="C383">
        <v>10</v>
      </c>
      <c r="D383" s="2">
        <f>ff_portfolios25!D383-ff_factors!$E383</f>
        <v>9.9609999999999994E-3</v>
      </c>
      <c r="E383" s="2">
        <f>ff_portfolios25!E383-ff_factors!$E383</f>
        <v>-9.391E-3</v>
      </c>
      <c r="F383" s="2">
        <f>ff_portfolios25!F383-ff_factors!$E383</f>
        <v>9.5429999999999994E-3</v>
      </c>
      <c r="G383" s="2">
        <f>ff_portfolios25!G383-ff_factors!$E383</f>
        <v>-1.8999999999999998E-3</v>
      </c>
      <c r="H383" s="2">
        <f>ff_portfolios25!H383-ff_factors!$E383</f>
        <v>2.0823999999999999E-2</v>
      </c>
      <c r="I383" s="2">
        <f>ff_portfolios25!I383-ff_factors!$E383</f>
        <v>8.9820000000000004E-3</v>
      </c>
      <c r="J383" s="2">
        <f>ff_portfolios25!J383-ff_factors!$E383</f>
        <v>4.0111000000000001E-2</v>
      </c>
      <c r="K383" s="2">
        <f>ff_portfolios25!K383-ff_factors!$E383</f>
        <v>2.0538000000000001E-2</v>
      </c>
      <c r="L383" s="2">
        <f>ff_portfolios25!L383-ff_factors!$E383</f>
        <v>1.9112000000000001E-2</v>
      </c>
      <c r="M383" s="2">
        <f>ff_portfolios25!M383-ff_factors!$E383</f>
        <v>3.6435000000000002E-2</v>
      </c>
      <c r="N383" s="2">
        <f>ff_portfolios25!N383-ff_factors!$E383</f>
        <v>2.069E-2</v>
      </c>
      <c r="O383" s="2">
        <f>ff_portfolios25!O383-ff_factors!$E383</f>
        <v>2.98E-3</v>
      </c>
      <c r="P383" s="2">
        <f>ff_portfolios25!P383-ff_factors!$E383</f>
        <v>2.4445999999999999E-2</v>
      </c>
      <c r="Q383" s="2">
        <f>ff_portfolios25!Q383-ff_factors!$E383</f>
        <v>1.7580999999999999E-2</v>
      </c>
      <c r="R383" s="2">
        <f>ff_portfolios25!R383-ff_factors!$E383</f>
        <v>7.7800000000000005E-3</v>
      </c>
      <c r="S383" s="2">
        <f>ff_portfolios25!S383-ff_factors!$E383</f>
        <v>-7.1869999999999998E-3</v>
      </c>
      <c r="T383" s="2">
        <f>ff_portfolios25!T383-ff_factors!$E383</f>
        <v>6.157000000000001E-3</v>
      </c>
      <c r="U383" s="2">
        <f>ff_portfolios25!U383-ff_factors!$E383</f>
        <v>2.0559000000000001E-2</v>
      </c>
      <c r="V383" s="2">
        <f>ff_portfolios25!V383-ff_factors!$E383</f>
        <v>5.0481999999999999E-2</v>
      </c>
      <c r="W383" s="2">
        <f>ff_portfolios25!W383-ff_factors!$E383</f>
        <v>3.2130000000000006E-3</v>
      </c>
      <c r="X383" s="2">
        <f>ff_portfolios25!X383-ff_factors!$E383</f>
        <v>5.0361000000000003E-2</v>
      </c>
      <c r="Y383" s="2">
        <f>ff_portfolios25!Y383-ff_factors!$E383</f>
        <v>1.4482999999999999E-2</v>
      </c>
      <c r="Z383" s="2">
        <f>ff_portfolios25!Z383-ff_factors!$E383</f>
        <v>-5.7289999999999997E-3</v>
      </c>
      <c r="AA383" s="2">
        <f>ff_portfolios25!AA383-ff_factors!$E383</f>
        <v>2.1250000000000002E-2</v>
      </c>
      <c r="AB383" s="2">
        <f>ff_portfolios25!AB383-ff_factors!$E383</f>
        <v>1.9570000000000004E-3</v>
      </c>
    </row>
    <row r="384" spans="1:28" x14ac:dyDescent="0.2">
      <c r="A384">
        <v>19631129</v>
      </c>
      <c r="B384">
        <v>1963</v>
      </c>
      <c r="C384">
        <v>11</v>
      </c>
      <c r="D384" s="2">
        <f>ff_portfolios25!D384-ff_factors!$E384</f>
        <v>-3.6492999999999998E-2</v>
      </c>
      <c r="E384" s="2">
        <f>ff_portfolios25!E384-ff_factors!$E384</f>
        <v>-4.3055000000000003E-2</v>
      </c>
      <c r="F384" s="2">
        <f>ff_portfolios25!F384-ff_factors!$E384</f>
        <v>-1.8669000000000002E-2</v>
      </c>
      <c r="G384" s="2">
        <f>ff_portfolios25!G384-ff_factors!$E384</f>
        <v>-1.3247999999999999E-2</v>
      </c>
      <c r="H384" s="2">
        <f>ff_portfolios25!H384-ff_factors!$E384</f>
        <v>-1.3153999999999999E-2</v>
      </c>
      <c r="I384" s="2">
        <f>ff_portfolios25!I384-ff_factors!$E384</f>
        <v>-4.4521999999999999E-2</v>
      </c>
      <c r="J384" s="2">
        <f>ff_portfolios25!J384-ff_factors!$E384</f>
        <v>-2.0344000000000001E-2</v>
      </c>
      <c r="K384" s="2">
        <f>ff_portfolios25!K384-ff_factors!$E384</f>
        <v>-9.7640000000000001E-3</v>
      </c>
      <c r="L384" s="2">
        <f>ff_portfolios25!L384-ff_factors!$E384</f>
        <v>-3.7020000000000004E-3</v>
      </c>
      <c r="M384" s="2">
        <f>ff_portfolios25!M384-ff_factors!$E384</f>
        <v>-3.8320000000000003E-3</v>
      </c>
      <c r="N384" s="2">
        <f>ff_portfolios25!N384-ff_factors!$E384</f>
        <v>-3.3001999999999997E-2</v>
      </c>
      <c r="O384" s="2">
        <f>ff_portfolios25!O384-ff_factors!$E384</f>
        <v>-1.7940000000000001E-2</v>
      </c>
      <c r="P384" s="2">
        <f>ff_portfolios25!P384-ff_factors!$E384</f>
        <v>-1.2109999999999999E-2</v>
      </c>
      <c r="Q384" s="2">
        <f>ff_portfolios25!Q384-ff_factors!$E384</f>
        <v>-1.0218000000000001E-2</v>
      </c>
      <c r="R384" s="2">
        <f>ff_portfolios25!R384-ff_factors!$E384</f>
        <v>-1.4815999999999999E-2</v>
      </c>
      <c r="S384" s="2">
        <f>ff_portfolios25!S384-ff_factors!$E384</f>
        <v>-1.1348E-2</v>
      </c>
      <c r="T384" s="2">
        <f>ff_portfolios25!T384-ff_factors!$E384</f>
        <v>-1.1528E-2</v>
      </c>
      <c r="U384" s="2">
        <f>ff_portfolios25!U384-ff_factors!$E384</f>
        <v>-7.5820000000000002E-3</v>
      </c>
      <c r="V384" s="2">
        <f>ff_portfolios25!V384-ff_factors!$E384</f>
        <v>8.7509999999999984E-3</v>
      </c>
      <c r="W384" s="2">
        <f>ff_portfolios25!W384-ff_factors!$E384</f>
        <v>3.2688000000000002E-2</v>
      </c>
      <c r="X384" s="2">
        <f>ff_portfolios25!X384-ff_factors!$E384</f>
        <v>-1.5261E-2</v>
      </c>
      <c r="Y384" s="2">
        <f>ff_portfolios25!Y384-ff_factors!$E384</f>
        <v>7.149E-3</v>
      </c>
      <c r="Z384" s="2">
        <f>ff_portfolios25!Z384-ff_factors!$E384</f>
        <v>-1.8242000000000001E-2</v>
      </c>
      <c r="AA384" s="2">
        <f>ff_portfolios25!AA384-ff_factors!$E384</f>
        <v>-2.4022000000000002E-2</v>
      </c>
      <c r="AB384" s="2">
        <f>ff_portfolios25!AB384-ff_factors!$E384</f>
        <v>1.0755000000000001E-2</v>
      </c>
    </row>
    <row r="385" spans="1:28" x14ac:dyDescent="0.2">
      <c r="A385">
        <v>19631231</v>
      </c>
      <c r="B385">
        <v>1963</v>
      </c>
      <c r="C385">
        <v>12</v>
      </c>
      <c r="D385" s="2">
        <f>ff_portfolios25!D385-ff_factors!$E385</f>
        <v>-2.6492999999999999E-2</v>
      </c>
      <c r="E385" s="2">
        <f>ff_portfolios25!E385-ff_factors!$E385</f>
        <v>-1.4697999999999999E-2</v>
      </c>
      <c r="F385" s="2">
        <f>ff_portfolios25!F385-ff_factors!$E385</f>
        <v>-1.1918E-2</v>
      </c>
      <c r="G385" s="2">
        <f>ff_portfolios25!G385-ff_factors!$E385</f>
        <v>-1.9266999999999999E-2</v>
      </c>
      <c r="H385" s="2">
        <f>ff_portfolios25!H385-ff_factors!$E385</f>
        <v>-1.342E-2</v>
      </c>
      <c r="I385" s="2">
        <f>ff_portfolios25!I385-ff_factors!$E385</f>
        <v>-9.7140000000000004E-3</v>
      </c>
      <c r="J385" s="2">
        <f>ff_portfolios25!J385-ff_factors!$E385</f>
        <v>-1.2043E-2</v>
      </c>
      <c r="K385" s="2">
        <f>ff_portfolios25!K385-ff_factors!$E385</f>
        <v>8.627000000000001E-3</v>
      </c>
      <c r="L385" s="2">
        <f>ff_portfolios25!L385-ff_factors!$E385</f>
        <v>6.0009999999999994E-3</v>
      </c>
      <c r="M385" s="2">
        <f>ff_portfolios25!M385-ff_factors!$E385</f>
        <v>-1.6879999999999998E-3</v>
      </c>
      <c r="N385" s="2">
        <f>ff_portfolios25!N385-ff_factors!$E385</f>
        <v>6.8900000000000038E-4</v>
      </c>
      <c r="O385" s="2">
        <f>ff_portfolios25!O385-ff_factors!$E385</f>
        <v>1.1836000000000001E-2</v>
      </c>
      <c r="P385" s="2">
        <f>ff_portfolios25!P385-ff_factors!$E385</f>
        <v>9.8370000000000003E-3</v>
      </c>
      <c r="Q385" s="2">
        <f>ff_portfolios25!Q385-ff_factors!$E385</f>
        <v>1.4297000000000001E-2</v>
      </c>
      <c r="R385" s="2">
        <f>ff_portfolios25!R385-ff_factors!$E385</f>
        <v>1.7650000000000001E-3</v>
      </c>
      <c r="S385" s="2">
        <f>ff_portfolios25!S385-ff_factors!$E385</f>
        <v>-4.2179999999999995E-3</v>
      </c>
      <c r="T385" s="2">
        <f>ff_portfolios25!T385-ff_factors!$E385</f>
        <v>9.0830000000000008E-3</v>
      </c>
      <c r="U385" s="2">
        <f>ff_portfolios25!U385-ff_factors!$E385</f>
        <v>1.4374000000000001E-2</v>
      </c>
      <c r="V385" s="2">
        <f>ff_portfolios25!V385-ff_factors!$E385</f>
        <v>2.8492999999999997E-2</v>
      </c>
      <c r="W385" s="2">
        <f>ff_portfolios25!W385-ff_factors!$E385</f>
        <v>5.8597999999999997E-2</v>
      </c>
      <c r="X385" s="2">
        <f>ff_portfolios25!X385-ff_factors!$E385</f>
        <v>2.3337E-2</v>
      </c>
      <c r="Y385" s="2">
        <f>ff_portfolios25!Y385-ff_factors!$E385</f>
        <v>2.0081000000000002E-2</v>
      </c>
      <c r="Z385" s="2">
        <f>ff_portfolios25!Z385-ff_factors!$E385</f>
        <v>2.0021000000000001E-2</v>
      </c>
      <c r="AA385" s="2">
        <f>ff_portfolios25!AA385-ff_factors!$E385</f>
        <v>2.2249000000000001E-2</v>
      </c>
      <c r="AB385" s="2">
        <f>ff_portfolios25!AB385-ff_factors!$E385</f>
        <v>1.8408000000000001E-2</v>
      </c>
    </row>
    <row r="386" spans="1:28" x14ac:dyDescent="0.2">
      <c r="A386">
        <v>19640131</v>
      </c>
      <c r="B386">
        <v>1964</v>
      </c>
      <c r="C386">
        <v>1</v>
      </c>
      <c r="D386" s="2">
        <f>ff_portfolios25!D386-ff_factors!$E386</f>
        <v>3.6766999999999994E-2</v>
      </c>
      <c r="E386" s="2">
        <f>ff_portfolios25!E386-ff_factors!$E386</f>
        <v>2.7833E-2</v>
      </c>
      <c r="F386" s="2">
        <f>ff_portfolios25!F386-ff_factors!$E386</f>
        <v>3.8067999999999998E-2</v>
      </c>
      <c r="G386" s="2">
        <f>ff_portfolios25!G386-ff_factors!$E386</f>
        <v>3.8397999999999995E-2</v>
      </c>
      <c r="H386" s="2">
        <f>ff_portfolios25!H386-ff_factors!$E386</f>
        <v>4.6544999999999996E-2</v>
      </c>
      <c r="I386" s="2">
        <f>ff_portfolios25!I386-ff_factors!$E386</f>
        <v>-2.1042999999999999E-2</v>
      </c>
      <c r="J386" s="2">
        <f>ff_portfolios25!J386-ff_factors!$E386</f>
        <v>-9.4179999999999993E-3</v>
      </c>
      <c r="K386" s="2">
        <f>ff_portfolios25!K386-ff_factors!$E386</f>
        <v>3.3687999999999996E-2</v>
      </c>
      <c r="L386" s="2">
        <f>ff_portfolios25!L386-ff_factors!$E386</f>
        <v>1.1762999999999999E-2</v>
      </c>
      <c r="M386" s="2">
        <f>ff_portfolios25!M386-ff_factors!$E386</f>
        <v>3.9345999999999999E-2</v>
      </c>
      <c r="N386" s="2">
        <f>ff_portfolios25!N386-ff_factors!$E386</f>
        <v>-1.895E-3</v>
      </c>
      <c r="O386" s="2">
        <f>ff_portfolios25!O386-ff_factors!$E386</f>
        <v>7.1580000000000003E-3</v>
      </c>
      <c r="P386" s="2">
        <f>ff_portfolios25!P386-ff_factors!$E386</f>
        <v>2.1950000000000001E-2</v>
      </c>
      <c r="Q386" s="2">
        <f>ff_portfolios25!Q386-ff_factors!$E386</f>
        <v>3.6770999999999998E-2</v>
      </c>
      <c r="R386" s="2">
        <f>ff_portfolios25!R386-ff_factors!$E386</f>
        <v>2.9152000000000001E-2</v>
      </c>
      <c r="S386" s="2">
        <f>ff_portfolios25!S386-ff_factors!$E386</f>
        <v>-5.9880000000000003E-3</v>
      </c>
      <c r="T386" s="2">
        <f>ff_portfolios25!T386-ff_factors!$E386</f>
        <v>1.4765E-2</v>
      </c>
      <c r="U386" s="2">
        <f>ff_portfolios25!U386-ff_factors!$E386</f>
        <v>8.7740000000000005E-3</v>
      </c>
      <c r="V386" s="2">
        <f>ff_portfolios25!V386-ff_factors!$E386</f>
        <v>3.3203999999999997E-2</v>
      </c>
      <c r="W386" s="2">
        <f>ff_portfolios25!W386-ff_factors!$E386</f>
        <v>3.0373000000000001E-2</v>
      </c>
      <c r="X386" s="2">
        <f>ff_portfolios25!X386-ff_factors!$E386</f>
        <v>2.7934E-2</v>
      </c>
      <c r="Y386" s="2">
        <f>ff_portfolios25!Y386-ff_factors!$E386</f>
        <v>2.8881E-2</v>
      </c>
      <c r="Z386" s="2">
        <f>ff_portfolios25!Z386-ff_factors!$E386</f>
        <v>1.4441000000000002E-2</v>
      </c>
      <c r="AA386" s="2">
        <f>ff_portfolios25!AA386-ff_factors!$E386</f>
        <v>1.7144E-2</v>
      </c>
      <c r="AB386" s="2">
        <f>ff_portfolios25!AB386-ff_factors!$E386</f>
        <v>1.3235E-2</v>
      </c>
    </row>
    <row r="387" spans="1:28" x14ac:dyDescent="0.2">
      <c r="A387">
        <v>19640228</v>
      </c>
      <c r="B387">
        <v>1964</v>
      </c>
      <c r="C387">
        <v>2</v>
      </c>
      <c r="D387" s="2">
        <f>ff_portfolios25!D387-ff_factors!$E387</f>
        <v>2.6955E-2</v>
      </c>
      <c r="E387" s="2">
        <f>ff_portfolios25!E387-ff_factors!$E387</f>
        <v>2.613E-2</v>
      </c>
      <c r="F387" s="2">
        <f>ff_portfolios25!F387-ff_factors!$E387</f>
        <v>1.9955000000000001E-2</v>
      </c>
      <c r="G387" s="2">
        <f>ff_portfolios25!G387-ff_factors!$E387</f>
        <v>2.2100000000000028E-4</v>
      </c>
      <c r="H387" s="2">
        <f>ff_portfolios25!H387-ff_factors!$E387</f>
        <v>4.2957000000000002E-2</v>
      </c>
      <c r="I387" s="2">
        <f>ff_portfolios25!I387-ff_factors!$E387</f>
        <v>1.3560000000000001E-2</v>
      </c>
      <c r="J387" s="2">
        <f>ff_portfolios25!J387-ff_factors!$E387</f>
        <v>1.4712999999999999E-2</v>
      </c>
      <c r="K387" s="2">
        <f>ff_portfolios25!K387-ff_factors!$E387</f>
        <v>2.2509000000000001E-2</v>
      </c>
      <c r="L387" s="2">
        <f>ff_portfolios25!L387-ff_factors!$E387</f>
        <v>1.8629E-2</v>
      </c>
      <c r="M387" s="2">
        <f>ff_portfolios25!M387-ff_factors!$E387</f>
        <v>5.8403000000000004E-2</v>
      </c>
      <c r="N387" s="2">
        <f>ff_portfolios25!N387-ff_factors!$E387</f>
        <v>-1.5809999999999999E-3</v>
      </c>
      <c r="O387" s="2">
        <f>ff_portfolios25!O387-ff_factors!$E387</f>
        <v>2.5722000000000002E-2</v>
      </c>
      <c r="P387" s="2">
        <f>ff_portfolios25!P387-ff_factors!$E387</f>
        <v>1.5139999999999999E-2</v>
      </c>
      <c r="Q387" s="2">
        <f>ff_portfolios25!Q387-ff_factors!$E387</f>
        <v>3.4964000000000002E-2</v>
      </c>
      <c r="R387" s="2">
        <f>ff_portfolios25!R387-ff_factors!$E387</f>
        <v>3.7522E-2</v>
      </c>
      <c r="S387" s="2">
        <f>ff_portfolios25!S387-ff_factors!$E387</f>
        <v>2.2620000000000001E-2</v>
      </c>
      <c r="T387" s="2">
        <f>ff_portfolios25!T387-ff_factors!$E387</f>
        <v>1.1809E-2</v>
      </c>
      <c r="U387" s="2">
        <f>ff_portfolios25!U387-ff_factors!$E387</f>
        <v>2.7465999999999997E-2</v>
      </c>
      <c r="V387" s="2">
        <f>ff_portfolios25!V387-ff_factors!$E387</f>
        <v>7.1943999999999994E-2</v>
      </c>
      <c r="W387" s="2">
        <f>ff_portfolios25!W387-ff_factors!$E387</f>
        <v>4.3497000000000001E-2</v>
      </c>
      <c r="X387" s="2">
        <f>ff_portfolios25!X387-ff_factors!$E387</f>
        <v>1.5624000000000001E-2</v>
      </c>
      <c r="Y387" s="2">
        <f>ff_portfolios25!Y387-ff_factors!$E387</f>
        <v>2.5240000000000002E-3</v>
      </c>
      <c r="Z387" s="2">
        <f>ff_portfolios25!Z387-ff_factors!$E387</f>
        <v>7.8180000000000003E-3</v>
      </c>
      <c r="AA387" s="2">
        <f>ff_portfolios25!AA387-ff_factors!$E387</f>
        <v>3.7229999999999999E-2</v>
      </c>
      <c r="AB387" s="2">
        <f>ff_portfolios25!AB387-ff_factors!$E387</f>
        <v>3.4910000000000004E-2</v>
      </c>
    </row>
    <row r="388" spans="1:28" x14ac:dyDescent="0.2">
      <c r="A388">
        <v>19640331</v>
      </c>
      <c r="B388">
        <v>1964</v>
      </c>
      <c r="C388">
        <v>3</v>
      </c>
      <c r="D388" s="2">
        <f>ff_portfolios25!D388-ff_factors!$E388</f>
        <v>1.866E-3</v>
      </c>
      <c r="E388" s="2">
        <f>ff_portfolios25!E388-ff_factors!$E388</f>
        <v>1.0021E-2</v>
      </c>
      <c r="F388" s="2">
        <f>ff_portfolios25!F388-ff_factors!$E388</f>
        <v>2.0653000000000001E-2</v>
      </c>
      <c r="G388" s="2">
        <f>ff_portfolios25!G388-ff_factors!$E388</f>
        <v>3.2329000000000004E-2</v>
      </c>
      <c r="H388" s="2">
        <f>ff_portfolios25!H388-ff_factors!$E388</f>
        <v>2.3787000000000003E-2</v>
      </c>
      <c r="I388" s="2">
        <f>ff_portfolios25!I388-ff_factors!$E388</f>
        <v>2.0120000000000002E-2</v>
      </c>
      <c r="J388" s="2">
        <f>ff_portfolios25!J388-ff_factors!$E388</f>
        <v>2.9339999999999998E-2</v>
      </c>
      <c r="K388" s="2">
        <f>ff_portfolios25!K388-ff_factors!$E388</f>
        <v>3.1620000000000002E-2</v>
      </c>
      <c r="L388" s="2">
        <f>ff_portfolios25!L388-ff_factors!$E388</f>
        <v>5.3696000000000001E-2</v>
      </c>
      <c r="M388" s="2">
        <f>ff_portfolios25!M388-ff_factors!$E388</f>
        <v>5.8428000000000001E-2</v>
      </c>
      <c r="N388" s="2">
        <f>ff_portfolios25!N388-ff_factors!$E388</f>
        <v>-8.6759999999999997E-3</v>
      </c>
      <c r="O388" s="2">
        <f>ff_portfolios25!O388-ff_factors!$E388</f>
        <v>2.2622E-2</v>
      </c>
      <c r="P388" s="2">
        <f>ff_portfolios25!P388-ff_factors!$E388</f>
        <v>4.1063000000000002E-2</v>
      </c>
      <c r="Q388" s="2">
        <f>ff_portfolios25!Q388-ff_factors!$E388</f>
        <v>5.3997000000000003E-2</v>
      </c>
      <c r="R388" s="2">
        <f>ff_portfolios25!R388-ff_factors!$E388</f>
        <v>6.4443E-2</v>
      </c>
      <c r="S388" s="2">
        <f>ff_portfolios25!S388-ff_factors!$E388</f>
        <v>1.6764000000000001E-2</v>
      </c>
      <c r="T388" s="2">
        <f>ff_portfolios25!T388-ff_factors!$E388</f>
        <v>2.6155000000000001E-2</v>
      </c>
      <c r="U388" s="2">
        <f>ff_portfolios25!U388-ff_factors!$E388</f>
        <v>4.9394E-2</v>
      </c>
      <c r="V388" s="2">
        <f>ff_portfolios25!V388-ff_factors!$E388</f>
        <v>6.6375999999999991E-2</v>
      </c>
      <c r="W388" s="2">
        <f>ff_portfolios25!W388-ff_factors!$E388</f>
        <v>4.1180000000000001E-3</v>
      </c>
      <c r="X388" s="2">
        <f>ff_portfolios25!X388-ff_factors!$E388</f>
        <v>8.4849999999999995E-3</v>
      </c>
      <c r="Y388" s="2">
        <f>ff_portfolios25!Y388-ff_factors!$E388</f>
        <v>4.2640000000000004E-3</v>
      </c>
      <c r="Z388" s="2">
        <f>ff_portfolios25!Z388-ff_factors!$E388</f>
        <v>3.3798000000000002E-2</v>
      </c>
      <c r="AA388" s="2">
        <f>ff_portfolios25!AA388-ff_factors!$E388</f>
        <v>3.5251000000000005E-2</v>
      </c>
      <c r="AB388" s="2">
        <f>ff_portfolios25!AB388-ff_factors!$E388</f>
        <v>-1.6059999999999998E-3</v>
      </c>
    </row>
    <row r="389" spans="1:28" x14ac:dyDescent="0.2">
      <c r="A389">
        <v>19640430</v>
      </c>
      <c r="B389">
        <v>1964</v>
      </c>
      <c r="C389">
        <v>4</v>
      </c>
      <c r="D389" s="2">
        <f>ff_portfolios25!D389-ff_factors!$E389</f>
        <v>-1.8421E-2</v>
      </c>
      <c r="E389" s="2">
        <f>ff_portfolios25!E389-ff_factors!$E389</f>
        <v>2.3466000000000001E-2</v>
      </c>
      <c r="F389" s="2">
        <f>ff_portfolios25!F389-ff_factors!$E389</f>
        <v>-6.9909999999999998E-3</v>
      </c>
      <c r="G389" s="2">
        <f>ff_portfolios25!G389-ff_factors!$E389</f>
        <v>-1.1679999999999999E-2</v>
      </c>
      <c r="H389" s="2">
        <f>ff_portfolios25!H389-ff_factors!$E389</f>
        <v>-1.2416999999999999E-2</v>
      </c>
      <c r="I389" s="2">
        <f>ff_portfolios25!I389-ff_factors!$E389</f>
        <v>-1.0525E-2</v>
      </c>
      <c r="J389" s="2">
        <f>ff_portfolios25!J389-ff_factors!$E389</f>
        <v>-4.3594000000000001E-2</v>
      </c>
      <c r="K389" s="2">
        <f>ff_portfolios25!K389-ff_factors!$E389</f>
        <v>3.1790000000000004E-3</v>
      </c>
      <c r="L389" s="2">
        <f>ff_portfolios25!L389-ff_factors!$E389</f>
        <v>-1.9036000000000001E-2</v>
      </c>
      <c r="M389" s="2">
        <f>ff_portfolios25!M389-ff_factors!$E389</f>
        <v>-9.4570000000000001E-3</v>
      </c>
      <c r="N389" s="2">
        <f>ff_portfolios25!N389-ff_factors!$E389</f>
        <v>-2.3782000000000001E-2</v>
      </c>
      <c r="O389" s="2">
        <f>ff_portfolios25!O389-ff_factors!$E389</f>
        <v>-1.3384999999999999E-2</v>
      </c>
      <c r="P389" s="2">
        <f>ff_portfolios25!P389-ff_factors!$E389</f>
        <v>-3.4099999999999972E-4</v>
      </c>
      <c r="Q389" s="2">
        <f>ff_portfolios25!Q389-ff_factors!$E389</f>
        <v>-1.039E-2</v>
      </c>
      <c r="R389" s="2">
        <f>ff_portfolios25!R389-ff_factors!$E389</f>
        <v>-1.3120999999999999E-2</v>
      </c>
      <c r="S389" s="2">
        <f>ff_portfolios25!S389-ff_factors!$E389</f>
        <v>-2.9627999999999998E-2</v>
      </c>
      <c r="T389" s="2">
        <f>ff_portfolios25!T389-ff_factors!$E389</f>
        <v>3.4520000000000002E-3</v>
      </c>
      <c r="U389" s="2">
        <f>ff_portfolios25!U389-ff_factors!$E389</f>
        <v>1.3996000000000001E-2</v>
      </c>
      <c r="V389" s="2">
        <f>ff_portfolios25!V389-ff_factors!$E389</f>
        <v>-2.3511999999999998E-2</v>
      </c>
      <c r="W389" s="2">
        <f>ff_portfolios25!W389-ff_factors!$E389</f>
        <v>-2.5699E-2</v>
      </c>
      <c r="X389" s="2">
        <f>ff_portfolios25!X389-ff_factors!$E389</f>
        <v>-6.2699999999999995E-4</v>
      </c>
      <c r="Y389" s="2">
        <f>ff_portfolios25!Y389-ff_factors!$E389</f>
        <v>1.1844E-2</v>
      </c>
      <c r="Z389" s="2">
        <f>ff_portfolios25!Z389-ff_factors!$E389</f>
        <v>5.3170000000000005E-3</v>
      </c>
      <c r="AA389" s="2">
        <f>ff_portfolios25!AA389-ff_factors!$E389</f>
        <v>-1.1946999999999999E-2</v>
      </c>
      <c r="AB389" s="2">
        <f>ff_portfolios25!AB389-ff_factors!$E389</f>
        <v>2.1277000000000001E-2</v>
      </c>
    </row>
    <row r="390" spans="1:28" x14ac:dyDescent="0.2">
      <c r="A390">
        <v>19640528</v>
      </c>
      <c r="B390">
        <v>1964</v>
      </c>
      <c r="C390">
        <v>5</v>
      </c>
      <c r="D390" s="2">
        <f>ff_portfolios25!D390-ff_factors!$E390</f>
        <v>-1.512E-2</v>
      </c>
      <c r="E390" s="2">
        <f>ff_portfolios25!E390-ff_factors!$E390</f>
        <v>-1.6031E-2</v>
      </c>
      <c r="F390" s="2">
        <f>ff_portfolios25!F390-ff_factors!$E390</f>
        <v>2.1149999999999997E-3</v>
      </c>
      <c r="G390" s="2">
        <f>ff_portfolios25!G390-ff_factors!$E390</f>
        <v>7.6700000000000032E-4</v>
      </c>
      <c r="H390" s="2">
        <f>ff_portfolios25!H390-ff_factors!$E390</f>
        <v>1.3255999999999999E-2</v>
      </c>
      <c r="I390" s="2">
        <f>ff_portfolios25!I390-ff_factors!$E390</f>
        <v>2.8648E-2</v>
      </c>
      <c r="J390" s="2">
        <f>ff_portfolios25!J390-ff_factors!$E390</f>
        <v>9.9500000000000022E-4</v>
      </c>
      <c r="K390" s="2">
        <f>ff_portfolios25!K390-ff_factors!$E390</f>
        <v>2.6979000000000003E-2</v>
      </c>
      <c r="L390" s="2">
        <f>ff_portfolios25!L390-ff_factors!$E390</f>
        <v>1.5941999999999998E-2</v>
      </c>
      <c r="M390" s="2">
        <f>ff_portfolios25!M390-ff_factors!$E390</f>
        <v>3.4786000000000004E-2</v>
      </c>
      <c r="N390" s="2">
        <f>ff_portfolios25!N390-ff_factors!$E390</f>
        <v>-8.8739999999999999E-3</v>
      </c>
      <c r="O390" s="2">
        <f>ff_portfolios25!O390-ff_factors!$E390</f>
        <v>1.2708000000000001E-2</v>
      </c>
      <c r="P390" s="2">
        <f>ff_portfolios25!P390-ff_factors!$E390</f>
        <v>-5.5960000000000003E-3</v>
      </c>
      <c r="Q390" s="2">
        <f>ff_portfolios25!Q390-ff_factors!$E390</f>
        <v>1.8730999999999998E-2</v>
      </c>
      <c r="R390" s="2">
        <f>ff_portfolios25!R390-ff_factors!$E390</f>
        <v>2.2387999999999998E-2</v>
      </c>
      <c r="S390" s="2">
        <f>ff_portfolios25!S390-ff_factors!$E390</f>
        <v>8.5009999999999999E-3</v>
      </c>
      <c r="T390" s="2">
        <f>ff_portfolios25!T390-ff_factors!$E390</f>
        <v>2.1560000000000003E-2</v>
      </c>
      <c r="U390" s="2">
        <f>ff_portfolios25!U390-ff_factors!$E390</f>
        <v>1.0473E-2</v>
      </c>
      <c r="V390" s="2">
        <f>ff_portfolios25!V390-ff_factors!$E390</f>
        <v>2.3465E-2</v>
      </c>
      <c r="W390" s="2">
        <f>ff_portfolios25!W390-ff_factors!$E390</f>
        <v>3.841E-2</v>
      </c>
      <c r="X390" s="2">
        <f>ff_portfolios25!X390-ff_factors!$E390</f>
        <v>1.8058999999999999E-2</v>
      </c>
      <c r="Y390" s="2">
        <f>ff_portfolios25!Y390-ff_factors!$E390</f>
        <v>5.1100000000000017E-4</v>
      </c>
      <c r="Z390" s="2">
        <f>ff_portfolios25!Z390-ff_factors!$E390</f>
        <v>1.0118E-2</v>
      </c>
      <c r="AA390" s="2">
        <f>ff_portfolios25!AA390-ff_factors!$E390</f>
        <v>4.0202000000000002E-2</v>
      </c>
      <c r="AB390" s="2">
        <f>ff_portfolios25!AB390-ff_factors!$E390</f>
        <v>3.1264E-2</v>
      </c>
    </row>
    <row r="391" spans="1:28" x14ac:dyDescent="0.2">
      <c r="A391">
        <v>19640630</v>
      </c>
      <c r="B391">
        <v>1964</v>
      </c>
      <c r="C391">
        <v>6</v>
      </c>
      <c r="D391" s="2">
        <f>ff_portfolios25!D391-ff_factors!$E391</f>
        <v>1.6421000000000002E-2</v>
      </c>
      <c r="E391" s="2">
        <f>ff_portfolios25!E391-ff_factors!$E391</f>
        <v>2.2639999999999995E-3</v>
      </c>
      <c r="F391" s="2">
        <f>ff_portfolios25!F391-ff_factors!$E391</f>
        <v>9.7740000000000014E-3</v>
      </c>
      <c r="G391" s="2">
        <f>ff_portfolios25!G391-ff_factors!$E391</f>
        <v>4.8079999999999998E-3</v>
      </c>
      <c r="H391" s="2">
        <f>ff_portfolios25!H391-ff_factors!$E391</f>
        <v>7.9690000000000004E-3</v>
      </c>
      <c r="I391" s="2">
        <f>ff_portfolios25!I391-ff_factors!$E391</f>
        <v>5.8070000000000005E-3</v>
      </c>
      <c r="J391" s="2">
        <f>ff_portfolios25!J391-ff_factors!$E391</f>
        <v>1.3791000000000001E-2</v>
      </c>
      <c r="K391" s="2">
        <f>ff_portfolios25!K391-ff_factors!$E391</f>
        <v>1.2988E-2</v>
      </c>
      <c r="L391" s="2">
        <f>ff_portfolios25!L391-ff_factors!$E391</f>
        <v>8.3540000000000003E-3</v>
      </c>
      <c r="M391" s="2">
        <f>ff_portfolios25!M391-ff_factors!$E391</f>
        <v>1.9101E-2</v>
      </c>
      <c r="N391" s="2">
        <f>ff_portfolios25!N391-ff_factors!$E391</f>
        <v>7.2550000000000002E-3</v>
      </c>
      <c r="O391" s="2">
        <f>ff_portfolios25!O391-ff_factors!$E391</f>
        <v>2.1139000000000002E-2</v>
      </c>
      <c r="P391" s="2">
        <f>ff_portfolios25!P391-ff_factors!$E391</f>
        <v>1.7680000000000001E-2</v>
      </c>
      <c r="Q391" s="2">
        <f>ff_portfolios25!Q391-ff_factors!$E391</f>
        <v>2.1618999999999999E-2</v>
      </c>
      <c r="R391" s="2">
        <f>ff_portfolios25!R391-ff_factors!$E391</f>
        <v>9.4039999999999992E-3</v>
      </c>
      <c r="S391" s="2">
        <f>ff_portfolios25!S391-ff_factors!$E391</f>
        <v>6.4310000000000001E-3</v>
      </c>
      <c r="T391" s="2">
        <f>ff_portfolios25!T391-ff_factors!$E391</f>
        <v>9.9389999999999999E-3</v>
      </c>
      <c r="U391" s="2">
        <f>ff_portfolios25!U391-ff_factors!$E391</f>
        <v>8.6840000000000007E-3</v>
      </c>
      <c r="V391" s="2">
        <f>ff_portfolios25!V391-ff_factors!$E391</f>
        <v>2.5764000000000002E-2</v>
      </c>
      <c r="W391" s="2">
        <f>ff_portfolios25!W391-ff_factors!$E391</f>
        <v>2.8078000000000002E-2</v>
      </c>
      <c r="X391" s="2">
        <f>ff_portfolios25!X391-ff_factors!$E391</f>
        <v>6.7289999999999997E-3</v>
      </c>
      <c r="Y391" s="2">
        <f>ff_portfolios25!Y391-ff_factors!$E391</f>
        <v>2.5991E-2</v>
      </c>
      <c r="Z391" s="2">
        <f>ff_portfolios25!Z391-ff_factors!$E391</f>
        <v>-1.7200000000000028E-4</v>
      </c>
      <c r="AA391" s="2">
        <f>ff_portfolios25!AA391-ff_factors!$E391</f>
        <v>1.0636E-2</v>
      </c>
      <c r="AB391" s="2">
        <f>ff_portfolios25!AB391-ff_factors!$E391</f>
        <v>2.1156000000000001E-2</v>
      </c>
    </row>
    <row r="392" spans="1:28" x14ac:dyDescent="0.2">
      <c r="A392">
        <v>19640731</v>
      </c>
      <c r="B392">
        <v>1964</v>
      </c>
      <c r="C392">
        <v>7</v>
      </c>
      <c r="D392" s="2">
        <f>ff_portfolios25!D392-ff_factors!$E392</f>
        <v>5.4639999999999992E-3</v>
      </c>
      <c r="E392" s="2">
        <f>ff_portfolios25!E392-ff_factors!$E392</f>
        <v>3.5830000000000001E-2</v>
      </c>
      <c r="F392" s="2">
        <f>ff_portfolios25!F392-ff_factors!$E392</f>
        <v>3.9553999999999999E-2</v>
      </c>
      <c r="G392" s="2">
        <f>ff_portfolios25!G392-ff_factors!$E392</f>
        <v>2.3285E-2</v>
      </c>
      <c r="H392" s="2">
        <f>ff_portfolios25!H392-ff_factors!$E392</f>
        <v>4.5117999999999998E-2</v>
      </c>
      <c r="I392" s="2">
        <f>ff_portfolios25!I392-ff_factors!$E392</f>
        <v>7.5719999999999997E-3</v>
      </c>
      <c r="J392" s="2">
        <f>ff_portfolios25!J392-ff_factors!$E392</f>
        <v>1.3074000000000002E-2</v>
      </c>
      <c r="K392" s="2">
        <f>ff_portfolios25!K392-ff_factors!$E392</f>
        <v>3.7005999999999997E-2</v>
      </c>
      <c r="L392" s="2">
        <f>ff_portfolios25!L392-ff_factors!$E392</f>
        <v>2.8051E-2</v>
      </c>
      <c r="M392" s="2">
        <f>ff_portfolios25!M392-ff_factors!$E392</f>
        <v>2.1158E-2</v>
      </c>
      <c r="N392" s="2">
        <f>ff_portfolios25!N392-ff_factors!$E392</f>
        <v>2.5108000000000002E-2</v>
      </c>
      <c r="O392" s="2">
        <f>ff_portfolios25!O392-ff_factors!$E392</f>
        <v>2.4962000000000002E-2</v>
      </c>
      <c r="P392" s="2">
        <f>ff_portfolios25!P392-ff_factors!$E392</f>
        <v>2.7269000000000002E-2</v>
      </c>
      <c r="Q392" s="2">
        <f>ff_portfolios25!Q392-ff_factors!$E392</f>
        <v>2.9799000000000003E-2</v>
      </c>
      <c r="R392" s="2">
        <f>ff_portfolios25!R392-ff_factors!$E392</f>
        <v>9.4009999999999996E-3</v>
      </c>
      <c r="S392" s="2">
        <f>ff_portfolios25!S392-ff_factors!$E392</f>
        <v>8.0940000000000005E-3</v>
      </c>
      <c r="T392" s="2">
        <f>ff_portfolios25!T392-ff_factors!$E392</f>
        <v>3.0973999999999998E-2</v>
      </c>
      <c r="U392" s="2">
        <f>ff_portfolios25!U392-ff_factors!$E392</f>
        <v>1.2688000000000001E-2</v>
      </c>
      <c r="V392" s="2">
        <f>ff_portfolios25!V392-ff_factors!$E392</f>
        <v>1.4746000000000002E-2</v>
      </c>
      <c r="W392" s="2">
        <f>ff_portfolios25!W392-ff_factors!$E392</f>
        <v>2.8177000000000001E-2</v>
      </c>
      <c r="X392" s="2">
        <f>ff_portfolios25!X392-ff_factors!$E392</f>
        <v>2.2914E-2</v>
      </c>
      <c r="Y392" s="2">
        <f>ff_portfolios25!Y392-ff_factors!$E392</f>
        <v>3.5979999999999996E-3</v>
      </c>
      <c r="Z392" s="2">
        <f>ff_portfolios25!Z392-ff_factors!$E392</f>
        <v>3.6496999999999995E-2</v>
      </c>
      <c r="AA392" s="2">
        <f>ff_portfolios25!AA392-ff_factors!$E392</f>
        <v>1.6029000000000002E-2</v>
      </c>
      <c r="AB392" s="2">
        <f>ff_portfolios25!AB392-ff_factors!$E392</f>
        <v>5.2220000000000001E-3</v>
      </c>
    </row>
    <row r="393" spans="1:28" x14ac:dyDescent="0.2">
      <c r="A393">
        <v>19640831</v>
      </c>
      <c r="B393">
        <v>1964</v>
      </c>
      <c r="C393">
        <v>8</v>
      </c>
      <c r="D393" s="2">
        <f>ff_portfolios25!D393-ff_factors!$E393</f>
        <v>9.9109999999999997E-3</v>
      </c>
      <c r="E393" s="2">
        <f>ff_portfolios25!E393-ff_factors!$E393</f>
        <v>-2.1870000000000001E-2</v>
      </c>
      <c r="F393" s="2">
        <f>ff_portfolios25!F393-ff_factors!$E393</f>
        <v>-2.0289999999999999E-2</v>
      </c>
      <c r="G393" s="2">
        <f>ff_portfolios25!G393-ff_factors!$E393</f>
        <v>-1.176E-2</v>
      </c>
      <c r="H393" s="2">
        <f>ff_portfolios25!H393-ff_factors!$E393</f>
        <v>-7.7380000000000001E-3</v>
      </c>
      <c r="I393" s="2">
        <f>ff_portfolios25!I393-ff_factors!$E393</f>
        <v>-2.0702000000000002E-2</v>
      </c>
      <c r="J393" s="2">
        <f>ff_portfolios25!J393-ff_factors!$E393</f>
        <v>-3.0508E-2</v>
      </c>
      <c r="K393" s="2">
        <f>ff_portfolios25!K393-ff_factors!$E393</f>
        <v>-1.3657000000000001E-2</v>
      </c>
      <c r="L393" s="2">
        <f>ff_portfolios25!L393-ff_factors!$E393</f>
        <v>4.28E-4</v>
      </c>
      <c r="M393" s="2">
        <f>ff_portfolios25!M393-ff_factors!$E393</f>
        <v>-2.1259E-2</v>
      </c>
      <c r="N393" s="2">
        <f>ff_portfolios25!N393-ff_factors!$E393</f>
        <v>-3.0634000000000002E-2</v>
      </c>
      <c r="O393" s="2">
        <f>ff_portfolios25!O393-ff_factors!$E393</f>
        <v>-8.6070000000000001E-3</v>
      </c>
      <c r="P393" s="2">
        <f>ff_portfolios25!P393-ff_factors!$E393</f>
        <v>2.8699999999999997E-3</v>
      </c>
      <c r="Q393" s="2">
        <f>ff_portfolios25!Q393-ff_factors!$E393</f>
        <v>-4.777E-3</v>
      </c>
      <c r="R393" s="2">
        <f>ff_portfolios25!R393-ff_factors!$E393</f>
        <v>-2.3028E-2</v>
      </c>
      <c r="S393" s="2">
        <f>ff_portfolios25!S393-ff_factors!$E393</f>
        <v>-1.3235E-2</v>
      </c>
      <c r="T393" s="2">
        <f>ff_portfolios25!T393-ff_factors!$E393</f>
        <v>-9.189999999999999E-4</v>
      </c>
      <c r="U393" s="2">
        <f>ff_portfolios25!U393-ff_factors!$E393</f>
        <v>7.3860000000000002E-3</v>
      </c>
      <c r="V393" s="2">
        <f>ff_portfolios25!V393-ff_factors!$E393</f>
        <v>-2.9910000000000002E-3</v>
      </c>
      <c r="W393" s="2">
        <f>ff_portfolios25!W393-ff_factors!$E393</f>
        <v>-5.1739999999999998E-3</v>
      </c>
      <c r="X393" s="2">
        <f>ff_portfolios25!X393-ff_factors!$E393</f>
        <v>-1.5429E-2</v>
      </c>
      <c r="Y393" s="2">
        <f>ff_portfolios25!Y393-ff_factors!$E393</f>
        <v>-1.8568000000000001E-2</v>
      </c>
      <c r="Z393" s="2">
        <f>ff_portfolios25!Z393-ff_factors!$E393</f>
        <v>-3.5069999999999997E-3</v>
      </c>
      <c r="AA393" s="2">
        <f>ff_portfolios25!AA393-ff_factors!$E393</f>
        <v>-1.3189000000000001E-2</v>
      </c>
      <c r="AB393" s="2">
        <f>ff_portfolios25!AB393-ff_factors!$E393</f>
        <v>-3.0171E-2</v>
      </c>
    </row>
    <row r="394" spans="1:28" x14ac:dyDescent="0.2">
      <c r="A394">
        <v>19640930</v>
      </c>
      <c r="B394">
        <v>1964</v>
      </c>
      <c r="C394">
        <v>9</v>
      </c>
      <c r="D394" s="2">
        <f>ff_portfolios25!D394-ff_factors!$E394</f>
        <v>4.4085000000000006E-2</v>
      </c>
      <c r="E394" s="2">
        <f>ff_portfolios25!E394-ff_factors!$E394</f>
        <v>3.7515E-2</v>
      </c>
      <c r="F394" s="2">
        <f>ff_portfolios25!F394-ff_factors!$E394</f>
        <v>5.7419000000000005E-2</v>
      </c>
      <c r="G394" s="2">
        <f>ff_portfolios25!G394-ff_factors!$E394</f>
        <v>2.4472000000000001E-2</v>
      </c>
      <c r="H394" s="2">
        <f>ff_portfolios25!H394-ff_factors!$E394</f>
        <v>3.7119000000000006E-2</v>
      </c>
      <c r="I394" s="2">
        <f>ff_portfolios25!I394-ff_factors!$E394</f>
        <v>3.2564000000000003E-2</v>
      </c>
      <c r="J394" s="2">
        <f>ff_portfolios25!J394-ff_factors!$E394</f>
        <v>2.6047000000000001E-2</v>
      </c>
      <c r="K394" s="2">
        <f>ff_portfolios25!K394-ff_factors!$E394</f>
        <v>2.0049000000000001E-2</v>
      </c>
      <c r="L394" s="2">
        <f>ff_portfolios25!L394-ff_factors!$E394</f>
        <v>1.7173999999999998E-2</v>
      </c>
      <c r="M394" s="2">
        <f>ff_portfolios25!M394-ff_factors!$E394</f>
        <v>4.4730000000000006E-2</v>
      </c>
      <c r="N394" s="2">
        <f>ff_portfolios25!N394-ff_factors!$E394</f>
        <v>1.4811999999999999E-2</v>
      </c>
      <c r="O394" s="2">
        <f>ff_portfolios25!O394-ff_factors!$E394</f>
        <v>1.7447000000000001E-2</v>
      </c>
      <c r="P394" s="2">
        <f>ff_portfolios25!P394-ff_factors!$E394</f>
        <v>2.9495999999999998E-2</v>
      </c>
      <c r="Q394" s="2">
        <f>ff_portfolios25!Q394-ff_factors!$E394</f>
        <v>2.9452999999999997E-2</v>
      </c>
      <c r="R394" s="2">
        <f>ff_portfolios25!R394-ff_factors!$E394</f>
        <v>3.4908000000000002E-2</v>
      </c>
      <c r="S394" s="2">
        <f>ff_portfolios25!S394-ff_factors!$E394</f>
        <v>2.6686999999999999E-2</v>
      </c>
      <c r="T394" s="2">
        <f>ff_portfolios25!T394-ff_factors!$E394</f>
        <v>3.0653999999999997E-2</v>
      </c>
      <c r="U394" s="2">
        <f>ff_portfolios25!U394-ff_factors!$E394</f>
        <v>4.0184000000000004E-2</v>
      </c>
      <c r="V394" s="2">
        <f>ff_portfolios25!V394-ff_factors!$E394</f>
        <v>4.5690000000000001E-2</v>
      </c>
      <c r="W394" s="2">
        <f>ff_portfolios25!W394-ff_factors!$E394</f>
        <v>4.4779000000000006E-2</v>
      </c>
      <c r="X394" s="2">
        <f>ff_portfolios25!X394-ff_factors!$E394</f>
        <v>2.8195999999999999E-2</v>
      </c>
      <c r="Y394" s="2">
        <f>ff_portfolios25!Y394-ff_factors!$E394</f>
        <v>9.075999999999999E-3</v>
      </c>
      <c r="Z394" s="2">
        <f>ff_portfolios25!Z394-ff_factors!$E394</f>
        <v>4.1590000000000002E-2</v>
      </c>
      <c r="AA394" s="2">
        <f>ff_portfolios25!AA394-ff_factors!$E394</f>
        <v>4.1454000000000005E-2</v>
      </c>
      <c r="AB394" s="2">
        <f>ff_portfolios25!AB394-ff_factors!$E394</f>
        <v>6.6383999999999999E-2</v>
      </c>
    </row>
    <row r="395" spans="1:28" x14ac:dyDescent="0.2">
      <c r="A395">
        <v>19641030</v>
      </c>
      <c r="B395">
        <v>1964</v>
      </c>
      <c r="C395">
        <v>10</v>
      </c>
      <c r="D395" s="2">
        <f>ff_portfolios25!D395-ff_factors!$E395</f>
        <v>1.4142999999999999E-2</v>
      </c>
      <c r="E395" s="2">
        <f>ff_portfolios25!E395-ff_factors!$E395</f>
        <v>8.4000000000000003E-4</v>
      </c>
      <c r="F395" s="2">
        <f>ff_portfolios25!F395-ff_factors!$E395</f>
        <v>1.8804000000000001E-2</v>
      </c>
      <c r="G395" s="2">
        <f>ff_portfolios25!G395-ff_factors!$E395</f>
        <v>1.9425000000000001E-2</v>
      </c>
      <c r="H395" s="2">
        <f>ff_portfolios25!H395-ff_factors!$E395</f>
        <v>3.0823000000000003E-2</v>
      </c>
      <c r="I395" s="2">
        <f>ff_portfolios25!I395-ff_factors!$E395</f>
        <v>-1.7731E-2</v>
      </c>
      <c r="J395" s="2">
        <f>ff_portfolios25!J395-ff_factors!$E395</f>
        <v>1.5713999999999999E-2</v>
      </c>
      <c r="K395" s="2">
        <f>ff_portfolios25!K395-ff_factors!$E395</f>
        <v>1.7691000000000002E-2</v>
      </c>
      <c r="L395" s="2">
        <f>ff_portfolios25!L395-ff_factors!$E395</f>
        <v>1.0212000000000001E-2</v>
      </c>
      <c r="M395" s="2">
        <f>ff_portfolios25!M395-ff_factors!$E395</f>
        <v>1.0647E-2</v>
      </c>
      <c r="N395" s="2">
        <f>ff_portfolios25!N395-ff_factors!$E395</f>
        <v>2.9158999999999997E-2</v>
      </c>
      <c r="O395" s="2">
        <f>ff_portfolios25!O395-ff_factors!$E395</f>
        <v>3.1077E-2</v>
      </c>
      <c r="P395" s="2">
        <f>ff_portfolios25!P395-ff_factors!$E395</f>
        <v>1.4584E-2</v>
      </c>
      <c r="Q395" s="2">
        <f>ff_portfolios25!Q395-ff_factors!$E395</f>
        <v>1.0773E-2</v>
      </c>
      <c r="R395" s="2">
        <f>ff_portfolios25!R395-ff_factors!$E395</f>
        <v>2.4254000000000001E-2</v>
      </c>
      <c r="S395" s="2">
        <f>ff_portfolios25!S395-ff_factors!$E395</f>
        <v>8.7220000000000006E-3</v>
      </c>
      <c r="T395" s="2">
        <f>ff_portfolios25!T395-ff_factors!$E395</f>
        <v>9.2320000000000006E-3</v>
      </c>
      <c r="U395" s="2">
        <f>ff_portfolios25!U395-ff_factors!$E395</f>
        <v>9.7879999999999998E-3</v>
      </c>
      <c r="V395" s="2">
        <f>ff_portfolios25!V395-ff_factors!$E395</f>
        <v>2.8981E-2</v>
      </c>
      <c r="W395" s="2">
        <f>ff_portfolios25!W395-ff_factors!$E395</f>
        <v>3.1916E-2</v>
      </c>
      <c r="X395" s="2">
        <f>ff_portfolios25!X395-ff_factors!$E395</f>
        <v>5.3700000000000015E-4</v>
      </c>
      <c r="Y395" s="2">
        <f>ff_portfolios25!Y395-ff_factors!$E395</f>
        <v>7.2650000000000006E-3</v>
      </c>
      <c r="Z395" s="2">
        <f>ff_portfolios25!Z395-ff_factors!$E395</f>
        <v>6.0800000000000003E-4</v>
      </c>
      <c r="AA395" s="2">
        <f>ff_portfolios25!AA395-ff_factors!$E395</f>
        <v>1.2450000000000004E-3</v>
      </c>
      <c r="AB395" s="2">
        <f>ff_portfolios25!AB395-ff_factors!$E395</f>
        <v>3.3839000000000001E-2</v>
      </c>
    </row>
    <row r="396" spans="1:28" x14ac:dyDescent="0.2">
      <c r="A396">
        <v>19641130</v>
      </c>
      <c r="B396">
        <v>1964</v>
      </c>
      <c r="C396">
        <v>11</v>
      </c>
      <c r="D396" s="2">
        <f>ff_portfolios25!D396-ff_factors!$E396</f>
        <v>-4.5030000000000001E-3</v>
      </c>
      <c r="E396" s="2">
        <f>ff_portfolios25!E396-ff_factors!$E396</f>
        <v>-6.9879999999999994E-3</v>
      </c>
      <c r="F396" s="2">
        <f>ff_portfolios25!F396-ff_factors!$E396</f>
        <v>4.0540000000000003E-3</v>
      </c>
      <c r="G396" s="2">
        <f>ff_portfolios25!G396-ff_factors!$E396</f>
        <v>4.346E-3</v>
      </c>
      <c r="H396" s="2">
        <f>ff_portfolios25!H396-ff_factors!$E396</f>
        <v>3.3340000000000002E-3</v>
      </c>
      <c r="I396" s="2">
        <f>ff_portfolios25!I396-ff_factors!$E396</f>
        <v>-9.8899999999999995E-3</v>
      </c>
      <c r="J396" s="2">
        <f>ff_portfolios25!J396-ff_factors!$E396</f>
        <v>-3.1319999999999998E-3</v>
      </c>
      <c r="K396" s="2">
        <f>ff_portfolios25!K396-ff_factors!$E396</f>
        <v>-3.7259999999999997E-3</v>
      </c>
      <c r="L396" s="2">
        <f>ff_portfolios25!L396-ff_factors!$E396</f>
        <v>-8.8649999999999996E-3</v>
      </c>
      <c r="M396" s="2">
        <f>ff_portfolios25!M396-ff_factors!$E396</f>
        <v>-2.0908E-2</v>
      </c>
      <c r="N396" s="2">
        <f>ff_portfolios25!N396-ff_factors!$E396</f>
        <v>1.3212999999999999E-2</v>
      </c>
      <c r="O396" s="2">
        <f>ff_portfolios25!O396-ff_factors!$E396</f>
        <v>3.8149999999999998E-3</v>
      </c>
      <c r="P396" s="2">
        <f>ff_portfolios25!P396-ff_factors!$E396</f>
        <v>-3.0969999999999999E-3</v>
      </c>
      <c r="Q396" s="2">
        <f>ff_portfolios25!Q396-ff_factors!$E396</f>
        <v>1.366E-3</v>
      </c>
      <c r="R396" s="2">
        <f>ff_portfolios25!R396-ff_factors!$E396</f>
        <v>-1.2599999999999998E-3</v>
      </c>
      <c r="S396" s="2">
        <f>ff_portfolios25!S396-ff_factors!$E396</f>
        <v>3.0490000000000005E-3</v>
      </c>
      <c r="T396" s="2">
        <f>ff_portfolios25!T396-ff_factors!$E396</f>
        <v>1.2167000000000001E-2</v>
      </c>
      <c r="U396" s="2">
        <f>ff_portfolios25!U396-ff_factors!$E396</f>
        <v>-9.0049999999999991E-3</v>
      </c>
      <c r="V396" s="2">
        <f>ff_portfolios25!V396-ff_factors!$E396</f>
        <v>-1.1231E-2</v>
      </c>
      <c r="W396" s="2">
        <f>ff_portfolios25!W396-ff_factors!$E396</f>
        <v>-4.3512000000000002E-2</v>
      </c>
      <c r="X396" s="2">
        <f>ff_portfolios25!X396-ff_factors!$E396</f>
        <v>7.4909999999999994E-3</v>
      </c>
      <c r="Y396" s="2">
        <f>ff_portfolios25!Y396-ff_factors!$E396</f>
        <v>-5.7159999999999997E-3</v>
      </c>
      <c r="Z396" s="2">
        <f>ff_portfolios25!Z396-ff_factors!$E396</f>
        <v>1.1976000000000001E-2</v>
      </c>
      <c r="AA396" s="2">
        <f>ff_portfolios25!AA396-ff_factors!$E396</f>
        <v>-1.5329000000000001E-2</v>
      </c>
      <c r="AB396" s="2">
        <f>ff_portfolios25!AB396-ff_factors!$E396</f>
        <v>-5.1556999999999999E-2</v>
      </c>
    </row>
    <row r="397" spans="1:28" x14ac:dyDescent="0.2">
      <c r="A397">
        <v>19641231</v>
      </c>
      <c r="B397">
        <v>1964</v>
      </c>
      <c r="C397">
        <v>12</v>
      </c>
      <c r="D397" s="2">
        <f>ff_portfolios25!D397-ff_factors!$E397</f>
        <v>-1.8228999999999999E-2</v>
      </c>
      <c r="E397" s="2">
        <f>ff_portfolios25!E397-ff_factors!$E397</f>
        <v>-1.7066999999999999E-2</v>
      </c>
      <c r="F397" s="2">
        <f>ff_portfolios25!F397-ff_factors!$E397</f>
        <v>-2.8559999999999999E-2</v>
      </c>
      <c r="G397" s="2">
        <f>ff_portfolios25!G397-ff_factors!$E397</f>
        <v>-2.9017999999999999E-2</v>
      </c>
      <c r="H397" s="2">
        <f>ff_portfolios25!H397-ff_factors!$E397</f>
        <v>-2.1215999999999999E-2</v>
      </c>
      <c r="I397" s="2">
        <f>ff_portfolios25!I397-ff_factors!$E397</f>
        <v>1.1218000000000001E-2</v>
      </c>
      <c r="J397" s="2">
        <f>ff_portfolios25!J397-ff_factors!$E397</f>
        <v>1.4680000000000001E-3</v>
      </c>
      <c r="K397" s="2">
        <f>ff_portfolios25!K397-ff_factors!$E397</f>
        <v>2.2160000000000005E-3</v>
      </c>
      <c r="L397" s="2">
        <f>ff_portfolios25!L397-ff_factors!$E397</f>
        <v>-2.5214E-2</v>
      </c>
      <c r="M397" s="2">
        <f>ff_portfolios25!M397-ff_factors!$E397</f>
        <v>-1.3125E-2</v>
      </c>
      <c r="N397" s="2">
        <f>ff_portfolios25!N397-ff_factors!$E397</f>
        <v>-1.9499999999999999E-3</v>
      </c>
      <c r="O397" s="2">
        <f>ff_portfolios25!O397-ff_factors!$E397</f>
        <v>4.2959999999999995E-3</v>
      </c>
      <c r="P397" s="2">
        <f>ff_portfolios25!P397-ff_factors!$E397</f>
        <v>-7.0390000000000001E-3</v>
      </c>
      <c r="Q397" s="2">
        <f>ff_portfolios25!Q397-ff_factors!$E397</f>
        <v>-2.1222999999999999E-2</v>
      </c>
      <c r="R397" s="2">
        <f>ff_portfolios25!R397-ff_factors!$E397</f>
        <v>-1.2172000000000001E-2</v>
      </c>
      <c r="S397" s="2">
        <f>ff_portfolios25!S397-ff_factors!$E397</f>
        <v>7.535E-3</v>
      </c>
      <c r="T397" s="2">
        <f>ff_portfolios25!T397-ff_factors!$E397</f>
        <v>-2.565E-3</v>
      </c>
      <c r="U397" s="2">
        <f>ff_portfolios25!U397-ff_factors!$E397</f>
        <v>-1.9299E-2</v>
      </c>
      <c r="V397" s="2">
        <f>ff_portfolios25!V397-ff_factors!$E397</f>
        <v>-1.2651000000000001E-2</v>
      </c>
      <c r="W397" s="2">
        <f>ff_portfolios25!W397-ff_factors!$E397</f>
        <v>-1.7461000000000001E-2</v>
      </c>
      <c r="X397" s="2">
        <f>ff_portfolios25!X397-ff_factors!$E397</f>
        <v>5.2989999999999999E-3</v>
      </c>
      <c r="Y397" s="2">
        <f>ff_portfolios25!Y397-ff_factors!$E397</f>
        <v>9.9760000000000005E-3</v>
      </c>
      <c r="Z397" s="2">
        <f>ff_portfolios25!Z397-ff_factors!$E397</f>
        <v>-1.2372000000000001E-2</v>
      </c>
      <c r="AA397" s="2">
        <f>ff_portfolios25!AA397-ff_factors!$E397</f>
        <v>-1.5109000000000001E-2</v>
      </c>
      <c r="AB397" s="2">
        <f>ff_portfolios25!AB397-ff_factors!$E397</f>
        <v>-1.5681E-2</v>
      </c>
    </row>
    <row r="398" spans="1:28" x14ac:dyDescent="0.2">
      <c r="A398">
        <v>19650129</v>
      </c>
      <c r="B398">
        <v>1965</v>
      </c>
      <c r="C398">
        <v>1</v>
      </c>
      <c r="D398" s="2">
        <f>ff_portfolios25!D398-ff_factors!$E398</f>
        <v>8.2840999999999998E-2</v>
      </c>
      <c r="E398" s="2">
        <f>ff_portfolios25!E398-ff_factors!$E398</f>
        <v>5.5523000000000003E-2</v>
      </c>
      <c r="F398" s="2">
        <f>ff_portfolios25!F398-ff_factors!$E398</f>
        <v>6.3192999999999999E-2</v>
      </c>
      <c r="G398" s="2">
        <f>ff_portfolios25!G398-ff_factors!$E398</f>
        <v>6.9650000000000004E-2</v>
      </c>
      <c r="H398" s="2">
        <f>ff_portfolios25!H398-ff_factors!$E398</f>
        <v>8.5236000000000006E-2</v>
      </c>
      <c r="I398" s="2">
        <f>ff_portfolios25!I398-ff_factors!$E398</f>
        <v>7.3680000000000009E-2</v>
      </c>
      <c r="J398" s="2">
        <f>ff_portfolios25!J398-ff_factors!$E398</f>
        <v>5.3008000000000007E-2</v>
      </c>
      <c r="K398" s="2">
        <f>ff_portfolios25!K398-ff_factors!$E398</f>
        <v>5.4897000000000001E-2</v>
      </c>
      <c r="L398" s="2">
        <f>ff_portfolios25!L398-ff_factors!$E398</f>
        <v>5.7066000000000006E-2</v>
      </c>
      <c r="M398" s="2">
        <f>ff_portfolios25!M398-ff_factors!$E398</f>
        <v>5.9064000000000005E-2</v>
      </c>
      <c r="N398" s="2">
        <f>ff_portfolios25!N398-ff_factors!$E398</f>
        <v>4.9246000000000005E-2</v>
      </c>
      <c r="O398" s="2">
        <f>ff_portfolios25!O398-ff_factors!$E398</f>
        <v>6.0229000000000005E-2</v>
      </c>
      <c r="P398" s="2">
        <f>ff_portfolios25!P398-ff_factors!$E398</f>
        <v>4.8345000000000006E-2</v>
      </c>
      <c r="Q398" s="2">
        <f>ff_portfolios25!Q398-ff_factors!$E398</f>
        <v>5.7784000000000002E-2</v>
      </c>
      <c r="R398" s="2">
        <f>ff_portfolios25!R398-ff_factors!$E398</f>
        <v>6.6860000000000003E-2</v>
      </c>
      <c r="S398" s="2">
        <f>ff_portfolios25!S398-ff_factors!$E398</f>
        <v>6.3265000000000002E-2</v>
      </c>
      <c r="T398" s="2">
        <f>ff_portfolios25!T398-ff_factors!$E398</f>
        <v>3.8526000000000005E-2</v>
      </c>
      <c r="U398" s="2">
        <f>ff_portfolios25!U398-ff_factors!$E398</f>
        <v>4.9512E-2</v>
      </c>
      <c r="V398" s="2">
        <f>ff_portfolios25!V398-ff_factors!$E398</f>
        <v>4.8365000000000005E-2</v>
      </c>
      <c r="W398" s="2">
        <f>ff_portfolios25!W398-ff_factors!$E398</f>
        <v>7.2077000000000002E-2</v>
      </c>
      <c r="X398" s="2">
        <f>ff_portfolios25!X398-ff_factors!$E398</f>
        <v>4.4300000000000006E-2</v>
      </c>
      <c r="Y398" s="2">
        <f>ff_portfolios25!Y398-ff_factors!$E398</f>
        <v>9.4789999999999996E-3</v>
      </c>
      <c r="Z398" s="2">
        <f>ff_portfolios25!Z398-ff_factors!$E398</f>
        <v>2.8204E-2</v>
      </c>
      <c r="AA398" s="2">
        <f>ff_portfolios25!AA398-ff_factors!$E398</f>
        <v>3.3420000000000005E-2</v>
      </c>
      <c r="AB398" s="2">
        <f>ff_portfolios25!AB398-ff_factors!$E398</f>
        <v>3.2278000000000001E-2</v>
      </c>
    </row>
    <row r="399" spans="1:28" x14ac:dyDescent="0.2">
      <c r="A399">
        <v>19650226</v>
      </c>
      <c r="B399">
        <v>1965</v>
      </c>
      <c r="C399">
        <v>2</v>
      </c>
      <c r="D399" s="2">
        <f>ff_portfolios25!D399-ff_factors!$E399</f>
        <v>1.2794E-2</v>
      </c>
      <c r="E399" s="2">
        <f>ff_portfolios25!E399-ff_factors!$E399</f>
        <v>7.6779999999999999E-3</v>
      </c>
      <c r="F399" s="2">
        <f>ff_portfolios25!F399-ff_factors!$E399</f>
        <v>2.4161000000000002E-2</v>
      </c>
      <c r="G399" s="2">
        <f>ff_portfolios25!G399-ff_factors!$E399</f>
        <v>2.7096000000000002E-2</v>
      </c>
      <c r="H399" s="2">
        <f>ff_portfolios25!H399-ff_factors!$E399</f>
        <v>3.1986000000000001E-2</v>
      </c>
      <c r="I399" s="2">
        <f>ff_portfolios25!I399-ff_factors!$E399</f>
        <v>3.1382E-2</v>
      </c>
      <c r="J399" s="2">
        <f>ff_portfolios25!J399-ff_factors!$E399</f>
        <v>4.1840999999999996E-2</v>
      </c>
      <c r="K399" s="2">
        <f>ff_portfolios25!K399-ff_factors!$E399</f>
        <v>2.9520000000000001E-2</v>
      </c>
      <c r="L399" s="2">
        <f>ff_portfolios25!L399-ff_factors!$E399</f>
        <v>3.1892999999999998E-2</v>
      </c>
      <c r="M399" s="2">
        <f>ff_portfolios25!M399-ff_factors!$E399</f>
        <v>3.5160999999999998E-2</v>
      </c>
      <c r="N399" s="2">
        <f>ff_portfolios25!N399-ff_factors!$E399</f>
        <v>3.5963999999999996E-2</v>
      </c>
      <c r="O399" s="2">
        <f>ff_portfolios25!O399-ff_factors!$E399</f>
        <v>4.4537E-2</v>
      </c>
      <c r="P399" s="2">
        <f>ff_portfolios25!P399-ff_factors!$E399</f>
        <v>4.4884999999999994E-2</v>
      </c>
      <c r="Q399" s="2">
        <f>ff_portfolios25!Q399-ff_factors!$E399</f>
        <v>2.5940000000000001E-2</v>
      </c>
      <c r="R399" s="2">
        <f>ff_portfolios25!R399-ff_factors!$E399</f>
        <v>3.1393999999999998E-2</v>
      </c>
      <c r="S399" s="2">
        <f>ff_portfolios25!S399-ff_factors!$E399</f>
        <v>1.2041E-2</v>
      </c>
      <c r="T399" s="2">
        <f>ff_portfolios25!T399-ff_factors!$E399</f>
        <v>3.2058999999999997E-2</v>
      </c>
      <c r="U399" s="2">
        <f>ff_portfolios25!U399-ff_factors!$E399</f>
        <v>3.6891999999999994E-2</v>
      </c>
      <c r="V399" s="2">
        <f>ff_portfolios25!V399-ff_factors!$E399</f>
        <v>2.8987000000000002E-2</v>
      </c>
      <c r="W399" s="2">
        <f>ff_portfolios25!W399-ff_factors!$E399</f>
        <v>1.4863000000000001E-2</v>
      </c>
      <c r="X399" s="2">
        <f>ff_portfolios25!X399-ff_factors!$E399</f>
        <v>-1.3030000000000001E-3</v>
      </c>
      <c r="Y399" s="2">
        <f>ff_portfolios25!Y399-ff_factors!$E399</f>
        <v>-4.5950000000000001E-3</v>
      </c>
      <c r="Z399" s="2">
        <f>ff_portfolios25!Z399-ff_factors!$E399</f>
        <v>-2.2040000000000002E-3</v>
      </c>
      <c r="AA399" s="2">
        <f>ff_portfolios25!AA399-ff_factors!$E399</f>
        <v>-7.2719999999999998E-3</v>
      </c>
      <c r="AB399" s="2">
        <f>ff_portfolios25!AB399-ff_factors!$E399</f>
        <v>-1.3988E-2</v>
      </c>
    </row>
    <row r="400" spans="1:28" x14ac:dyDescent="0.2">
      <c r="A400">
        <v>19650331</v>
      </c>
      <c r="B400">
        <v>1965</v>
      </c>
      <c r="C400">
        <v>3</v>
      </c>
      <c r="D400" s="2">
        <f>ff_portfolios25!D400-ff_factors!$E400</f>
        <v>1.0443999999999998E-2</v>
      </c>
      <c r="E400" s="2">
        <f>ff_portfolios25!E400-ff_factors!$E400</f>
        <v>2.3570000000000001E-2</v>
      </c>
      <c r="F400" s="2">
        <f>ff_portfolios25!F400-ff_factors!$E400</f>
        <v>1.1018E-2</v>
      </c>
      <c r="G400" s="2">
        <f>ff_portfolios25!G400-ff_factors!$E400</f>
        <v>2.129E-2</v>
      </c>
      <c r="H400" s="2">
        <f>ff_portfolios25!H400-ff_factors!$E400</f>
        <v>2.7947E-2</v>
      </c>
      <c r="I400" s="2">
        <f>ff_portfolios25!I400-ff_factors!$E400</f>
        <v>1.6641E-2</v>
      </c>
      <c r="J400" s="2">
        <f>ff_portfolios25!J400-ff_factors!$E400</f>
        <v>-1.7749000000000001E-2</v>
      </c>
      <c r="K400" s="2">
        <f>ff_portfolios25!K400-ff_factors!$E400</f>
        <v>8.761999999999999E-3</v>
      </c>
      <c r="L400" s="2">
        <f>ff_portfolios25!L400-ff_factors!$E400</f>
        <v>9.4139999999999988E-3</v>
      </c>
      <c r="M400" s="2">
        <f>ff_portfolios25!M400-ff_factors!$E400</f>
        <v>3.0049999999999999E-3</v>
      </c>
      <c r="N400" s="2">
        <f>ff_portfolios25!N400-ff_factors!$E400</f>
        <v>-6.4999999999999997E-3</v>
      </c>
      <c r="O400" s="2">
        <f>ff_portfolios25!O400-ff_factors!$E400</f>
        <v>-6.0000000000000001E-3</v>
      </c>
      <c r="P400" s="2">
        <f>ff_portfolios25!P400-ff_factors!$E400</f>
        <v>-6.5780000000000005E-3</v>
      </c>
      <c r="Q400" s="2">
        <f>ff_portfolios25!Q400-ff_factors!$E400</f>
        <v>1.0863000000000001E-2</v>
      </c>
      <c r="R400" s="2">
        <f>ff_portfolios25!R400-ff_factors!$E400</f>
        <v>2.7790000000000002E-3</v>
      </c>
      <c r="S400" s="2">
        <f>ff_portfolios25!S400-ff_factors!$E400</f>
        <v>-1.0303E-2</v>
      </c>
      <c r="T400" s="2">
        <f>ff_portfolios25!T400-ff_factors!$E400</f>
        <v>-7.1459999999999996E-3</v>
      </c>
      <c r="U400" s="2">
        <f>ff_portfolios25!U400-ff_factors!$E400</f>
        <v>-8.4170000000000009E-3</v>
      </c>
      <c r="V400" s="2">
        <f>ff_portfolios25!V400-ff_factors!$E400</f>
        <v>7.949999999999997E-4</v>
      </c>
      <c r="W400" s="2">
        <f>ff_portfolios25!W400-ff_factors!$E400</f>
        <v>1.7334000000000002E-2</v>
      </c>
      <c r="X400" s="2">
        <f>ff_portfolios25!X400-ff_factors!$E400</f>
        <v>-1.6719000000000001E-2</v>
      </c>
      <c r="Y400" s="2">
        <f>ff_portfolios25!Y400-ff_factors!$E400</f>
        <v>-2.0433999999999997E-2</v>
      </c>
      <c r="Z400" s="2">
        <f>ff_portfolios25!Z400-ff_factors!$E400</f>
        <v>-1.9966999999999999E-2</v>
      </c>
      <c r="AA400" s="2">
        <f>ff_portfolios25!AA400-ff_factors!$E400</f>
        <v>-9.7420000000000007E-3</v>
      </c>
      <c r="AB400" s="2">
        <f>ff_portfolios25!AB400-ff_factors!$E400</f>
        <v>-6.6400000000000009E-4</v>
      </c>
    </row>
    <row r="401" spans="1:28" x14ac:dyDescent="0.2">
      <c r="A401">
        <v>19650430</v>
      </c>
      <c r="B401">
        <v>1965</v>
      </c>
      <c r="C401">
        <v>4</v>
      </c>
      <c r="D401" s="2">
        <f>ff_portfolios25!D401-ff_factors!$E401</f>
        <v>3.0657000000000004E-2</v>
      </c>
      <c r="E401" s="2">
        <f>ff_portfolios25!E401-ff_factors!$E401</f>
        <v>4.5506999999999999E-2</v>
      </c>
      <c r="F401" s="2">
        <f>ff_portfolios25!F401-ff_factors!$E401</f>
        <v>4.8917000000000002E-2</v>
      </c>
      <c r="G401" s="2">
        <f>ff_portfolios25!G401-ff_factors!$E401</f>
        <v>3.7575999999999998E-2</v>
      </c>
      <c r="H401" s="2">
        <f>ff_portfolios25!H401-ff_factors!$E401</f>
        <v>4.2918999999999999E-2</v>
      </c>
      <c r="I401" s="2">
        <f>ff_portfolios25!I401-ff_factors!$E401</f>
        <v>-3.0969999999999999E-3</v>
      </c>
      <c r="J401" s="2">
        <f>ff_portfolios25!J401-ff_factors!$E401</f>
        <v>4.5177000000000002E-2</v>
      </c>
      <c r="K401" s="2">
        <f>ff_portfolios25!K401-ff_factors!$E401</f>
        <v>3.9146E-2</v>
      </c>
      <c r="L401" s="2">
        <f>ff_portfolios25!L401-ff_factors!$E401</f>
        <v>4.3933E-2</v>
      </c>
      <c r="M401" s="2">
        <f>ff_portfolios25!M401-ff_factors!$E401</f>
        <v>4.8320000000000002E-2</v>
      </c>
      <c r="N401" s="2">
        <f>ff_portfolios25!N401-ff_factors!$E401</f>
        <v>2.4921000000000002E-2</v>
      </c>
      <c r="O401" s="2">
        <f>ff_portfolios25!O401-ff_factors!$E401</f>
        <v>2.6968000000000002E-2</v>
      </c>
      <c r="P401" s="2">
        <f>ff_portfolios25!P401-ff_factors!$E401</f>
        <v>4.0079000000000004E-2</v>
      </c>
      <c r="Q401" s="2">
        <f>ff_portfolios25!Q401-ff_factors!$E401</f>
        <v>3.2162000000000003E-2</v>
      </c>
      <c r="R401" s="2">
        <f>ff_portfolios25!R401-ff_factors!$E401</f>
        <v>6.4888999999999988E-2</v>
      </c>
      <c r="S401" s="2">
        <f>ff_portfolios25!S401-ff_factors!$E401</f>
        <v>2.2324E-2</v>
      </c>
      <c r="T401" s="2">
        <f>ff_portfolios25!T401-ff_factors!$E401</f>
        <v>2.6229000000000002E-2</v>
      </c>
      <c r="U401" s="2">
        <f>ff_portfolios25!U401-ff_factors!$E401</f>
        <v>4.3615000000000001E-2</v>
      </c>
      <c r="V401" s="2">
        <f>ff_portfolios25!V401-ff_factors!$E401</f>
        <v>4.0812000000000001E-2</v>
      </c>
      <c r="W401" s="2">
        <f>ff_portfolios25!W401-ff_factors!$E401</f>
        <v>2.3347E-2</v>
      </c>
      <c r="X401" s="2">
        <f>ff_portfolios25!X401-ff_factors!$E401</f>
        <v>4.2826000000000003E-2</v>
      </c>
      <c r="Y401" s="2">
        <f>ff_portfolios25!Y401-ff_factors!$E401</f>
        <v>1.5395000000000001E-2</v>
      </c>
      <c r="Z401" s="2">
        <f>ff_portfolios25!Z401-ff_factors!$E401</f>
        <v>1.8006000000000001E-2</v>
      </c>
      <c r="AA401" s="2">
        <f>ff_portfolios25!AA401-ff_factors!$E401</f>
        <v>1.7937000000000002E-2</v>
      </c>
      <c r="AB401" s="2">
        <f>ff_portfolios25!AB401-ff_factors!$E401</f>
        <v>4.0230000000000002E-2</v>
      </c>
    </row>
    <row r="402" spans="1:28" x14ac:dyDescent="0.2">
      <c r="A402">
        <v>19650528</v>
      </c>
      <c r="B402">
        <v>1965</v>
      </c>
      <c r="C402">
        <v>5</v>
      </c>
      <c r="D402" s="2">
        <f>ff_portfolios25!D402-ff_factors!$E402</f>
        <v>-9.0699999999999999E-3</v>
      </c>
      <c r="E402" s="2">
        <f>ff_portfolios25!E402-ff_factors!$E402</f>
        <v>-2.6314999999999998E-2</v>
      </c>
      <c r="F402" s="2">
        <f>ff_portfolios25!F402-ff_factors!$E402</f>
        <v>-1.4529E-2</v>
      </c>
      <c r="G402" s="2">
        <f>ff_portfolios25!G402-ff_factors!$E402</f>
        <v>-7.332E-3</v>
      </c>
      <c r="H402" s="2">
        <f>ff_portfolios25!H402-ff_factors!$E402</f>
        <v>-1.5792999999999998E-2</v>
      </c>
      <c r="I402" s="2">
        <f>ff_portfolios25!I402-ff_factors!$E402</f>
        <v>9.578999999999999E-3</v>
      </c>
      <c r="J402" s="2">
        <f>ff_portfolios25!J402-ff_factors!$E402</f>
        <v>-1.1393E-2</v>
      </c>
      <c r="K402" s="2">
        <f>ff_portfolios25!K402-ff_factors!$E402</f>
        <v>-1.4978E-2</v>
      </c>
      <c r="L402" s="2">
        <f>ff_portfolios25!L402-ff_factors!$E402</f>
        <v>-6.3959999999999998E-3</v>
      </c>
      <c r="M402" s="2">
        <f>ff_portfolios25!M402-ff_factors!$E402</f>
        <v>-2.4688999999999999E-2</v>
      </c>
      <c r="N402" s="2">
        <f>ff_portfolios25!N402-ff_factors!$E402</f>
        <v>-7.1769999999999994E-3</v>
      </c>
      <c r="O402" s="2">
        <f>ff_portfolios25!O402-ff_factors!$E402</f>
        <v>2.8829999999999997E-3</v>
      </c>
      <c r="P402" s="2">
        <f>ff_portfolios25!P402-ff_factors!$E402</f>
        <v>-1.7919999999999998E-2</v>
      </c>
      <c r="Q402" s="2">
        <f>ff_portfolios25!Q402-ff_factors!$E402</f>
        <v>-1.1203000000000001E-2</v>
      </c>
      <c r="R402" s="2">
        <f>ff_portfolios25!R402-ff_factors!$E402</f>
        <v>-8.8999999999999999E-3</v>
      </c>
      <c r="S402" s="2">
        <f>ff_portfolios25!S402-ff_factors!$E402</f>
        <v>-1.3650000000000001E-2</v>
      </c>
      <c r="T402" s="2">
        <f>ff_portfolios25!T402-ff_factors!$E402</f>
        <v>-3.372E-3</v>
      </c>
      <c r="U402" s="2">
        <f>ff_portfolios25!U402-ff_factors!$E402</f>
        <v>-1.2591E-2</v>
      </c>
      <c r="V402" s="2">
        <f>ff_portfolios25!V402-ff_factors!$E402</f>
        <v>-6.7139999999999995E-3</v>
      </c>
      <c r="W402" s="2">
        <f>ff_portfolios25!W402-ff_factors!$E402</f>
        <v>-3.6205000000000001E-2</v>
      </c>
      <c r="X402" s="2">
        <f>ff_portfolios25!X402-ff_factors!$E402</f>
        <v>-1.0359999999999999E-2</v>
      </c>
      <c r="Y402" s="2">
        <f>ff_portfolios25!Y402-ff_factors!$E402</f>
        <v>6.3269999999999993E-3</v>
      </c>
      <c r="Z402" s="2">
        <f>ff_portfolios25!Z402-ff_factors!$E402</f>
        <v>-5.4440000000000001E-3</v>
      </c>
      <c r="AA402" s="2">
        <f>ff_portfolios25!AA402-ff_factors!$E402</f>
        <v>-8.2629999999999995E-3</v>
      </c>
      <c r="AB402" s="2">
        <f>ff_portfolios25!AB402-ff_factors!$E402</f>
        <v>-3.8641000000000002E-2</v>
      </c>
    </row>
    <row r="403" spans="1:28" x14ac:dyDescent="0.2">
      <c r="A403">
        <v>19650630</v>
      </c>
      <c r="B403">
        <v>1965</v>
      </c>
      <c r="C403">
        <v>6</v>
      </c>
      <c r="D403" s="2">
        <f>ff_portfolios25!D403-ff_factors!$E403</f>
        <v>-0.127501</v>
      </c>
      <c r="E403" s="2">
        <f>ff_portfolios25!E403-ff_factors!$E403</f>
        <v>-0.111127</v>
      </c>
      <c r="F403" s="2">
        <f>ff_portfolios25!F403-ff_factors!$E403</f>
        <v>-9.8244999999999999E-2</v>
      </c>
      <c r="G403" s="2">
        <f>ff_portfolios25!G403-ff_factors!$E403</f>
        <v>-8.3705000000000002E-2</v>
      </c>
      <c r="H403" s="2">
        <f>ff_portfolios25!H403-ff_factors!$E403</f>
        <v>-9.9173999999999998E-2</v>
      </c>
      <c r="I403" s="2">
        <f>ff_portfolios25!I403-ff_factors!$E403</f>
        <v>-0.10734400000000001</v>
      </c>
      <c r="J403" s="2">
        <f>ff_portfolios25!J403-ff_factors!$E403</f>
        <v>-8.7178000000000005E-2</v>
      </c>
      <c r="K403" s="2">
        <f>ff_portfolios25!K403-ff_factors!$E403</f>
        <v>-9.2851000000000003E-2</v>
      </c>
      <c r="L403" s="2">
        <f>ff_portfolios25!L403-ff_factors!$E403</f>
        <v>-8.6803000000000005E-2</v>
      </c>
      <c r="M403" s="2">
        <f>ff_portfolios25!M403-ff_factors!$E403</f>
        <v>-8.6391999999999997E-2</v>
      </c>
      <c r="N403" s="2">
        <f>ff_portfolios25!N403-ff_factors!$E403</f>
        <v>-7.3071999999999998E-2</v>
      </c>
      <c r="O403" s="2">
        <f>ff_portfolios25!O403-ff_factors!$E403</f>
        <v>-9.7173000000000009E-2</v>
      </c>
      <c r="P403" s="2">
        <f>ff_portfolios25!P403-ff_factors!$E403</f>
        <v>-8.7918999999999997E-2</v>
      </c>
      <c r="Q403" s="2">
        <f>ff_portfolios25!Q403-ff_factors!$E403</f>
        <v>-9.0827000000000005E-2</v>
      </c>
      <c r="R403" s="2">
        <f>ff_portfolios25!R403-ff_factors!$E403</f>
        <v>-8.734900000000001E-2</v>
      </c>
      <c r="S403" s="2">
        <f>ff_portfolios25!S403-ff_factors!$E403</f>
        <v>-6.5073999999999993E-2</v>
      </c>
      <c r="T403" s="2">
        <f>ff_portfolios25!T403-ff_factors!$E403</f>
        <v>-7.2711999999999999E-2</v>
      </c>
      <c r="U403" s="2">
        <f>ff_portfolios25!U403-ff_factors!$E403</f>
        <v>-8.4961000000000009E-2</v>
      </c>
      <c r="V403" s="2">
        <f>ff_portfolios25!V403-ff_factors!$E403</f>
        <v>-9.0117000000000003E-2</v>
      </c>
      <c r="W403" s="2">
        <f>ff_portfolios25!W403-ff_factors!$E403</f>
        <v>-9.3168000000000001E-2</v>
      </c>
      <c r="X403" s="2">
        <f>ff_portfolios25!X403-ff_factors!$E403</f>
        <v>-4.7768000000000005E-2</v>
      </c>
      <c r="Y403" s="2">
        <f>ff_portfolios25!Y403-ff_factors!$E403</f>
        <v>-3.9324000000000005E-2</v>
      </c>
      <c r="Z403" s="2">
        <f>ff_portfolios25!Z403-ff_factors!$E403</f>
        <v>-5.3269000000000004E-2</v>
      </c>
      <c r="AA403" s="2">
        <f>ff_portfolios25!AA403-ff_factors!$E403</f>
        <v>-3.9830000000000004E-2</v>
      </c>
      <c r="AB403" s="2">
        <f>ff_portfolios25!AB403-ff_factors!$E403</f>
        <v>-5.7788000000000006E-2</v>
      </c>
    </row>
    <row r="404" spans="1:28" x14ac:dyDescent="0.2">
      <c r="A404">
        <v>19650730</v>
      </c>
      <c r="B404">
        <v>1965</v>
      </c>
      <c r="C404">
        <v>7</v>
      </c>
      <c r="D404" s="2">
        <f>ff_portfolios25!D404-ff_factors!$E404</f>
        <v>2.1349E-2</v>
      </c>
      <c r="E404" s="2">
        <f>ff_portfolios25!E404-ff_factors!$E404</f>
        <v>3.4002999999999999E-2</v>
      </c>
      <c r="F404" s="2">
        <f>ff_portfolios25!F404-ff_factors!$E404</f>
        <v>2.9069000000000005E-2</v>
      </c>
      <c r="G404" s="2">
        <f>ff_portfolios25!G404-ff_factors!$E404</f>
        <v>1.9800000000000002E-2</v>
      </c>
      <c r="H404" s="2">
        <f>ff_portfolios25!H404-ff_factors!$E404</f>
        <v>4.0330999999999999E-2</v>
      </c>
      <c r="I404" s="2">
        <f>ff_portfolios25!I404-ff_factors!$E404</f>
        <v>3.3999000000000001E-2</v>
      </c>
      <c r="J404" s="2">
        <f>ff_portfolios25!J404-ff_factors!$E404</f>
        <v>1.0442999999999999E-2</v>
      </c>
      <c r="K404" s="2">
        <f>ff_portfolios25!K404-ff_factors!$E404</f>
        <v>2.5701000000000002E-2</v>
      </c>
      <c r="L404" s="2">
        <f>ff_portfolios25!L404-ff_factors!$E404</f>
        <v>3.4222000000000002E-2</v>
      </c>
      <c r="M404" s="2">
        <f>ff_portfolios25!M404-ff_factors!$E404</f>
        <v>3.9800000000000002E-2</v>
      </c>
      <c r="N404" s="2">
        <f>ff_portfolios25!N404-ff_factors!$E404</f>
        <v>1.0793000000000001E-2</v>
      </c>
      <c r="O404" s="2">
        <f>ff_portfolios25!O404-ff_factors!$E404</f>
        <v>4.2064999999999998E-2</v>
      </c>
      <c r="P404" s="2">
        <f>ff_portfolios25!P404-ff_factors!$E404</f>
        <v>2.1987000000000003E-2</v>
      </c>
      <c r="Q404" s="2">
        <f>ff_portfolios25!Q404-ff_factors!$E404</f>
        <v>4.2098000000000003E-2</v>
      </c>
      <c r="R404" s="2">
        <f>ff_portfolios25!R404-ff_factors!$E404</f>
        <v>4.3379000000000001E-2</v>
      </c>
      <c r="S404" s="2">
        <f>ff_portfolios25!S404-ff_factors!$E404</f>
        <v>2.3364000000000003E-2</v>
      </c>
      <c r="T404" s="2">
        <f>ff_portfolios25!T404-ff_factors!$E404</f>
        <v>2.7932000000000002E-2</v>
      </c>
      <c r="U404" s="2">
        <f>ff_portfolios25!U404-ff_factors!$E404</f>
        <v>3.8713999999999998E-2</v>
      </c>
      <c r="V404" s="2">
        <f>ff_portfolios25!V404-ff_factors!$E404</f>
        <v>2.3099000000000001E-2</v>
      </c>
      <c r="W404" s="2">
        <f>ff_portfolios25!W404-ff_factors!$E404</f>
        <v>5.4775999999999998E-2</v>
      </c>
      <c r="X404" s="2">
        <f>ff_portfolios25!X404-ff_factors!$E404</f>
        <v>1.2145E-2</v>
      </c>
      <c r="Y404" s="2">
        <f>ff_portfolios25!Y404-ff_factors!$E404</f>
        <v>-3.5369999999999998E-3</v>
      </c>
      <c r="Z404" s="2">
        <f>ff_portfolios25!Z404-ff_factors!$E404</f>
        <v>1.5776000000000002E-2</v>
      </c>
      <c r="AA404" s="2">
        <f>ff_portfolios25!AA404-ff_factors!$E404</f>
        <v>3.5647999999999999E-2</v>
      </c>
      <c r="AB404" s="2">
        <f>ff_portfolios25!AB404-ff_factors!$E404</f>
        <v>4.7499E-2</v>
      </c>
    </row>
    <row r="405" spans="1:28" x14ac:dyDescent="0.2">
      <c r="A405">
        <v>19650831</v>
      </c>
      <c r="B405">
        <v>1965</v>
      </c>
      <c r="C405">
        <v>8</v>
      </c>
      <c r="D405" s="2">
        <f>ff_portfolios25!D405-ff_factors!$E405</f>
        <v>2.5781999999999999E-2</v>
      </c>
      <c r="E405" s="2">
        <f>ff_portfolios25!E405-ff_factors!$E405</f>
        <v>5.1528000000000004E-2</v>
      </c>
      <c r="F405" s="2">
        <f>ff_portfolios25!F405-ff_factors!$E405</f>
        <v>4.9881000000000002E-2</v>
      </c>
      <c r="G405" s="2">
        <f>ff_portfolios25!G405-ff_factors!$E405</f>
        <v>3.4741000000000001E-2</v>
      </c>
      <c r="H405" s="2">
        <f>ff_portfolios25!H405-ff_factors!$E405</f>
        <v>3.6018000000000001E-2</v>
      </c>
      <c r="I405" s="2">
        <f>ff_portfolios25!I405-ff_factors!$E405</f>
        <v>6.9829000000000002E-2</v>
      </c>
      <c r="J405" s="2">
        <f>ff_portfolios25!J405-ff_factors!$E405</f>
        <v>3.6286000000000006E-2</v>
      </c>
      <c r="K405" s="2">
        <f>ff_portfolios25!K405-ff_factors!$E405</f>
        <v>4.8223000000000002E-2</v>
      </c>
      <c r="L405" s="2">
        <f>ff_portfolios25!L405-ff_factors!$E405</f>
        <v>4.1234E-2</v>
      </c>
      <c r="M405" s="2">
        <f>ff_portfolios25!M405-ff_factors!$E405</f>
        <v>3.7694999999999999E-2</v>
      </c>
      <c r="N405" s="2">
        <f>ff_portfolios25!N405-ff_factors!$E405</f>
        <v>7.8182000000000001E-2</v>
      </c>
      <c r="O405" s="2">
        <f>ff_portfolios25!O405-ff_factors!$E405</f>
        <v>4.7151000000000005E-2</v>
      </c>
      <c r="P405" s="2">
        <f>ff_portfolios25!P405-ff_factors!$E405</f>
        <v>7.3211999999999999E-2</v>
      </c>
      <c r="Q405" s="2">
        <f>ff_portfolios25!Q405-ff_factors!$E405</f>
        <v>3.3878000000000005E-2</v>
      </c>
      <c r="R405" s="2">
        <f>ff_portfolios25!R405-ff_factors!$E405</f>
        <v>5.5822000000000004E-2</v>
      </c>
      <c r="S405" s="2">
        <f>ff_portfolios25!S405-ff_factors!$E405</f>
        <v>3.7519000000000004E-2</v>
      </c>
      <c r="T405" s="2">
        <f>ff_portfolios25!T405-ff_factors!$E405</f>
        <v>3.6895000000000004E-2</v>
      </c>
      <c r="U405" s="2">
        <f>ff_portfolios25!U405-ff_factors!$E405</f>
        <v>5.0062000000000002E-2</v>
      </c>
      <c r="V405" s="2">
        <f>ff_portfolios25!V405-ff_factors!$E405</f>
        <v>2.7365E-2</v>
      </c>
      <c r="W405" s="2">
        <f>ff_portfolios25!W405-ff_factors!$E405</f>
        <v>4.011E-2</v>
      </c>
      <c r="X405" s="2">
        <f>ff_portfolios25!X405-ff_factors!$E405</f>
        <v>2.9320999999999996E-2</v>
      </c>
      <c r="Y405" s="2">
        <f>ff_portfolios25!Y405-ff_factors!$E405</f>
        <v>1.0256999999999999E-2</v>
      </c>
      <c r="Z405" s="2">
        <f>ff_portfolios25!Z405-ff_factors!$E405</f>
        <v>3.1601000000000004E-2</v>
      </c>
      <c r="AA405" s="2">
        <f>ff_portfolios25!AA405-ff_factors!$E405</f>
        <v>7.9320000000000015E-3</v>
      </c>
      <c r="AB405" s="2">
        <f>ff_portfolios25!AB405-ff_factors!$E405</f>
        <v>2.0652999999999998E-2</v>
      </c>
    </row>
    <row r="406" spans="1:28" x14ac:dyDescent="0.2">
      <c r="A406">
        <v>19650930</v>
      </c>
      <c r="B406">
        <v>1965</v>
      </c>
      <c r="C406">
        <v>9</v>
      </c>
      <c r="D406" s="2">
        <f>ff_portfolios25!D406-ff_factors!$E406</f>
        <v>2.7700000000000002E-2</v>
      </c>
      <c r="E406" s="2">
        <f>ff_portfolios25!E406-ff_factors!$E406</f>
        <v>5.8864E-2</v>
      </c>
      <c r="F406" s="2">
        <f>ff_portfolios25!F406-ff_factors!$E406</f>
        <v>1.1897E-2</v>
      </c>
      <c r="G406" s="2">
        <f>ff_portfolios25!G406-ff_factors!$E406</f>
        <v>3.6292000000000005E-2</v>
      </c>
      <c r="H406" s="2">
        <f>ff_portfolios25!H406-ff_factors!$E406</f>
        <v>2.8365000000000001E-2</v>
      </c>
      <c r="I406" s="2">
        <f>ff_portfolios25!I406-ff_factors!$E406</f>
        <v>5.0779000000000005E-2</v>
      </c>
      <c r="J406" s="2">
        <f>ff_portfolios25!J406-ff_factors!$E406</f>
        <v>3.4144000000000001E-2</v>
      </c>
      <c r="K406" s="2">
        <f>ff_portfolios25!K406-ff_factors!$E406</f>
        <v>2.6723E-2</v>
      </c>
      <c r="L406" s="2">
        <f>ff_portfolios25!L406-ff_factors!$E406</f>
        <v>4.5643000000000003E-2</v>
      </c>
      <c r="M406" s="2">
        <f>ff_portfolios25!M406-ff_factors!$E406</f>
        <v>2.6138000000000002E-2</v>
      </c>
      <c r="N406" s="2">
        <f>ff_portfolios25!N406-ff_factors!$E406</f>
        <v>2.2489000000000002E-2</v>
      </c>
      <c r="O406" s="2">
        <f>ff_portfolios25!O406-ff_factors!$E406</f>
        <v>3.9867E-2</v>
      </c>
      <c r="P406" s="2">
        <f>ff_portfolios25!P406-ff_factors!$E406</f>
        <v>2.1264000000000002E-2</v>
      </c>
      <c r="Q406" s="2">
        <f>ff_portfolios25!Q406-ff_factors!$E406</f>
        <v>4.7307000000000002E-2</v>
      </c>
      <c r="R406" s="2">
        <f>ff_portfolios25!R406-ff_factors!$E406</f>
        <v>4.3387000000000002E-2</v>
      </c>
      <c r="S406" s="2">
        <f>ff_portfolios25!S406-ff_factors!$E406</f>
        <v>3.5254000000000001E-2</v>
      </c>
      <c r="T406" s="2">
        <f>ff_portfolios25!T406-ff_factors!$E406</f>
        <v>3.4213E-2</v>
      </c>
      <c r="U406" s="2">
        <f>ff_portfolios25!U406-ff_factors!$E406</f>
        <v>9.2009999999999991E-3</v>
      </c>
      <c r="V406" s="2">
        <f>ff_portfolios25!V406-ff_factors!$E406</f>
        <v>2.6685E-2</v>
      </c>
      <c r="W406" s="2">
        <f>ff_portfolios25!W406-ff_factors!$E406</f>
        <v>3.5206000000000001E-2</v>
      </c>
      <c r="X406" s="2">
        <f>ff_portfolios25!X406-ff_factors!$E406</f>
        <v>3.6172000000000003E-2</v>
      </c>
      <c r="Y406" s="2">
        <f>ff_portfolios25!Y406-ff_factors!$E406</f>
        <v>2.0123000000000002E-2</v>
      </c>
      <c r="Z406" s="2">
        <f>ff_portfolios25!Z406-ff_factors!$E406</f>
        <v>2.1660000000000002E-2</v>
      </c>
      <c r="AA406" s="2">
        <f>ff_portfolios25!AA406-ff_factors!$E406</f>
        <v>3.2101000000000005E-2</v>
      </c>
      <c r="AB406" s="2">
        <f>ff_portfolios25!AB406-ff_factors!$E406</f>
        <v>2.9415000000000004E-2</v>
      </c>
    </row>
    <row r="407" spans="1:28" x14ac:dyDescent="0.2">
      <c r="A407">
        <v>19651029</v>
      </c>
      <c r="B407">
        <v>1965</v>
      </c>
      <c r="C407">
        <v>10</v>
      </c>
      <c r="D407" s="2">
        <f>ff_portfolios25!D407-ff_factors!$E407</f>
        <v>5.6612000000000003E-2</v>
      </c>
      <c r="E407" s="2">
        <f>ff_portfolios25!E407-ff_factors!$E407</f>
        <v>8.9485999999999996E-2</v>
      </c>
      <c r="F407" s="2">
        <f>ff_portfolios25!F407-ff_factors!$E407</f>
        <v>5.7187000000000002E-2</v>
      </c>
      <c r="G407" s="2">
        <f>ff_portfolios25!G407-ff_factors!$E407</f>
        <v>5.3248000000000004E-2</v>
      </c>
      <c r="H407" s="2">
        <f>ff_portfolios25!H407-ff_factors!$E407</f>
        <v>8.745E-2</v>
      </c>
      <c r="I407" s="2">
        <f>ff_portfolios25!I407-ff_factors!$E407</f>
        <v>4.2344E-2</v>
      </c>
      <c r="J407" s="2">
        <f>ff_portfolios25!J407-ff_factors!$E407</f>
        <v>5.8370999999999999E-2</v>
      </c>
      <c r="K407" s="2">
        <f>ff_portfolios25!K407-ff_factors!$E407</f>
        <v>3.9659E-2</v>
      </c>
      <c r="L407" s="2">
        <f>ff_portfolios25!L407-ff_factors!$E407</f>
        <v>5.0832000000000002E-2</v>
      </c>
      <c r="M407" s="2">
        <f>ff_portfolios25!M407-ff_factors!$E407</f>
        <v>5.0698E-2</v>
      </c>
      <c r="N407" s="2">
        <f>ff_portfolios25!N407-ff_factors!$E407</f>
        <v>4.2013000000000002E-2</v>
      </c>
      <c r="O407" s="2">
        <f>ff_portfolios25!O407-ff_factors!$E407</f>
        <v>4.5164000000000003E-2</v>
      </c>
      <c r="P407" s="2">
        <f>ff_portfolios25!P407-ff_factors!$E407</f>
        <v>5.3689000000000001E-2</v>
      </c>
      <c r="Q407" s="2">
        <f>ff_portfolios25!Q407-ff_factors!$E407</f>
        <v>5.2310000000000002E-2</v>
      </c>
      <c r="R407" s="2">
        <f>ff_portfolios25!R407-ff_factors!$E407</f>
        <v>4.7948000000000005E-2</v>
      </c>
      <c r="S407" s="2">
        <f>ff_portfolios25!S407-ff_factors!$E407</f>
        <v>3.9961000000000003E-2</v>
      </c>
      <c r="T407" s="2">
        <f>ff_portfolios25!T407-ff_factors!$E407</f>
        <v>2.8708999999999998E-2</v>
      </c>
      <c r="U407" s="2">
        <f>ff_portfolios25!U407-ff_factors!$E407</f>
        <v>2.6177000000000002E-2</v>
      </c>
      <c r="V407" s="2">
        <f>ff_portfolios25!V407-ff_factors!$E407</f>
        <v>4.1072999999999998E-2</v>
      </c>
      <c r="W407" s="2">
        <f>ff_portfolios25!W407-ff_factors!$E407</f>
        <v>7.5637999999999997E-2</v>
      </c>
      <c r="X407" s="2">
        <f>ff_portfolios25!X407-ff_factors!$E407</f>
        <v>2.8284000000000004E-2</v>
      </c>
      <c r="Y407" s="2">
        <f>ff_portfolios25!Y407-ff_factors!$E407</f>
        <v>-4.3099999999999996E-4</v>
      </c>
      <c r="Z407" s="2">
        <f>ff_portfolios25!Z407-ff_factors!$E407</f>
        <v>2.7414000000000001E-2</v>
      </c>
      <c r="AA407" s="2">
        <f>ff_portfolios25!AA407-ff_factors!$E407</f>
        <v>4.1121999999999999E-2</v>
      </c>
      <c r="AB407" s="2">
        <f>ff_portfolios25!AB407-ff_factors!$E407</f>
        <v>5.1715999999999998E-2</v>
      </c>
    </row>
    <row r="408" spans="1:28" x14ac:dyDescent="0.2">
      <c r="A408">
        <v>19651130</v>
      </c>
      <c r="B408">
        <v>1965</v>
      </c>
      <c r="C408">
        <v>11</v>
      </c>
      <c r="D408" s="2">
        <f>ff_portfolios25!D408-ff_factors!$E408</f>
        <v>3.2353E-2</v>
      </c>
      <c r="E408" s="2">
        <f>ff_portfolios25!E408-ff_factors!$E408</f>
        <v>6.3879999999999992E-2</v>
      </c>
      <c r="F408" s="2">
        <f>ff_portfolios25!F408-ff_factors!$E408</f>
        <v>2.0834999999999999E-2</v>
      </c>
      <c r="G408" s="2">
        <f>ff_portfolios25!G408-ff_factors!$E408</f>
        <v>7.7418000000000001E-2</v>
      </c>
      <c r="H408" s="2">
        <f>ff_portfolios25!H408-ff_factors!$E408</f>
        <v>6.2796999999999992E-2</v>
      </c>
      <c r="I408" s="2">
        <f>ff_portfolios25!I408-ff_factors!$E408</f>
        <v>1.0877E-2</v>
      </c>
      <c r="J408" s="2">
        <f>ff_portfolios25!J408-ff_factors!$E408</f>
        <v>5.2310999999999996E-2</v>
      </c>
      <c r="K408" s="2">
        <f>ff_portfolios25!K408-ff_factors!$E408</f>
        <v>3.9074999999999999E-2</v>
      </c>
      <c r="L408" s="2">
        <f>ff_portfolios25!L408-ff_factors!$E408</f>
        <v>5.0817999999999995E-2</v>
      </c>
      <c r="M408" s="2">
        <f>ff_portfolios25!M408-ff_factors!$E408</f>
        <v>3.6979999999999999E-2</v>
      </c>
      <c r="N408" s="2">
        <f>ff_portfolios25!N408-ff_factors!$E408</f>
        <v>3.1855999999999995E-2</v>
      </c>
      <c r="O408" s="2">
        <f>ff_portfolios25!O408-ff_factors!$E408</f>
        <v>3.0335999999999998E-2</v>
      </c>
      <c r="P408" s="2">
        <f>ff_portfolios25!P408-ff_factors!$E408</f>
        <v>4.9356999999999998E-2</v>
      </c>
      <c r="Q408" s="2">
        <f>ff_portfolios25!Q408-ff_factors!$E408</f>
        <v>2.4837000000000001E-2</v>
      </c>
      <c r="R408" s="2">
        <f>ff_portfolios25!R408-ff_factors!$E408</f>
        <v>2.2988000000000001E-2</v>
      </c>
      <c r="S408" s="2">
        <f>ff_portfolios25!S408-ff_factors!$E408</f>
        <v>3.1729E-2</v>
      </c>
      <c r="T408" s="2">
        <f>ff_portfolios25!T408-ff_factors!$E408</f>
        <v>2.4638E-2</v>
      </c>
      <c r="U408" s="2">
        <f>ff_portfolios25!U408-ff_factors!$E408</f>
        <v>3.0190999999999999E-2</v>
      </c>
      <c r="V408" s="2">
        <f>ff_portfolios25!V408-ff_factors!$E408</f>
        <v>7.980000000000001E-3</v>
      </c>
      <c r="W408" s="2">
        <f>ff_portfolios25!W408-ff_factors!$E408</f>
        <v>5.7263999999999995E-2</v>
      </c>
      <c r="X408" s="2">
        <f>ff_portfolios25!X408-ff_factors!$E408</f>
        <v>-6.5370000000000003E-3</v>
      </c>
      <c r="Y408" s="2">
        <f>ff_portfolios25!Y408-ff_factors!$E408</f>
        <v>-2.2016999999999998E-2</v>
      </c>
      <c r="Z408" s="2">
        <f>ff_portfolios25!Z408-ff_factors!$E408</f>
        <v>9.0500000000000008E-3</v>
      </c>
      <c r="AA408" s="2">
        <f>ff_portfolios25!AA408-ff_factors!$E408</f>
        <v>-1.6321000000000002E-2</v>
      </c>
      <c r="AB408" s="2">
        <f>ff_portfolios25!AB408-ff_factors!$E408</f>
        <v>-2.6249999999999999E-2</v>
      </c>
    </row>
    <row r="409" spans="1:28" x14ac:dyDescent="0.2">
      <c r="A409">
        <v>19651231</v>
      </c>
      <c r="B409">
        <v>1965</v>
      </c>
      <c r="C409">
        <v>12</v>
      </c>
      <c r="D409" s="2">
        <f>ff_portfolios25!D409-ff_factors!$E409</f>
        <v>6.0761000000000009E-2</v>
      </c>
      <c r="E409" s="2">
        <f>ff_portfolios25!E409-ff_factors!$E409</f>
        <v>7.0224999999999996E-2</v>
      </c>
      <c r="F409" s="2">
        <f>ff_portfolios25!F409-ff_factors!$E409</f>
        <v>2.0139999999999998E-2</v>
      </c>
      <c r="G409" s="2">
        <f>ff_portfolios25!G409-ff_factors!$E409</f>
        <v>3.5428000000000001E-2</v>
      </c>
      <c r="H409" s="2">
        <f>ff_portfolios25!H409-ff_factors!$E409</f>
        <v>4.6332000000000005E-2</v>
      </c>
      <c r="I409" s="2">
        <f>ff_portfolios25!I409-ff_factors!$E409</f>
        <v>3.3386000000000006E-2</v>
      </c>
      <c r="J409" s="2">
        <f>ff_portfolios25!J409-ff_factors!$E409</f>
        <v>4.7312E-2</v>
      </c>
      <c r="K409" s="2">
        <f>ff_portfolios25!K409-ff_factors!$E409</f>
        <v>3.6301E-2</v>
      </c>
      <c r="L409" s="2">
        <f>ff_portfolios25!L409-ff_factors!$E409</f>
        <v>2.0577999999999999E-2</v>
      </c>
      <c r="M409" s="2">
        <f>ff_portfolios25!M409-ff_factors!$E409</f>
        <v>7.0404000000000008E-2</v>
      </c>
      <c r="N409" s="2">
        <f>ff_portfolios25!N409-ff_factors!$E409</f>
        <v>2.4517999999999998E-2</v>
      </c>
      <c r="O409" s="2">
        <f>ff_portfolios25!O409-ff_factors!$E409</f>
        <v>9.9799999999999993E-3</v>
      </c>
      <c r="P409" s="2">
        <f>ff_portfolios25!P409-ff_factors!$E409</f>
        <v>3.6889000000000005E-2</v>
      </c>
      <c r="Q409" s="2">
        <f>ff_portfolios25!Q409-ff_factors!$E409</f>
        <v>1.2687999999999998E-2</v>
      </c>
      <c r="R409" s="2">
        <f>ff_portfolios25!R409-ff_factors!$E409</f>
        <v>5.3035000000000006E-2</v>
      </c>
      <c r="S409" s="2">
        <f>ff_portfolios25!S409-ff_factors!$E409</f>
        <v>9.7339999999999996E-3</v>
      </c>
      <c r="T409" s="2">
        <f>ff_portfolios25!T409-ff_factors!$E409</f>
        <v>1.0090999999999999E-2</v>
      </c>
      <c r="U409" s="2">
        <f>ff_portfolios25!U409-ff_factors!$E409</f>
        <v>1.2930999999999998E-2</v>
      </c>
      <c r="V409" s="2">
        <f>ff_portfolios25!V409-ff_factors!$E409</f>
        <v>3.9841000000000001E-2</v>
      </c>
      <c r="W409" s="2">
        <f>ff_portfolios25!W409-ff_factors!$E409</f>
        <v>4.4532000000000002E-2</v>
      </c>
      <c r="X409" s="2">
        <f>ff_portfolios25!X409-ff_factors!$E409</f>
        <v>6.8029999999999992E-3</v>
      </c>
      <c r="Y409" s="2">
        <f>ff_portfolios25!Y409-ff_factors!$E409</f>
        <v>-5.3530000000000001E-3</v>
      </c>
      <c r="Z409" s="2">
        <f>ff_portfolios25!Z409-ff_factors!$E409</f>
        <v>9.3050000000000008E-3</v>
      </c>
      <c r="AA409" s="2">
        <f>ff_portfolios25!AA409-ff_factors!$E409</f>
        <v>2.4691999999999999E-2</v>
      </c>
      <c r="AB409" s="2">
        <f>ff_portfolios25!AB409-ff_factors!$E409</f>
        <v>2.6258E-2</v>
      </c>
    </row>
    <row r="410" spans="1:28" x14ac:dyDescent="0.2">
      <c r="A410">
        <v>19660131</v>
      </c>
      <c r="B410">
        <v>1966</v>
      </c>
      <c r="C410">
        <v>1</v>
      </c>
      <c r="D410" s="2">
        <f>ff_portfolios25!D410-ff_factors!$E410</f>
        <v>5.4956999999999999E-2</v>
      </c>
      <c r="E410" s="2">
        <f>ff_portfolios25!E410-ff_factors!$E410</f>
        <v>5.7452000000000003E-2</v>
      </c>
      <c r="F410" s="2">
        <f>ff_portfolios25!F410-ff_factors!$E410</f>
        <v>8.1153000000000003E-2</v>
      </c>
      <c r="G410" s="2">
        <f>ff_portfolios25!G410-ff_factors!$E410</f>
        <v>9.2004000000000002E-2</v>
      </c>
      <c r="H410" s="2">
        <f>ff_portfolios25!H410-ff_factors!$E410</f>
        <v>8.8811000000000001E-2</v>
      </c>
      <c r="I410" s="2">
        <f>ff_portfolios25!I410-ff_factors!$E410</f>
        <v>4.4731E-2</v>
      </c>
      <c r="J410" s="2">
        <f>ff_portfolios25!J410-ff_factors!$E410</f>
        <v>5.1352000000000002E-2</v>
      </c>
      <c r="K410" s="2">
        <f>ff_portfolios25!K410-ff_factors!$E410</f>
        <v>4.8412000000000004E-2</v>
      </c>
      <c r="L410" s="2">
        <f>ff_portfolios25!L410-ff_factors!$E410</f>
        <v>4.9398000000000004E-2</v>
      </c>
      <c r="M410" s="2">
        <f>ff_portfolios25!M410-ff_factors!$E410</f>
        <v>6.0247000000000009E-2</v>
      </c>
      <c r="N410" s="2">
        <f>ff_portfolios25!N410-ff_factors!$E410</f>
        <v>3.7293E-2</v>
      </c>
      <c r="O410" s="2">
        <f>ff_portfolios25!O410-ff_factors!$E410</f>
        <v>2.4638E-2</v>
      </c>
      <c r="P410" s="2">
        <f>ff_portfolios25!P410-ff_factors!$E410</f>
        <v>2.5387999999999997E-2</v>
      </c>
      <c r="Q410" s="2">
        <f>ff_portfolios25!Q410-ff_factors!$E410</f>
        <v>4.2032E-2</v>
      </c>
      <c r="R410" s="2">
        <f>ff_portfolios25!R410-ff_factors!$E410</f>
        <v>5.6348000000000002E-2</v>
      </c>
      <c r="S410" s="2">
        <f>ff_portfolios25!S410-ff_factors!$E410</f>
        <v>2.898E-3</v>
      </c>
      <c r="T410" s="2">
        <f>ff_portfolios25!T410-ff_factors!$E410</f>
        <v>1.6693E-2</v>
      </c>
      <c r="U410" s="2">
        <f>ff_portfolios25!U410-ff_factors!$E410</f>
        <v>4.5738000000000001E-2</v>
      </c>
      <c r="V410" s="2">
        <f>ff_portfolios25!V410-ff_factors!$E410</f>
        <v>3.8698000000000003E-2</v>
      </c>
      <c r="W410" s="2">
        <f>ff_portfolios25!W410-ff_factors!$E410</f>
        <v>5.3243000000000006E-2</v>
      </c>
      <c r="X410" s="2">
        <f>ff_portfolios25!X410-ff_factors!$E410</f>
        <v>-7.5189999999999996E-3</v>
      </c>
      <c r="Y410" s="2">
        <f>ff_portfolios25!Y410-ff_factors!$E410</f>
        <v>-1.0173E-2</v>
      </c>
      <c r="Z410" s="2">
        <f>ff_portfolios25!Z410-ff_factors!$E410</f>
        <v>1.3497E-2</v>
      </c>
      <c r="AA410" s="2">
        <f>ff_portfolios25!AA410-ff_factors!$E410</f>
        <v>2.6762999999999999E-2</v>
      </c>
      <c r="AB410" s="2">
        <f>ff_portfolios25!AB410-ff_factors!$E410</f>
        <v>3.1196999999999999E-2</v>
      </c>
    </row>
    <row r="411" spans="1:28" x14ac:dyDescent="0.2">
      <c r="A411">
        <v>19660228</v>
      </c>
      <c r="B411">
        <v>1966</v>
      </c>
      <c r="C411">
        <v>2</v>
      </c>
      <c r="D411" s="2">
        <f>ff_portfolios25!D411-ff_factors!$E411</f>
        <v>6.1419000000000001E-2</v>
      </c>
      <c r="E411" s="2">
        <f>ff_portfolios25!E411-ff_factors!$E411</f>
        <v>5.7502999999999999E-2</v>
      </c>
      <c r="F411" s="2">
        <f>ff_portfolios25!F411-ff_factors!$E411</f>
        <v>1.4137E-2</v>
      </c>
      <c r="G411" s="2">
        <f>ff_portfolios25!G411-ff_factors!$E411</f>
        <v>4.2911999999999999E-2</v>
      </c>
      <c r="H411" s="2">
        <f>ff_portfolios25!H411-ff_factors!$E411</f>
        <v>5.7812999999999996E-2</v>
      </c>
      <c r="I411" s="2">
        <f>ff_portfolios25!I411-ff_factors!$E411</f>
        <v>4.5400999999999997E-2</v>
      </c>
      <c r="J411" s="2">
        <f>ff_portfolios25!J411-ff_factors!$E411</f>
        <v>5.0359999999999995E-2</v>
      </c>
      <c r="K411" s="2">
        <f>ff_portfolios25!K411-ff_factors!$E411</f>
        <v>1.6083E-2</v>
      </c>
      <c r="L411" s="2">
        <f>ff_portfolios25!L411-ff_factors!$E411</f>
        <v>-5.5849999999999997E-3</v>
      </c>
      <c r="M411" s="2">
        <f>ff_portfolios25!M411-ff_factors!$E411</f>
        <v>3.1796999999999999E-2</v>
      </c>
      <c r="N411" s="2">
        <f>ff_portfolios25!N411-ff_factors!$E411</f>
        <v>-4.7369999999999999E-3</v>
      </c>
      <c r="O411" s="2">
        <f>ff_portfolios25!O411-ff_factors!$E411</f>
        <v>1.5087E-2</v>
      </c>
      <c r="P411" s="2">
        <f>ff_portfolios25!P411-ff_factors!$E411</f>
        <v>3.9631999999999994E-2</v>
      </c>
      <c r="Q411" s="2">
        <f>ff_portfolios25!Q411-ff_factors!$E411</f>
        <v>2.1361000000000002E-2</v>
      </c>
      <c r="R411" s="2">
        <f>ff_portfolios25!R411-ff_factors!$E411</f>
        <v>2.5523000000000001E-2</v>
      </c>
      <c r="S411" s="2">
        <f>ff_portfolios25!S411-ff_factors!$E411</f>
        <v>1.9071000000000001E-2</v>
      </c>
      <c r="T411" s="2">
        <f>ff_portfolios25!T411-ff_factors!$E411</f>
        <v>-1.9230000000000001E-2</v>
      </c>
      <c r="U411" s="2">
        <f>ff_portfolios25!U411-ff_factors!$E411</f>
        <v>2.9339999999999995E-3</v>
      </c>
      <c r="V411" s="2">
        <f>ff_portfolios25!V411-ff_factors!$E411</f>
        <v>3.3009999999999997E-3</v>
      </c>
      <c r="W411" s="2">
        <f>ff_portfolios25!W411-ff_factors!$E411</f>
        <v>3.1962999999999998E-2</v>
      </c>
      <c r="X411" s="2">
        <f>ff_portfolios25!X411-ff_factors!$E411</f>
        <v>-1.6768000000000002E-2</v>
      </c>
      <c r="Y411" s="2">
        <f>ff_portfolios25!Y411-ff_factors!$E411</f>
        <v>-2.6190999999999999E-2</v>
      </c>
      <c r="Z411" s="2">
        <f>ff_portfolios25!Z411-ff_factors!$E411</f>
        <v>-2.0421999999999999E-2</v>
      </c>
      <c r="AA411" s="2">
        <f>ff_portfolios25!AA411-ff_factors!$E411</f>
        <v>-2.3163E-2</v>
      </c>
      <c r="AB411" s="2">
        <f>ff_portfolios25!AB411-ff_factors!$E411</f>
        <v>-2.4056999999999999E-2</v>
      </c>
    </row>
    <row r="412" spans="1:28" x14ac:dyDescent="0.2">
      <c r="A412">
        <v>19660331</v>
      </c>
      <c r="B412">
        <v>1966</v>
      </c>
      <c r="C412">
        <v>3</v>
      </c>
      <c r="D412" s="2">
        <f>ff_portfolios25!D412-ff_factors!$E412</f>
        <v>5.0200000000000028E-4</v>
      </c>
      <c r="E412" s="2">
        <f>ff_portfolios25!E412-ff_factors!$E412</f>
        <v>-7.8549999999999991E-3</v>
      </c>
      <c r="F412" s="2">
        <f>ff_portfolios25!F412-ff_factors!$E412</f>
        <v>-2.6579000000000002E-2</v>
      </c>
      <c r="G412" s="2">
        <f>ff_portfolios25!G412-ff_factors!$E412</f>
        <v>-1.2156E-2</v>
      </c>
      <c r="H412" s="2">
        <f>ff_portfolios25!H412-ff_factors!$E412</f>
        <v>-1.4806E-2</v>
      </c>
      <c r="I412" s="2">
        <f>ff_portfolios25!I412-ff_factors!$E412</f>
        <v>-1.9170000000000001E-3</v>
      </c>
      <c r="J412" s="2">
        <f>ff_portfolios25!J412-ff_factors!$E412</f>
        <v>-2.1033E-2</v>
      </c>
      <c r="K412" s="2">
        <f>ff_portfolios25!K412-ff_factors!$E412</f>
        <v>-2.8326E-2</v>
      </c>
      <c r="L412" s="2">
        <f>ff_portfolios25!L412-ff_factors!$E412</f>
        <v>-4.0084999999999996E-2</v>
      </c>
      <c r="M412" s="2">
        <f>ff_portfolios25!M412-ff_factors!$E412</f>
        <v>-1.9370000000000002E-2</v>
      </c>
      <c r="N412" s="2">
        <f>ff_portfolios25!N412-ff_factors!$E412</f>
        <v>-2.1007000000000001E-2</v>
      </c>
      <c r="O412" s="2">
        <f>ff_portfolios25!O412-ff_factors!$E412</f>
        <v>-5.0880999999999996E-2</v>
      </c>
      <c r="P412" s="2">
        <f>ff_portfolios25!P412-ff_factors!$E412</f>
        <v>-2.7392E-2</v>
      </c>
      <c r="Q412" s="2">
        <f>ff_portfolios25!Q412-ff_factors!$E412</f>
        <v>-3.7600999999999996E-2</v>
      </c>
      <c r="R412" s="2">
        <f>ff_portfolios25!R412-ff_factors!$E412</f>
        <v>-4.0922E-2</v>
      </c>
      <c r="S412" s="2">
        <f>ff_portfolios25!S412-ff_factors!$E412</f>
        <v>-3.3119999999999998E-3</v>
      </c>
      <c r="T412" s="2">
        <f>ff_portfolios25!T412-ff_factors!$E412</f>
        <v>-1.7741E-2</v>
      </c>
      <c r="U412" s="2">
        <f>ff_portfolios25!U412-ff_factors!$E412</f>
        <v>-3.6775999999999996E-2</v>
      </c>
      <c r="V412" s="2">
        <f>ff_portfolios25!V412-ff_factors!$E412</f>
        <v>-2.9168000000000003E-2</v>
      </c>
      <c r="W412" s="2">
        <f>ff_portfolios25!W412-ff_factors!$E412</f>
        <v>-4.5976999999999997E-2</v>
      </c>
      <c r="X412" s="2">
        <f>ff_portfolios25!X412-ff_factors!$E412</f>
        <v>-1.8540000000000001E-2</v>
      </c>
      <c r="Y412" s="2">
        <f>ff_portfolios25!Y412-ff_factors!$E412</f>
        <v>-3.7961999999999996E-2</v>
      </c>
      <c r="Z412" s="2">
        <f>ff_portfolios25!Z412-ff_factors!$E412</f>
        <v>-1.4723999999999999E-2</v>
      </c>
      <c r="AA412" s="2">
        <f>ff_portfolios25!AA412-ff_factors!$E412</f>
        <v>-2.5309000000000002E-2</v>
      </c>
      <c r="AB412" s="2">
        <f>ff_portfolios25!AB412-ff_factors!$E412</f>
        <v>-4.8820999999999996E-2</v>
      </c>
    </row>
    <row r="413" spans="1:28" x14ac:dyDescent="0.2">
      <c r="A413">
        <v>19660429</v>
      </c>
      <c r="B413">
        <v>1966</v>
      </c>
      <c r="C413">
        <v>4</v>
      </c>
      <c r="D413" s="2">
        <f>ff_portfolios25!D413-ff_factors!$E413</f>
        <v>0.101739</v>
      </c>
      <c r="E413" s="2">
        <f>ff_portfolios25!E413-ff_factors!$E413</f>
        <v>4.3430999999999997E-2</v>
      </c>
      <c r="F413" s="2">
        <f>ff_portfolios25!F413-ff_factors!$E413</f>
        <v>5.5029000000000002E-2</v>
      </c>
      <c r="G413" s="2">
        <f>ff_portfolios25!G413-ff_factors!$E413</f>
        <v>6.5914E-2</v>
      </c>
      <c r="H413" s="2">
        <f>ff_portfolios25!H413-ff_factors!$E413</f>
        <v>3.5381000000000003E-2</v>
      </c>
      <c r="I413" s="2">
        <f>ff_portfolios25!I413-ff_factors!$E413</f>
        <v>2.3925999999999999E-2</v>
      </c>
      <c r="J413" s="2">
        <f>ff_portfolios25!J413-ff_factors!$E413</f>
        <v>4.8545999999999999E-2</v>
      </c>
      <c r="K413" s="2">
        <f>ff_portfolios25!K413-ff_factors!$E413</f>
        <v>3.3452999999999997E-2</v>
      </c>
      <c r="L413" s="2">
        <f>ff_portfolios25!L413-ff_factors!$E413</f>
        <v>7.3615E-2</v>
      </c>
      <c r="M413" s="2">
        <f>ff_portfolios25!M413-ff_factors!$E413</f>
        <v>8.4553000000000003E-2</v>
      </c>
      <c r="N413" s="2">
        <f>ff_portfolios25!N413-ff_factors!$E413</f>
        <v>3.4715000000000003E-2</v>
      </c>
      <c r="O413" s="2">
        <f>ff_portfolios25!O413-ff_factors!$E413</f>
        <v>3.7088000000000003E-2</v>
      </c>
      <c r="P413" s="2">
        <f>ff_portfolios25!P413-ff_factors!$E413</f>
        <v>2.7869999999999999E-2</v>
      </c>
      <c r="Q413" s="2">
        <f>ff_portfolios25!Q413-ff_factors!$E413</f>
        <v>4.0438000000000002E-2</v>
      </c>
      <c r="R413" s="2">
        <f>ff_portfolios25!R413-ff_factors!$E413</f>
        <v>2.0618000000000001E-2</v>
      </c>
      <c r="S413" s="2">
        <f>ff_portfolios25!S413-ff_factors!$E413</f>
        <v>3.7401999999999998E-2</v>
      </c>
      <c r="T413" s="2">
        <f>ff_portfolios25!T413-ff_factors!$E413</f>
        <v>2.1461000000000001E-2</v>
      </c>
      <c r="U413" s="2">
        <f>ff_portfolios25!U413-ff_factors!$E413</f>
        <v>3.1211999999999997E-2</v>
      </c>
      <c r="V413" s="2">
        <f>ff_portfolios25!V413-ff_factors!$E413</f>
        <v>4.4873000000000003E-2</v>
      </c>
      <c r="W413" s="2">
        <f>ff_portfolios25!W413-ff_factors!$E413</f>
        <v>-1.0999999999999725E-5</v>
      </c>
      <c r="X413" s="2">
        <f>ff_portfolios25!X413-ff_factors!$E413</f>
        <v>1.7717E-2</v>
      </c>
      <c r="Y413" s="2">
        <f>ff_portfolios25!Y413-ff_factors!$E413</f>
        <v>1.5338000000000001E-2</v>
      </c>
      <c r="Z413" s="2">
        <f>ff_portfolios25!Z413-ff_factors!$E413</f>
        <v>8.8179999999999994E-3</v>
      </c>
      <c r="AA413" s="2">
        <f>ff_portfolios25!AA413-ff_factors!$E413</f>
        <v>2.0660999999999999E-2</v>
      </c>
      <c r="AB413" s="2">
        <f>ff_portfolios25!AB413-ff_factors!$E413</f>
        <v>1.6590999999999998E-2</v>
      </c>
    </row>
    <row r="414" spans="1:28" x14ac:dyDescent="0.2">
      <c r="A414">
        <v>19660531</v>
      </c>
      <c r="B414">
        <v>1966</v>
      </c>
      <c r="C414">
        <v>5</v>
      </c>
      <c r="D414" s="2">
        <f>ff_portfolios25!D414-ff_factors!$E414</f>
        <v>-0.127113</v>
      </c>
      <c r="E414" s="2">
        <f>ff_portfolios25!E414-ff_factors!$E414</f>
        <v>-0.13783799999999999</v>
      </c>
      <c r="F414" s="2">
        <f>ff_portfolios25!F414-ff_factors!$E414</f>
        <v>-0.107673</v>
      </c>
      <c r="G414" s="2">
        <f>ff_portfolios25!G414-ff_factors!$E414</f>
        <v>-0.111711</v>
      </c>
      <c r="H414" s="2">
        <f>ff_portfolios25!H414-ff_factors!$E414</f>
        <v>-0.121966</v>
      </c>
      <c r="I414" s="2">
        <f>ff_portfolios25!I414-ff_factors!$E414</f>
        <v>-0.101692</v>
      </c>
      <c r="J414" s="2">
        <f>ff_portfolios25!J414-ff_factors!$E414</f>
        <v>-0.10507200000000001</v>
      </c>
      <c r="K414" s="2">
        <f>ff_portfolios25!K414-ff_factors!$E414</f>
        <v>-9.1731000000000007E-2</v>
      </c>
      <c r="L414" s="2">
        <f>ff_portfolios25!L414-ff_factors!$E414</f>
        <v>-0.10441700000000001</v>
      </c>
      <c r="M414" s="2">
        <f>ff_portfolios25!M414-ff_factors!$E414</f>
        <v>-9.5877000000000004E-2</v>
      </c>
      <c r="N414" s="2">
        <f>ff_portfolios25!N414-ff_factors!$E414</f>
        <v>-6.7035000000000011E-2</v>
      </c>
      <c r="O414" s="2">
        <f>ff_portfolios25!O414-ff_factors!$E414</f>
        <v>-7.4417000000000011E-2</v>
      </c>
      <c r="P414" s="2">
        <f>ff_portfolios25!P414-ff_factors!$E414</f>
        <v>-8.0481000000000011E-2</v>
      </c>
      <c r="Q414" s="2">
        <f>ff_portfolios25!Q414-ff_factors!$E414</f>
        <v>-0.10967400000000001</v>
      </c>
      <c r="R414" s="2">
        <f>ff_portfolios25!R414-ff_factors!$E414</f>
        <v>-9.892200000000001E-2</v>
      </c>
      <c r="S414" s="2">
        <f>ff_portfolios25!S414-ff_factors!$E414</f>
        <v>-5.4916E-2</v>
      </c>
      <c r="T414" s="2">
        <f>ff_portfolios25!T414-ff_factors!$E414</f>
        <v>-5.5663999999999998E-2</v>
      </c>
      <c r="U414" s="2">
        <f>ff_portfolios25!U414-ff_factors!$E414</f>
        <v>-7.1196000000000009E-2</v>
      </c>
      <c r="V414" s="2">
        <f>ff_portfolios25!V414-ff_factors!$E414</f>
        <v>-9.2327000000000006E-2</v>
      </c>
      <c r="W414" s="2">
        <f>ff_portfolios25!W414-ff_factors!$E414</f>
        <v>-0.11165800000000001</v>
      </c>
      <c r="X414" s="2">
        <f>ff_portfolios25!X414-ff_factors!$E414</f>
        <v>-4.5989000000000002E-2</v>
      </c>
      <c r="Y414" s="2">
        <f>ff_portfolios25!Y414-ff_factors!$E414</f>
        <v>-4.2766999999999999E-2</v>
      </c>
      <c r="Z414" s="2">
        <f>ff_portfolios25!Z414-ff_factors!$E414</f>
        <v>-5.1428000000000001E-2</v>
      </c>
      <c r="AA414" s="2">
        <f>ff_portfolios25!AA414-ff_factors!$E414</f>
        <v>-5.9163E-2</v>
      </c>
      <c r="AB414" s="2">
        <f>ff_portfolios25!AB414-ff_factors!$E414</f>
        <v>-5.8606999999999999E-2</v>
      </c>
    </row>
    <row r="415" spans="1:28" x14ac:dyDescent="0.2">
      <c r="A415">
        <v>19660630</v>
      </c>
      <c r="B415">
        <v>1966</v>
      </c>
      <c r="C415">
        <v>6</v>
      </c>
      <c r="D415" s="2">
        <f>ff_portfolios25!D415-ff_factors!$E415</f>
        <v>-1.0624E-2</v>
      </c>
      <c r="E415" s="2">
        <f>ff_portfolios25!E415-ff_factors!$E415</f>
        <v>-6.5590000000000006E-3</v>
      </c>
      <c r="F415" s="2">
        <f>ff_portfolios25!F415-ff_factors!$E415</f>
        <v>6.9100000000000012E-3</v>
      </c>
      <c r="G415" s="2">
        <f>ff_portfolios25!G415-ff_factors!$E415</f>
        <v>1.1648E-2</v>
      </c>
      <c r="H415" s="2">
        <f>ff_portfolios25!H415-ff_factors!$E415</f>
        <v>-3.4000000000000176E-5</v>
      </c>
      <c r="I415" s="2">
        <f>ff_portfolios25!I415-ff_factors!$E415</f>
        <v>9.5240000000000012E-3</v>
      </c>
      <c r="J415" s="2">
        <f>ff_portfolios25!J415-ff_factors!$E415</f>
        <v>5.579999999999999E-4</v>
      </c>
      <c r="K415" s="2">
        <f>ff_portfolios25!K415-ff_factors!$E415</f>
        <v>-4.437E-3</v>
      </c>
      <c r="L415" s="2">
        <f>ff_portfolios25!L415-ff_factors!$E415</f>
        <v>-1.0277E-2</v>
      </c>
      <c r="M415" s="2">
        <f>ff_portfolios25!M415-ff_factors!$E415</f>
        <v>-1.3150000000000002E-3</v>
      </c>
      <c r="N415" s="2">
        <f>ff_portfolios25!N415-ff_factors!$E415</f>
        <v>1.439999999999996E-4</v>
      </c>
      <c r="O415" s="2">
        <f>ff_portfolios25!O415-ff_factors!$E415</f>
        <v>-8.9980000000000008E-3</v>
      </c>
      <c r="P415" s="2">
        <f>ff_portfolios25!P415-ff_factors!$E415</f>
        <v>2.3104999999999997E-2</v>
      </c>
      <c r="Q415" s="2">
        <f>ff_portfolios25!Q415-ff_factors!$E415</f>
        <v>-7.4260000000000003E-3</v>
      </c>
      <c r="R415" s="2">
        <f>ff_portfolios25!R415-ff_factors!$E415</f>
        <v>-1.0630000000000001E-2</v>
      </c>
      <c r="S415" s="2">
        <f>ff_portfolios25!S415-ff_factors!$E415</f>
        <v>-1.2393E-2</v>
      </c>
      <c r="T415" s="2">
        <f>ff_portfolios25!T415-ff_factors!$E415</f>
        <v>-7.4020000000000006E-3</v>
      </c>
      <c r="U415" s="2">
        <f>ff_portfolios25!U415-ff_factors!$E415</f>
        <v>-3.7829999999999999E-3</v>
      </c>
      <c r="V415" s="2">
        <f>ff_portfolios25!V415-ff_factors!$E415</f>
        <v>3.0467999999999999E-2</v>
      </c>
      <c r="W415" s="2">
        <f>ff_portfolios25!W415-ff_factors!$E415</f>
        <v>-4.6420000000000003E-3</v>
      </c>
      <c r="X415" s="2">
        <f>ff_portfolios25!X415-ff_factors!$E415</f>
        <v>-2.3786000000000002E-2</v>
      </c>
      <c r="Y415" s="2">
        <f>ff_portfolios25!Y415-ff_factors!$E415</f>
        <v>-1.8609000000000001E-2</v>
      </c>
      <c r="Z415" s="2">
        <f>ff_portfolios25!Z415-ff_factors!$E415</f>
        <v>-1.069E-2</v>
      </c>
      <c r="AA415" s="2">
        <f>ff_portfolios25!AA415-ff_factors!$E415</f>
        <v>4.7590000000000011E-3</v>
      </c>
      <c r="AB415" s="2">
        <f>ff_portfolios25!AB415-ff_factors!$E415</f>
        <v>-1.0748000000000001E-2</v>
      </c>
    </row>
    <row r="416" spans="1:28" x14ac:dyDescent="0.2">
      <c r="A416">
        <v>19660729</v>
      </c>
      <c r="B416">
        <v>1966</v>
      </c>
      <c r="C416">
        <v>7</v>
      </c>
      <c r="D416" s="2">
        <f>ff_portfolios25!D416-ff_factors!$E416</f>
        <v>-2.5239000000000001E-2</v>
      </c>
      <c r="E416" s="2">
        <f>ff_portfolios25!E416-ff_factors!$E416</f>
        <v>-2.1010000000000001E-2</v>
      </c>
      <c r="F416" s="2">
        <f>ff_portfolios25!F416-ff_factors!$E416</f>
        <v>-2.7278E-2</v>
      </c>
      <c r="G416" s="2">
        <f>ff_portfolios25!G416-ff_factors!$E416</f>
        <v>-3.3649999999999999E-3</v>
      </c>
      <c r="H416" s="2">
        <f>ff_portfolios25!H416-ff_factors!$E416</f>
        <v>-1.4099E-2</v>
      </c>
      <c r="I416" s="2">
        <f>ff_portfolios25!I416-ff_factors!$E416</f>
        <v>-3.5157000000000001E-2</v>
      </c>
      <c r="J416" s="2">
        <f>ff_portfolios25!J416-ff_factors!$E416</f>
        <v>-2.6841E-2</v>
      </c>
      <c r="K416" s="2">
        <f>ff_portfolios25!K416-ff_factors!$E416</f>
        <v>-1.0789999999999999E-2</v>
      </c>
      <c r="L416" s="2">
        <f>ff_portfolios25!L416-ff_factors!$E416</f>
        <v>-2.0438000000000001E-2</v>
      </c>
      <c r="M416" s="2">
        <f>ff_portfolios25!M416-ff_factors!$E416</f>
        <v>-2.0368999999999998E-2</v>
      </c>
      <c r="N416" s="2">
        <f>ff_portfolios25!N416-ff_factors!$E416</f>
        <v>-1.3845E-2</v>
      </c>
      <c r="O416" s="2">
        <f>ff_portfolios25!O416-ff_factors!$E416</f>
        <v>-2.4178999999999999E-2</v>
      </c>
      <c r="P416" s="2">
        <f>ff_portfolios25!P416-ff_factors!$E416</f>
        <v>-9.9660000000000009E-3</v>
      </c>
      <c r="Q416" s="2">
        <f>ff_portfolios25!Q416-ff_factors!$E416</f>
        <v>-1.1434999999999999E-2</v>
      </c>
      <c r="R416" s="2">
        <f>ff_portfolios25!R416-ff_factors!$E416</f>
        <v>-1.7738E-2</v>
      </c>
      <c r="S416" s="2">
        <f>ff_portfolios25!S416-ff_factors!$E416</f>
        <v>-1.1736E-2</v>
      </c>
      <c r="T416" s="2">
        <f>ff_portfolios25!T416-ff_factors!$E416</f>
        <v>-1.7188000000000002E-2</v>
      </c>
      <c r="U416" s="2">
        <f>ff_portfolios25!U416-ff_factors!$E416</f>
        <v>-2.3963999999999999E-2</v>
      </c>
      <c r="V416" s="2">
        <f>ff_portfolios25!V416-ff_factors!$E416</f>
        <v>-3.0470000000000001E-2</v>
      </c>
      <c r="W416" s="2">
        <f>ff_portfolios25!W416-ff_factors!$E416</f>
        <v>-2.7272999999999999E-2</v>
      </c>
      <c r="X416" s="2">
        <f>ff_portfolios25!X416-ff_factors!$E416</f>
        <v>-2.0364E-2</v>
      </c>
      <c r="Y416" s="2">
        <f>ff_portfolios25!Y416-ff_factors!$E416</f>
        <v>-1.8436000000000001E-2</v>
      </c>
      <c r="Z416" s="2">
        <f>ff_portfolios25!Z416-ff_factors!$E416</f>
        <v>-9.6380000000000007E-3</v>
      </c>
      <c r="AA416" s="2">
        <f>ff_portfolios25!AA416-ff_factors!$E416</f>
        <v>5.6350000000000011E-3</v>
      </c>
      <c r="AB416" s="2">
        <f>ff_portfolios25!AB416-ff_factors!$E416</f>
        <v>-1.6760000000000001E-2</v>
      </c>
    </row>
    <row r="417" spans="1:28" x14ac:dyDescent="0.2">
      <c r="A417">
        <v>19660831</v>
      </c>
      <c r="B417">
        <v>1966</v>
      </c>
      <c r="C417">
        <v>8</v>
      </c>
      <c r="D417" s="2">
        <f>ff_portfolios25!D417-ff_factors!$E417</f>
        <v>-0.12374600000000001</v>
      </c>
      <c r="E417" s="2">
        <f>ff_portfolios25!E417-ff_factors!$E417</f>
        <v>-0.10931400000000001</v>
      </c>
      <c r="F417" s="2">
        <f>ff_portfolios25!F417-ff_factors!$E417</f>
        <v>-0.103731</v>
      </c>
      <c r="G417" s="2">
        <f>ff_portfolios25!G417-ff_factors!$E417</f>
        <v>-0.11457300000000001</v>
      </c>
      <c r="H417" s="2">
        <f>ff_portfolios25!H417-ff_factors!$E417</f>
        <v>-0.10826100000000001</v>
      </c>
      <c r="I417" s="2">
        <f>ff_portfolios25!I417-ff_factors!$E417</f>
        <v>-0.131772</v>
      </c>
      <c r="J417" s="2">
        <f>ff_portfolios25!J417-ff_factors!$E417</f>
        <v>-0.10553000000000001</v>
      </c>
      <c r="K417" s="2">
        <f>ff_portfolios25!K417-ff_factors!$E417</f>
        <v>-9.7753000000000007E-2</v>
      </c>
      <c r="L417" s="2">
        <f>ff_portfolios25!L417-ff_factors!$E417</f>
        <v>-0.10093500000000001</v>
      </c>
      <c r="M417" s="2">
        <f>ff_portfolios25!M417-ff_factors!$E417</f>
        <v>-0.11321800000000001</v>
      </c>
      <c r="N417" s="2">
        <f>ff_portfolios25!N417-ff_factors!$E417</f>
        <v>-0.110918</v>
      </c>
      <c r="O417" s="2">
        <f>ff_portfolios25!O417-ff_factors!$E417</f>
        <v>-9.058200000000001E-2</v>
      </c>
      <c r="P417" s="2">
        <f>ff_portfolios25!P417-ff_factors!$E417</f>
        <v>-8.3889000000000005E-2</v>
      </c>
      <c r="Q417" s="2">
        <f>ff_portfolios25!Q417-ff_factors!$E417</f>
        <v>-0.10352</v>
      </c>
      <c r="R417" s="2">
        <f>ff_portfolios25!R417-ff_factors!$E417</f>
        <v>-9.0392E-2</v>
      </c>
      <c r="S417" s="2">
        <f>ff_portfolios25!S417-ff_factors!$E417</f>
        <v>-9.7973000000000005E-2</v>
      </c>
      <c r="T417" s="2">
        <f>ff_portfolios25!T417-ff_factors!$E417</f>
        <v>-8.0717000000000011E-2</v>
      </c>
      <c r="U417" s="2">
        <f>ff_portfolios25!U417-ff_factors!$E417</f>
        <v>-8.3229000000000011E-2</v>
      </c>
      <c r="V417" s="2">
        <f>ff_portfolios25!V417-ff_factors!$E417</f>
        <v>-7.3737000000000011E-2</v>
      </c>
      <c r="W417" s="2">
        <f>ff_portfolios25!W417-ff_factors!$E417</f>
        <v>-9.8144000000000009E-2</v>
      </c>
      <c r="X417" s="2">
        <f>ff_portfolios25!X417-ff_factors!$E417</f>
        <v>-7.5973000000000013E-2</v>
      </c>
      <c r="Y417" s="2">
        <f>ff_portfolios25!Y417-ff_factors!$E417</f>
        <v>-9.1572000000000001E-2</v>
      </c>
      <c r="Z417" s="2">
        <f>ff_portfolios25!Z417-ff_factors!$E417</f>
        <v>-6.1145999999999999E-2</v>
      </c>
      <c r="AA417" s="2">
        <f>ff_portfolios25!AA417-ff_factors!$E417</f>
        <v>-6.6012000000000001E-2</v>
      </c>
      <c r="AB417" s="2">
        <f>ff_portfolios25!AB417-ff_factors!$E417</f>
        <v>-8.3724000000000007E-2</v>
      </c>
    </row>
    <row r="418" spans="1:28" x14ac:dyDescent="0.2">
      <c r="A418">
        <v>19660930</v>
      </c>
      <c r="B418">
        <v>1966</v>
      </c>
      <c r="C418">
        <v>9</v>
      </c>
      <c r="D418" s="2">
        <f>ff_portfolios25!D418-ff_factors!$E418</f>
        <v>-2.4164000000000001E-2</v>
      </c>
      <c r="E418" s="2">
        <f>ff_portfolios25!E418-ff_factors!$E418</f>
        <v>-2.2402000000000002E-2</v>
      </c>
      <c r="F418" s="2">
        <f>ff_portfolios25!F418-ff_factors!$E418</f>
        <v>-2.2161E-2</v>
      </c>
      <c r="G418" s="2">
        <f>ff_portfolios25!G418-ff_factors!$E418</f>
        <v>-2.3233E-2</v>
      </c>
      <c r="H418" s="2">
        <f>ff_portfolios25!H418-ff_factors!$E418</f>
        <v>-1.6181000000000001E-2</v>
      </c>
      <c r="I418" s="2">
        <f>ff_portfolios25!I418-ff_factors!$E418</f>
        <v>-2.2183000000000001E-2</v>
      </c>
      <c r="J418" s="2">
        <f>ff_portfolios25!J418-ff_factors!$E418</f>
        <v>5.0790000000000002E-3</v>
      </c>
      <c r="K418" s="2">
        <f>ff_portfolios25!K418-ff_factors!$E418</f>
        <v>-2.6520999999999999E-2</v>
      </c>
      <c r="L418" s="2">
        <f>ff_portfolios25!L418-ff_factors!$E418</f>
        <v>-2.2190000000000001E-2</v>
      </c>
      <c r="M418" s="2">
        <f>ff_portfolios25!M418-ff_factors!$E418</f>
        <v>-2.4854999999999999E-2</v>
      </c>
      <c r="N418" s="2">
        <f>ff_portfolios25!N418-ff_factors!$E418</f>
        <v>-2.5949E-2</v>
      </c>
      <c r="O418" s="2">
        <f>ff_portfolios25!O418-ff_factors!$E418</f>
        <v>-4.7173999999999994E-2</v>
      </c>
      <c r="P418" s="2">
        <f>ff_portfolios25!P418-ff_factors!$E418</f>
        <v>2.9199999999999973E-4</v>
      </c>
      <c r="Q418" s="2">
        <f>ff_portfolios25!Q418-ff_factors!$E418</f>
        <v>-5.9970000000000006E-3</v>
      </c>
      <c r="R418" s="2">
        <f>ff_portfolios25!R418-ff_factors!$E418</f>
        <v>-1.6754999999999999E-2</v>
      </c>
      <c r="S418" s="2">
        <f>ff_portfolios25!S418-ff_factors!$E418</f>
        <v>-1.4739E-2</v>
      </c>
      <c r="T418" s="2">
        <f>ff_portfolios25!T418-ff_factors!$E418</f>
        <v>-2.454E-3</v>
      </c>
      <c r="U418" s="2">
        <f>ff_portfolios25!U418-ff_factors!$E418</f>
        <v>-1.6517999999999998E-2</v>
      </c>
      <c r="V418" s="2">
        <f>ff_portfolios25!V418-ff_factors!$E418</f>
        <v>-3.6298999999999998E-2</v>
      </c>
      <c r="W418" s="2">
        <f>ff_portfolios25!W418-ff_factors!$E418</f>
        <v>-7.7619999999999998E-3</v>
      </c>
      <c r="X418" s="2">
        <f>ff_portfolios25!X418-ff_factors!$E418</f>
        <v>-1.7093999999999998E-2</v>
      </c>
      <c r="Y418" s="2">
        <f>ff_portfolios25!Y418-ff_factors!$E418</f>
        <v>6.071E-3</v>
      </c>
      <c r="Z418" s="2">
        <f>ff_portfolios25!Z418-ff_factors!$E418</f>
        <v>7.949999999999997E-4</v>
      </c>
      <c r="AA418" s="2">
        <f>ff_portfolios25!AA418-ff_factors!$E418</f>
        <v>-1.2470000000000003E-3</v>
      </c>
      <c r="AB418" s="2">
        <f>ff_portfolios25!AB418-ff_factors!$E418</f>
        <v>-2.0178999999999999E-2</v>
      </c>
    </row>
    <row r="419" spans="1:28" x14ac:dyDescent="0.2">
      <c r="A419">
        <v>19661031</v>
      </c>
      <c r="B419">
        <v>1966</v>
      </c>
      <c r="C419">
        <v>10</v>
      </c>
      <c r="D419" s="2">
        <f>ff_portfolios25!D419-ff_factors!$E419</f>
        <v>-8.4565000000000001E-2</v>
      </c>
      <c r="E419" s="2">
        <f>ff_portfolios25!E419-ff_factors!$E419</f>
        <v>-5.1674999999999999E-2</v>
      </c>
      <c r="F419" s="2">
        <f>ff_portfolios25!F419-ff_factors!$E419</f>
        <v>-4.9486999999999996E-2</v>
      </c>
      <c r="G419" s="2">
        <f>ff_portfolios25!G419-ff_factors!$E419</f>
        <v>-1.5872999999999998E-2</v>
      </c>
      <c r="H419" s="2">
        <f>ff_portfolios25!H419-ff_factors!$E419</f>
        <v>-1.866E-2</v>
      </c>
      <c r="I419" s="2">
        <f>ff_portfolios25!I419-ff_factors!$E419</f>
        <v>-5.8139999999999997E-2</v>
      </c>
      <c r="J419" s="2">
        <f>ff_portfolios25!J419-ff_factors!$E419</f>
        <v>-1.2740000000000001E-2</v>
      </c>
      <c r="K419" s="2">
        <f>ff_portfolios25!K419-ff_factors!$E419</f>
        <v>-1.2657999999999999E-2</v>
      </c>
      <c r="L419" s="2">
        <f>ff_portfolios25!L419-ff_factors!$E419</f>
        <v>-1.3269999999999996E-3</v>
      </c>
      <c r="M419" s="2">
        <f>ff_portfolios25!M419-ff_factors!$E419</f>
        <v>-6.6E-3</v>
      </c>
      <c r="N419" s="2">
        <f>ff_portfolios25!N419-ff_factors!$E419</f>
        <v>-2.3202E-2</v>
      </c>
      <c r="O419" s="2">
        <f>ff_portfolios25!O419-ff_factors!$E419</f>
        <v>1.0397E-2</v>
      </c>
      <c r="P419" s="2">
        <f>ff_portfolios25!P419-ff_factors!$E419</f>
        <v>2.7966000000000001E-2</v>
      </c>
      <c r="Q419" s="2">
        <f>ff_portfolios25!Q419-ff_factors!$E419</f>
        <v>4.5336000000000001E-2</v>
      </c>
      <c r="R419" s="2">
        <f>ff_portfolios25!R419-ff_factors!$E419</f>
        <v>1.2074999999999999E-2</v>
      </c>
      <c r="S419" s="2">
        <f>ff_portfolios25!S419-ff_factors!$E419</f>
        <v>-1.3909999999999999E-3</v>
      </c>
      <c r="T419" s="2">
        <f>ff_portfolios25!T419-ff_factors!$E419</f>
        <v>4.5030000000000001E-2</v>
      </c>
      <c r="U419" s="2">
        <f>ff_portfolios25!U419-ff_factors!$E419</f>
        <v>3.3579000000000005E-2</v>
      </c>
      <c r="V419" s="2">
        <f>ff_portfolios25!V419-ff_factors!$E419</f>
        <v>3.2996000000000004E-2</v>
      </c>
      <c r="W419" s="2">
        <f>ff_portfolios25!W419-ff_factors!$E419</f>
        <v>1.4796E-2</v>
      </c>
      <c r="X419" s="2">
        <f>ff_portfolios25!X419-ff_factors!$E419</f>
        <v>2.4892000000000001E-2</v>
      </c>
      <c r="Y419" s="2">
        <f>ff_portfolios25!Y419-ff_factors!$E419</f>
        <v>5.1750000000000004E-2</v>
      </c>
      <c r="Z419" s="2">
        <f>ff_portfolios25!Z419-ff_factors!$E419</f>
        <v>8.7521000000000002E-2</v>
      </c>
      <c r="AA419" s="2">
        <f>ff_portfolios25!AA419-ff_factors!$E419</f>
        <v>5.8242999999999996E-2</v>
      </c>
      <c r="AB419" s="2">
        <f>ff_portfolios25!AB419-ff_factors!$E419</f>
        <v>6.0576999999999999E-2</v>
      </c>
    </row>
    <row r="420" spans="1:28" x14ac:dyDescent="0.2">
      <c r="A420">
        <v>19661130</v>
      </c>
      <c r="B420">
        <v>1966</v>
      </c>
      <c r="C420">
        <v>11</v>
      </c>
      <c r="D420" s="2">
        <f>ff_portfolios25!D420-ff_factors!$E420</f>
        <v>8.039099999999999E-2</v>
      </c>
      <c r="E420" s="2">
        <f>ff_portfolios25!E420-ff_factors!$E420</f>
        <v>3.1802999999999998E-2</v>
      </c>
      <c r="F420" s="2">
        <f>ff_portfolios25!F420-ff_factors!$E420</f>
        <v>4.3041999999999997E-2</v>
      </c>
      <c r="G420" s="2">
        <f>ff_portfolios25!G420-ff_factors!$E420</f>
        <v>2.0402E-2</v>
      </c>
      <c r="H420" s="2">
        <f>ff_portfolios25!H420-ff_factors!$E420</f>
        <v>3.1890000000000002E-2</v>
      </c>
      <c r="I420" s="2">
        <f>ff_portfolios25!I420-ff_factors!$E420</f>
        <v>7.3596999999999996E-2</v>
      </c>
      <c r="J420" s="2">
        <f>ff_portfolios25!J420-ff_factors!$E420</f>
        <v>2.6752999999999999E-2</v>
      </c>
      <c r="K420" s="2">
        <f>ff_portfolios25!K420-ff_factors!$E420</f>
        <v>7.0346999999999993E-2</v>
      </c>
      <c r="L420" s="2">
        <f>ff_portfolios25!L420-ff_factors!$E420</f>
        <v>1.5297999999999999E-2</v>
      </c>
      <c r="M420" s="2">
        <f>ff_portfolios25!M420-ff_factors!$E420</f>
        <v>2.2884999999999999E-2</v>
      </c>
      <c r="N420" s="2">
        <f>ff_portfolios25!N420-ff_factors!$E420</f>
        <v>8.9354000000000003E-2</v>
      </c>
      <c r="O420" s="2">
        <f>ff_portfolios25!O420-ff_factors!$E420</f>
        <v>6.0772999999999994E-2</v>
      </c>
      <c r="P420" s="2">
        <f>ff_portfolios25!P420-ff_factors!$E420</f>
        <v>7.391E-3</v>
      </c>
      <c r="Q420" s="2">
        <f>ff_portfolios25!Q420-ff_factors!$E420</f>
        <v>4.1771000000000003E-2</v>
      </c>
      <c r="R420" s="2">
        <f>ff_portfolios25!R420-ff_factors!$E420</f>
        <v>2.3699999999999997E-3</v>
      </c>
      <c r="S420" s="2">
        <f>ff_portfolios25!S420-ff_factors!$E420</f>
        <v>8.2180000000000003E-2</v>
      </c>
      <c r="T420" s="2">
        <f>ff_portfolios25!T420-ff_factors!$E420</f>
        <v>8.966E-3</v>
      </c>
      <c r="U420" s="2">
        <f>ff_portfolios25!U420-ff_factors!$E420</f>
        <v>1.0545000000000001E-2</v>
      </c>
      <c r="V420" s="2">
        <f>ff_portfolios25!V420-ff_factors!$E420</f>
        <v>1.6442999999999999E-2</v>
      </c>
      <c r="W420" s="2">
        <f>ff_portfolios25!W420-ff_factors!$E420</f>
        <v>3.8919999999999996E-3</v>
      </c>
      <c r="X420" s="2">
        <f>ff_portfolios25!X420-ff_factors!$E420</f>
        <v>3.2718999999999998E-2</v>
      </c>
      <c r="Y420" s="2">
        <f>ff_portfolios25!Y420-ff_factors!$E420</f>
        <v>1.5047000000000001E-2</v>
      </c>
      <c r="Z420" s="2">
        <f>ff_portfolios25!Z420-ff_factors!$E420</f>
        <v>-2.9330999999999999E-2</v>
      </c>
      <c r="AA420" s="2">
        <f>ff_portfolios25!AA420-ff_factors!$E420</f>
        <v>-1.8293E-2</v>
      </c>
      <c r="AB420" s="2">
        <f>ff_portfolios25!AB420-ff_factors!$E420</f>
        <v>-1.4730999999999999E-2</v>
      </c>
    </row>
    <row r="421" spans="1:28" x14ac:dyDescent="0.2">
      <c r="A421">
        <v>19661230</v>
      </c>
      <c r="B421">
        <v>1966</v>
      </c>
      <c r="C421">
        <v>12</v>
      </c>
      <c r="D421" s="2">
        <f>ff_portfolios25!D421-ff_factors!$E421</f>
        <v>3.7887000000000004E-2</v>
      </c>
      <c r="E421" s="2">
        <f>ff_portfolios25!E421-ff_factors!$E421</f>
        <v>2.2141999999999998E-2</v>
      </c>
      <c r="F421" s="2">
        <f>ff_portfolios25!F421-ff_factors!$E421</f>
        <v>2.1021000000000001E-2</v>
      </c>
      <c r="G421" s="2">
        <f>ff_portfolios25!G421-ff_factors!$E421</f>
        <v>4.1370000000000001E-3</v>
      </c>
      <c r="H421" s="2">
        <f>ff_portfolios25!H421-ff_factors!$E421</f>
        <v>-1.6719999999999999E-3</v>
      </c>
      <c r="I421" s="2">
        <f>ff_portfolios25!I421-ff_factors!$E421</f>
        <v>4.3503E-2</v>
      </c>
      <c r="J421" s="2">
        <f>ff_portfolios25!J421-ff_factors!$E421</f>
        <v>3.0576000000000002E-2</v>
      </c>
      <c r="K421" s="2">
        <f>ff_portfolios25!K421-ff_factors!$E421</f>
        <v>5.2449999999999997E-3</v>
      </c>
      <c r="L421" s="2">
        <f>ff_portfolios25!L421-ff_factors!$E421</f>
        <v>1.8429999999999998E-2</v>
      </c>
      <c r="M421" s="2">
        <f>ff_portfolios25!M421-ff_factors!$E421</f>
        <v>2.9639999999999996E-3</v>
      </c>
      <c r="N421" s="2">
        <f>ff_portfolios25!N421-ff_factors!$E421</f>
        <v>2.7883000000000002E-2</v>
      </c>
      <c r="O421" s="2">
        <f>ff_portfolios25!O421-ff_factors!$E421</f>
        <v>3.3043000000000003E-2</v>
      </c>
      <c r="P421" s="2">
        <f>ff_portfolios25!P421-ff_factors!$E421</f>
        <v>4.8699999999999959E-4</v>
      </c>
      <c r="Q421" s="2">
        <f>ff_portfolios25!Q421-ff_factors!$E421</f>
        <v>2.7067999999999998E-2</v>
      </c>
      <c r="R421" s="2">
        <f>ff_portfolios25!R421-ff_factors!$E421</f>
        <v>-8.1320000000000003E-3</v>
      </c>
      <c r="S421" s="2">
        <f>ff_portfolios25!S421-ff_factors!$E421</f>
        <v>2.5634000000000001E-2</v>
      </c>
      <c r="T421" s="2">
        <f>ff_portfolios25!T421-ff_factors!$E421</f>
        <v>1.9161999999999998E-2</v>
      </c>
      <c r="U421" s="2">
        <f>ff_portfolios25!U421-ff_factors!$E421</f>
        <v>1.2444E-2</v>
      </c>
      <c r="V421" s="2">
        <f>ff_portfolios25!V421-ff_factors!$E421</f>
        <v>3.2156000000000004E-2</v>
      </c>
      <c r="W421" s="2">
        <f>ff_portfolios25!W421-ff_factors!$E421</f>
        <v>1.5529999999999999E-2</v>
      </c>
      <c r="X421" s="2">
        <f>ff_portfolios25!X421-ff_factors!$E421</f>
        <v>-1.2710000000000001E-2</v>
      </c>
      <c r="Y421" s="2">
        <f>ff_portfolios25!Y421-ff_factors!$E421</f>
        <v>-3.2420000000000001E-3</v>
      </c>
      <c r="Z421" s="2">
        <f>ff_portfolios25!Z421-ff_factors!$E421</f>
        <v>1.0591E-2</v>
      </c>
      <c r="AA421" s="2">
        <f>ff_portfolios25!AA421-ff_factors!$E421</f>
        <v>-5.4250000000000001E-3</v>
      </c>
      <c r="AB421" s="2">
        <f>ff_portfolios25!AB421-ff_factors!$E421</f>
        <v>-5.2269999999999999E-3</v>
      </c>
    </row>
    <row r="422" spans="1:28" x14ac:dyDescent="0.2">
      <c r="A422">
        <v>19670131</v>
      </c>
      <c r="B422">
        <v>1967</v>
      </c>
      <c r="C422">
        <v>1</v>
      </c>
      <c r="D422" s="2">
        <f>ff_portfolios25!D422-ff_factors!$E422</f>
        <v>0.20138600000000001</v>
      </c>
      <c r="E422" s="2">
        <f>ff_portfolios25!E422-ff_factors!$E422</f>
        <v>0.196884</v>
      </c>
      <c r="F422" s="2">
        <f>ff_portfolios25!F422-ff_factors!$E422</f>
        <v>0.19094700000000001</v>
      </c>
      <c r="G422" s="2">
        <f>ff_portfolios25!G422-ff_factors!$E422</f>
        <v>0.20184199999999999</v>
      </c>
      <c r="H422" s="2">
        <f>ff_portfolios25!H422-ff_factors!$E422</f>
        <v>0.16988700000000001</v>
      </c>
      <c r="I422" s="2">
        <f>ff_portfolios25!I422-ff_factors!$E422</f>
        <v>0.16536500000000001</v>
      </c>
      <c r="J422" s="2">
        <f>ff_portfolios25!J422-ff_factors!$E422</f>
        <v>0.16014</v>
      </c>
      <c r="K422" s="2">
        <f>ff_portfolios25!K422-ff_factors!$E422</f>
        <v>0.17180899999999999</v>
      </c>
      <c r="L422" s="2">
        <f>ff_portfolios25!L422-ff_factors!$E422</f>
        <v>0.16963400000000001</v>
      </c>
      <c r="M422" s="2">
        <f>ff_portfolios25!M422-ff_factors!$E422</f>
        <v>0.20038600000000001</v>
      </c>
      <c r="N422" s="2">
        <f>ff_portfolios25!N422-ff_factors!$E422</f>
        <v>0.16553200000000001</v>
      </c>
      <c r="O422" s="2">
        <f>ff_portfolios25!O422-ff_factors!$E422</f>
        <v>0.14061100000000001</v>
      </c>
      <c r="P422" s="2">
        <f>ff_portfolios25!P422-ff_factors!$E422</f>
        <v>0.11769300000000001</v>
      </c>
      <c r="Q422" s="2">
        <f>ff_portfolios25!Q422-ff_factors!$E422</f>
        <v>0.12733700000000001</v>
      </c>
      <c r="R422" s="2">
        <f>ff_portfolios25!R422-ff_factors!$E422</f>
        <v>0.13914799999999999</v>
      </c>
      <c r="S422" s="2">
        <f>ff_portfolios25!S422-ff_factors!$E422</f>
        <v>9.3480000000000008E-2</v>
      </c>
      <c r="T422" s="2">
        <f>ff_portfolios25!T422-ff_factors!$E422</f>
        <v>6.25E-2</v>
      </c>
      <c r="U422" s="2">
        <f>ff_portfolios25!U422-ff_factors!$E422</f>
        <v>0.103149</v>
      </c>
      <c r="V422" s="2">
        <f>ff_portfolios25!V422-ff_factors!$E422</f>
        <v>0.107893</v>
      </c>
      <c r="W422" s="2">
        <f>ff_portfolios25!W422-ff_factors!$E422</f>
        <v>0.13097600000000001</v>
      </c>
      <c r="X422" s="2">
        <f>ff_portfolios25!X422-ff_factors!$E422</f>
        <v>7.3022000000000004E-2</v>
      </c>
      <c r="Y422" s="2">
        <f>ff_portfolios25!Y422-ff_factors!$E422</f>
        <v>6.6665000000000002E-2</v>
      </c>
      <c r="Z422" s="2">
        <f>ff_portfolios25!Z422-ff_factors!$E422</f>
        <v>4.4444999999999998E-2</v>
      </c>
      <c r="AA422" s="2">
        <f>ff_portfolios25!AA422-ff_factors!$E422</f>
        <v>7.4290999999999996E-2</v>
      </c>
      <c r="AB422" s="2">
        <f>ff_portfolios25!AB422-ff_factors!$E422</f>
        <v>0.133599</v>
      </c>
    </row>
    <row r="423" spans="1:28" x14ac:dyDescent="0.2">
      <c r="A423">
        <v>19670228</v>
      </c>
      <c r="B423">
        <v>1967</v>
      </c>
      <c r="C423">
        <v>2</v>
      </c>
      <c r="D423" s="2">
        <f>ff_portfolios25!D423-ff_factors!$E423</f>
        <v>6.9408999999999998E-2</v>
      </c>
      <c r="E423" s="2">
        <f>ff_portfolios25!E423-ff_factors!$E423</f>
        <v>5.0338000000000001E-2</v>
      </c>
      <c r="F423" s="2">
        <f>ff_portfolios25!F423-ff_factors!$E423</f>
        <v>4.9231999999999998E-2</v>
      </c>
      <c r="G423" s="2">
        <f>ff_portfolios25!G423-ff_factors!$E423</f>
        <v>4.1199E-2</v>
      </c>
      <c r="H423" s="2">
        <f>ff_portfolios25!H423-ff_factors!$E423</f>
        <v>5.5675000000000002E-2</v>
      </c>
      <c r="I423" s="2">
        <f>ff_portfolios25!I423-ff_factors!$E423</f>
        <v>2.8853999999999998E-2</v>
      </c>
      <c r="J423" s="2">
        <f>ff_portfolios25!J423-ff_factors!$E423</f>
        <v>2.4825E-2</v>
      </c>
      <c r="K423" s="2">
        <f>ff_portfolios25!K423-ff_factors!$E423</f>
        <v>9.3339999999999985E-3</v>
      </c>
      <c r="L423" s="2">
        <f>ff_portfolios25!L423-ff_factors!$E423</f>
        <v>2.8915000000000003E-2</v>
      </c>
      <c r="M423" s="2">
        <f>ff_portfolios25!M423-ff_factors!$E423</f>
        <v>1.2892000000000001E-2</v>
      </c>
      <c r="N423" s="2">
        <f>ff_portfolios25!N423-ff_factors!$E423</f>
        <v>1.5806000000000001E-2</v>
      </c>
      <c r="O423" s="2">
        <f>ff_portfolios25!O423-ff_factors!$E423</f>
        <v>1.6815E-2</v>
      </c>
      <c r="P423" s="2">
        <f>ff_portfolios25!P423-ff_factors!$E423</f>
        <v>1.5712E-2</v>
      </c>
      <c r="Q423" s="2">
        <f>ff_portfolios25!Q423-ff_factors!$E423</f>
        <v>4.2050000000000004E-3</v>
      </c>
      <c r="R423" s="2">
        <f>ff_portfolios25!R423-ff_factors!$E423</f>
        <v>5.2699999999999995E-3</v>
      </c>
      <c r="S423" s="2">
        <f>ff_portfolios25!S423-ff_factors!$E423</f>
        <v>2.5531000000000002E-2</v>
      </c>
      <c r="T423" s="2">
        <f>ff_portfolios25!T423-ff_factors!$E423</f>
        <v>-7.6379999999999998E-3</v>
      </c>
      <c r="U423" s="2">
        <f>ff_portfolios25!U423-ff_factors!$E423</f>
        <v>-5.6109999999999997E-3</v>
      </c>
      <c r="V423" s="2">
        <f>ff_portfolios25!V423-ff_factors!$E423</f>
        <v>7.2389999999999998E-3</v>
      </c>
      <c r="W423" s="2">
        <f>ff_portfolios25!W423-ff_factors!$E423</f>
        <v>-1.493E-3</v>
      </c>
      <c r="X423" s="2">
        <f>ff_portfolios25!X423-ff_factors!$E423</f>
        <v>1.9414000000000001E-2</v>
      </c>
      <c r="Y423" s="2">
        <f>ff_portfolios25!Y423-ff_factors!$E423</f>
        <v>3.0699999999999998E-3</v>
      </c>
      <c r="Z423" s="2">
        <f>ff_portfolios25!Z423-ff_factors!$E423</f>
        <v>-1.1474000000000002E-2</v>
      </c>
      <c r="AA423" s="2">
        <f>ff_portfolios25!AA423-ff_factors!$E423</f>
        <v>-1.2258000000000002E-2</v>
      </c>
      <c r="AB423" s="2">
        <f>ff_portfolios25!AB423-ff_factors!$E423</f>
        <v>-1.6899999999999998E-2</v>
      </c>
    </row>
    <row r="424" spans="1:28" x14ac:dyDescent="0.2">
      <c r="A424">
        <v>19670331</v>
      </c>
      <c r="B424">
        <v>1967</v>
      </c>
      <c r="C424">
        <v>3</v>
      </c>
      <c r="D424" s="2">
        <f>ff_portfolios25!D424-ff_factors!$E424</f>
        <v>6.7792000000000005E-2</v>
      </c>
      <c r="E424" s="2">
        <f>ff_portfolios25!E424-ff_factors!$E424</f>
        <v>5.7609E-2</v>
      </c>
      <c r="F424" s="2">
        <f>ff_portfolios25!F424-ff_factors!$E424</f>
        <v>4.6087999999999997E-2</v>
      </c>
      <c r="G424" s="2">
        <f>ff_portfolios25!G424-ff_factors!$E424</f>
        <v>7.1199999999999999E-2</v>
      </c>
      <c r="H424" s="2">
        <f>ff_portfolios25!H424-ff_factors!$E424</f>
        <v>4.8524999999999999E-2</v>
      </c>
      <c r="I424" s="2">
        <f>ff_portfolios25!I424-ff_factors!$E424</f>
        <v>6.4762E-2</v>
      </c>
      <c r="J424" s="2">
        <f>ff_portfolios25!J424-ff_factors!$E424</f>
        <v>5.7729000000000003E-2</v>
      </c>
      <c r="K424" s="2">
        <f>ff_portfolios25!K424-ff_factors!$E424</f>
        <v>6.7779000000000006E-2</v>
      </c>
      <c r="L424" s="2">
        <f>ff_portfolios25!L424-ff_factors!$E424</f>
        <v>6.1806E-2</v>
      </c>
      <c r="M424" s="2">
        <f>ff_portfolios25!M424-ff_factors!$E424</f>
        <v>5.8731000000000005E-2</v>
      </c>
      <c r="N424" s="2">
        <f>ff_portfolios25!N424-ff_factors!$E424</f>
        <v>5.2419E-2</v>
      </c>
      <c r="O424" s="2">
        <f>ff_portfolios25!O424-ff_factors!$E424</f>
        <v>4.9736999999999996E-2</v>
      </c>
      <c r="P424" s="2">
        <f>ff_portfolios25!P424-ff_factors!$E424</f>
        <v>4.2556999999999998E-2</v>
      </c>
      <c r="Q424" s="2">
        <f>ff_portfolios25!Q424-ff_factors!$E424</f>
        <v>7.9272999999999996E-2</v>
      </c>
      <c r="R424" s="2">
        <f>ff_portfolios25!R424-ff_factors!$E424</f>
        <v>3.6850000000000001E-2</v>
      </c>
      <c r="S424" s="2">
        <f>ff_portfolios25!S424-ff_factors!$E424</f>
        <v>5.3994E-2</v>
      </c>
      <c r="T424" s="2">
        <f>ff_portfolios25!T424-ff_factors!$E424</f>
        <v>3.8816999999999997E-2</v>
      </c>
      <c r="U424" s="2">
        <f>ff_portfolios25!U424-ff_factors!$E424</f>
        <v>5.5241999999999999E-2</v>
      </c>
      <c r="V424" s="2">
        <f>ff_portfolios25!V424-ff_factors!$E424</f>
        <v>3.9123999999999999E-2</v>
      </c>
      <c r="W424" s="2">
        <f>ff_portfolios25!W424-ff_factors!$E424</f>
        <v>5.5869999999999996E-2</v>
      </c>
      <c r="X424" s="2">
        <f>ff_portfolios25!X424-ff_factors!$E424</f>
        <v>3.8697999999999996E-2</v>
      </c>
      <c r="Y424" s="2">
        <f>ff_portfolios25!Y424-ff_factors!$E424</f>
        <v>2.6990999999999998E-2</v>
      </c>
      <c r="Z424" s="2">
        <f>ff_portfolios25!Z424-ff_factors!$E424</f>
        <v>2.7631000000000003E-2</v>
      </c>
      <c r="AA424" s="2">
        <f>ff_portfolios25!AA424-ff_factors!$E424</f>
        <v>4.2828999999999999E-2</v>
      </c>
      <c r="AB424" s="2">
        <f>ff_portfolios25!AB424-ff_factors!$E424</f>
        <v>4.9274999999999999E-2</v>
      </c>
    </row>
    <row r="425" spans="1:28" x14ac:dyDescent="0.2">
      <c r="A425">
        <v>19670428</v>
      </c>
      <c r="B425">
        <v>1967</v>
      </c>
      <c r="C425">
        <v>4</v>
      </c>
      <c r="D425" s="2">
        <f>ff_portfolios25!D425-ff_factors!$E425</f>
        <v>6.4613000000000004E-2</v>
      </c>
      <c r="E425" s="2">
        <f>ff_portfolios25!E425-ff_factors!$E425</f>
        <v>3.9216000000000001E-2</v>
      </c>
      <c r="F425" s="2">
        <f>ff_portfolios25!F425-ff_factors!$E425</f>
        <v>3.1773999999999997E-2</v>
      </c>
      <c r="G425" s="2">
        <f>ff_portfolios25!G425-ff_factors!$E425</f>
        <v>3.7127E-2</v>
      </c>
      <c r="H425" s="2">
        <f>ff_portfolios25!H425-ff_factors!$E425</f>
        <v>3.2575E-2</v>
      </c>
      <c r="I425" s="2">
        <f>ff_portfolios25!I425-ff_factors!$E425</f>
        <v>2.8809000000000001E-2</v>
      </c>
      <c r="J425" s="2">
        <f>ff_portfolios25!J425-ff_factors!$E425</f>
        <v>3.7221999999999998E-2</v>
      </c>
      <c r="K425" s="2">
        <f>ff_portfolios25!K425-ff_factors!$E425</f>
        <v>4.7439000000000002E-2</v>
      </c>
      <c r="L425" s="2">
        <f>ff_portfolios25!L425-ff_factors!$E425</f>
        <v>3.5844000000000001E-2</v>
      </c>
      <c r="M425" s="2">
        <f>ff_portfolios25!M425-ff_factors!$E425</f>
        <v>3.0218000000000002E-2</v>
      </c>
      <c r="N425" s="2">
        <f>ff_portfolios25!N425-ff_factors!$E425</f>
        <v>5.2351999999999996E-2</v>
      </c>
      <c r="O425" s="2">
        <f>ff_portfolios25!O425-ff_factors!$E425</f>
        <v>4.1201999999999996E-2</v>
      </c>
      <c r="P425" s="2">
        <f>ff_portfolios25!P425-ff_factors!$E425</f>
        <v>2.6686999999999999E-2</v>
      </c>
      <c r="Q425" s="2">
        <f>ff_portfolios25!Q425-ff_factors!$E425</f>
        <v>5.0665000000000002E-2</v>
      </c>
      <c r="R425" s="2">
        <f>ff_portfolios25!R425-ff_factors!$E425</f>
        <v>2.4880999999999997E-2</v>
      </c>
      <c r="S425" s="2">
        <f>ff_portfolios25!S425-ff_factors!$E425</f>
        <v>6.3406000000000004E-2</v>
      </c>
      <c r="T425" s="2">
        <f>ff_portfolios25!T425-ff_factors!$E425</f>
        <v>2.6617999999999999E-2</v>
      </c>
      <c r="U425" s="2">
        <f>ff_portfolios25!U425-ff_factors!$E425</f>
        <v>3.7699999999999997E-2</v>
      </c>
      <c r="V425" s="2">
        <f>ff_portfolios25!V425-ff_factors!$E425</f>
        <v>3.1937E-2</v>
      </c>
      <c r="W425" s="2">
        <f>ff_portfolios25!W425-ff_factors!$E425</f>
        <v>2.4957E-2</v>
      </c>
      <c r="X425" s="2">
        <f>ff_portfolios25!X425-ff_factors!$E425</f>
        <v>6.5666000000000002E-2</v>
      </c>
      <c r="Y425" s="2">
        <f>ff_portfolios25!Y425-ff_factors!$E425</f>
        <v>2.5201999999999999E-2</v>
      </c>
      <c r="Z425" s="2">
        <f>ff_portfolios25!Z425-ff_factors!$E425</f>
        <v>-2.0620000000000005E-3</v>
      </c>
      <c r="AA425" s="2">
        <f>ff_portfolios25!AA425-ff_factors!$E425</f>
        <v>3.2267999999999998E-2</v>
      </c>
      <c r="AB425" s="2">
        <f>ff_portfolios25!AB425-ff_factors!$E425</f>
        <v>1.4438000000000001E-2</v>
      </c>
    </row>
    <row r="426" spans="1:28" x14ac:dyDescent="0.2">
      <c r="A426">
        <v>19670531</v>
      </c>
      <c r="B426">
        <v>1967</v>
      </c>
      <c r="C426">
        <v>5</v>
      </c>
      <c r="D426" s="2">
        <f>ff_portfolios25!D426-ff_factors!$E426</f>
        <v>-1.0409999999999998E-3</v>
      </c>
      <c r="E426" s="2">
        <f>ff_portfolios25!E426-ff_factors!$E426</f>
        <v>3.8479999999999999E-3</v>
      </c>
      <c r="F426" s="2">
        <f>ff_portfolios25!F426-ff_factors!$E426</f>
        <v>-1.1753E-2</v>
      </c>
      <c r="G426" s="2">
        <f>ff_portfolios25!G426-ff_factors!$E426</f>
        <v>-1.3207E-2</v>
      </c>
      <c r="H426" s="2">
        <f>ff_portfolios25!H426-ff_factors!$E426</f>
        <v>-9.6439999999999998E-3</v>
      </c>
      <c r="I426" s="2">
        <f>ff_portfolios25!I426-ff_factors!$E426</f>
        <v>-1.6115999999999998E-2</v>
      </c>
      <c r="J426" s="2">
        <f>ff_portfolios25!J426-ff_factors!$E426</f>
        <v>3.1859999999999996E-3</v>
      </c>
      <c r="K426" s="2">
        <f>ff_portfolios25!K426-ff_factors!$E426</f>
        <v>1.6540000000000001E-3</v>
      </c>
      <c r="L426" s="2">
        <f>ff_portfolios25!L426-ff_factors!$E426</f>
        <v>-2.9595E-2</v>
      </c>
      <c r="M426" s="2">
        <f>ff_portfolios25!M426-ff_factors!$E426</f>
        <v>-3.9E-2</v>
      </c>
      <c r="N426" s="2">
        <f>ff_portfolios25!N426-ff_factors!$E426</f>
        <v>-3.3918999999999998E-2</v>
      </c>
      <c r="O426" s="2">
        <f>ff_portfolios25!O426-ff_factors!$E426</f>
        <v>-2.2275E-2</v>
      </c>
      <c r="P426" s="2">
        <f>ff_portfolios25!P426-ff_factors!$E426</f>
        <v>-2.2154E-2</v>
      </c>
      <c r="Q426" s="2">
        <f>ff_portfolios25!Q426-ff_factors!$E426</f>
        <v>-5.6839999999999998E-3</v>
      </c>
      <c r="R426" s="2">
        <f>ff_portfolios25!R426-ff_factors!$E426</f>
        <v>-2.3058000000000002E-2</v>
      </c>
      <c r="S426" s="2">
        <f>ff_portfolios25!S426-ff_factors!$E426</f>
        <v>-2.5554E-2</v>
      </c>
      <c r="T426" s="2">
        <f>ff_portfolios25!T426-ff_factors!$E426</f>
        <v>-8.7500000000000008E-3</v>
      </c>
      <c r="U426" s="2">
        <f>ff_portfolios25!U426-ff_factors!$E426</f>
        <v>-2.4752E-2</v>
      </c>
      <c r="V426" s="2">
        <f>ff_portfolios25!V426-ff_factors!$E426</f>
        <v>-1.3989000000000001E-2</v>
      </c>
      <c r="W426" s="2">
        <f>ff_portfolios25!W426-ff_factors!$E426</f>
        <v>-9.784000000000001E-3</v>
      </c>
      <c r="X426" s="2">
        <f>ff_portfolios25!X426-ff_factors!$E426</f>
        <v>-5.9825999999999997E-2</v>
      </c>
      <c r="Y426" s="2">
        <f>ff_portfolios25!Y426-ff_factors!$E426</f>
        <v>-4.5352999999999997E-2</v>
      </c>
      <c r="Z426" s="2">
        <f>ff_portfolios25!Z426-ff_factors!$E426</f>
        <v>-4.3781999999999995E-2</v>
      </c>
      <c r="AA426" s="2">
        <f>ff_portfolios25!AA426-ff_factors!$E426</f>
        <v>-4.0329999999999998E-2</v>
      </c>
      <c r="AB426" s="2">
        <f>ff_portfolios25!AB426-ff_factors!$E426</f>
        <v>-3.9895999999999994E-2</v>
      </c>
    </row>
    <row r="427" spans="1:28" x14ac:dyDescent="0.2">
      <c r="A427">
        <v>19670630</v>
      </c>
      <c r="B427">
        <v>1967</v>
      </c>
      <c r="C427">
        <v>6</v>
      </c>
      <c r="D427" s="2">
        <f>ff_portfolios25!D427-ff_factors!$E427</f>
        <v>0.154913</v>
      </c>
      <c r="E427" s="2">
        <f>ff_portfolios25!E427-ff_factors!$E427</f>
        <v>9.0833000000000011E-2</v>
      </c>
      <c r="F427" s="2">
        <f>ff_portfolios25!F427-ff_factors!$E427</f>
        <v>0.12280800000000001</v>
      </c>
      <c r="G427" s="2">
        <f>ff_portfolios25!G427-ff_factors!$E427</f>
        <v>0.11906800000000001</v>
      </c>
      <c r="H427" s="2">
        <f>ff_portfolios25!H427-ff_factors!$E427</f>
        <v>9.9079E-2</v>
      </c>
      <c r="I427" s="2">
        <f>ff_portfolios25!I427-ff_factors!$E427</f>
        <v>9.9746000000000001E-2</v>
      </c>
      <c r="J427" s="2">
        <f>ff_portfolios25!J427-ff_factors!$E427</f>
        <v>6.5481000000000011E-2</v>
      </c>
      <c r="K427" s="2">
        <f>ff_portfolios25!K427-ff_factors!$E427</f>
        <v>6.6592999999999999E-2</v>
      </c>
      <c r="L427" s="2">
        <f>ff_portfolios25!L427-ff_factors!$E427</f>
        <v>9.1403000000000012E-2</v>
      </c>
      <c r="M427" s="2">
        <f>ff_portfolios25!M427-ff_factors!$E427</f>
        <v>5.7172000000000001E-2</v>
      </c>
      <c r="N427" s="2">
        <f>ff_portfolios25!N427-ff_factors!$E427</f>
        <v>5.0867999999999997E-2</v>
      </c>
      <c r="O427" s="2">
        <f>ff_portfolios25!O427-ff_factors!$E427</f>
        <v>7.9178999999999999E-2</v>
      </c>
      <c r="P427" s="2">
        <f>ff_portfolios25!P427-ff_factors!$E427</f>
        <v>3.9232999999999997E-2</v>
      </c>
      <c r="Q427" s="2">
        <f>ff_portfolios25!Q427-ff_factors!$E427</f>
        <v>4.8405999999999998E-2</v>
      </c>
      <c r="R427" s="2">
        <f>ff_portfolios25!R427-ff_factors!$E427</f>
        <v>3.1848000000000001E-2</v>
      </c>
      <c r="S427" s="2">
        <f>ff_portfolios25!S427-ff_factors!$E427</f>
        <v>2.8381999999999998E-2</v>
      </c>
      <c r="T427" s="2">
        <f>ff_portfolios25!T427-ff_factors!$E427</f>
        <v>2.0517000000000001E-2</v>
      </c>
      <c r="U427" s="2">
        <f>ff_portfolios25!U427-ff_factors!$E427</f>
        <v>3.3978000000000001E-2</v>
      </c>
      <c r="V427" s="2">
        <f>ff_portfolios25!V427-ff_factors!$E427</f>
        <v>6.4372000000000013E-2</v>
      </c>
      <c r="W427" s="2">
        <f>ff_portfolios25!W427-ff_factors!$E427</f>
        <v>5.8574000000000001E-2</v>
      </c>
      <c r="X427" s="2">
        <f>ff_portfolios25!X427-ff_factors!$E427</f>
        <v>1.1521E-2</v>
      </c>
      <c r="Y427" s="2">
        <f>ff_portfolios25!Y427-ff_factors!$E427</f>
        <v>1.2579999999999996E-3</v>
      </c>
      <c r="Z427" s="2">
        <f>ff_portfolios25!Z427-ff_factors!$E427</f>
        <v>1.3493999999999999E-2</v>
      </c>
      <c r="AA427" s="2">
        <f>ff_portfolios25!AA427-ff_factors!$E427</f>
        <v>2.6287999999999999E-2</v>
      </c>
      <c r="AB427" s="2">
        <f>ff_portfolios25!AB427-ff_factors!$E427</f>
        <v>2.8242999999999997E-2</v>
      </c>
    </row>
    <row r="428" spans="1:28" x14ac:dyDescent="0.2">
      <c r="A428">
        <v>19670731</v>
      </c>
      <c r="B428">
        <v>1967</v>
      </c>
      <c r="C428">
        <v>7</v>
      </c>
      <c r="D428" s="2">
        <f>ff_portfolios25!D428-ff_factors!$E428</f>
        <v>9.0112999999999999E-2</v>
      </c>
      <c r="E428" s="2">
        <f>ff_portfolios25!E428-ff_factors!$E428</f>
        <v>9.3396999999999994E-2</v>
      </c>
      <c r="F428" s="2">
        <f>ff_portfolios25!F428-ff_factors!$E428</f>
        <v>9.7336999999999993E-2</v>
      </c>
      <c r="G428" s="2">
        <f>ff_portfolios25!G428-ff_factors!$E428</f>
        <v>7.3154999999999998E-2</v>
      </c>
      <c r="H428" s="2">
        <f>ff_portfolios25!H428-ff_factors!$E428</f>
        <v>0.11517699999999999</v>
      </c>
      <c r="I428" s="2">
        <f>ff_portfolios25!I428-ff_factors!$E428</f>
        <v>5.8626000000000004E-2</v>
      </c>
      <c r="J428" s="2">
        <f>ff_portfolios25!J428-ff_factors!$E428</f>
        <v>6.3011999999999999E-2</v>
      </c>
      <c r="K428" s="2">
        <f>ff_portfolios25!K428-ff_factors!$E428</f>
        <v>9.0746999999999994E-2</v>
      </c>
      <c r="L428" s="2">
        <f>ff_portfolios25!L428-ff_factors!$E428</f>
        <v>9.1010999999999995E-2</v>
      </c>
      <c r="M428" s="2">
        <f>ff_portfolios25!M428-ff_factors!$E428</f>
        <v>8.1025E-2</v>
      </c>
      <c r="N428" s="2">
        <f>ff_portfolios25!N428-ff_factors!$E428</f>
        <v>5.0705E-2</v>
      </c>
      <c r="O428" s="2">
        <f>ff_portfolios25!O428-ff_factors!$E428</f>
        <v>4.6814000000000001E-2</v>
      </c>
      <c r="P428" s="2">
        <f>ff_portfolios25!P428-ff_factors!$E428</f>
        <v>5.5898000000000003E-2</v>
      </c>
      <c r="Q428" s="2">
        <f>ff_portfolios25!Q428-ff_factors!$E428</f>
        <v>6.9218999999999989E-2</v>
      </c>
      <c r="R428" s="2">
        <f>ff_portfolios25!R428-ff_factors!$E428</f>
        <v>0.112689</v>
      </c>
      <c r="S428" s="2">
        <f>ff_portfolios25!S428-ff_factors!$E428</f>
        <v>4.4810000000000003E-2</v>
      </c>
      <c r="T428" s="2">
        <f>ff_portfolios25!T428-ff_factors!$E428</f>
        <v>4.3480999999999999E-2</v>
      </c>
      <c r="U428" s="2">
        <f>ff_portfolios25!U428-ff_factors!$E428</f>
        <v>4.7712000000000004E-2</v>
      </c>
      <c r="V428" s="2">
        <f>ff_portfolios25!V428-ff_factors!$E428</f>
        <v>6.9155999999999995E-2</v>
      </c>
      <c r="W428" s="2">
        <f>ff_portfolios25!W428-ff_factors!$E428</f>
        <v>8.7123999999999993E-2</v>
      </c>
      <c r="X428" s="2">
        <f>ff_portfolios25!X428-ff_factors!$E428</f>
        <v>4.1362000000000003E-2</v>
      </c>
      <c r="Y428" s="2">
        <f>ff_portfolios25!Y428-ff_factors!$E428</f>
        <v>5.3267000000000002E-2</v>
      </c>
      <c r="Z428" s="2">
        <f>ff_portfolios25!Z428-ff_factors!$E428</f>
        <v>1.8042000000000002E-2</v>
      </c>
      <c r="AA428" s="2">
        <f>ff_portfolios25!AA428-ff_factors!$E428</f>
        <v>5.5585000000000002E-2</v>
      </c>
      <c r="AB428" s="2">
        <f>ff_portfolios25!AB428-ff_factors!$E428</f>
        <v>6.1483000000000003E-2</v>
      </c>
    </row>
    <row r="429" spans="1:28" x14ac:dyDescent="0.2">
      <c r="A429">
        <v>19670831</v>
      </c>
      <c r="B429">
        <v>1967</v>
      </c>
      <c r="C429">
        <v>8</v>
      </c>
      <c r="D429" s="2">
        <f>ff_portfolios25!D429-ff_factors!$E429</f>
        <v>-1.0186000000000001E-2</v>
      </c>
      <c r="E429" s="2">
        <f>ff_portfolios25!E429-ff_factors!$E429</f>
        <v>2.5429999999999997E-3</v>
      </c>
      <c r="F429" s="2">
        <f>ff_portfolios25!F429-ff_factors!$E429</f>
        <v>9.0499999999999999E-4</v>
      </c>
      <c r="G429" s="2">
        <f>ff_portfolios25!G429-ff_factors!$E429</f>
        <v>-1.488E-3</v>
      </c>
      <c r="H429" s="2">
        <f>ff_portfolios25!H429-ff_factors!$E429</f>
        <v>1.7807E-2</v>
      </c>
      <c r="I429" s="2">
        <f>ff_portfolios25!I429-ff_factors!$E429</f>
        <v>-1.4930000000000001E-2</v>
      </c>
      <c r="J429" s="2">
        <f>ff_portfolios25!J429-ff_factors!$E429</f>
        <v>-1.7283E-2</v>
      </c>
      <c r="K429" s="2">
        <f>ff_portfolios25!K429-ff_factors!$E429</f>
        <v>3.2460000000000002E-3</v>
      </c>
      <c r="L429" s="2">
        <f>ff_portfolios25!L429-ff_factors!$E429</f>
        <v>1.957E-3</v>
      </c>
      <c r="M429" s="2">
        <f>ff_portfolios25!M429-ff_factors!$E429</f>
        <v>7.9600000000000001E-3</v>
      </c>
      <c r="N429" s="2">
        <f>ff_portfolios25!N429-ff_factors!$E429</f>
        <v>-3.3449E-2</v>
      </c>
      <c r="O429" s="2">
        <f>ff_portfolios25!O429-ff_factors!$E429</f>
        <v>4.6160000000000003E-3</v>
      </c>
      <c r="P429" s="2">
        <f>ff_portfolios25!P429-ff_factors!$E429</f>
        <v>1.0093E-2</v>
      </c>
      <c r="Q429" s="2">
        <f>ff_portfolios25!Q429-ff_factors!$E429</f>
        <v>9.8589999999999997E-3</v>
      </c>
      <c r="R429" s="2">
        <f>ff_portfolios25!R429-ff_factors!$E429</f>
        <v>-5.9480000000000002E-3</v>
      </c>
      <c r="S429" s="2">
        <f>ff_portfolios25!S429-ff_factors!$E429</f>
        <v>-1.2187E-2</v>
      </c>
      <c r="T429" s="2">
        <f>ff_portfolios25!T429-ff_factors!$E429</f>
        <v>-1.2800000000000001E-2</v>
      </c>
      <c r="U429" s="2">
        <f>ff_portfolios25!U429-ff_factors!$E429</f>
        <v>-1.0005999999999999E-2</v>
      </c>
      <c r="V429" s="2">
        <f>ff_portfolios25!V429-ff_factors!$E429</f>
        <v>8.1079999999999989E-3</v>
      </c>
      <c r="W429" s="2">
        <f>ff_portfolios25!W429-ff_factors!$E429</f>
        <v>3.4869999999999998E-2</v>
      </c>
      <c r="X429" s="2">
        <f>ff_portfolios25!X429-ff_factors!$E429</f>
        <v>-8.8419999999999992E-3</v>
      </c>
      <c r="Y429" s="2">
        <f>ff_portfolios25!Y429-ff_factors!$E429</f>
        <v>-1.3346E-2</v>
      </c>
      <c r="Z429" s="2">
        <f>ff_portfolios25!Z429-ff_factors!$E429</f>
        <v>-1.8369E-2</v>
      </c>
      <c r="AA429" s="2">
        <f>ff_portfolios25!AA429-ff_factors!$E429</f>
        <v>1.4570000000000004E-3</v>
      </c>
      <c r="AB429" s="2">
        <f>ff_portfolios25!AB429-ff_factors!$E429</f>
        <v>1.0279999999999999E-2</v>
      </c>
    </row>
    <row r="430" spans="1:28" x14ac:dyDescent="0.2">
      <c r="A430">
        <v>19670929</v>
      </c>
      <c r="B430">
        <v>1967</v>
      </c>
      <c r="C430">
        <v>9</v>
      </c>
      <c r="D430" s="2">
        <f>ff_portfolios25!D430-ff_factors!$E430</f>
        <v>0.11444600000000001</v>
      </c>
      <c r="E430" s="2">
        <f>ff_portfolios25!E430-ff_factors!$E430</f>
        <v>9.8882000000000012E-2</v>
      </c>
      <c r="F430" s="2">
        <f>ff_portfolios25!F430-ff_factors!$E430</f>
        <v>7.9214000000000007E-2</v>
      </c>
      <c r="G430" s="2">
        <f>ff_portfolios25!G430-ff_factors!$E430</f>
        <v>7.3213E-2</v>
      </c>
      <c r="H430" s="2">
        <f>ff_portfolios25!H430-ff_factors!$E430</f>
        <v>4.5531999999999996E-2</v>
      </c>
      <c r="I430" s="2">
        <f>ff_portfolios25!I430-ff_factors!$E430</f>
        <v>4.7836999999999998E-2</v>
      </c>
      <c r="J430" s="2">
        <f>ff_portfolios25!J430-ff_factors!$E430</f>
        <v>5.7974999999999999E-2</v>
      </c>
      <c r="K430" s="2">
        <f>ff_portfolios25!K430-ff_factors!$E430</f>
        <v>6.828300000000001E-2</v>
      </c>
      <c r="L430" s="2">
        <f>ff_portfolios25!L430-ff_factors!$E430</f>
        <v>5.2040999999999997E-2</v>
      </c>
      <c r="M430" s="2">
        <f>ff_portfolios25!M430-ff_factors!$E430</f>
        <v>2.7890999999999999E-2</v>
      </c>
      <c r="N430" s="2">
        <f>ff_portfolios25!N430-ff_factors!$E430</f>
        <v>5.3409999999999999E-2</v>
      </c>
      <c r="O430" s="2">
        <f>ff_portfolios25!O430-ff_factors!$E430</f>
        <v>1.4012999999999999E-2</v>
      </c>
      <c r="P430" s="2">
        <f>ff_portfolios25!P430-ff_factors!$E430</f>
        <v>2.5665999999999998E-2</v>
      </c>
      <c r="Q430" s="2">
        <f>ff_portfolios25!Q430-ff_factors!$E430</f>
        <v>4.2967999999999999E-2</v>
      </c>
      <c r="R430" s="2">
        <f>ff_portfolios25!R430-ff_factors!$E430</f>
        <v>2.2187999999999999E-2</v>
      </c>
      <c r="S430" s="2">
        <f>ff_portfolios25!S430-ff_factors!$E430</f>
        <v>3.4134999999999999E-2</v>
      </c>
      <c r="T430" s="2">
        <f>ff_portfolios25!T430-ff_factors!$E430</f>
        <v>1.2215E-2</v>
      </c>
      <c r="U430" s="2">
        <f>ff_portfolios25!U430-ff_factors!$E430</f>
        <v>1.9448999999999998E-2</v>
      </c>
      <c r="V430" s="2">
        <f>ff_portfolios25!V430-ff_factors!$E430</f>
        <v>3.3298000000000001E-2</v>
      </c>
      <c r="W430" s="2">
        <f>ff_portfolios25!W430-ff_factors!$E430</f>
        <v>8.7599999999999961E-4</v>
      </c>
      <c r="X430" s="2">
        <f>ff_portfolios25!X430-ff_factors!$E430</f>
        <v>3.4799999999999998E-2</v>
      </c>
      <c r="Y430" s="2">
        <f>ff_portfolios25!Y430-ff_factors!$E430</f>
        <v>2.8262999999999996E-2</v>
      </c>
      <c r="Z430" s="2">
        <f>ff_portfolios25!Z430-ff_factors!$E430</f>
        <v>2.9377E-2</v>
      </c>
      <c r="AA430" s="2">
        <f>ff_portfolios25!AA430-ff_factors!$E430</f>
        <v>1.3023000000000002E-2</v>
      </c>
      <c r="AB430" s="2">
        <f>ff_portfolios25!AB430-ff_factors!$E430</f>
        <v>-7.2800000000000035E-4</v>
      </c>
    </row>
    <row r="431" spans="1:28" x14ac:dyDescent="0.2">
      <c r="A431">
        <v>19671031</v>
      </c>
      <c r="B431">
        <v>1967</v>
      </c>
      <c r="C431">
        <v>10</v>
      </c>
      <c r="D431" s="2">
        <f>ff_portfolios25!D431-ff_factors!$E431</f>
        <v>1.4117999999999999E-2</v>
      </c>
      <c r="E431" s="2">
        <f>ff_portfolios25!E431-ff_factors!$E431</f>
        <v>-4.5565000000000001E-2</v>
      </c>
      <c r="F431" s="2">
        <f>ff_portfolios25!F431-ff_factors!$E431</f>
        <v>-2.0372000000000001E-2</v>
      </c>
      <c r="G431" s="2">
        <f>ff_portfolios25!G431-ff_factors!$E431</f>
        <v>-1.8804999999999999E-2</v>
      </c>
      <c r="H431" s="2">
        <f>ff_portfolios25!H431-ff_factors!$E431</f>
        <v>-3.0536000000000001E-2</v>
      </c>
      <c r="I431" s="2">
        <f>ff_portfolios25!I431-ff_factors!$E431</f>
        <v>-1.1606E-2</v>
      </c>
      <c r="J431" s="2">
        <f>ff_portfolios25!J431-ff_factors!$E431</f>
        <v>-2.7400000000000001E-2</v>
      </c>
      <c r="K431" s="2">
        <f>ff_portfolios25!K431-ff_factors!$E431</f>
        <v>4.7250000000000009E-3</v>
      </c>
      <c r="L431" s="2">
        <f>ff_portfolios25!L431-ff_factors!$E431</f>
        <v>-3.4509999999999999E-2</v>
      </c>
      <c r="M431" s="2">
        <f>ff_portfolios25!M431-ff_factors!$E431</f>
        <v>-5.4553999999999998E-2</v>
      </c>
      <c r="N431" s="2">
        <f>ff_portfolios25!N431-ff_factors!$E431</f>
        <v>-3.8943999999999999E-2</v>
      </c>
      <c r="O431" s="2">
        <f>ff_portfolios25!O431-ff_factors!$E431</f>
        <v>-1.4723E-2</v>
      </c>
      <c r="P431" s="2">
        <f>ff_portfolios25!P431-ff_factors!$E431</f>
        <v>-4.0031000000000004E-2</v>
      </c>
      <c r="Q431" s="2">
        <f>ff_portfolios25!Q431-ff_factors!$E431</f>
        <v>-3.4367000000000002E-2</v>
      </c>
      <c r="R431" s="2">
        <f>ff_portfolios25!R431-ff_factors!$E431</f>
        <v>-2.8211E-2</v>
      </c>
      <c r="S431" s="2">
        <f>ff_portfolios25!S431-ff_factors!$E431</f>
        <v>-4.8690999999999998E-2</v>
      </c>
      <c r="T431" s="2">
        <f>ff_portfolios25!T431-ff_factors!$E431</f>
        <v>-5.8861999999999998E-2</v>
      </c>
      <c r="U431" s="2">
        <f>ff_portfolios25!U431-ff_factors!$E431</f>
        <v>-5.6367E-2</v>
      </c>
      <c r="V431" s="2">
        <f>ff_portfolios25!V431-ff_factors!$E431</f>
        <v>-3.0644000000000001E-2</v>
      </c>
      <c r="W431" s="2">
        <f>ff_portfolios25!W431-ff_factors!$E431</f>
        <v>-5.6757000000000002E-2</v>
      </c>
      <c r="X431" s="2">
        <f>ff_portfolios25!X431-ff_factors!$E431</f>
        <v>-6.437E-3</v>
      </c>
      <c r="Y431" s="2">
        <f>ff_portfolios25!Y431-ff_factors!$E431</f>
        <v>-4.4114E-2</v>
      </c>
      <c r="Z431" s="2">
        <f>ff_portfolios25!Z431-ff_factors!$E431</f>
        <v>-3.0888000000000002E-2</v>
      </c>
      <c r="AA431" s="2">
        <f>ff_portfolios25!AA431-ff_factors!$E431</f>
        <v>-6.5353999999999995E-2</v>
      </c>
      <c r="AB431" s="2">
        <f>ff_portfolios25!AB431-ff_factors!$E431</f>
        <v>-6.9013000000000005E-2</v>
      </c>
    </row>
    <row r="432" spans="1:28" x14ac:dyDescent="0.2">
      <c r="A432">
        <v>19671130</v>
      </c>
      <c r="B432">
        <v>1967</v>
      </c>
      <c r="C432">
        <v>11</v>
      </c>
      <c r="D432" s="2">
        <f>ff_portfolios25!D432-ff_factors!$E432</f>
        <v>-1.4596000000000001E-2</v>
      </c>
      <c r="E432" s="2">
        <f>ff_portfolios25!E432-ff_factors!$E432</f>
        <v>3.5012000000000001E-2</v>
      </c>
      <c r="F432" s="2">
        <f>ff_portfolios25!F432-ff_factors!$E432</f>
        <v>-1.6147999999999999E-2</v>
      </c>
      <c r="G432" s="2">
        <f>ff_portfolios25!G432-ff_factors!$E432</f>
        <v>-1.6978E-2</v>
      </c>
      <c r="H432" s="2">
        <f>ff_portfolios25!H432-ff_factors!$E432</f>
        <v>-1.4792E-2</v>
      </c>
      <c r="I432" s="2">
        <f>ff_portfolios25!I432-ff_factors!$E432</f>
        <v>7.2889999999999995E-3</v>
      </c>
      <c r="J432" s="2">
        <f>ff_portfolios25!J432-ff_factors!$E432</f>
        <v>2.5250000000000003E-3</v>
      </c>
      <c r="K432" s="2">
        <f>ff_portfolios25!K432-ff_factors!$E432</f>
        <v>2.5555000000000001E-2</v>
      </c>
      <c r="L432" s="2">
        <f>ff_portfolios25!L432-ff_factors!$E432</f>
        <v>-3.7859999999999999E-3</v>
      </c>
      <c r="M432" s="2">
        <f>ff_portfolios25!M432-ff_factors!$E432</f>
        <v>-2.4349999999999997E-3</v>
      </c>
      <c r="N432" s="2">
        <f>ff_portfolios25!N432-ff_factors!$E432</f>
        <v>2.3318000000000002E-2</v>
      </c>
      <c r="O432" s="2">
        <f>ff_portfolios25!O432-ff_factors!$E432</f>
        <v>4.6719999999999999E-3</v>
      </c>
      <c r="P432" s="2">
        <f>ff_portfolios25!P432-ff_factors!$E432</f>
        <v>3.7239999999999999E-3</v>
      </c>
      <c r="Q432" s="2">
        <f>ff_portfolios25!Q432-ff_factors!$E432</f>
        <v>-7.2239999999999995E-3</v>
      </c>
      <c r="R432" s="2">
        <f>ff_portfolios25!R432-ff_factors!$E432</f>
        <v>-1.1023999999999999E-2</v>
      </c>
      <c r="S432" s="2">
        <f>ff_portfolios25!S432-ff_factors!$E432</f>
        <v>3.0848E-2</v>
      </c>
      <c r="T432" s="2">
        <f>ff_portfolios25!T432-ff_factors!$E432</f>
        <v>1.0300000000000023E-4</v>
      </c>
      <c r="U432" s="2">
        <f>ff_portfolios25!U432-ff_factors!$E432</f>
        <v>-5.274E-3</v>
      </c>
      <c r="V432" s="2">
        <f>ff_portfolios25!V432-ff_factors!$E432</f>
        <v>-3.6310000000000001E-3</v>
      </c>
      <c r="W432" s="2">
        <f>ff_portfolios25!W432-ff_factors!$E432</f>
        <v>-1.0412000000000001E-2</v>
      </c>
      <c r="X432" s="2">
        <f>ff_portfolios25!X432-ff_factors!$E432</f>
        <v>9.6000000000000009E-3</v>
      </c>
      <c r="Y432" s="2">
        <f>ff_portfolios25!Y432-ff_factors!$E432</f>
        <v>-7.94E-4</v>
      </c>
      <c r="Z432" s="2">
        <f>ff_portfolios25!Z432-ff_factors!$E432</f>
        <v>-1.833E-3</v>
      </c>
      <c r="AA432" s="2">
        <f>ff_portfolios25!AA432-ff_factors!$E432</f>
        <v>-9.051E-3</v>
      </c>
      <c r="AB432" s="2">
        <f>ff_portfolios25!AB432-ff_factors!$E432</f>
        <v>-3.0409999999999999E-3</v>
      </c>
    </row>
    <row r="433" spans="1:28" x14ac:dyDescent="0.2">
      <c r="A433">
        <v>19671229</v>
      </c>
      <c r="B433">
        <v>1967</v>
      </c>
      <c r="C433">
        <v>12</v>
      </c>
      <c r="D433" s="2">
        <f>ff_portfolios25!D433-ff_factors!$E433</f>
        <v>0.12798699999999999</v>
      </c>
      <c r="E433" s="2">
        <f>ff_portfolios25!E433-ff_factors!$E433</f>
        <v>0.101177</v>
      </c>
      <c r="F433" s="2">
        <f>ff_portfolios25!F433-ff_factors!$E433</f>
        <v>8.2664000000000001E-2</v>
      </c>
      <c r="G433" s="2">
        <f>ff_portfolios25!G433-ff_factors!$E433</f>
        <v>9.2142000000000002E-2</v>
      </c>
      <c r="H433" s="2">
        <f>ff_portfolios25!H433-ff_factors!$E433</f>
        <v>9.7855999999999999E-2</v>
      </c>
      <c r="I433" s="2">
        <f>ff_portfolios25!I433-ff_factors!$E433</f>
        <v>0.12074500000000001</v>
      </c>
      <c r="J433" s="2">
        <f>ff_portfolios25!J433-ff_factors!$E433</f>
        <v>6.0705999999999996E-2</v>
      </c>
      <c r="K433" s="2">
        <f>ff_portfolios25!K433-ff_factors!$E433</f>
        <v>8.7403000000000008E-2</v>
      </c>
      <c r="L433" s="2">
        <f>ff_portfolios25!L433-ff_factors!$E433</f>
        <v>6.9806000000000007E-2</v>
      </c>
      <c r="M433" s="2">
        <f>ff_portfolios25!M433-ff_factors!$E433</f>
        <v>8.795E-2</v>
      </c>
      <c r="N433" s="2">
        <f>ff_portfolios25!N433-ff_factors!$E433</f>
        <v>7.3735000000000009E-2</v>
      </c>
      <c r="O433" s="2">
        <f>ff_portfolios25!O433-ff_factors!$E433</f>
        <v>5.3346000000000005E-2</v>
      </c>
      <c r="P433" s="2">
        <f>ff_portfolios25!P433-ff_factors!$E433</f>
        <v>5.1238000000000006E-2</v>
      </c>
      <c r="Q433" s="2">
        <f>ff_portfolios25!Q433-ff_factors!$E433</f>
        <v>4.7931000000000001E-2</v>
      </c>
      <c r="R433" s="2">
        <f>ff_portfolios25!R433-ff_factors!$E433</f>
        <v>7.1125000000000008E-2</v>
      </c>
      <c r="S433" s="2">
        <f>ff_portfolios25!S433-ff_factors!$E433</f>
        <v>1.0126E-2</v>
      </c>
      <c r="T433" s="2">
        <f>ff_portfolios25!T433-ff_factors!$E433</f>
        <v>2.4176E-2</v>
      </c>
      <c r="U433" s="2">
        <f>ff_portfolios25!U433-ff_factors!$E433</f>
        <v>4.3384000000000006E-2</v>
      </c>
      <c r="V433" s="2">
        <f>ff_portfolios25!V433-ff_factors!$E433</f>
        <v>4.3525000000000001E-2</v>
      </c>
      <c r="W433" s="2">
        <f>ff_portfolios25!W433-ff_factors!$E433</f>
        <v>3.3790000000000001E-2</v>
      </c>
      <c r="X433" s="2">
        <f>ff_portfolios25!X433-ff_factors!$E433</f>
        <v>1.6212999999999998E-2</v>
      </c>
      <c r="Y433" s="2">
        <f>ff_portfolios25!Y433-ff_factors!$E433</f>
        <v>2.7151999999999999E-2</v>
      </c>
      <c r="Z433" s="2">
        <f>ff_portfolios25!Z433-ff_factors!$E433</f>
        <v>1.9063E-2</v>
      </c>
      <c r="AA433" s="2">
        <f>ff_portfolios25!AA433-ff_factors!$E433</f>
        <v>5.2644000000000003E-2</v>
      </c>
      <c r="AB433" s="2">
        <f>ff_portfolios25!AB433-ff_factors!$E433</f>
        <v>2.4627E-2</v>
      </c>
    </row>
    <row r="434" spans="1:28" x14ac:dyDescent="0.2">
      <c r="A434">
        <v>19680131</v>
      </c>
      <c r="B434">
        <v>1968</v>
      </c>
      <c r="C434">
        <v>1</v>
      </c>
      <c r="D434" s="2">
        <f>ff_portfolios25!D434-ff_factors!$E434</f>
        <v>2.7406999999999997E-2</v>
      </c>
      <c r="E434" s="2">
        <f>ff_portfolios25!E434-ff_factors!$E434</f>
        <v>1.9206000000000001E-2</v>
      </c>
      <c r="F434" s="2">
        <f>ff_portfolios25!F434-ff_factors!$E434</f>
        <v>2.8516000000000003E-2</v>
      </c>
      <c r="G434" s="2">
        <f>ff_portfolios25!G434-ff_factors!$E434</f>
        <v>2.9436E-2</v>
      </c>
      <c r="H434" s="2">
        <f>ff_portfolios25!H434-ff_factors!$E434</f>
        <v>5.5703000000000003E-2</v>
      </c>
      <c r="I434" s="2">
        <f>ff_portfolios25!I434-ff_factors!$E434</f>
        <v>-4.9761E-2</v>
      </c>
      <c r="J434" s="2">
        <f>ff_portfolios25!J434-ff_factors!$E434</f>
        <v>-2.3196000000000001E-2</v>
      </c>
      <c r="K434" s="2">
        <f>ff_portfolios25!K434-ff_factors!$E434</f>
        <v>-8.4510000000000002E-3</v>
      </c>
      <c r="L434" s="2">
        <f>ff_portfolios25!L434-ff_factors!$E434</f>
        <v>7.3950000000000005E-3</v>
      </c>
      <c r="M434" s="2">
        <f>ff_portfolios25!M434-ff_factors!$E434</f>
        <v>2.2245999999999998E-2</v>
      </c>
      <c r="N434" s="2">
        <f>ff_portfolios25!N434-ff_factors!$E434</f>
        <v>-7.2746000000000005E-2</v>
      </c>
      <c r="O434" s="2">
        <f>ff_portfolios25!O434-ff_factors!$E434</f>
        <v>-1.103E-2</v>
      </c>
      <c r="P434" s="2">
        <f>ff_portfolios25!P434-ff_factors!$E434</f>
        <v>-1.1495E-2</v>
      </c>
      <c r="Q434" s="2">
        <f>ff_portfolios25!Q434-ff_factors!$E434</f>
        <v>-1.0193000000000001E-2</v>
      </c>
      <c r="R434" s="2">
        <f>ff_portfolios25!R434-ff_factors!$E434</f>
        <v>2.3127999999999999E-2</v>
      </c>
      <c r="S434" s="2">
        <f>ff_portfolios25!S434-ff_factors!$E434</f>
        <v>-8.3332000000000003E-2</v>
      </c>
      <c r="T434" s="2">
        <f>ff_portfolios25!T434-ff_factors!$E434</f>
        <v>-2.3890000000000001E-3</v>
      </c>
      <c r="U434" s="2">
        <f>ff_portfolios25!U434-ff_factors!$E434</f>
        <v>-3.2566999999999999E-2</v>
      </c>
      <c r="V434" s="2">
        <f>ff_portfolios25!V434-ff_factors!$E434</f>
        <v>-2.9729999999999999E-3</v>
      </c>
      <c r="W434" s="2">
        <f>ff_portfolios25!W434-ff_factors!$E434</f>
        <v>-8.2500000000000004E-3</v>
      </c>
      <c r="X434" s="2">
        <f>ff_portfolios25!X434-ff_factors!$E434</f>
        <v>-6.6775000000000001E-2</v>
      </c>
      <c r="Y434" s="2">
        <f>ff_portfolios25!Y434-ff_factors!$E434</f>
        <v>-6.2491000000000005E-2</v>
      </c>
      <c r="Z434" s="2">
        <f>ff_portfolios25!Z434-ff_factors!$E434</f>
        <v>1.9389999999999998E-3</v>
      </c>
      <c r="AA434" s="2">
        <f>ff_portfolios25!AA434-ff_factors!$E434</f>
        <v>-2.6793999999999998E-2</v>
      </c>
      <c r="AB434" s="2">
        <f>ff_portfolios25!AB434-ff_factors!$E434</f>
        <v>-4.2550000000000004E-2</v>
      </c>
    </row>
    <row r="435" spans="1:28" x14ac:dyDescent="0.2">
      <c r="A435">
        <v>19680229</v>
      </c>
      <c r="B435">
        <v>1968</v>
      </c>
      <c r="C435">
        <v>2</v>
      </c>
      <c r="D435" s="2">
        <f>ff_portfolios25!D435-ff_factors!$E435</f>
        <v>-0.10490000000000001</v>
      </c>
      <c r="E435" s="2">
        <f>ff_portfolios25!E435-ff_factors!$E435</f>
        <v>-7.5070999999999999E-2</v>
      </c>
      <c r="F435" s="2">
        <f>ff_portfolios25!F435-ff_factors!$E435</f>
        <v>-5.7146000000000002E-2</v>
      </c>
      <c r="G435" s="2">
        <f>ff_portfolios25!G435-ff_factors!$E435</f>
        <v>-7.3581000000000008E-2</v>
      </c>
      <c r="H435" s="2">
        <f>ff_portfolios25!H435-ff_factors!$E435</f>
        <v>-6.0070999999999999E-2</v>
      </c>
      <c r="I435" s="2">
        <f>ff_portfolios25!I435-ff_factors!$E435</f>
        <v>-7.3085999999999998E-2</v>
      </c>
      <c r="J435" s="2">
        <f>ff_portfolios25!J435-ff_factors!$E435</f>
        <v>-6.7005999999999996E-2</v>
      </c>
      <c r="K435" s="2">
        <f>ff_portfolios25!K435-ff_factors!$E435</f>
        <v>-9.1908000000000004E-2</v>
      </c>
      <c r="L435" s="2">
        <f>ff_portfolios25!L435-ff_factors!$E435</f>
        <v>-3.9835000000000002E-2</v>
      </c>
      <c r="M435" s="2">
        <f>ff_portfolios25!M435-ff_factors!$E435</f>
        <v>-6.0586000000000001E-2</v>
      </c>
      <c r="N435" s="2">
        <f>ff_portfolios25!N435-ff_factors!$E435</f>
        <v>-7.2942999999999994E-2</v>
      </c>
      <c r="O435" s="2">
        <f>ff_portfolios25!O435-ff_factors!$E435</f>
        <v>-4.3191E-2</v>
      </c>
      <c r="P435" s="2">
        <f>ff_portfolios25!P435-ff_factors!$E435</f>
        <v>-3.3856999999999998E-2</v>
      </c>
      <c r="Q435" s="2">
        <f>ff_portfolios25!Q435-ff_factors!$E435</f>
        <v>-2.7838000000000002E-2</v>
      </c>
      <c r="R435" s="2">
        <f>ff_portfolios25!R435-ff_factors!$E435</f>
        <v>-4.9734E-2</v>
      </c>
      <c r="S435" s="2">
        <f>ff_portfolios25!S435-ff_factors!$E435</f>
        <v>-5.8042999999999997E-2</v>
      </c>
      <c r="T435" s="2">
        <f>ff_portfolios25!T435-ff_factors!$E435</f>
        <v>-3.8504999999999998E-2</v>
      </c>
      <c r="U435" s="2">
        <f>ff_portfolios25!U435-ff_factors!$E435</f>
        <v>-3.1802999999999998E-2</v>
      </c>
      <c r="V435" s="2">
        <f>ff_portfolios25!V435-ff_factors!$E435</f>
        <v>-5.6326000000000001E-2</v>
      </c>
      <c r="W435" s="2">
        <f>ff_portfolios25!W435-ff_factors!$E435</f>
        <v>-4.2155999999999999E-2</v>
      </c>
      <c r="X435" s="2">
        <f>ff_portfolios25!X435-ff_factors!$E435</f>
        <v>-3.4050999999999998E-2</v>
      </c>
      <c r="Y435" s="2">
        <f>ff_portfolios25!Y435-ff_factors!$E435</f>
        <v>-2.6041000000000002E-2</v>
      </c>
      <c r="Z435" s="2">
        <f>ff_portfolios25!Z435-ff_factors!$E435</f>
        <v>-2.4667000000000001E-2</v>
      </c>
      <c r="AA435" s="2">
        <f>ff_portfolios25!AA435-ff_factors!$E435</f>
        <v>-3.6444999999999998E-2</v>
      </c>
      <c r="AB435" s="2">
        <f>ff_portfolios25!AB435-ff_factors!$E435</f>
        <v>-2.2896E-2</v>
      </c>
    </row>
    <row r="436" spans="1:28" x14ac:dyDescent="0.2">
      <c r="A436">
        <v>19680329</v>
      </c>
      <c r="B436">
        <v>1968</v>
      </c>
      <c r="C436">
        <v>3</v>
      </c>
      <c r="D436" s="2">
        <f>ff_portfolios25!D436-ff_factors!$E436</f>
        <v>-1.8997E-2</v>
      </c>
      <c r="E436" s="2">
        <f>ff_portfolios25!E436-ff_factors!$E436</f>
        <v>-3.568E-3</v>
      </c>
      <c r="F436" s="2">
        <f>ff_portfolios25!F436-ff_factors!$E436</f>
        <v>-7.208E-3</v>
      </c>
      <c r="G436" s="2">
        <f>ff_portfolios25!G436-ff_factors!$E436</f>
        <v>-2.4153000000000001E-2</v>
      </c>
      <c r="H436" s="2">
        <f>ff_portfolios25!H436-ff_factors!$E436</f>
        <v>-4.6080000000000001E-3</v>
      </c>
      <c r="I436" s="2">
        <f>ff_portfolios25!I436-ff_factors!$E436</f>
        <v>-7.6600000000000001E-3</v>
      </c>
      <c r="J436" s="2">
        <f>ff_portfolios25!J436-ff_factors!$E436</f>
        <v>-2.3329000000000003E-2</v>
      </c>
      <c r="K436" s="2">
        <f>ff_portfolios25!K436-ff_factors!$E436</f>
        <v>-4.3140000000000001E-3</v>
      </c>
      <c r="L436" s="2">
        <f>ff_portfolios25!L436-ff_factors!$E436</f>
        <v>-1.6607E-2</v>
      </c>
      <c r="M436" s="2">
        <f>ff_portfolios25!M436-ff_factors!$E436</f>
        <v>-1.0198E-2</v>
      </c>
      <c r="N436" s="2">
        <f>ff_portfolios25!N436-ff_factors!$E436</f>
        <v>1.6184999999999998E-2</v>
      </c>
      <c r="O436" s="2">
        <f>ff_portfolios25!O436-ff_factors!$E436</f>
        <v>-7.8080000000000007E-3</v>
      </c>
      <c r="P436" s="2">
        <f>ff_portfolios25!P436-ff_factors!$E436</f>
        <v>-2.8007000000000001E-2</v>
      </c>
      <c r="Q436" s="2">
        <f>ff_portfolios25!Q436-ff_factors!$E436</f>
        <v>4.2870000000000009E-3</v>
      </c>
      <c r="R436" s="2">
        <f>ff_portfolios25!R436-ff_factors!$E436</f>
        <v>-6.0669999999999995E-3</v>
      </c>
      <c r="S436" s="2">
        <f>ff_portfolios25!S436-ff_factors!$E436</f>
        <v>1.1240000000000004E-3</v>
      </c>
      <c r="T436" s="2">
        <f>ff_portfolios25!T436-ff_factors!$E436</f>
        <v>-5.7140000000000003E-3</v>
      </c>
      <c r="U436" s="2">
        <f>ff_portfolios25!U436-ff_factors!$E436</f>
        <v>-1.5909E-2</v>
      </c>
      <c r="V436" s="2">
        <f>ff_portfolios25!V436-ff_factors!$E436</f>
        <v>-9.8400000000000007E-4</v>
      </c>
      <c r="W436" s="2">
        <f>ff_portfolios25!W436-ff_factors!$E436</f>
        <v>-6.6829999999999997E-3</v>
      </c>
      <c r="X436" s="2">
        <f>ff_portfolios25!X436-ff_factors!$E436</f>
        <v>2.7090999999999997E-2</v>
      </c>
      <c r="Y436" s="2">
        <f>ff_portfolios25!Y436-ff_factors!$E436</f>
        <v>-1.7552000000000002E-2</v>
      </c>
      <c r="Z436" s="2">
        <f>ff_portfolios25!Z436-ff_factors!$E436</f>
        <v>-7.0720000000000002E-3</v>
      </c>
      <c r="AA436" s="2">
        <f>ff_portfolios25!AA436-ff_factors!$E436</f>
        <v>-2.1668E-2</v>
      </c>
      <c r="AB436" s="2">
        <f>ff_portfolios25!AB436-ff_factors!$E436</f>
        <v>1.6463999999999999E-2</v>
      </c>
    </row>
    <row r="437" spans="1:28" x14ac:dyDescent="0.2">
      <c r="A437">
        <v>19680430</v>
      </c>
      <c r="B437">
        <v>1968</v>
      </c>
      <c r="C437">
        <v>4</v>
      </c>
      <c r="D437" s="2">
        <f>ff_portfolios25!D437-ff_factors!$E437</f>
        <v>0.211366</v>
      </c>
      <c r="E437" s="2">
        <f>ff_portfolios25!E437-ff_factors!$E437</f>
        <v>0.170682</v>
      </c>
      <c r="F437" s="2">
        <f>ff_portfolios25!F437-ff_factors!$E437</f>
        <v>0.15819800000000001</v>
      </c>
      <c r="G437" s="2">
        <f>ff_portfolios25!G437-ff_factors!$E437</f>
        <v>0.159995</v>
      </c>
      <c r="H437" s="2">
        <f>ff_portfolios25!H437-ff_factors!$E437</f>
        <v>0.15343300000000001</v>
      </c>
      <c r="I437" s="2">
        <f>ff_portfolios25!I437-ff_factors!$E437</f>
        <v>0.185587</v>
      </c>
      <c r="J437" s="2">
        <f>ff_portfolios25!J437-ff_factors!$E437</f>
        <v>0.12481400000000001</v>
      </c>
      <c r="K437" s="2">
        <f>ff_portfolios25!K437-ff_factors!$E437</f>
        <v>0.175231</v>
      </c>
      <c r="L437" s="2">
        <f>ff_portfolios25!L437-ff_factors!$E437</f>
        <v>0.115595</v>
      </c>
      <c r="M437" s="2">
        <f>ff_portfolios25!M437-ff_factors!$E437</f>
        <v>0.123665</v>
      </c>
      <c r="N437" s="2">
        <f>ff_portfolios25!N437-ff_factors!$E437</f>
        <v>0.157337</v>
      </c>
      <c r="O437" s="2">
        <f>ff_portfolios25!O437-ff_factors!$E437</f>
        <v>0.11672400000000001</v>
      </c>
      <c r="P437" s="2">
        <f>ff_portfolios25!P437-ff_factors!$E437</f>
        <v>7.9497999999999999E-2</v>
      </c>
      <c r="Q437" s="2">
        <f>ff_portfolios25!Q437-ff_factors!$E437</f>
        <v>9.7872000000000001E-2</v>
      </c>
      <c r="R437" s="2">
        <f>ff_portfolios25!R437-ff_factors!$E437</f>
        <v>0.176181</v>
      </c>
      <c r="S437" s="2">
        <f>ff_portfolios25!S437-ff_factors!$E437</f>
        <v>0.122364</v>
      </c>
      <c r="T437" s="2">
        <f>ff_portfolios25!T437-ff_factors!$E437</f>
        <v>6.8895999999999999E-2</v>
      </c>
      <c r="U437" s="2">
        <f>ff_portfolios25!U437-ff_factors!$E437</f>
        <v>7.8789999999999999E-2</v>
      </c>
      <c r="V437" s="2">
        <f>ff_portfolios25!V437-ff_factors!$E437</f>
        <v>0.12575500000000001</v>
      </c>
      <c r="W437" s="2">
        <f>ff_portfolios25!W437-ff_factors!$E437</f>
        <v>0.11222800000000001</v>
      </c>
      <c r="X437" s="2">
        <f>ff_portfolios25!X437-ff_factors!$E437</f>
        <v>0.103121</v>
      </c>
      <c r="Y437" s="2">
        <f>ff_portfolios25!Y437-ff_factors!$E437</f>
        <v>6.9668000000000008E-2</v>
      </c>
      <c r="Z437" s="2">
        <f>ff_portfolios25!Z437-ff_factors!$E437</f>
        <v>2.8757999999999999E-2</v>
      </c>
      <c r="AA437" s="2">
        <f>ff_portfolios25!AA437-ff_factors!$E437</f>
        <v>8.9785000000000004E-2</v>
      </c>
      <c r="AB437" s="2">
        <f>ff_portfolios25!AB437-ff_factors!$E437</f>
        <v>0.10077900000000001</v>
      </c>
    </row>
    <row r="438" spans="1:28" x14ac:dyDescent="0.2">
      <c r="A438">
        <v>19680531</v>
      </c>
      <c r="B438">
        <v>1968</v>
      </c>
      <c r="C438">
        <v>5</v>
      </c>
      <c r="D438" s="2">
        <f>ff_portfolios25!D438-ff_factors!$E438</f>
        <v>0.10298199999999999</v>
      </c>
      <c r="E438" s="2">
        <f>ff_portfolios25!E438-ff_factors!$E438</f>
        <v>0.120271</v>
      </c>
      <c r="F438" s="2">
        <f>ff_portfolios25!F438-ff_factors!$E438</f>
        <v>0.102145</v>
      </c>
      <c r="G438" s="2">
        <f>ff_portfolios25!G438-ff_factors!$E438</f>
        <v>0.115671</v>
      </c>
      <c r="H438" s="2">
        <f>ff_portfolios25!H438-ff_factors!$E438</f>
        <v>0.113137</v>
      </c>
      <c r="I438" s="2">
        <f>ff_portfolios25!I438-ff_factors!$E438</f>
        <v>0.114663</v>
      </c>
      <c r="J438" s="2">
        <f>ff_portfolios25!J438-ff_factors!$E438</f>
        <v>7.5410999999999992E-2</v>
      </c>
      <c r="K438" s="2">
        <f>ff_portfolios25!K438-ff_factors!$E438</f>
        <v>7.9995999999999998E-2</v>
      </c>
      <c r="L438" s="2">
        <f>ff_portfolios25!L438-ff_factors!$E438</f>
        <v>6.8612999999999993E-2</v>
      </c>
      <c r="M438" s="2">
        <f>ff_portfolios25!M438-ff_factors!$E438</f>
        <v>6.7947999999999995E-2</v>
      </c>
      <c r="N438" s="2">
        <f>ff_portfolios25!N438-ff_factors!$E438</f>
        <v>8.348499999999999E-2</v>
      </c>
      <c r="O438" s="2">
        <f>ff_portfolios25!O438-ff_factors!$E438</f>
        <v>4.2584000000000004E-2</v>
      </c>
      <c r="P438" s="2">
        <f>ff_portfolios25!P438-ff_factors!$E438</f>
        <v>4.3887000000000002E-2</v>
      </c>
      <c r="Q438" s="2">
        <f>ff_portfolios25!Q438-ff_factors!$E438</f>
        <v>4.6405000000000002E-2</v>
      </c>
      <c r="R438" s="2">
        <f>ff_portfolios25!R438-ff_factors!$E438</f>
        <v>6.5073999999999993E-2</v>
      </c>
      <c r="S438" s="2">
        <f>ff_portfolios25!S438-ff_factors!$E438</f>
        <v>4.1346000000000001E-2</v>
      </c>
      <c r="T438" s="2">
        <f>ff_portfolios25!T438-ff_factors!$E438</f>
        <v>4.1963E-2</v>
      </c>
      <c r="U438" s="2">
        <f>ff_portfolios25!U438-ff_factors!$E438</f>
        <v>2.5680999999999999E-2</v>
      </c>
      <c r="V438" s="2">
        <f>ff_portfolios25!V438-ff_factors!$E438</f>
        <v>2.2547000000000001E-2</v>
      </c>
      <c r="W438" s="2">
        <f>ff_portfolios25!W438-ff_factors!$E438</f>
        <v>5.7108000000000006E-2</v>
      </c>
      <c r="X438" s="2">
        <f>ff_portfolios25!X438-ff_factors!$E438</f>
        <v>1.8127000000000001E-2</v>
      </c>
      <c r="Y438" s="2">
        <f>ff_portfolios25!Y438-ff_factors!$E438</f>
        <v>8.1379999999999994E-3</v>
      </c>
      <c r="Z438" s="2">
        <f>ff_portfolios25!Z438-ff_factors!$E438</f>
        <v>-1.2541E-2</v>
      </c>
      <c r="AA438" s="2">
        <f>ff_portfolios25!AA438-ff_factors!$E438</f>
        <v>-1.4339000000000001E-2</v>
      </c>
      <c r="AB438" s="2">
        <f>ff_portfolios25!AB438-ff_factors!$E438</f>
        <v>4.1971000000000001E-2</v>
      </c>
    </row>
    <row r="439" spans="1:28" x14ac:dyDescent="0.2">
      <c r="A439">
        <v>19680628</v>
      </c>
      <c r="B439">
        <v>1968</v>
      </c>
      <c r="C439">
        <v>6</v>
      </c>
      <c r="D439" s="2">
        <f>ff_portfolios25!D439-ff_factors!$E439</f>
        <v>-1.5140000000000001E-2</v>
      </c>
      <c r="E439" s="2">
        <f>ff_portfolios25!E439-ff_factors!$E439</f>
        <v>-2.9849999999999998E-3</v>
      </c>
      <c r="F439" s="2">
        <f>ff_portfolios25!F439-ff_factors!$E439</f>
        <v>1.2520999999999999E-2</v>
      </c>
      <c r="G439" s="2">
        <f>ff_portfolios25!G439-ff_factors!$E439</f>
        <v>1.3110999999999999E-2</v>
      </c>
      <c r="H439" s="2">
        <f>ff_portfolios25!H439-ff_factors!$E439</f>
        <v>-2.8159999999999999E-3</v>
      </c>
      <c r="I439" s="2">
        <f>ff_portfolios25!I439-ff_factors!$E439</f>
        <v>-1.5726999999999998E-2</v>
      </c>
      <c r="J439" s="2">
        <f>ff_portfolios25!J439-ff_factors!$E439</f>
        <v>1.4403000000000001E-2</v>
      </c>
      <c r="K439" s="2">
        <f>ff_portfolios25!K439-ff_factors!$E439</f>
        <v>-1.9943000000000002E-2</v>
      </c>
      <c r="L439" s="2">
        <f>ff_portfolios25!L439-ff_factors!$E439</f>
        <v>1.3663E-2</v>
      </c>
      <c r="M439" s="2">
        <f>ff_portfolios25!M439-ff_factors!$E439</f>
        <v>-1.4810000000000001E-3</v>
      </c>
      <c r="N439" s="2">
        <f>ff_portfolios25!N439-ff_factors!$E439</f>
        <v>-2.4514000000000001E-2</v>
      </c>
      <c r="O439" s="2">
        <f>ff_portfolios25!O439-ff_factors!$E439</f>
        <v>2.9503000000000001E-2</v>
      </c>
      <c r="P439" s="2">
        <f>ff_portfolios25!P439-ff_factors!$E439</f>
        <v>3.0587000000000003E-2</v>
      </c>
      <c r="Q439" s="2">
        <f>ff_portfolios25!Q439-ff_factors!$E439</f>
        <v>1.2629E-2</v>
      </c>
      <c r="R439" s="2">
        <f>ff_portfolios25!R439-ff_factors!$E439</f>
        <v>1.0374E-2</v>
      </c>
      <c r="S439" s="2">
        <f>ff_portfolios25!S439-ff_factors!$E439</f>
        <v>-4.6119999999999998E-3</v>
      </c>
      <c r="T439" s="2">
        <f>ff_portfolios25!T439-ff_factors!$E439</f>
        <v>3.5797000000000002E-2</v>
      </c>
      <c r="U439" s="2">
        <f>ff_portfolios25!U439-ff_factors!$E439</f>
        <v>3.4997E-2</v>
      </c>
      <c r="V439" s="2">
        <f>ff_portfolios25!V439-ff_factors!$E439</f>
        <v>2.3456999999999999E-2</v>
      </c>
      <c r="W439" s="2">
        <f>ff_portfolios25!W439-ff_factors!$E439</f>
        <v>-2.5639000000000002E-2</v>
      </c>
      <c r="X439" s="2">
        <f>ff_portfolios25!X439-ff_factors!$E439</f>
        <v>-5.0829999999999998E-3</v>
      </c>
      <c r="Y439" s="2">
        <f>ff_portfolios25!Y439-ff_factors!$E439</f>
        <v>1.8789999999999996E-3</v>
      </c>
      <c r="Z439" s="2">
        <f>ff_portfolios25!Z439-ff_factors!$E439</f>
        <v>3.7451000000000005E-2</v>
      </c>
      <c r="AA439" s="2">
        <f>ff_portfolios25!AA439-ff_factors!$E439</f>
        <v>2.7460999999999999E-2</v>
      </c>
      <c r="AB439" s="2">
        <f>ff_portfolios25!AB439-ff_factors!$E439</f>
        <v>-2.0262000000000002E-2</v>
      </c>
    </row>
    <row r="440" spans="1:28" x14ac:dyDescent="0.2">
      <c r="A440">
        <v>19680730</v>
      </c>
      <c r="B440">
        <v>1968</v>
      </c>
      <c r="C440">
        <v>7</v>
      </c>
      <c r="D440" s="2">
        <f>ff_portfolios25!D440-ff_factors!$E440</f>
        <v>-5.3788999999999997E-2</v>
      </c>
      <c r="E440" s="2">
        <f>ff_portfolios25!E440-ff_factors!$E440</f>
        <v>-5.0596999999999996E-2</v>
      </c>
      <c r="F440" s="2">
        <f>ff_portfolios25!F440-ff_factors!$E440</f>
        <v>-4.2124000000000002E-2</v>
      </c>
      <c r="G440" s="2">
        <f>ff_portfolios25!G440-ff_factors!$E440</f>
        <v>-1.9952000000000001E-2</v>
      </c>
      <c r="H440" s="2">
        <f>ff_portfolios25!H440-ff_factors!$E440</f>
        <v>3.888E-3</v>
      </c>
      <c r="I440" s="2">
        <f>ff_portfolios25!I440-ff_factors!$E440</f>
        <v>-9.3461000000000002E-2</v>
      </c>
      <c r="J440" s="2">
        <f>ff_portfolios25!J440-ff_factors!$E440</f>
        <v>-4.4516E-2</v>
      </c>
      <c r="K440" s="2">
        <f>ff_portfolios25!K440-ff_factors!$E440</f>
        <v>-2.7181E-2</v>
      </c>
      <c r="L440" s="2">
        <f>ff_portfolios25!L440-ff_factors!$E440</f>
        <v>-5.2289999999999993E-3</v>
      </c>
      <c r="M440" s="2">
        <f>ff_portfolios25!M440-ff_factors!$E440</f>
        <v>-7.6639999999999989E-3</v>
      </c>
      <c r="N440" s="2">
        <f>ff_portfolios25!N440-ff_factors!$E440</f>
        <v>-6.2295999999999997E-2</v>
      </c>
      <c r="O440" s="2">
        <f>ff_portfolios25!O440-ff_factors!$E440</f>
        <v>-4.3587000000000001E-2</v>
      </c>
      <c r="P440" s="2">
        <f>ff_portfolios25!P440-ff_factors!$E440</f>
        <v>-4.0551999999999998E-2</v>
      </c>
      <c r="Q440" s="2">
        <f>ff_portfolios25!Q440-ff_factors!$E440</f>
        <v>-1.3985000000000001E-2</v>
      </c>
      <c r="R440" s="2">
        <f>ff_portfolios25!R440-ff_factors!$E440</f>
        <v>-6.6769999999999998E-3</v>
      </c>
      <c r="S440" s="2">
        <f>ff_portfolios25!S440-ff_factors!$E440</f>
        <v>-6.0051E-2</v>
      </c>
      <c r="T440" s="2">
        <f>ff_portfolios25!T440-ff_factors!$E440</f>
        <v>-4.1624999999999995E-2</v>
      </c>
      <c r="U440" s="2">
        <f>ff_portfolios25!U440-ff_factors!$E440</f>
        <v>-4.6156999999999997E-2</v>
      </c>
      <c r="V440" s="2">
        <f>ff_portfolios25!V440-ff_factors!$E440</f>
        <v>-1.8442E-2</v>
      </c>
      <c r="W440" s="2">
        <f>ff_portfolios25!W440-ff_factors!$E440</f>
        <v>-2.6917E-2</v>
      </c>
      <c r="X440" s="2">
        <f>ff_portfolios25!X440-ff_factors!$E440</f>
        <v>-5.7613999999999999E-2</v>
      </c>
      <c r="Y440" s="2">
        <f>ff_portfolios25!Y440-ff_factors!$E440</f>
        <v>-1.4530999999999999E-2</v>
      </c>
      <c r="Z440" s="2">
        <f>ff_portfolios25!Z440-ff_factors!$E440</f>
        <v>1.8088E-2</v>
      </c>
      <c r="AA440" s="2">
        <f>ff_portfolios25!AA440-ff_factors!$E440</f>
        <v>4.4800000000000005E-3</v>
      </c>
      <c r="AB440" s="2">
        <f>ff_portfolios25!AB440-ff_factors!$E440</f>
        <v>6.6249999999999998E-3</v>
      </c>
    </row>
    <row r="441" spans="1:28" x14ac:dyDescent="0.2">
      <c r="A441">
        <v>19680830</v>
      </c>
      <c r="B441">
        <v>1968</v>
      </c>
      <c r="C441">
        <v>8</v>
      </c>
      <c r="D441" s="2">
        <f>ff_portfolios25!D441-ff_factors!$E441</f>
        <v>4.1158E-2</v>
      </c>
      <c r="E441" s="2">
        <f>ff_portfolios25!E441-ff_factors!$E441</f>
        <v>5.3698999999999997E-2</v>
      </c>
      <c r="F441" s="2">
        <f>ff_portfolios25!F441-ff_factors!$E441</f>
        <v>4.4366999999999997E-2</v>
      </c>
      <c r="G441" s="2">
        <f>ff_portfolios25!G441-ff_factors!$E441</f>
        <v>3.6778999999999999E-2</v>
      </c>
      <c r="H441" s="2">
        <f>ff_portfolios25!H441-ff_factors!$E441</f>
        <v>4.3483999999999995E-2</v>
      </c>
      <c r="I441" s="2">
        <f>ff_portfolios25!I441-ff_factors!$E441</f>
        <v>1.1508000000000001E-2</v>
      </c>
      <c r="J441" s="2">
        <f>ff_portfolios25!J441-ff_factors!$E441</f>
        <v>2.9592999999999998E-2</v>
      </c>
      <c r="K441" s="2">
        <f>ff_portfolios25!K441-ff_factors!$E441</f>
        <v>3.3945999999999997E-2</v>
      </c>
      <c r="L441" s="2">
        <f>ff_portfolios25!L441-ff_factors!$E441</f>
        <v>8.5560000000000011E-3</v>
      </c>
      <c r="M441" s="2">
        <f>ff_portfolios25!M441-ff_factors!$E441</f>
        <v>6.6646000000000011E-2</v>
      </c>
      <c r="N441" s="2">
        <f>ff_portfolios25!N441-ff_factors!$E441</f>
        <v>2.6969E-2</v>
      </c>
      <c r="O441" s="2">
        <f>ff_portfolios25!O441-ff_factors!$E441</f>
        <v>2.9019E-2</v>
      </c>
      <c r="P441" s="2">
        <f>ff_portfolios25!P441-ff_factors!$E441</f>
        <v>2.3578000000000002E-2</v>
      </c>
      <c r="Q441" s="2">
        <f>ff_portfolios25!Q441-ff_factors!$E441</f>
        <v>2.1091000000000002E-2</v>
      </c>
      <c r="R441" s="2">
        <f>ff_portfolios25!R441-ff_factors!$E441</f>
        <v>4.539E-2</v>
      </c>
      <c r="S441" s="2">
        <f>ff_portfolios25!S441-ff_factors!$E441</f>
        <v>1.2718E-2</v>
      </c>
      <c r="T441" s="2">
        <f>ff_portfolios25!T441-ff_factors!$E441</f>
        <v>8.6350000000000003E-3</v>
      </c>
      <c r="U441" s="2">
        <f>ff_portfolios25!U441-ff_factors!$E441</f>
        <v>1.5343000000000002E-2</v>
      </c>
      <c r="V441" s="2">
        <f>ff_portfolios25!V441-ff_factors!$E441</f>
        <v>1.7497000000000002E-2</v>
      </c>
      <c r="W441" s="2">
        <f>ff_portfolios25!W441-ff_factors!$E441</f>
        <v>2.6616000000000001E-2</v>
      </c>
      <c r="X441" s="2">
        <f>ff_portfolios25!X441-ff_factors!$E441</f>
        <v>6.8300000000000001E-3</v>
      </c>
      <c r="Y441" s="2">
        <f>ff_portfolios25!Y441-ff_factors!$E441</f>
        <v>2.6090000000000002E-3</v>
      </c>
      <c r="Z441" s="2">
        <f>ff_portfolios25!Z441-ff_factors!$E441</f>
        <v>1.3695000000000002E-2</v>
      </c>
      <c r="AA441" s="2">
        <f>ff_portfolios25!AA441-ff_factors!$E441</f>
        <v>1.2343E-2</v>
      </c>
      <c r="AB441" s="2">
        <f>ff_portfolios25!AB441-ff_factors!$E441</f>
        <v>2.4758000000000002E-2</v>
      </c>
    </row>
    <row r="442" spans="1:28" x14ac:dyDescent="0.2">
      <c r="A442">
        <v>19680930</v>
      </c>
      <c r="B442">
        <v>1968</v>
      </c>
      <c r="C442">
        <v>9</v>
      </c>
      <c r="D442" s="2">
        <f>ff_portfolios25!D442-ff_factors!$E442</f>
        <v>6.7270999999999997E-2</v>
      </c>
      <c r="E442" s="2">
        <f>ff_portfolios25!E442-ff_factors!$E442</f>
        <v>8.0475000000000005E-2</v>
      </c>
      <c r="F442" s="2">
        <f>ff_portfolios25!F442-ff_factors!$E442</f>
        <v>6.5046000000000007E-2</v>
      </c>
      <c r="G442" s="2">
        <f>ff_portfolios25!G442-ff_factors!$E442</f>
        <v>5.5113000000000002E-2</v>
      </c>
      <c r="H442" s="2">
        <f>ff_portfolios25!H442-ff_factors!$E442</f>
        <v>5.8306999999999998E-2</v>
      </c>
      <c r="I442" s="2">
        <f>ff_portfolios25!I442-ff_factors!$E442</f>
        <v>6.6592999999999999E-2</v>
      </c>
      <c r="J442" s="2">
        <f>ff_portfolios25!J442-ff_factors!$E442</f>
        <v>5.6965000000000002E-2</v>
      </c>
      <c r="K442" s="2">
        <f>ff_portfolios25!K442-ff_factors!$E442</f>
        <v>6.7412E-2</v>
      </c>
      <c r="L442" s="2">
        <f>ff_portfolios25!L442-ff_factors!$E442</f>
        <v>5.7509999999999999E-2</v>
      </c>
      <c r="M442" s="2">
        <f>ff_portfolios25!M442-ff_factors!$E442</f>
        <v>5.8415000000000009E-2</v>
      </c>
      <c r="N442" s="2">
        <f>ff_portfolios25!N442-ff_factors!$E442</f>
        <v>6.7096000000000003E-2</v>
      </c>
      <c r="O442" s="2">
        <f>ff_portfolios25!O442-ff_factors!$E442</f>
        <v>6.3686000000000006E-2</v>
      </c>
      <c r="P442" s="2">
        <f>ff_portfolios25!P442-ff_factors!$E442</f>
        <v>2.9627000000000001E-2</v>
      </c>
      <c r="Q442" s="2">
        <f>ff_portfolios25!Q442-ff_factors!$E442</f>
        <v>5.5955000000000005E-2</v>
      </c>
      <c r="R442" s="2">
        <f>ff_portfolios25!R442-ff_factors!$E442</f>
        <v>5.9486999999999998E-2</v>
      </c>
      <c r="S442" s="2">
        <f>ff_portfolios25!S442-ff_factors!$E442</f>
        <v>6.5007999999999996E-2</v>
      </c>
      <c r="T442" s="2">
        <f>ff_portfolios25!T442-ff_factors!$E442</f>
        <v>5.6695000000000002E-2</v>
      </c>
      <c r="U442" s="2">
        <f>ff_portfolios25!U442-ff_factors!$E442</f>
        <v>4.2909000000000003E-2</v>
      </c>
      <c r="V442" s="2">
        <f>ff_portfolios25!V442-ff_factors!$E442</f>
        <v>6.3684000000000004E-2</v>
      </c>
      <c r="W442" s="2">
        <f>ff_portfolios25!W442-ff_factors!$E442</f>
        <v>5.4741999999999999E-2</v>
      </c>
      <c r="X442" s="2">
        <f>ff_portfolios25!X442-ff_factors!$E442</f>
        <v>1.6055E-2</v>
      </c>
      <c r="Y442" s="2">
        <f>ff_portfolios25!Y442-ff_factors!$E442</f>
        <v>4.8698000000000005E-2</v>
      </c>
      <c r="Z442" s="2">
        <f>ff_portfolios25!Z442-ff_factors!$E442</f>
        <v>1.8849999999999999E-2</v>
      </c>
      <c r="AA442" s="2">
        <f>ff_portfolios25!AA442-ff_factors!$E442</f>
        <v>3.8242000000000005E-2</v>
      </c>
      <c r="AB442" s="2">
        <f>ff_portfolios25!AB442-ff_factors!$E442</f>
        <v>7.8727000000000005E-2</v>
      </c>
    </row>
    <row r="443" spans="1:28" x14ac:dyDescent="0.2">
      <c r="A443">
        <v>19681031</v>
      </c>
      <c r="B443">
        <v>1968</v>
      </c>
      <c r="C443">
        <v>10</v>
      </c>
      <c r="D443" s="2">
        <f>ff_portfolios25!D443-ff_factors!$E443</f>
        <v>-2.4909000000000001E-2</v>
      </c>
      <c r="E443" s="2">
        <f>ff_portfolios25!E443-ff_factors!$E443</f>
        <v>-4.6840000000000007E-3</v>
      </c>
      <c r="F443" s="2">
        <f>ff_portfolios25!F443-ff_factors!$E443</f>
        <v>9.6289999999999987E-3</v>
      </c>
      <c r="G443" s="2">
        <f>ff_portfolios25!G443-ff_factors!$E443</f>
        <v>2.0709999999999999E-3</v>
      </c>
      <c r="H443" s="2">
        <f>ff_portfolios25!H443-ff_factors!$E443</f>
        <v>1.2118999999999998E-2</v>
      </c>
      <c r="I443" s="2">
        <f>ff_portfolios25!I443-ff_factors!$E443</f>
        <v>-7.4530000000000004E-3</v>
      </c>
      <c r="J443" s="2">
        <f>ff_portfolios25!J443-ff_factors!$E443</f>
        <v>3.3499999999999997E-3</v>
      </c>
      <c r="K443" s="2">
        <f>ff_portfolios25!K443-ff_factors!$E443</f>
        <v>1.3888999999999999E-2</v>
      </c>
      <c r="L443" s="2">
        <f>ff_portfolios25!L443-ff_factors!$E443</f>
        <v>1.9327E-2</v>
      </c>
      <c r="M443" s="2">
        <f>ff_portfolios25!M443-ff_factors!$E443</f>
        <v>5.0800000000000003E-3</v>
      </c>
      <c r="N443" s="2">
        <f>ff_portfolios25!N443-ff_factors!$E443</f>
        <v>-5.3790000000000001E-3</v>
      </c>
      <c r="O443" s="2">
        <f>ff_portfolios25!O443-ff_factors!$E443</f>
        <v>2.1135999999999999E-2</v>
      </c>
      <c r="P443" s="2">
        <f>ff_portfolios25!P443-ff_factors!$E443</f>
        <v>2.6874000000000002E-2</v>
      </c>
      <c r="Q443" s="2">
        <f>ff_portfolios25!Q443-ff_factors!$E443</f>
        <v>2.1158E-2</v>
      </c>
      <c r="R443" s="2">
        <f>ff_portfolios25!R443-ff_factors!$E443</f>
        <v>3.7519999999999993E-3</v>
      </c>
      <c r="S443" s="2">
        <f>ff_portfolios25!S443-ff_factors!$E443</f>
        <v>-5.5659999999999998E-3</v>
      </c>
      <c r="T443" s="2">
        <f>ff_portfolios25!T443-ff_factors!$E443</f>
        <v>8.2099999999999968E-4</v>
      </c>
      <c r="U443" s="2">
        <f>ff_portfolios25!U443-ff_factors!$E443</f>
        <v>1.9705E-2</v>
      </c>
      <c r="V443" s="2">
        <f>ff_portfolios25!V443-ff_factors!$E443</f>
        <v>3.5529999999999997E-3</v>
      </c>
      <c r="W443" s="2">
        <f>ff_portfolios25!W443-ff_factors!$E443</f>
        <v>2.1668E-2</v>
      </c>
      <c r="X443" s="2">
        <f>ff_portfolios25!X443-ff_factors!$E443</f>
        <v>-2.1841000000000003E-2</v>
      </c>
      <c r="Y443" s="2">
        <f>ff_portfolios25!Y443-ff_factors!$E443</f>
        <v>1.7017999999999998E-2</v>
      </c>
      <c r="Z443" s="2">
        <f>ff_portfolios25!Z443-ff_factors!$E443</f>
        <v>1.4432E-2</v>
      </c>
      <c r="AA443" s="2">
        <f>ff_portfolios25!AA443-ff_factors!$E443</f>
        <v>3.3134999999999998E-2</v>
      </c>
      <c r="AB443" s="2">
        <f>ff_portfolios25!AB443-ff_factors!$E443</f>
        <v>7.0669999999999995E-3</v>
      </c>
    </row>
    <row r="444" spans="1:28" x14ac:dyDescent="0.2">
      <c r="A444">
        <v>19681129</v>
      </c>
      <c r="B444">
        <v>1968</v>
      </c>
      <c r="C444">
        <v>11</v>
      </c>
      <c r="D444" s="2">
        <f>ff_portfolios25!D444-ff_factors!$E444</f>
        <v>6.3327000000000008E-2</v>
      </c>
      <c r="E444" s="2">
        <f>ff_portfolios25!E444-ff_factors!$E444</f>
        <v>7.2800000000000004E-2</v>
      </c>
      <c r="F444" s="2">
        <f>ff_portfolios25!F444-ff_factors!$E444</f>
        <v>6.0761000000000003E-2</v>
      </c>
      <c r="G444" s="2">
        <f>ff_portfolios25!G444-ff_factors!$E444</f>
        <v>6.1734000000000004E-2</v>
      </c>
      <c r="H444" s="2">
        <f>ff_portfolios25!H444-ff_factors!$E444</f>
        <v>6.5425000000000011E-2</v>
      </c>
      <c r="I444" s="2">
        <f>ff_portfolios25!I444-ff_factors!$E444</f>
        <v>9.6642000000000006E-2</v>
      </c>
      <c r="J444" s="2">
        <f>ff_portfolios25!J444-ff_factors!$E444</f>
        <v>8.6426000000000003E-2</v>
      </c>
      <c r="K444" s="2">
        <f>ff_portfolios25!K444-ff_factors!$E444</f>
        <v>7.9138E-2</v>
      </c>
      <c r="L444" s="2">
        <f>ff_portfolios25!L444-ff_factors!$E444</f>
        <v>8.5107000000000002E-2</v>
      </c>
      <c r="M444" s="2">
        <f>ff_portfolios25!M444-ff_factors!$E444</f>
        <v>5.4622999999999998E-2</v>
      </c>
      <c r="N444" s="2">
        <f>ff_portfolios25!N444-ff_factors!$E444</f>
        <v>8.0436000000000007E-2</v>
      </c>
      <c r="O444" s="2">
        <f>ff_portfolios25!O444-ff_factors!$E444</f>
        <v>6.7443000000000003E-2</v>
      </c>
      <c r="P444" s="2">
        <f>ff_portfolios25!P444-ff_factors!$E444</f>
        <v>7.5445999999999999E-2</v>
      </c>
      <c r="Q444" s="2">
        <f>ff_portfolios25!Q444-ff_factors!$E444</f>
        <v>9.3345000000000011E-2</v>
      </c>
      <c r="R444" s="2">
        <f>ff_portfolios25!R444-ff_factors!$E444</f>
        <v>7.313900000000001E-2</v>
      </c>
      <c r="S444" s="2">
        <f>ff_portfolios25!S444-ff_factors!$E444</f>
        <v>6.5354000000000009E-2</v>
      </c>
      <c r="T444" s="2">
        <f>ff_portfolios25!T444-ff_factors!$E444</f>
        <v>7.3581000000000008E-2</v>
      </c>
      <c r="U444" s="2">
        <f>ff_portfolios25!U444-ff_factors!$E444</f>
        <v>6.9114000000000009E-2</v>
      </c>
      <c r="V444" s="2">
        <f>ff_portfolios25!V444-ff_factors!$E444</f>
        <v>6.7978999999999998E-2</v>
      </c>
      <c r="W444" s="2">
        <f>ff_portfolios25!W444-ff_factors!$E444</f>
        <v>7.9377000000000003E-2</v>
      </c>
      <c r="X444" s="2">
        <f>ff_portfolios25!X444-ff_factors!$E444</f>
        <v>5.8451999999999997E-2</v>
      </c>
      <c r="Y444" s="2">
        <f>ff_portfolios25!Y444-ff_factors!$E444</f>
        <v>2.5815000000000001E-2</v>
      </c>
      <c r="Z444" s="2">
        <f>ff_portfolios25!Z444-ff_factors!$E444</f>
        <v>5.2939E-2</v>
      </c>
      <c r="AA444" s="2">
        <f>ff_portfolios25!AA444-ff_factors!$E444</f>
        <v>4.1169999999999998E-2</v>
      </c>
      <c r="AB444" s="2">
        <f>ff_portfolios25!AB444-ff_factors!$E444</f>
        <v>3.3814999999999998E-2</v>
      </c>
    </row>
    <row r="445" spans="1:28" x14ac:dyDescent="0.2">
      <c r="A445">
        <v>19681231</v>
      </c>
      <c r="B445">
        <v>1968</v>
      </c>
      <c r="C445">
        <v>12</v>
      </c>
      <c r="D445" s="2">
        <f>ff_portfolios25!D445-ff_factors!$E445</f>
        <v>3.6413000000000001E-2</v>
      </c>
      <c r="E445" s="2">
        <f>ff_portfolios25!E445-ff_factors!$E445</f>
        <v>1.9131000000000002E-2</v>
      </c>
      <c r="F445" s="2">
        <f>ff_portfolios25!F445-ff_factors!$E445</f>
        <v>2.5970000000000003E-3</v>
      </c>
      <c r="G445" s="2">
        <f>ff_portfolios25!G445-ff_factors!$E445</f>
        <v>-6.7650000000000002E-3</v>
      </c>
      <c r="H445" s="2">
        <f>ff_portfolios25!H445-ff_factors!$E445</f>
        <v>1.0039999999999997E-3</v>
      </c>
      <c r="I445" s="2">
        <f>ff_portfolios25!I445-ff_factors!$E445</f>
        <v>-5.3480000000000003E-3</v>
      </c>
      <c r="J445" s="2">
        <f>ff_portfolios25!J445-ff_factors!$E445</f>
        <v>1.379E-3</v>
      </c>
      <c r="K445" s="2">
        <f>ff_portfolios25!K445-ff_factors!$E445</f>
        <v>-1.8756999999999999E-2</v>
      </c>
      <c r="L445" s="2">
        <f>ff_portfolios25!L445-ff_factors!$E445</f>
        <v>-3.4743000000000003E-2</v>
      </c>
      <c r="M445" s="2">
        <f>ff_portfolios25!M445-ff_factors!$E445</f>
        <v>-3.9667000000000001E-2</v>
      </c>
      <c r="N445" s="2">
        <f>ff_portfolios25!N445-ff_factors!$E445</f>
        <v>-3.0864999999999997E-2</v>
      </c>
      <c r="O445" s="2">
        <f>ff_portfolios25!O445-ff_factors!$E445</f>
        <v>-4.4386999999999996E-2</v>
      </c>
      <c r="P445" s="2">
        <f>ff_portfolios25!P445-ff_factors!$E445</f>
        <v>-1.7646999999999999E-2</v>
      </c>
      <c r="Q445" s="2">
        <f>ff_portfolios25!Q445-ff_factors!$E445</f>
        <v>-1.964E-3</v>
      </c>
      <c r="R445" s="2">
        <f>ff_portfolios25!R445-ff_factors!$E445</f>
        <v>-3.3045999999999999E-2</v>
      </c>
      <c r="S445" s="2">
        <f>ff_portfolios25!S445-ff_factors!$E445</f>
        <v>-4.4526999999999997E-2</v>
      </c>
      <c r="T445" s="2">
        <f>ff_portfolios25!T445-ff_factors!$E445</f>
        <v>-4.7959000000000002E-2</v>
      </c>
      <c r="U445" s="2">
        <f>ff_portfolios25!U445-ff_factors!$E445</f>
        <v>-4.7060999999999999E-2</v>
      </c>
      <c r="V445" s="2">
        <f>ff_portfolios25!V445-ff_factors!$E445</f>
        <v>-1.8801999999999999E-2</v>
      </c>
      <c r="W445" s="2">
        <f>ff_portfolios25!W445-ff_factors!$E445</f>
        <v>-1.0710000000000001E-2</v>
      </c>
      <c r="X445" s="2">
        <f>ff_portfolios25!X445-ff_factors!$E445</f>
        <v>-5.7668999999999998E-2</v>
      </c>
      <c r="Y445" s="2">
        <f>ff_portfolios25!Y445-ff_factors!$E445</f>
        <v>-4.8307999999999997E-2</v>
      </c>
      <c r="Z445" s="2">
        <f>ff_portfolios25!Z445-ff_factors!$E445</f>
        <v>-3.5869999999999999E-2</v>
      </c>
      <c r="AA445" s="2">
        <f>ff_portfolios25!AA445-ff_factors!$E445</f>
        <v>-3.891E-2</v>
      </c>
      <c r="AB445" s="2">
        <f>ff_portfolios25!AB445-ff_factors!$E445</f>
        <v>-3.4583999999999997E-2</v>
      </c>
    </row>
    <row r="446" spans="1:28" x14ac:dyDescent="0.2">
      <c r="A446">
        <v>19690131</v>
      </c>
      <c r="B446">
        <v>1969</v>
      </c>
      <c r="C446">
        <v>1</v>
      </c>
      <c r="D446" s="2">
        <f>ff_portfolios25!D446-ff_factors!$E446</f>
        <v>-1.0588E-2</v>
      </c>
      <c r="E446" s="2">
        <f>ff_portfolios25!E446-ff_factors!$E446</f>
        <v>-2.6483E-2</v>
      </c>
      <c r="F446" s="2">
        <f>ff_portfolios25!F446-ff_factors!$E446</f>
        <v>-2.4565E-2</v>
      </c>
      <c r="G446" s="2">
        <f>ff_portfolios25!G446-ff_factors!$E446</f>
        <v>-1.8436999999999999E-2</v>
      </c>
      <c r="H446" s="2">
        <f>ff_portfolios25!H446-ff_factors!$E446</f>
        <v>-1.8430999999999999E-2</v>
      </c>
      <c r="I446" s="2">
        <f>ff_portfolios25!I446-ff_factors!$E446</f>
        <v>-3.2221E-2</v>
      </c>
      <c r="J446" s="2">
        <f>ff_portfolios25!J446-ff_factors!$E446</f>
        <v>-1.5295E-2</v>
      </c>
      <c r="K446" s="2">
        <f>ff_portfolios25!K446-ff_factors!$E446</f>
        <v>-2.0532999999999999E-2</v>
      </c>
      <c r="L446" s="2">
        <f>ff_portfolios25!L446-ff_factors!$E446</f>
        <v>7.2780000000000006E-3</v>
      </c>
      <c r="M446" s="2">
        <f>ff_portfolios25!M446-ff_factors!$E446</f>
        <v>1.0819999999999996E-3</v>
      </c>
      <c r="N446" s="2">
        <f>ff_portfolios25!N446-ff_factors!$E446</f>
        <v>-3.8540999999999999E-2</v>
      </c>
      <c r="O446" s="2">
        <f>ff_portfolios25!O446-ff_factors!$E446</f>
        <v>-1.6483999999999999E-2</v>
      </c>
      <c r="P446" s="2">
        <f>ff_portfolios25!P446-ff_factors!$E446</f>
        <v>-1.0519000000000001E-2</v>
      </c>
      <c r="Q446" s="2">
        <f>ff_portfolios25!Q446-ff_factors!$E446</f>
        <v>-1.6941000000000001E-2</v>
      </c>
      <c r="R446" s="2">
        <f>ff_portfolios25!R446-ff_factors!$E446</f>
        <v>-1.7381000000000001E-2</v>
      </c>
      <c r="S446" s="2">
        <f>ff_portfolios25!S446-ff_factors!$E446</f>
        <v>-2.7141999999999999E-2</v>
      </c>
      <c r="T446" s="2">
        <f>ff_portfolios25!T446-ff_factors!$E446</f>
        <v>-3.8349999999999999E-3</v>
      </c>
      <c r="U446" s="2">
        <f>ff_portfolios25!U446-ff_factors!$E446</f>
        <v>-5.2290000000000001E-3</v>
      </c>
      <c r="V446" s="2">
        <f>ff_portfolios25!V446-ff_factors!$E446</f>
        <v>-8.1209999999999997E-3</v>
      </c>
      <c r="W446" s="2">
        <f>ff_portfolios25!W446-ff_factors!$E446</f>
        <v>7.4180000000000001E-3</v>
      </c>
      <c r="X446" s="2">
        <f>ff_portfolios25!X446-ff_factors!$E446</f>
        <v>-2.6817999999999998E-2</v>
      </c>
      <c r="Y446" s="2">
        <f>ff_portfolios25!Y446-ff_factors!$E446</f>
        <v>-9.6270000000000001E-3</v>
      </c>
      <c r="Z446" s="2">
        <f>ff_portfolios25!Z446-ff_factors!$E446</f>
        <v>2.7180000000000008E-3</v>
      </c>
      <c r="AA446" s="2">
        <f>ff_portfolios25!AA446-ff_factors!$E446</f>
        <v>-8.9359999999999995E-3</v>
      </c>
      <c r="AB446" s="2">
        <f>ff_portfolios25!AB446-ff_factors!$E446</f>
        <v>1.0907E-2</v>
      </c>
    </row>
    <row r="447" spans="1:28" x14ac:dyDescent="0.2">
      <c r="A447">
        <v>19690228</v>
      </c>
      <c r="B447">
        <v>1969</v>
      </c>
      <c r="C447">
        <v>2</v>
      </c>
      <c r="D447" s="2">
        <f>ff_portfolios25!D447-ff_factors!$E447</f>
        <v>-0.12837799999999999</v>
      </c>
      <c r="E447" s="2">
        <f>ff_portfolios25!E447-ff_factors!$E447</f>
        <v>-0.11185999999999999</v>
      </c>
      <c r="F447" s="2">
        <f>ff_portfolios25!F447-ff_factors!$E447</f>
        <v>-9.5125999999999988E-2</v>
      </c>
      <c r="G447" s="2">
        <f>ff_portfolios25!G447-ff_factors!$E447</f>
        <v>-9.1309000000000001E-2</v>
      </c>
      <c r="H447" s="2">
        <f>ff_portfolios25!H447-ff_factors!$E447</f>
        <v>-9.2358999999999997E-2</v>
      </c>
      <c r="I447" s="2">
        <f>ff_portfolios25!I447-ff_factors!$E447</f>
        <v>-0.115117</v>
      </c>
      <c r="J447" s="2">
        <f>ff_portfolios25!J447-ff_factors!$E447</f>
        <v>-8.6194999999999994E-2</v>
      </c>
      <c r="K447" s="2">
        <f>ff_portfolios25!K447-ff_factors!$E447</f>
        <v>-5.3794000000000002E-2</v>
      </c>
      <c r="L447" s="2">
        <f>ff_portfolios25!L447-ff_factors!$E447</f>
        <v>-7.5711000000000001E-2</v>
      </c>
      <c r="M447" s="2">
        <f>ff_portfolios25!M447-ff_factors!$E447</f>
        <v>-7.9038999999999998E-2</v>
      </c>
      <c r="N447" s="2">
        <f>ff_portfolios25!N447-ff_factors!$E447</f>
        <v>-9.6294999999999992E-2</v>
      </c>
      <c r="O447" s="2">
        <f>ff_portfolios25!O447-ff_factors!$E447</f>
        <v>-8.871699999999999E-2</v>
      </c>
      <c r="P447" s="2">
        <f>ff_portfolios25!P447-ff_factors!$E447</f>
        <v>-6.5360000000000001E-2</v>
      </c>
      <c r="Q447" s="2">
        <f>ff_portfolios25!Q447-ff_factors!$E447</f>
        <v>-7.5194000000000011E-2</v>
      </c>
      <c r="R447" s="2">
        <f>ff_portfolios25!R447-ff_factors!$E447</f>
        <v>-6.2525999999999998E-2</v>
      </c>
      <c r="S447" s="2">
        <f>ff_portfolios25!S447-ff_factors!$E447</f>
        <v>-8.6291000000000007E-2</v>
      </c>
      <c r="T447" s="2">
        <f>ff_portfolios25!T447-ff_factors!$E447</f>
        <v>-7.9432000000000003E-2</v>
      </c>
      <c r="U447" s="2">
        <f>ff_portfolios25!U447-ff_factors!$E447</f>
        <v>-5.4299E-2</v>
      </c>
      <c r="V447" s="2">
        <f>ff_portfolios25!V447-ff_factors!$E447</f>
        <v>-7.6658000000000004E-2</v>
      </c>
      <c r="W447" s="2">
        <f>ff_portfolios25!W447-ff_factors!$E447</f>
        <v>-9.1925000000000007E-2</v>
      </c>
      <c r="X447" s="2">
        <f>ff_portfolios25!X447-ff_factors!$E447</f>
        <v>-3.8088999999999998E-2</v>
      </c>
      <c r="Y447" s="2">
        <f>ff_portfolios25!Y447-ff_factors!$E447</f>
        <v>-3.5652000000000003E-2</v>
      </c>
      <c r="Z447" s="2">
        <f>ff_portfolios25!Z447-ff_factors!$E447</f>
        <v>-5.5473000000000001E-2</v>
      </c>
      <c r="AA447" s="2">
        <f>ff_portfolios25!AA447-ff_factors!$E447</f>
        <v>-5.0612999999999998E-2</v>
      </c>
      <c r="AB447" s="2">
        <f>ff_portfolios25!AB447-ff_factors!$E447</f>
        <v>-6.6834000000000005E-2</v>
      </c>
    </row>
    <row r="448" spans="1:28" x14ac:dyDescent="0.2">
      <c r="A448">
        <v>19690328</v>
      </c>
      <c r="B448">
        <v>1969</v>
      </c>
      <c r="C448">
        <v>3</v>
      </c>
      <c r="D448" s="2">
        <f>ff_portfolios25!D448-ff_factors!$E448</f>
        <v>2.6692E-2</v>
      </c>
      <c r="E448" s="2">
        <f>ff_portfolios25!E448-ff_factors!$E448</f>
        <v>2.0055E-2</v>
      </c>
      <c r="F448" s="2">
        <f>ff_portfolios25!F448-ff_factors!$E448</f>
        <v>3.0993E-2</v>
      </c>
      <c r="G448" s="2">
        <f>ff_portfolios25!G448-ff_factors!$E448</f>
        <v>3.6950999999999998E-2</v>
      </c>
      <c r="H448" s="2">
        <f>ff_portfolios25!H448-ff_factors!$E448</f>
        <v>1.8984999999999998E-2</v>
      </c>
      <c r="I448" s="2">
        <f>ff_portfolios25!I448-ff_factors!$E448</f>
        <v>3.7680999999999999E-2</v>
      </c>
      <c r="J448" s="2">
        <f>ff_portfolios25!J448-ff_factors!$E448</f>
        <v>1.2275000000000001E-2</v>
      </c>
      <c r="K448" s="2">
        <f>ff_portfolios25!K448-ff_factors!$E448</f>
        <v>1.6816000000000001E-2</v>
      </c>
      <c r="L448" s="2">
        <f>ff_portfolios25!L448-ff_factors!$E448</f>
        <v>-7.8800000000000007E-4</v>
      </c>
      <c r="M448" s="2">
        <f>ff_portfolios25!M448-ff_factors!$E448</f>
        <v>4.9486000000000002E-2</v>
      </c>
      <c r="N448" s="2">
        <f>ff_portfolios25!N448-ff_factors!$E448</f>
        <v>1.6435999999999999E-2</v>
      </c>
      <c r="O448" s="2">
        <f>ff_portfolios25!O448-ff_factors!$E448</f>
        <v>2.1758E-2</v>
      </c>
      <c r="P448" s="2">
        <f>ff_portfolios25!P448-ff_factors!$E448</f>
        <v>4.0560000000000006E-3</v>
      </c>
      <c r="Q448" s="2">
        <f>ff_portfolios25!Q448-ff_factors!$E448</f>
        <v>2.0924000000000002E-2</v>
      </c>
      <c r="R448" s="2">
        <f>ff_portfolios25!R448-ff_factors!$E448</f>
        <v>2.2818999999999999E-2</v>
      </c>
      <c r="S448" s="2">
        <f>ff_portfolios25!S448-ff_factors!$E448</f>
        <v>4.1869999999999997E-2</v>
      </c>
      <c r="T448" s="2">
        <f>ff_portfolios25!T448-ff_factors!$E448</f>
        <v>-2.5436E-2</v>
      </c>
      <c r="U448" s="2">
        <f>ff_portfolios25!U448-ff_factors!$E448</f>
        <v>2.0240999999999999E-2</v>
      </c>
      <c r="V448" s="2">
        <f>ff_portfolios25!V448-ff_factors!$E448</f>
        <v>1.2277E-2</v>
      </c>
      <c r="W448" s="2">
        <f>ff_portfolios25!W448-ff_factors!$E448</f>
        <v>3.0990999999999998E-2</v>
      </c>
      <c r="X448" s="2">
        <f>ff_portfolios25!X448-ff_factors!$E448</f>
        <v>3.7609999999999998E-2</v>
      </c>
      <c r="Y448" s="2">
        <f>ff_portfolios25!Y448-ff_factors!$E448</f>
        <v>2.4372000000000001E-2</v>
      </c>
      <c r="Z448" s="2">
        <f>ff_portfolios25!Z448-ff_factors!$E448</f>
        <v>3.2485E-2</v>
      </c>
      <c r="AA448" s="2">
        <f>ff_portfolios25!AA448-ff_factors!$E448</f>
        <v>1.4852000000000001E-2</v>
      </c>
      <c r="AB448" s="2">
        <f>ff_portfolios25!AB448-ff_factors!$E448</f>
        <v>4.4525000000000002E-2</v>
      </c>
    </row>
    <row r="449" spans="1:28" x14ac:dyDescent="0.2">
      <c r="A449">
        <v>19690430</v>
      </c>
      <c r="B449">
        <v>1969</v>
      </c>
      <c r="C449">
        <v>4</v>
      </c>
      <c r="D449" s="2">
        <f>ff_portfolios25!D449-ff_factors!$E449</f>
        <v>5.2120000000000005E-3</v>
      </c>
      <c r="E449" s="2">
        <f>ff_portfolios25!E449-ff_factors!$E449</f>
        <v>-1.0218E-2</v>
      </c>
      <c r="F449" s="2">
        <f>ff_portfolios25!F449-ff_factors!$E449</f>
        <v>4.6620000000000003E-3</v>
      </c>
      <c r="G449" s="2">
        <f>ff_portfolios25!G449-ff_factors!$E449</f>
        <v>1.9626000000000001E-2</v>
      </c>
      <c r="H449" s="2">
        <f>ff_portfolios25!H449-ff_factors!$E449</f>
        <v>-5.0639999999999999E-3</v>
      </c>
      <c r="I449" s="2">
        <f>ff_portfolios25!I449-ff_factors!$E449</f>
        <v>1.0204000000000001E-2</v>
      </c>
      <c r="J449" s="2">
        <f>ff_portfolios25!J449-ff_factors!$E449</f>
        <v>5.9460000000000008E-3</v>
      </c>
      <c r="K449" s="2">
        <f>ff_portfolios25!K449-ff_factors!$E449</f>
        <v>5.3079999999999994E-3</v>
      </c>
      <c r="L449" s="2">
        <f>ff_portfolios25!L449-ff_factors!$E449</f>
        <v>-1.0780999999999999E-2</v>
      </c>
      <c r="M449" s="2">
        <f>ff_portfolios25!M449-ff_factors!$E449</f>
        <v>4.1464000000000001E-2</v>
      </c>
      <c r="N449" s="2">
        <f>ff_portfolios25!N449-ff_factors!$E449</f>
        <v>1.9049E-2</v>
      </c>
      <c r="O449" s="2">
        <f>ff_portfolios25!O449-ff_factors!$E449</f>
        <v>-4.058E-3</v>
      </c>
      <c r="P449" s="2">
        <f>ff_portfolios25!P449-ff_factors!$E449</f>
        <v>-2.0500000000000002E-3</v>
      </c>
      <c r="Q449" s="2">
        <f>ff_portfolios25!Q449-ff_factors!$E449</f>
        <v>1.5559E-2</v>
      </c>
      <c r="R449" s="2">
        <f>ff_portfolios25!R449-ff_factors!$E449</f>
        <v>-4.6600000000000027E-4</v>
      </c>
      <c r="S449" s="2">
        <f>ff_portfolios25!S449-ff_factors!$E449</f>
        <v>2.3436999999999999E-2</v>
      </c>
      <c r="T449" s="2">
        <f>ff_portfolios25!T449-ff_factors!$E449</f>
        <v>1.7972000000000002E-2</v>
      </c>
      <c r="U449" s="2">
        <f>ff_portfolios25!U449-ff_factors!$E449</f>
        <v>-7.9400000000000043E-4</v>
      </c>
      <c r="V449" s="2">
        <f>ff_portfolios25!V449-ff_factors!$E449</f>
        <v>-1.1286000000000001E-2</v>
      </c>
      <c r="W449" s="2">
        <f>ff_portfolios25!W449-ff_factors!$E449</f>
        <v>1.1864E-2</v>
      </c>
      <c r="X449" s="2">
        <f>ff_portfolios25!X449-ff_factors!$E449</f>
        <v>3.1941000000000004E-2</v>
      </c>
      <c r="Y449" s="2">
        <f>ff_portfolios25!Y449-ff_factors!$E449</f>
        <v>6.3369999999999998E-3</v>
      </c>
      <c r="Z449" s="2">
        <f>ff_portfolios25!Z449-ff_factors!$E449</f>
        <v>3.3820000000000005E-3</v>
      </c>
      <c r="AA449" s="2">
        <f>ff_portfolios25!AA449-ff_factors!$E449</f>
        <v>2.4919E-2</v>
      </c>
      <c r="AB449" s="2">
        <f>ff_portfolios25!AB449-ff_factors!$E449</f>
        <v>2.9450000000000006E-3</v>
      </c>
    </row>
    <row r="450" spans="1:28" x14ac:dyDescent="0.2">
      <c r="A450">
        <v>19690529</v>
      </c>
      <c r="B450">
        <v>1969</v>
      </c>
      <c r="C450">
        <v>5</v>
      </c>
      <c r="D450" s="2">
        <f>ff_portfolios25!D450-ff_factors!$E450</f>
        <v>5.464000000000001E-3</v>
      </c>
      <c r="E450" s="2">
        <f>ff_portfolios25!E450-ff_factors!$E450</f>
        <v>3.301000000000001E-3</v>
      </c>
      <c r="F450" s="2">
        <f>ff_portfolios25!F450-ff_factors!$E450</f>
        <v>5.3070000000000001E-3</v>
      </c>
      <c r="G450" s="2">
        <f>ff_portfolios25!G450-ff_factors!$E450</f>
        <v>3.0940000000000004E-3</v>
      </c>
      <c r="H450" s="2">
        <f>ff_portfolios25!H450-ff_factors!$E450</f>
        <v>-9.0999999999999935E-5</v>
      </c>
      <c r="I450" s="2">
        <f>ff_portfolios25!I450-ff_factors!$E450</f>
        <v>-2.4358999999999999E-2</v>
      </c>
      <c r="J450" s="2">
        <f>ff_portfolios25!J450-ff_factors!$E450</f>
        <v>-2.0936E-2</v>
      </c>
      <c r="K450" s="2">
        <f>ff_portfolios25!K450-ff_factors!$E450</f>
        <v>-1.4443000000000001E-2</v>
      </c>
      <c r="L450" s="2">
        <f>ff_portfolios25!L450-ff_factors!$E450</f>
        <v>-4.1169999999999991E-3</v>
      </c>
      <c r="M450" s="2">
        <f>ff_portfolios25!M450-ff_factors!$E450</f>
        <v>9.2000000000000068E-5</v>
      </c>
      <c r="N450" s="2">
        <f>ff_portfolios25!N450-ff_factors!$E450</f>
        <v>-3.5319999999999995E-3</v>
      </c>
      <c r="O450" s="2">
        <f>ff_portfolios25!O450-ff_factors!$E450</f>
        <v>-2.6229999999999995E-3</v>
      </c>
      <c r="P450" s="2">
        <f>ff_portfolios25!P450-ff_factors!$E450</f>
        <v>8.4720000000000004E-3</v>
      </c>
      <c r="Q450" s="2">
        <f>ff_portfolios25!Q450-ff_factors!$E450</f>
        <v>1.0062999999999999E-2</v>
      </c>
      <c r="R450" s="2">
        <f>ff_portfolios25!R450-ff_factors!$E450</f>
        <v>-2.3720999999999999E-2</v>
      </c>
      <c r="S450" s="2">
        <f>ff_portfolios25!S450-ff_factors!$E450</f>
        <v>-6.5169999999999994E-3</v>
      </c>
      <c r="T450" s="2">
        <f>ff_portfolios25!T450-ff_factors!$E450</f>
        <v>-1.1997000000000001E-2</v>
      </c>
      <c r="U450" s="2">
        <f>ff_portfolios25!U450-ff_factors!$E450</f>
        <v>8.1969999999999994E-3</v>
      </c>
      <c r="V450" s="2">
        <f>ff_portfolios25!V450-ff_factors!$E450</f>
        <v>7.1460000000000004E-3</v>
      </c>
      <c r="W450" s="2">
        <f>ff_portfolios25!W450-ff_factors!$E450</f>
        <v>-2.9491E-2</v>
      </c>
      <c r="X450" s="2">
        <f>ff_portfolios25!X450-ff_factors!$E450</f>
        <v>-9.6760000000000006E-3</v>
      </c>
      <c r="Y450" s="2">
        <f>ff_portfolios25!Y450-ff_factors!$E450</f>
        <v>7.2500000000000082E-4</v>
      </c>
      <c r="Z450" s="2">
        <f>ff_portfolios25!Z450-ff_factors!$E450</f>
        <v>4.8609999999999999E-3</v>
      </c>
      <c r="AA450" s="2">
        <f>ff_portfolios25!AA450-ff_factors!$E450</f>
        <v>9.6819999999999996E-3</v>
      </c>
      <c r="AB450" s="2">
        <f>ff_portfolios25!AB450-ff_factors!$E450</f>
        <v>1.5410000000000007E-3</v>
      </c>
    </row>
    <row r="451" spans="1:28" x14ac:dyDescent="0.2">
      <c r="A451">
        <v>19690630</v>
      </c>
      <c r="B451">
        <v>1969</v>
      </c>
      <c r="C451">
        <v>6</v>
      </c>
      <c r="D451" s="2">
        <f>ff_portfolios25!D451-ff_factors!$E451</f>
        <v>-0.151533</v>
      </c>
      <c r="E451" s="2">
        <f>ff_portfolios25!E451-ff_factors!$E451</f>
        <v>-0.134302</v>
      </c>
      <c r="F451" s="2">
        <f>ff_portfolios25!F451-ff_factors!$E451</f>
        <v>-0.139679</v>
      </c>
      <c r="G451" s="2">
        <f>ff_portfolios25!G451-ff_factors!$E451</f>
        <v>-0.131025</v>
      </c>
      <c r="H451" s="2">
        <f>ff_portfolios25!H451-ff_factors!$E451</f>
        <v>-0.12796099999999999</v>
      </c>
      <c r="I451" s="2">
        <f>ff_portfolios25!I451-ff_factors!$E451</f>
        <v>-0.12687599999999999</v>
      </c>
      <c r="J451" s="2">
        <f>ff_portfolios25!J451-ff_factors!$E451</f>
        <v>-0.11579800000000001</v>
      </c>
      <c r="K451" s="2">
        <f>ff_portfolios25!K451-ff_factors!$E451</f>
        <v>-9.6568999999999988E-2</v>
      </c>
      <c r="L451" s="2">
        <f>ff_portfolios25!L451-ff_factors!$E451</f>
        <v>-0.10564599999999999</v>
      </c>
      <c r="M451" s="2">
        <f>ff_portfolios25!M451-ff_factors!$E451</f>
        <v>-0.11452799999999999</v>
      </c>
      <c r="N451" s="2">
        <f>ff_portfolios25!N451-ff_factors!$E451</f>
        <v>-0.109739</v>
      </c>
      <c r="O451" s="2">
        <f>ff_portfolios25!O451-ff_factors!$E451</f>
        <v>-9.9963999999999997E-2</v>
      </c>
      <c r="P451" s="2">
        <f>ff_portfolios25!P451-ff_factors!$E451</f>
        <v>-0.11705599999999999</v>
      </c>
      <c r="Q451" s="2">
        <f>ff_portfolios25!Q451-ff_factors!$E451</f>
        <v>-0.10353699999999999</v>
      </c>
      <c r="R451" s="2">
        <f>ff_portfolios25!R451-ff_factors!$E451</f>
        <v>-9.5631999999999995E-2</v>
      </c>
      <c r="S451" s="2">
        <f>ff_portfolios25!S451-ff_factors!$E451</f>
        <v>-7.5906000000000001E-2</v>
      </c>
      <c r="T451" s="2">
        <f>ff_portfolios25!T451-ff_factors!$E451</f>
        <v>-9.3178000000000011E-2</v>
      </c>
      <c r="U451" s="2">
        <f>ff_portfolios25!U451-ff_factors!$E451</f>
        <v>-7.7127000000000001E-2</v>
      </c>
      <c r="V451" s="2">
        <f>ff_portfolios25!V451-ff_factors!$E451</f>
        <v>-9.0241999999999989E-2</v>
      </c>
      <c r="W451" s="2">
        <f>ff_portfolios25!W451-ff_factors!$E451</f>
        <v>-8.9262000000000008E-2</v>
      </c>
      <c r="X451" s="2">
        <f>ff_portfolios25!X451-ff_factors!$E451</f>
        <v>-2.1013E-2</v>
      </c>
      <c r="Y451" s="2">
        <f>ff_portfolios25!Y451-ff_factors!$E451</f>
        <v>-7.3319999999999996E-2</v>
      </c>
      <c r="Z451" s="2">
        <f>ff_portfolios25!Z451-ff_factors!$E451</f>
        <v>-7.9624E-2</v>
      </c>
      <c r="AA451" s="2">
        <f>ff_portfolios25!AA451-ff_factors!$E451</f>
        <v>-7.1719000000000005E-2</v>
      </c>
      <c r="AB451" s="2">
        <f>ff_portfolios25!AB451-ff_factors!$E451</f>
        <v>-8.9641999999999999E-2</v>
      </c>
    </row>
    <row r="452" spans="1:28" x14ac:dyDescent="0.2">
      <c r="A452">
        <v>19690731</v>
      </c>
      <c r="B452">
        <v>1969</v>
      </c>
      <c r="C452">
        <v>7</v>
      </c>
      <c r="D452" s="2">
        <f>ff_portfolios25!D452-ff_factors!$E452</f>
        <v>-0.135412</v>
      </c>
      <c r="E452" s="2">
        <f>ff_portfolios25!E452-ff_factors!$E452</f>
        <v>-0.120223</v>
      </c>
      <c r="F452" s="2">
        <f>ff_portfolios25!F452-ff_factors!$E452</f>
        <v>-0.11479399999999999</v>
      </c>
      <c r="G452" s="2">
        <f>ff_portfolios25!G452-ff_factors!$E452</f>
        <v>-0.108776</v>
      </c>
      <c r="H452" s="2">
        <f>ff_portfolios25!H452-ff_factors!$E452</f>
        <v>-8.4359000000000003E-2</v>
      </c>
      <c r="I452" s="2">
        <f>ff_portfolios25!I452-ff_factors!$E452</f>
        <v>-0.11287700000000001</v>
      </c>
      <c r="J452" s="2">
        <f>ff_portfolios25!J452-ff_factors!$E452</f>
        <v>-0.105367</v>
      </c>
      <c r="K452" s="2">
        <f>ff_portfolios25!K452-ff_factors!$E452</f>
        <v>-8.9912999999999993E-2</v>
      </c>
      <c r="L452" s="2">
        <f>ff_portfolios25!L452-ff_factors!$E452</f>
        <v>-7.0746000000000003E-2</v>
      </c>
      <c r="M452" s="2">
        <f>ff_portfolios25!M452-ff_factors!$E452</f>
        <v>-8.9024000000000006E-2</v>
      </c>
      <c r="N452" s="2">
        <f>ff_portfolios25!N452-ff_factors!$E452</f>
        <v>-0.10696699999999999</v>
      </c>
      <c r="O452" s="2">
        <f>ff_portfolios25!O452-ff_factors!$E452</f>
        <v>-0.10753500000000001</v>
      </c>
      <c r="P452" s="2">
        <f>ff_portfolios25!P452-ff_factors!$E452</f>
        <v>-6.8982000000000002E-2</v>
      </c>
      <c r="Q452" s="2">
        <f>ff_portfolios25!Q452-ff_factors!$E452</f>
        <v>-6.5967999999999999E-2</v>
      </c>
      <c r="R452" s="2">
        <f>ff_portfolios25!R452-ff_factors!$E452</f>
        <v>-8.2890000000000005E-2</v>
      </c>
      <c r="S452" s="2">
        <f>ff_portfolios25!S452-ff_factors!$E452</f>
        <v>-7.1558999999999998E-2</v>
      </c>
      <c r="T452" s="2">
        <f>ff_portfolios25!T452-ff_factors!$E452</f>
        <v>-8.6542999999999995E-2</v>
      </c>
      <c r="U452" s="2">
        <f>ff_portfolios25!U452-ff_factors!$E452</f>
        <v>-7.5341999999999992E-2</v>
      </c>
      <c r="V452" s="2">
        <f>ff_portfolios25!V452-ff_factors!$E452</f>
        <v>-6.123E-2</v>
      </c>
      <c r="W452" s="2">
        <f>ff_portfolios25!W452-ff_factors!$E452</f>
        <v>-8.5517999999999997E-2</v>
      </c>
      <c r="X452" s="2">
        <f>ff_portfolios25!X452-ff_factors!$E452</f>
        <v>-4.5985999999999999E-2</v>
      </c>
      <c r="Y452" s="2">
        <f>ff_portfolios25!Y452-ff_factors!$E452</f>
        <v>-6.5018000000000006E-2</v>
      </c>
      <c r="Z452" s="2">
        <f>ff_portfolios25!Z452-ff_factors!$E452</f>
        <v>-6.9032999999999997E-2</v>
      </c>
      <c r="AA452" s="2">
        <f>ff_portfolios25!AA452-ff_factors!$E452</f>
        <v>-8.6881E-2</v>
      </c>
      <c r="AB452" s="2">
        <f>ff_portfolios25!AB452-ff_factors!$E452</f>
        <v>-6.1520999999999999E-2</v>
      </c>
    </row>
    <row r="453" spans="1:28" x14ac:dyDescent="0.2">
      <c r="A453">
        <v>19690829</v>
      </c>
      <c r="B453">
        <v>1969</v>
      </c>
      <c r="C453">
        <v>8</v>
      </c>
      <c r="D453" s="2">
        <f>ff_portfolios25!D453-ff_factors!$E453</f>
        <v>4.6291000000000006E-2</v>
      </c>
      <c r="E453" s="2">
        <f>ff_portfolios25!E453-ff_factors!$E453</f>
        <v>4.3422000000000002E-2</v>
      </c>
      <c r="F453" s="2">
        <f>ff_portfolios25!F453-ff_factors!$E453</f>
        <v>4.546E-2</v>
      </c>
      <c r="G453" s="2">
        <f>ff_portfolios25!G453-ff_factors!$E453</f>
        <v>2.7120000000000002E-2</v>
      </c>
      <c r="H453" s="2">
        <f>ff_portfolios25!H453-ff_factors!$E453</f>
        <v>2.2245999999999998E-2</v>
      </c>
      <c r="I453" s="2">
        <f>ff_portfolios25!I453-ff_factors!$E453</f>
        <v>6.649999999999999E-2</v>
      </c>
      <c r="J453" s="2">
        <f>ff_portfolios25!J453-ff_factors!$E453</f>
        <v>6.3275999999999999E-2</v>
      </c>
      <c r="K453" s="2">
        <f>ff_portfolios25!K453-ff_factors!$E453</f>
        <v>3.6137000000000002E-2</v>
      </c>
      <c r="L453" s="2">
        <f>ff_portfolios25!L453-ff_factors!$E453</f>
        <v>2.7748999999999999E-2</v>
      </c>
      <c r="M453" s="2">
        <f>ff_portfolios25!M453-ff_factors!$E453</f>
        <v>2.1710999999999998E-2</v>
      </c>
      <c r="N453" s="2">
        <f>ff_portfolios25!N453-ff_factors!$E453</f>
        <v>9.2386999999999997E-2</v>
      </c>
      <c r="O453" s="2">
        <f>ff_portfolios25!O453-ff_factors!$E453</f>
        <v>8.158399999999999E-2</v>
      </c>
      <c r="P453" s="2">
        <f>ff_portfolios25!P453-ff_factors!$E453</f>
        <v>6.4893999999999993E-2</v>
      </c>
      <c r="Q453" s="2">
        <f>ff_portfolios25!Q453-ff_factors!$E453</f>
        <v>2.0204E-2</v>
      </c>
      <c r="R453" s="2">
        <f>ff_portfolios25!R453-ff_factors!$E453</f>
        <v>5.2506000000000004E-2</v>
      </c>
      <c r="S453" s="2">
        <f>ff_portfolios25!S453-ff_factors!$E453</f>
        <v>9.421199999999999E-2</v>
      </c>
      <c r="T453" s="2">
        <f>ff_portfolios25!T453-ff_factors!$E453</f>
        <v>4.9307000000000004E-2</v>
      </c>
      <c r="U453" s="2">
        <f>ff_portfolios25!U453-ff_factors!$E453</f>
        <v>4.0749E-2</v>
      </c>
      <c r="V453" s="2">
        <f>ff_portfolios25!V453-ff_factors!$E453</f>
        <v>2.9632999999999996E-2</v>
      </c>
      <c r="W453" s="2">
        <f>ff_portfolios25!W453-ff_factors!$E453</f>
        <v>2.3015999999999998E-2</v>
      </c>
      <c r="X453" s="2">
        <f>ff_portfolios25!X453-ff_factors!$E453</f>
        <v>6.5341999999999997E-2</v>
      </c>
      <c r="Y453" s="2">
        <f>ff_portfolios25!Y453-ff_factors!$E453</f>
        <v>4.2007000000000003E-2</v>
      </c>
      <c r="Z453" s="2">
        <f>ff_portfolios25!Z453-ff_factors!$E453</f>
        <v>3.3089E-2</v>
      </c>
      <c r="AA453" s="2">
        <f>ff_portfolios25!AA453-ff_factors!$E453</f>
        <v>3.9301000000000003E-2</v>
      </c>
      <c r="AB453" s="2">
        <f>ff_portfolios25!AB453-ff_factors!$E453</f>
        <v>1.4328999999999998E-2</v>
      </c>
    </row>
    <row r="454" spans="1:28" x14ac:dyDescent="0.2">
      <c r="A454">
        <v>19690930</v>
      </c>
      <c r="B454">
        <v>1969</v>
      </c>
      <c r="C454">
        <v>9</v>
      </c>
      <c r="D454" s="2">
        <f>ff_portfolios25!D454-ff_factors!$E454</f>
        <v>-3.5998000000000002E-2</v>
      </c>
      <c r="E454" s="2">
        <f>ff_portfolios25!E454-ff_factors!$E454</f>
        <v>-5.6478999999999994E-2</v>
      </c>
      <c r="F454" s="2">
        <f>ff_portfolios25!F454-ff_factors!$E454</f>
        <v>-5.6857999999999999E-2</v>
      </c>
      <c r="G454" s="2">
        <f>ff_portfolios25!G454-ff_factors!$E454</f>
        <v>-2.8843000000000001E-2</v>
      </c>
      <c r="H454" s="2">
        <f>ff_portfolios25!H454-ff_factors!$E454</f>
        <v>-4.0993999999999996E-2</v>
      </c>
      <c r="I454" s="2">
        <f>ff_portfolios25!I454-ff_factors!$E454</f>
        <v>1.0180999999999999E-2</v>
      </c>
      <c r="J454" s="2">
        <f>ff_portfolios25!J454-ff_factors!$E454</f>
        <v>-1.6577000000000001E-2</v>
      </c>
      <c r="K454" s="2">
        <f>ff_portfolios25!K454-ff_factors!$E454</f>
        <v>-2.4410000000000001E-2</v>
      </c>
      <c r="L454" s="2">
        <f>ff_portfolios25!L454-ff_factors!$E454</f>
        <v>-1.4609E-2</v>
      </c>
      <c r="M454" s="2">
        <f>ff_portfolios25!M454-ff_factors!$E454</f>
        <v>-2.0354000000000001E-2</v>
      </c>
      <c r="N454" s="2">
        <f>ff_portfolios25!N454-ff_factors!$E454</f>
        <v>-3.1199999999999999E-3</v>
      </c>
      <c r="O454" s="2">
        <f>ff_portfolios25!O454-ff_factors!$E454</f>
        <v>-5.4139999999999995E-3</v>
      </c>
      <c r="P454" s="2">
        <f>ff_portfolios25!P454-ff_factors!$E454</f>
        <v>-2.2925000000000001E-2</v>
      </c>
      <c r="Q454" s="2">
        <f>ff_portfolios25!Q454-ff_factors!$E454</f>
        <v>-2.7408999999999999E-2</v>
      </c>
      <c r="R454" s="2">
        <f>ff_portfolios25!R454-ff_factors!$E454</f>
        <v>-4.2113999999999999E-2</v>
      </c>
      <c r="S454" s="2">
        <f>ff_portfolios25!S454-ff_factors!$E454</f>
        <v>-3.3899999999999989E-4</v>
      </c>
      <c r="T454" s="2">
        <f>ff_portfolios25!T454-ff_factors!$E454</f>
        <v>-2.0674000000000001E-2</v>
      </c>
      <c r="U454" s="2">
        <f>ff_portfolios25!U454-ff_factors!$E454</f>
        <v>-3.0018E-2</v>
      </c>
      <c r="V454" s="2">
        <f>ff_portfolios25!V454-ff_factors!$E454</f>
        <v>-3.8634999999999996E-2</v>
      </c>
      <c r="W454" s="2">
        <f>ff_portfolios25!W454-ff_factors!$E454</f>
        <v>-4.0626999999999996E-2</v>
      </c>
      <c r="X454" s="2">
        <f>ff_portfolios25!X454-ff_factors!$E454</f>
        <v>-1.0999E-2</v>
      </c>
      <c r="Y454" s="2">
        <f>ff_portfolios25!Y454-ff_factors!$E454</f>
        <v>-2.8952000000000002E-2</v>
      </c>
      <c r="Z454" s="2">
        <f>ff_portfolios25!Z454-ff_factors!$E454</f>
        <v>-3.0528E-2</v>
      </c>
      <c r="AA454" s="2">
        <f>ff_portfolios25!AA454-ff_factors!$E454</f>
        <v>-6.3052999999999998E-2</v>
      </c>
      <c r="AB454" s="2">
        <f>ff_portfolios25!AB454-ff_factors!$E454</f>
        <v>-5.2023E-2</v>
      </c>
    </row>
    <row r="455" spans="1:28" x14ac:dyDescent="0.2">
      <c r="A455">
        <v>19691031</v>
      </c>
      <c r="B455">
        <v>1969</v>
      </c>
      <c r="C455">
        <v>10</v>
      </c>
      <c r="D455" s="2">
        <f>ff_portfolios25!D455-ff_factors!$E455</f>
        <v>0.135186</v>
      </c>
      <c r="E455" s="2">
        <f>ff_portfolios25!E455-ff_factors!$E455</f>
        <v>0.118213</v>
      </c>
      <c r="F455" s="2">
        <f>ff_portfolios25!F455-ff_factors!$E455</f>
        <v>8.6517999999999998E-2</v>
      </c>
      <c r="G455" s="2">
        <f>ff_portfolios25!G455-ff_factors!$E455</f>
        <v>7.357699999999999E-2</v>
      </c>
      <c r="H455" s="2">
        <f>ff_portfolios25!H455-ff_factors!$E455</f>
        <v>5.7916000000000002E-2</v>
      </c>
      <c r="I455" s="2">
        <f>ff_portfolios25!I455-ff_factors!$E455</f>
        <v>0.10642099999999999</v>
      </c>
      <c r="J455" s="2">
        <f>ff_portfolios25!J455-ff_factors!$E455</f>
        <v>7.9796999999999993E-2</v>
      </c>
      <c r="K455" s="2">
        <f>ff_portfolios25!K455-ff_factors!$E455</f>
        <v>6.0762000000000004E-2</v>
      </c>
      <c r="L455" s="2">
        <f>ff_portfolios25!L455-ff_factors!$E455</f>
        <v>5.5162000000000003E-2</v>
      </c>
      <c r="M455" s="2">
        <f>ff_portfolios25!M455-ff_factors!$E455</f>
        <v>6.3707E-2</v>
      </c>
      <c r="N455" s="2">
        <f>ff_portfolios25!N455-ff_factors!$E455</f>
        <v>8.1863999999999992E-2</v>
      </c>
      <c r="O455" s="2">
        <f>ff_portfolios25!O455-ff_factors!$E455</f>
        <v>6.3339999999999994E-2</v>
      </c>
      <c r="P455" s="2">
        <f>ff_portfolios25!P455-ff_factors!$E455</f>
        <v>6.6504999999999995E-2</v>
      </c>
      <c r="Q455" s="2">
        <f>ff_portfolios25!Q455-ff_factors!$E455</f>
        <v>8.1270999999999996E-2</v>
      </c>
      <c r="R455" s="2">
        <f>ff_portfolios25!R455-ff_factors!$E455</f>
        <v>6.4078999999999997E-2</v>
      </c>
      <c r="S455" s="2">
        <f>ff_portfolios25!S455-ff_factors!$E455</f>
        <v>8.3521999999999999E-2</v>
      </c>
      <c r="T455" s="2">
        <f>ff_portfolios25!T455-ff_factors!$E455</f>
        <v>6.6761000000000001E-2</v>
      </c>
      <c r="U455" s="2">
        <f>ff_portfolios25!U455-ff_factors!$E455</f>
        <v>7.6928999999999997E-2</v>
      </c>
      <c r="V455" s="2">
        <f>ff_portfolios25!V455-ff_factors!$E455</f>
        <v>5.6378999999999999E-2</v>
      </c>
      <c r="W455" s="2">
        <f>ff_portfolios25!W455-ff_factors!$E455</f>
        <v>4.7617E-2</v>
      </c>
      <c r="X455" s="2">
        <f>ff_portfolios25!X455-ff_factors!$E455</f>
        <v>5.3601000000000003E-2</v>
      </c>
      <c r="Y455" s="2">
        <f>ff_portfolios25!Y455-ff_factors!$E455</f>
        <v>4.5747000000000003E-2</v>
      </c>
      <c r="Z455" s="2">
        <f>ff_portfolios25!Z455-ff_factors!$E455</f>
        <v>3.9128000000000003E-2</v>
      </c>
      <c r="AA455" s="2">
        <f>ff_portfolios25!AA455-ff_factors!$E455</f>
        <v>1.6018999999999999E-2</v>
      </c>
      <c r="AB455" s="2">
        <f>ff_portfolios25!AB455-ff_factors!$E455</f>
        <v>3.1667000000000001E-2</v>
      </c>
    </row>
    <row r="456" spans="1:28" x14ac:dyDescent="0.2">
      <c r="A456">
        <v>19691128</v>
      </c>
      <c r="B456">
        <v>1969</v>
      </c>
      <c r="C456">
        <v>11</v>
      </c>
      <c r="D456" s="2">
        <f>ff_portfolios25!D456-ff_factors!$E456</f>
        <v>-8.9634999999999992E-2</v>
      </c>
      <c r="E456" s="2">
        <f>ff_portfolios25!E456-ff_factors!$E456</f>
        <v>-7.7330999999999997E-2</v>
      </c>
      <c r="F456" s="2">
        <f>ff_portfolios25!F456-ff_factors!$E456</f>
        <v>-6.7200999999999997E-2</v>
      </c>
      <c r="G456" s="2">
        <f>ff_portfolios25!G456-ff_factors!$E456</f>
        <v>-6.5073000000000006E-2</v>
      </c>
      <c r="H456" s="2">
        <f>ff_portfolios25!H456-ff_factors!$E456</f>
        <v>-7.8796999999999992E-2</v>
      </c>
      <c r="I456" s="2">
        <f>ff_portfolios25!I456-ff_factors!$E456</f>
        <v>-4.0137999999999993E-2</v>
      </c>
      <c r="J456" s="2">
        <f>ff_portfolios25!J456-ff_factors!$E456</f>
        <v>-6.0620999999999994E-2</v>
      </c>
      <c r="K456" s="2">
        <f>ff_portfolios25!K456-ff_factors!$E456</f>
        <v>-3.8731000000000002E-2</v>
      </c>
      <c r="L456" s="2">
        <f>ff_portfolios25!L456-ff_factors!$E456</f>
        <v>-5.7977000000000001E-2</v>
      </c>
      <c r="M456" s="2">
        <f>ff_portfolios25!M456-ff_factors!$E456</f>
        <v>-5.8412000000000006E-2</v>
      </c>
      <c r="N456" s="2">
        <f>ff_portfolios25!N456-ff_factors!$E456</f>
        <v>-5.1859000000000002E-2</v>
      </c>
      <c r="O456" s="2">
        <f>ff_portfolios25!O456-ff_factors!$E456</f>
        <v>-5.1089999999999997E-2</v>
      </c>
      <c r="P456" s="2">
        <f>ff_portfolios25!P456-ff_factors!$E456</f>
        <v>-7.0233999999999991E-2</v>
      </c>
      <c r="Q456" s="2">
        <f>ff_portfolios25!Q456-ff_factors!$E456</f>
        <v>-4.1343000000000005E-2</v>
      </c>
      <c r="R456" s="2">
        <f>ff_portfolios25!R456-ff_factors!$E456</f>
        <v>-6.2118999999999994E-2</v>
      </c>
      <c r="S456" s="2">
        <f>ff_portfolios25!S456-ff_factors!$E456</f>
        <v>-2.6463E-2</v>
      </c>
      <c r="T456" s="2">
        <f>ff_portfolios25!T456-ff_factors!$E456</f>
        <v>-4.3848999999999999E-2</v>
      </c>
      <c r="U456" s="2">
        <f>ff_portfolios25!U456-ff_factors!$E456</f>
        <v>-3.7692000000000003E-2</v>
      </c>
      <c r="V456" s="2">
        <f>ff_portfolios25!V456-ff_factors!$E456</f>
        <v>-5.7949000000000001E-2</v>
      </c>
      <c r="W456" s="2">
        <f>ff_portfolios25!W456-ff_factors!$E456</f>
        <v>-6.4971000000000001E-2</v>
      </c>
      <c r="X456" s="2">
        <f>ff_portfolios25!X456-ff_factors!$E456</f>
        <v>-1.9224999999999999E-2</v>
      </c>
      <c r="Y456" s="2">
        <f>ff_portfolios25!Y456-ff_factors!$E456</f>
        <v>-4.2169999999999999E-2</v>
      </c>
      <c r="Z456" s="2">
        <f>ff_portfolios25!Z456-ff_factors!$E456</f>
        <v>-4.2797000000000002E-2</v>
      </c>
      <c r="AA456" s="2">
        <f>ff_portfolios25!AA456-ff_factors!$E456</f>
        <v>-5.0353999999999996E-2</v>
      </c>
      <c r="AB456" s="2">
        <f>ff_portfolios25!AB456-ff_factors!$E456</f>
        <v>-2.4688999999999999E-2</v>
      </c>
    </row>
    <row r="457" spans="1:28" x14ac:dyDescent="0.2">
      <c r="A457">
        <v>19691231</v>
      </c>
      <c r="B457">
        <v>1969</v>
      </c>
      <c r="C457">
        <v>12</v>
      </c>
      <c r="D457" s="2">
        <f>ff_portfolios25!D457-ff_factors!$E457</f>
        <v>-8.8570999999999997E-2</v>
      </c>
      <c r="E457" s="2">
        <f>ff_portfolios25!E457-ff_factors!$E457</f>
        <v>-8.0299999999999996E-2</v>
      </c>
      <c r="F457" s="2">
        <f>ff_portfolios25!F457-ff_factors!$E457</f>
        <v>-6.5884999999999999E-2</v>
      </c>
      <c r="G457" s="2">
        <f>ff_portfolios25!G457-ff_factors!$E457</f>
        <v>-8.9120000000000005E-2</v>
      </c>
      <c r="H457" s="2">
        <f>ff_portfolios25!H457-ff_factors!$E457</f>
        <v>-9.1702000000000006E-2</v>
      </c>
      <c r="I457" s="2">
        <f>ff_portfolios25!I457-ff_factors!$E457</f>
        <v>-4.7832E-2</v>
      </c>
      <c r="J457" s="2">
        <f>ff_portfolios25!J457-ff_factors!$E457</f>
        <v>-6.8586999999999995E-2</v>
      </c>
      <c r="K457" s="2">
        <f>ff_portfolios25!K457-ff_factors!$E457</f>
        <v>-7.9326000000000008E-2</v>
      </c>
      <c r="L457" s="2">
        <f>ff_portfolios25!L457-ff_factors!$E457</f>
        <v>-6.6691E-2</v>
      </c>
      <c r="M457" s="2">
        <f>ff_portfolios25!M457-ff_factors!$E457</f>
        <v>-6.6723000000000005E-2</v>
      </c>
      <c r="N457" s="2">
        <f>ff_portfolios25!N457-ff_factors!$E457</f>
        <v>-3.5438000000000004E-2</v>
      </c>
      <c r="O457" s="2">
        <f>ff_portfolios25!O457-ff_factors!$E457</f>
        <v>-2.3871E-2</v>
      </c>
      <c r="P457" s="2">
        <f>ff_portfolios25!P457-ff_factors!$E457</f>
        <v>-4.8632000000000002E-2</v>
      </c>
      <c r="Q457" s="2">
        <f>ff_portfolios25!Q457-ff_factors!$E457</f>
        <v>-5.2884E-2</v>
      </c>
      <c r="R457" s="2">
        <f>ff_portfolios25!R457-ff_factors!$E457</f>
        <v>-5.6975000000000005E-2</v>
      </c>
      <c r="S457" s="2">
        <f>ff_portfolios25!S457-ff_factors!$E457</f>
        <v>-2.104E-3</v>
      </c>
      <c r="T457" s="2">
        <f>ff_portfolios25!T457-ff_factors!$E457</f>
        <v>-4.9253000000000005E-2</v>
      </c>
      <c r="U457" s="2">
        <f>ff_portfolios25!U457-ff_factors!$E457</f>
        <v>-2.555E-2</v>
      </c>
      <c r="V457" s="2">
        <f>ff_portfolios25!V457-ff_factors!$E457</f>
        <v>-2.5481E-2</v>
      </c>
      <c r="W457" s="2">
        <f>ff_portfolios25!W457-ff_factors!$E457</f>
        <v>-4.7328000000000002E-2</v>
      </c>
      <c r="X457" s="2">
        <f>ff_portfolios25!X457-ff_factors!$E457</f>
        <v>3.3699999999999989E-3</v>
      </c>
      <c r="Y457" s="2">
        <f>ff_portfolios25!Y457-ff_factors!$E457</f>
        <v>-2.1089E-2</v>
      </c>
      <c r="Z457" s="2">
        <f>ff_portfolios25!Z457-ff_factors!$E457</f>
        <v>-2.1302999999999999E-2</v>
      </c>
      <c r="AA457" s="2">
        <f>ff_portfolios25!AA457-ff_factors!$E457</f>
        <v>-2.445E-2</v>
      </c>
      <c r="AB457" s="2">
        <f>ff_portfolios25!AB457-ff_factors!$E457</f>
        <v>-5.8723000000000004E-2</v>
      </c>
    </row>
    <row r="458" spans="1:28" x14ac:dyDescent="0.2">
      <c r="A458">
        <v>19700130</v>
      </c>
      <c r="B458">
        <v>1970</v>
      </c>
      <c r="C458">
        <v>1</v>
      </c>
      <c r="D458" s="2">
        <f>ff_portfolios25!D458-ff_factors!$E458</f>
        <v>-5.3848E-2</v>
      </c>
      <c r="E458" s="2">
        <f>ff_portfolios25!E458-ff_factors!$E458</f>
        <v>-4.0121999999999998E-2</v>
      </c>
      <c r="F458" s="2">
        <f>ff_portfolios25!F458-ff_factors!$E458</f>
        <v>-4.4975999999999995E-2</v>
      </c>
      <c r="G458" s="2">
        <f>ff_portfolios25!G458-ff_factors!$E458</f>
        <v>-3.0807000000000001E-2</v>
      </c>
      <c r="H458" s="2">
        <f>ff_portfolios25!H458-ff_factors!$E458</f>
        <v>-4.9329999999999999E-3</v>
      </c>
      <c r="I458" s="2">
        <f>ff_portfolios25!I458-ff_factors!$E458</f>
        <v>-7.5194000000000011E-2</v>
      </c>
      <c r="J458" s="2">
        <f>ff_portfolios25!J458-ff_factors!$E458</f>
        <v>-7.5281000000000001E-2</v>
      </c>
      <c r="K458" s="2">
        <f>ff_portfolios25!K458-ff_factors!$E458</f>
        <v>-2.3945000000000001E-2</v>
      </c>
      <c r="L458" s="2">
        <f>ff_portfolios25!L458-ff_factors!$E458</f>
        <v>-4.4826999999999999E-2</v>
      </c>
      <c r="M458" s="2">
        <f>ff_portfolios25!M458-ff_factors!$E458</f>
        <v>-2.3956999999999999E-2</v>
      </c>
      <c r="N458" s="2">
        <f>ff_portfolios25!N458-ff_factors!$E458</f>
        <v>-0.10299000000000001</v>
      </c>
      <c r="O458" s="2">
        <f>ff_portfolios25!O458-ff_factors!$E458</f>
        <v>-6.7507999999999999E-2</v>
      </c>
      <c r="P458" s="2">
        <f>ff_portfolios25!P458-ff_factors!$E458</f>
        <v>-8.481000000000001E-2</v>
      </c>
      <c r="Q458" s="2">
        <f>ff_portfolios25!Q458-ff_factors!$E458</f>
        <v>-4.5519999999999998E-2</v>
      </c>
      <c r="R458" s="2">
        <f>ff_portfolios25!R458-ff_factors!$E458</f>
        <v>-4.1088E-2</v>
      </c>
      <c r="S458" s="2">
        <f>ff_portfolios25!S458-ff_factors!$E458</f>
        <v>-8.5422000000000012E-2</v>
      </c>
      <c r="T458" s="2">
        <f>ff_portfolios25!T458-ff_factors!$E458</f>
        <v>-0.11987</v>
      </c>
      <c r="U458" s="2">
        <f>ff_portfolios25!U458-ff_factors!$E458</f>
        <v>-8.3130000000000009E-2</v>
      </c>
      <c r="V458" s="2">
        <f>ff_portfolios25!V458-ff_factors!$E458</f>
        <v>-6.7442000000000002E-2</v>
      </c>
      <c r="W458" s="2">
        <f>ff_portfolios25!W458-ff_factors!$E458</f>
        <v>-6.4915E-2</v>
      </c>
      <c r="X458" s="2">
        <f>ff_portfolios25!X458-ff_factors!$E458</f>
        <v>-9.0892000000000001E-2</v>
      </c>
      <c r="Y458" s="2">
        <f>ff_portfolios25!Y458-ff_factors!$E458</f>
        <v>-7.4116000000000001E-2</v>
      </c>
      <c r="Z458" s="2">
        <f>ff_portfolios25!Z458-ff_factors!$E458</f>
        <v>-8.8065000000000004E-2</v>
      </c>
      <c r="AA458" s="2">
        <f>ff_portfolios25!AA458-ff_factors!$E458</f>
        <v>-0.10267800000000001</v>
      </c>
      <c r="AB458" s="2">
        <f>ff_portfolios25!AB458-ff_factors!$E458</f>
        <v>-4.8748E-2</v>
      </c>
    </row>
    <row r="459" spans="1:28" x14ac:dyDescent="0.2">
      <c r="A459">
        <v>19700227</v>
      </c>
      <c r="B459">
        <v>1970</v>
      </c>
      <c r="C459">
        <v>2</v>
      </c>
      <c r="D459" s="2">
        <f>ff_portfolios25!D459-ff_factors!$E459</f>
        <v>1.6177E-2</v>
      </c>
      <c r="E459" s="2">
        <f>ff_portfolios25!E459-ff_factors!$E459</f>
        <v>2.811E-2</v>
      </c>
      <c r="F459" s="2">
        <f>ff_portfolios25!F459-ff_factors!$E459</f>
        <v>3.5402000000000003E-2</v>
      </c>
      <c r="G459" s="2">
        <f>ff_portfolios25!G459-ff_factors!$E459</f>
        <v>2.4989999999999998E-2</v>
      </c>
      <c r="H459" s="2">
        <f>ff_portfolios25!H459-ff_factors!$E459</f>
        <v>3.5637000000000002E-2</v>
      </c>
      <c r="I459" s="2">
        <f>ff_portfolios25!I459-ff_factors!$E459</f>
        <v>2.0996000000000001E-2</v>
      </c>
      <c r="J459" s="2">
        <f>ff_portfolios25!J459-ff_factors!$E459</f>
        <v>1.9039E-2</v>
      </c>
      <c r="K459" s="2">
        <f>ff_portfolios25!K459-ff_factors!$E459</f>
        <v>1.8685E-2</v>
      </c>
      <c r="L459" s="2">
        <f>ff_portfolios25!L459-ff_factors!$E459</f>
        <v>7.8130000000000005E-2</v>
      </c>
      <c r="M459" s="2">
        <f>ff_portfolios25!M459-ff_factors!$E459</f>
        <v>6.4375000000000002E-2</v>
      </c>
      <c r="N459" s="2">
        <f>ff_portfolios25!N459-ff_factors!$E459</f>
        <v>3.1989000000000004E-2</v>
      </c>
      <c r="O459" s="2">
        <f>ff_portfolios25!O459-ff_factors!$E459</f>
        <v>1.5820000000000001E-2</v>
      </c>
      <c r="P459" s="2">
        <f>ff_portfolios25!P459-ff_factors!$E459</f>
        <v>5.1134000000000006E-2</v>
      </c>
      <c r="Q459" s="2">
        <f>ff_portfolios25!Q459-ff_factors!$E459</f>
        <v>4.9039000000000006E-2</v>
      </c>
      <c r="R459" s="2">
        <f>ff_portfolios25!R459-ff_factors!$E459</f>
        <v>6.8844000000000002E-2</v>
      </c>
      <c r="S459" s="2">
        <f>ff_portfolios25!S459-ff_factors!$E459</f>
        <v>3.6772000000000006E-2</v>
      </c>
      <c r="T459" s="2">
        <f>ff_portfolios25!T459-ff_factors!$E459</f>
        <v>4.2720000000000001E-2</v>
      </c>
      <c r="U459" s="2">
        <f>ff_portfolios25!U459-ff_factors!$E459</f>
        <v>5.8679000000000009E-2</v>
      </c>
      <c r="V459" s="2">
        <f>ff_portfolios25!V459-ff_factors!$E459</f>
        <v>8.3345000000000002E-2</v>
      </c>
      <c r="W459" s="2">
        <f>ff_portfolios25!W459-ff_factors!$E459</f>
        <v>6.3021000000000008E-2</v>
      </c>
      <c r="X459" s="2">
        <f>ff_portfolios25!X459-ff_factors!$E459</f>
        <v>2.9193E-2</v>
      </c>
      <c r="Y459" s="2">
        <f>ff_portfolios25!Y459-ff_factors!$E459</f>
        <v>4.4941000000000002E-2</v>
      </c>
      <c r="Z459" s="2">
        <f>ff_portfolios25!Z459-ff_factors!$E459</f>
        <v>8.4732000000000002E-2</v>
      </c>
      <c r="AA459" s="2">
        <f>ff_portfolios25!AA459-ff_factors!$E459</f>
        <v>6.2786000000000008E-2</v>
      </c>
      <c r="AB459" s="2">
        <f>ff_portfolios25!AB459-ff_factors!$E459</f>
        <v>7.5462000000000001E-2</v>
      </c>
    </row>
    <row r="460" spans="1:28" x14ac:dyDescent="0.2">
      <c r="A460">
        <v>19700331</v>
      </c>
      <c r="B460">
        <v>1970</v>
      </c>
      <c r="C460">
        <v>3</v>
      </c>
      <c r="D460" s="2">
        <f>ff_portfolios25!D460-ff_factors!$E460</f>
        <v>-7.0889999999999995E-2</v>
      </c>
      <c r="E460" s="2">
        <f>ff_portfolios25!E460-ff_factors!$E460</f>
        <v>-5.8147000000000004E-2</v>
      </c>
      <c r="F460" s="2">
        <f>ff_portfolios25!F460-ff_factors!$E460</f>
        <v>-3.1588999999999999E-2</v>
      </c>
      <c r="G460" s="2">
        <f>ff_portfolios25!G460-ff_factors!$E460</f>
        <v>-2.3320000000000003E-3</v>
      </c>
      <c r="H460" s="2">
        <f>ff_portfolios25!H460-ff_factors!$E460</f>
        <v>-1.8883E-2</v>
      </c>
      <c r="I460" s="2">
        <f>ff_portfolios25!I460-ff_factors!$E460</f>
        <v>-6.4449999999999993E-2</v>
      </c>
      <c r="J460" s="2">
        <f>ff_portfolios25!J460-ff_factors!$E460</f>
        <v>-2.8396999999999999E-2</v>
      </c>
      <c r="K460" s="2">
        <f>ff_portfolios25!K460-ff_factors!$E460</f>
        <v>-7.2659999999999999E-3</v>
      </c>
      <c r="L460" s="2">
        <f>ff_portfolios25!L460-ff_factors!$E460</f>
        <v>-7.2720000000000007E-3</v>
      </c>
      <c r="M460" s="2">
        <f>ff_portfolios25!M460-ff_factors!$E460</f>
        <v>1.1919999999999995E-3</v>
      </c>
      <c r="N460" s="2">
        <f>ff_portfolios25!N460-ff_factors!$E460</f>
        <v>-4.4694999999999999E-2</v>
      </c>
      <c r="O460" s="2">
        <f>ff_portfolios25!O460-ff_factors!$E460</f>
        <v>-1.1379E-2</v>
      </c>
      <c r="P460" s="2">
        <f>ff_portfolios25!P460-ff_factors!$E460</f>
        <v>-1.7798000000000001E-2</v>
      </c>
      <c r="Q460" s="2">
        <f>ff_portfolios25!Q460-ff_factors!$E460</f>
        <v>9.8759999999999994E-3</v>
      </c>
      <c r="R460" s="2">
        <f>ff_portfolios25!R460-ff_factors!$E460</f>
        <v>5.4889999999999991E-3</v>
      </c>
      <c r="S460" s="2">
        <f>ff_portfolios25!S460-ff_factors!$E460</f>
        <v>-4.7447000000000003E-2</v>
      </c>
      <c r="T460" s="2">
        <f>ff_portfolios25!T460-ff_factors!$E460</f>
        <v>-3.9300000000000003E-3</v>
      </c>
      <c r="U460" s="2">
        <f>ff_portfolios25!U460-ff_factors!$E460</f>
        <v>9.6550000000000004E-3</v>
      </c>
      <c r="V460" s="2">
        <f>ff_portfolios25!V460-ff_factors!$E460</f>
        <v>1.2779999999999996E-3</v>
      </c>
      <c r="W460" s="2">
        <f>ff_portfolios25!W460-ff_factors!$E460</f>
        <v>1.6626999999999999E-2</v>
      </c>
      <c r="X460" s="2">
        <f>ff_portfolios25!X460-ff_factors!$E460</f>
        <v>-3.0277000000000002E-2</v>
      </c>
      <c r="Y460" s="2">
        <f>ff_portfolios25!Y460-ff_factors!$E460</f>
        <v>-7.4250000000000002E-3</v>
      </c>
      <c r="Z460" s="2">
        <f>ff_portfolios25!Z460-ff_factors!$E460</f>
        <v>2.2817E-2</v>
      </c>
      <c r="AA460" s="2">
        <f>ff_portfolios25!AA460-ff_factors!$E460</f>
        <v>6.6299999999999953E-4</v>
      </c>
      <c r="AB460" s="2">
        <f>ff_portfolios25!AB460-ff_factors!$E460</f>
        <v>1.0607999999999999E-2</v>
      </c>
    </row>
    <row r="461" spans="1:28" x14ac:dyDescent="0.2">
      <c r="A461">
        <v>19700430</v>
      </c>
      <c r="B461">
        <v>1970</v>
      </c>
      <c r="C461">
        <v>4</v>
      </c>
      <c r="D461" s="2">
        <f>ff_portfolios25!D461-ff_factors!$E461</f>
        <v>-0.24637700000000001</v>
      </c>
      <c r="E461" s="2">
        <f>ff_portfolios25!E461-ff_factors!$E461</f>
        <v>-0.19345700000000002</v>
      </c>
      <c r="F461" s="2">
        <f>ff_portfolios25!F461-ff_factors!$E461</f>
        <v>-0.15610299999999999</v>
      </c>
      <c r="G461" s="2">
        <f>ff_portfolios25!G461-ff_factors!$E461</f>
        <v>-0.13356600000000002</v>
      </c>
      <c r="H461" s="2">
        <f>ff_portfolios25!H461-ff_factors!$E461</f>
        <v>-0.124526</v>
      </c>
      <c r="I461" s="2">
        <f>ff_portfolios25!I461-ff_factors!$E461</f>
        <v>-0.22669700000000001</v>
      </c>
      <c r="J461" s="2">
        <f>ff_portfolios25!J461-ff_factors!$E461</f>
        <v>-0.175233</v>
      </c>
      <c r="K461" s="2">
        <f>ff_portfolios25!K461-ff_factors!$E461</f>
        <v>-0.152365</v>
      </c>
      <c r="L461" s="2">
        <f>ff_portfolios25!L461-ff_factors!$E461</f>
        <v>-0.11572400000000001</v>
      </c>
      <c r="M461" s="2">
        <f>ff_portfolios25!M461-ff_factors!$E461</f>
        <v>-0.11661400000000001</v>
      </c>
      <c r="N461" s="2">
        <f>ff_portfolios25!N461-ff_factors!$E461</f>
        <v>-0.207977</v>
      </c>
      <c r="O461" s="2">
        <f>ff_portfolios25!O461-ff_factors!$E461</f>
        <v>-0.147844</v>
      </c>
      <c r="P461" s="2">
        <f>ff_portfolios25!P461-ff_factors!$E461</f>
        <v>-0.13803799999999999</v>
      </c>
      <c r="Q461" s="2">
        <f>ff_portfolios25!Q461-ff_factors!$E461</f>
        <v>-9.4397000000000009E-2</v>
      </c>
      <c r="R461" s="2">
        <f>ff_portfolios25!R461-ff_factors!$E461</f>
        <v>-0.114012</v>
      </c>
      <c r="S461" s="2">
        <f>ff_portfolios25!S461-ff_factors!$E461</f>
        <v>-0.16208500000000001</v>
      </c>
      <c r="T461" s="2">
        <f>ff_portfolios25!T461-ff_factors!$E461</f>
        <v>-0.15415999999999999</v>
      </c>
      <c r="U461" s="2">
        <f>ff_portfolios25!U461-ff_factors!$E461</f>
        <v>-0.102354</v>
      </c>
      <c r="V461" s="2">
        <f>ff_portfolios25!V461-ff_factors!$E461</f>
        <v>-0.102936</v>
      </c>
      <c r="W461" s="2">
        <f>ff_portfolios25!W461-ff_factors!$E461</f>
        <v>-9.8619999999999999E-2</v>
      </c>
      <c r="X461" s="2">
        <f>ff_portfolios25!X461-ff_factors!$E461</f>
        <v>-0.110209</v>
      </c>
      <c r="Y461" s="2">
        <f>ff_portfolios25!Y461-ff_factors!$E461</f>
        <v>-8.7743000000000002E-2</v>
      </c>
      <c r="Z461" s="2">
        <f>ff_portfolios25!Z461-ff_factors!$E461</f>
        <v>-9.4741000000000006E-2</v>
      </c>
      <c r="AA461" s="2">
        <f>ff_portfolios25!AA461-ff_factors!$E461</f>
        <v>-7.4910000000000004E-2</v>
      </c>
      <c r="AB461" s="2">
        <f>ff_portfolios25!AB461-ff_factors!$E461</f>
        <v>-8.4814000000000001E-2</v>
      </c>
    </row>
    <row r="462" spans="1:28" x14ac:dyDescent="0.2">
      <c r="A462">
        <v>19700529</v>
      </c>
      <c r="B462">
        <v>1970</v>
      </c>
      <c r="C462">
        <v>5</v>
      </c>
      <c r="D462" s="2">
        <f>ff_portfolios25!D462-ff_factors!$E462</f>
        <v>-0.107307</v>
      </c>
      <c r="E462" s="2">
        <f>ff_portfolios25!E462-ff_factors!$E462</f>
        <v>-0.106852</v>
      </c>
      <c r="F462" s="2">
        <f>ff_portfolios25!F462-ff_factors!$E462</f>
        <v>-9.7263000000000002E-2</v>
      </c>
      <c r="G462" s="2">
        <f>ff_portfolios25!G462-ff_factors!$E462</f>
        <v>-8.6272000000000001E-2</v>
      </c>
      <c r="H462" s="2">
        <f>ff_portfolios25!H462-ff_factors!$E462</f>
        <v>-0.109777</v>
      </c>
      <c r="I462" s="2">
        <f>ff_portfolios25!I462-ff_factors!$E462</f>
        <v>-0.135301</v>
      </c>
      <c r="J462" s="2">
        <f>ff_portfolios25!J462-ff_factors!$E462</f>
        <v>-8.7595999999999993E-2</v>
      </c>
      <c r="K462" s="2">
        <f>ff_portfolios25!K462-ff_factors!$E462</f>
        <v>-0.117648</v>
      </c>
      <c r="L462" s="2">
        <f>ff_portfolios25!L462-ff_factors!$E462</f>
        <v>-8.7105000000000002E-2</v>
      </c>
      <c r="M462" s="2">
        <f>ff_portfolios25!M462-ff_factors!$E462</f>
        <v>-8.6900000000000005E-2</v>
      </c>
      <c r="N462" s="2">
        <f>ff_portfolios25!N462-ff_factors!$E462</f>
        <v>-0.116271</v>
      </c>
      <c r="O462" s="2">
        <f>ff_portfolios25!O462-ff_factors!$E462</f>
        <v>-0.11336499999999999</v>
      </c>
      <c r="P462" s="2">
        <f>ff_portfolios25!P462-ff_factors!$E462</f>
        <v>-0.13388700000000001</v>
      </c>
      <c r="Q462" s="2">
        <f>ff_portfolios25!Q462-ff_factors!$E462</f>
        <v>-7.1785000000000002E-2</v>
      </c>
      <c r="R462" s="2">
        <f>ff_portfolios25!R462-ff_factors!$E462</f>
        <v>-8.3073999999999995E-2</v>
      </c>
      <c r="S462" s="2">
        <f>ff_portfolios25!S462-ff_factors!$E462</f>
        <v>-0.11534999999999999</v>
      </c>
      <c r="T462" s="2">
        <f>ff_portfolios25!T462-ff_factors!$E462</f>
        <v>-0.102114</v>
      </c>
      <c r="U462" s="2">
        <f>ff_portfolios25!U462-ff_factors!$E462</f>
        <v>-8.2358000000000001E-2</v>
      </c>
      <c r="V462" s="2">
        <f>ff_portfolios25!V462-ff_factors!$E462</f>
        <v>-7.6812999999999992E-2</v>
      </c>
      <c r="W462" s="2">
        <f>ff_portfolios25!W462-ff_factors!$E462</f>
        <v>-8.8020000000000001E-2</v>
      </c>
      <c r="X462" s="2">
        <f>ff_portfolios25!X462-ff_factors!$E462</f>
        <v>-8.6259000000000002E-2</v>
      </c>
      <c r="Y462" s="2">
        <f>ff_portfolios25!Y462-ff_factors!$E462</f>
        <v>-6.6117000000000009E-2</v>
      </c>
      <c r="Z462" s="2">
        <f>ff_portfolios25!Z462-ff_factors!$E462</f>
        <v>-5.5905999999999997E-2</v>
      </c>
      <c r="AA462" s="2">
        <f>ff_portfolios25!AA462-ff_factors!$E462</f>
        <v>-5.7689999999999998E-3</v>
      </c>
      <c r="AB462" s="2">
        <f>ff_portfolios25!AB462-ff_factors!$E462</f>
        <v>-4.5519999999999998E-2</v>
      </c>
    </row>
    <row r="463" spans="1:28" x14ac:dyDescent="0.2">
      <c r="A463">
        <v>19700630</v>
      </c>
      <c r="B463">
        <v>1970</v>
      </c>
      <c r="C463">
        <v>6</v>
      </c>
      <c r="D463" s="2">
        <f>ff_portfolios25!D463-ff_factors!$E463</f>
        <v>-0.12709500000000001</v>
      </c>
      <c r="E463" s="2">
        <f>ff_portfolios25!E463-ff_factors!$E463</f>
        <v>-9.2604000000000006E-2</v>
      </c>
      <c r="F463" s="2">
        <f>ff_portfolios25!F463-ff_factors!$E463</f>
        <v>-7.9319000000000001E-2</v>
      </c>
      <c r="G463" s="2">
        <f>ff_portfolios25!G463-ff_factors!$E463</f>
        <v>-8.7821999999999997E-2</v>
      </c>
      <c r="H463" s="2">
        <f>ff_portfolios25!H463-ff_factors!$E463</f>
        <v>-6.5717999999999999E-2</v>
      </c>
      <c r="I463" s="2">
        <f>ff_portfolios25!I463-ff_factors!$E463</f>
        <v>-0.110531</v>
      </c>
      <c r="J463" s="2">
        <f>ff_portfolios25!J463-ff_factors!$E463</f>
        <v>-7.886E-2</v>
      </c>
      <c r="K463" s="2">
        <f>ff_portfolios25!K463-ff_factors!$E463</f>
        <v>-8.7451000000000001E-2</v>
      </c>
      <c r="L463" s="2">
        <f>ff_portfolios25!L463-ff_factors!$E463</f>
        <v>-7.6456999999999997E-2</v>
      </c>
      <c r="M463" s="2">
        <f>ff_portfolios25!M463-ff_factors!$E463</f>
        <v>-6.6409999999999997E-2</v>
      </c>
      <c r="N463" s="2">
        <f>ff_portfolios25!N463-ff_factors!$E463</f>
        <v>-8.8919999999999999E-2</v>
      </c>
      <c r="O463" s="2">
        <f>ff_portfolios25!O463-ff_factors!$E463</f>
        <v>-5.1713000000000002E-2</v>
      </c>
      <c r="P463" s="2">
        <f>ff_portfolios25!P463-ff_factors!$E463</f>
        <v>-7.7589000000000005E-2</v>
      </c>
      <c r="Q463" s="2">
        <f>ff_portfolios25!Q463-ff_factors!$E463</f>
        <v>-5.3912000000000002E-2</v>
      </c>
      <c r="R463" s="2">
        <f>ff_portfolios25!R463-ff_factors!$E463</f>
        <v>-7.4478000000000003E-2</v>
      </c>
      <c r="S463" s="2">
        <f>ff_portfolios25!S463-ff_factors!$E463</f>
        <v>-3.0890999999999998E-2</v>
      </c>
      <c r="T463" s="2">
        <f>ff_portfolios25!T463-ff_factors!$E463</f>
        <v>-5.7424999999999997E-2</v>
      </c>
      <c r="U463" s="2">
        <f>ff_portfolios25!U463-ff_factors!$E463</f>
        <v>-4.2556999999999998E-2</v>
      </c>
      <c r="V463" s="2">
        <f>ff_portfolios25!V463-ff_factors!$E463</f>
        <v>-3.9845999999999999E-2</v>
      </c>
      <c r="W463" s="2">
        <f>ff_portfolios25!W463-ff_factors!$E463</f>
        <v>-0.112383</v>
      </c>
      <c r="X463" s="2">
        <f>ff_portfolios25!X463-ff_factors!$E463</f>
        <v>-6.8426000000000001E-2</v>
      </c>
      <c r="Y463" s="2">
        <f>ff_portfolios25!Y463-ff_factors!$E463</f>
        <v>-4.6573999999999997E-2</v>
      </c>
      <c r="Z463" s="2">
        <f>ff_portfolios25!Z463-ff_factors!$E463</f>
        <v>-4.2398999999999999E-2</v>
      </c>
      <c r="AA463" s="2">
        <f>ff_portfolios25!AA463-ff_factors!$E463</f>
        <v>-2.6387000000000001E-2</v>
      </c>
      <c r="AB463" s="2">
        <f>ff_portfolios25!AB463-ff_factors!$E463</f>
        <v>-8.7486999999999995E-2</v>
      </c>
    </row>
    <row r="464" spans="1:28" x14ac:dyDescent="0.2">
      <c r="A464">
        <v>19700731</v>
      </c>
      <c r="B464">
        <v>1970</v>
      </c>
      <c r="C464">
        <v>7</v>
      </c>
      <c r="D464" s="2">
        <f>ff_portfolios25!D464-ff_factors!$E464</f>
        <v>4.2993000000000003E-2</v>
      </c>
      <c r="E464" s="2">
        <f>ff_portfolios25!E464-ff_factors!$E464</f>
        <v>5.0800999999999999E-2</v>
      </c>
      <c r="F464" s="2">
        <f>ff_portfolios25!F464-ff_factors!$E464</f>
        <v>4.5883000000000007E-2</v>
      </c>
      <c r="G464" s="2">
        <f>ff_portfolios25!G464-ff_factors!$E464</f>
        <v>5.9420000000000001E-2</v>
      </c>
      <c r="H464" s="2">
        <f>ff_portfolios25!H464-ff_factors!$E464</f>
        <v>3.3186000000000007E-2</v>
      </c>
      <c r="I464" s="2">
        <f>ff_portfolios25!I464-ff_factors!$E464</f>
        <v>6.1783000000000005E-2</v>
      </c>
      <c r="J464" s="2">
        <f>ff_portfolios25!J464-ff_factors!$E464</f>
        <v>7.0915000000000006E-2</v>
      </c>
      <c r="K464" s="2">
        <f>ff_portfolios25!K464-ff_factors!$E464</f>
        <v>5.0897999999999999E-2</v>
      </c>
      <c r="L464" s="2">
        <f>ff_portfolios25!L464-ff_factors!$E464</f>
        <v>0.101659</v>
      </c>
      <c r="M464" s="2">
        <f>ff_portfolios25!M464-ff_factors!$E464</f>
        <v>7.2815000000000005E-2</v>
      </c>
      <c r="N464" s="2">
        <f>ff_portfolios25!N464-ff_factors!$E464</f>
        <v>7.1615999999999999E-2</v>
      </c>
      <c r="O464" s="2">
        <f>ff_portfolios25!O464-ff_factors!$E464</f>
        <v>6.2866000000000005E-2</v>
      </c>
      <c r="P464" s="2">
        <f>ff_portfolios25!P464-ff_factors!$E464</f>
        <v>9.4759999999999997E-2</v>
      </c>
      <c r="Q464" s="2">
        <f>ff_portfolios25!Q464-ff_factors!$E464</f>
        <v>5.0130999999999995E-2</v>
      </c>
      <c r="R464" s="2">
        <f>ff_portfolios25!R464-ff_factors!$E464</f>
        <v>6.6724000000000006E-2</v>
      </c>
      <c r="S464" s="2">
        <f>ff_portfolios25!S464-ff_factors!$E464</f>
        <v>5.8911000000000005E-2</v>
      </c>
      <c r="T464" s="2">
        <f>ff_portfolios25!T464-ff_factors!$E464</f>
        <v>8.8549000000000003E-2</v>
      </c>
      <c r="U464" s="2">
        <f>ff_portfolios25!U464-ff_factors!$E464</f>
        <v>7.5250999999999998E-2</v>
      </c>
      <c r="V464" s="2">
        <f>ff_portfolios25!V464-ff_factors!$E464</f>
        <v>8.5504000000000011E-2</v>
      </c>
      <c r="W464" s="2">
        <f>ff_portfolios25!W464-ff_factors!$E464</f>
        <v>0.107323</v>
      </c>
      <c r="X464" s="2">
        <f>ff_portfolios25!X464-ff_factors!$E464</f>
        <v>3.8722000000000006E-2</v>
      </c>
      <c r="Y464" s="2">
        <f>ff_portfolios25!Y464-ff_factors!$E464</f>
        <v>7.6919000000000001E-2</v>
      </c>
      <c r="Z464" s="2">
        <f>ff_portfolios25!Z464-ff_factors!$E464</f>
        <v>8.461500000000001E-2</v>
      </c>
      <c r="AA464" s="2">
        <f>ff_portfolios25!AA464-ff_factors!$E464</f>
        <v>0.10170800000000001</v>
      </c>
      <c r="AB464" s="2">
        <f>ff_portfolios25!AB464-ff_factors!$E464</f>
        <v>5.6229000000000001E-2</v>
      </c>
    </row>
    <row r="465" spans="1:28" x14ac:dyDescent="0.2">
      <c r="A465">
        <v>19700831</v>
      </c>
      <c r="B465">
        <v>1970</v>
      </c>
      <c r="C465">
        <v>8</v>
      </c>
      <c r="D465" s="2">
        <f>ff_portfolios25!D465-ff_factors!$E465</f>
        <v>5.0717999999999999E-2</v>
      </c>
      <c r="E465" s="2">
        <f>ff_portfolios25!E465-ff_factors!$E465</f>
        <v>5.9204000000000007E-2</v>
      </c>
      <c r="F465" s="2">
        <f>ff_portfolios25!F465-ff_factors!$E465</f>
        <v>6.6139000000000003E-2</v>
      </c>
      <c r="G465" s="2">
        <f>ff_portfolios25!G465-ff_factors!$E465</f>
        <v>6.2446000000000002E-2</v>
      </c>
      <c r="H465" s="2">
        <f>ff_portfolios25!H465-ff_factors!$E465</f>
        <v>5.7799000000000003E-2</v>
      </c>
      <c r="I465" s="2">
        <f>ff_portfolios25!I465-ff_factors!$E465</f>
        <v>9.1426999999999994E-2</v>
      </c>
      <c r="J465" s="2">
        <f>ff_portfolios25!J465-ff_factors!$E465</f>
        <v>8.5803000000000004E-2</v>
      </c>
      <c r="K465" s="2">
        <f>ff_portfolios25!K465-ff_factors!$E465</f>
        <v>5.2332000000000004E-2</v>
      </c>
      <c r="L465" s="2">
        <f>ff_portfolios25!L465-ff_factors!$E465</f>
        <v>7.1304000000000006E-2</v>
      </c>
      <c r="M465" s="2">
        <f>ff_portfolios25!M465-ff_factors!$E465</f>
        <v>4.0087999999999999E-2</v>
      </c>
      <c r="N465" s="2">
        <f>ff_portfolios25!N465-ff_factors!$E465</f>
        <v>5.3144999999999998E-2</v>
      </c>
      <c r="O465" s="2">
        <f>ff_portfolios25!O465-ff_factors!$E465</f>
        <v>7.3913000000000006E-2</v>
      </c>
      <c r="P465" s="2">
        <f>ff_portfolios25!P465-ff_factors!$E465</f>
        <v>5.2164000000000002E-2</v>
      </c>
      <c r="Q465" s="2">
        <f>ff_portfolios25!Q465-ff_factors!$E465</f>
        <v>5.4889E-2</v>
      </c>
      <c r="R465" s="2">
        <f>ff_portfolios25!R465-ff_factors!$E465</f>
        <v>7.2659000000000001E-2</v>
      </c>
      <c r="S465" s="2">
        <f>ff_portfolios25!S465-ff_factors!$E465</f>
        <v>3.9258000000000001E-2</v>
      </c>
      <c r="T465" s="2">
        <f>ff_portfolios25!T465-ff_factors!$E465</f>
        <v>7.6844999999999997E-2</v>
      </c>
      <c r="U465" s="2">
        <f>ff_portfolios25!U465-ff_factors!$E465</f>
        <v>3.4952000000000004E-2</v>
      </c>
      <c r="V465" s="2">
        <f>ff_portfolios25!V465-ff_factors!$E465</f>
        <v>4.8246000000000004E-2</v>
      </c>
      <c r="W465" s="2">
        <f>ff_portfolios25!W465-ff_factors!$E465</f>
        <v>6.2057000000000001E-2</v>
      </c>
      <c r="X465" s="2">
        <f>ff_portfolios25!X465-ff_factors!$E465</f>
        <v>3.4589000000000002E-2</v>
      </c>
      <c r="Y465" s="2">
        <f>ff_portfolios25!Y465-ff_factors!$E465</f>
        <v>4.6438E-2</v>
      </c>
      <c r="Z465" s="2">
        <f>ff_portfolios25!Z465-ff_factors!$E465</f>
        <v>3.8827E-2</v>
      </c>
      <c r="AA465" s="2">
        <f>ff_portfolios25!AA465-ff_factors!$E465</f>
        <v>4.3561000000000002E-2</v>
      </c>
      <c r="AB465" s="2">
        <f>ff_portfolios25!AB465-ff_factors!$E465</f>
        <v>5.6676999999999998E-2</v>
      </c>
    </row>
    <row r="466" spans="1:28" x14ac:dyDescent="0.2">
      <c r="A466">
        <v>19700930</v>
      </c>
      <c r="B466">
        <v>1970</v>
      </c>
      <c r="C466">
        <v>9</v>
      </c>
      <c r="D466" s="2">
        <f>ff_portfolios25!D466-ff_factors!$E466</f>
        <v>0.21613300000000002</v>
      </c>
      <c r="E466" s="2">
        <f>ff_portfolios25!E466-ff_factors!$E466</f>
        <v>0.15995100000000001</v>
      </c>
      <c r="F466" s="2">
        <f>ff_portfolios25!F466-ff_factors!$E466</f>
        <v>0.15102900000000002</v>
      </c>
      <c r="G466" s="2">
        <f>ff_portfolios25!G466-ff_factors!$E466</f>
        <v>0.110515</v>
      </c>
      <c r="H466" s="2">
        <f>ff_portfolios25!H466-ff_factors!$E466</f>
        <v>0.11082599999999999</v>
      </c>
      <c r="I466" s="2">
        <f>ff_portfolios25!I466-ff_factors!$E466</f>
        <v>0.17380000000000001</v>
      </c>
      <c r="J466" s="2">
        <f>ff_portfolios25!J466-ff_factors!$E466</f>
        <v>0.18274500000000002</v>
      </c>
      <c r="K466" s="2">
        <f>ff_portfolios25!K466-ff_factors!$E466</f>
        <v>9.2122999999999997E-2</v>
      </c>
      <c r="L466" s="2">
        <f>ff_portfolios25!L466-ff_factors!$E466</f>
        <v>6.3037999999999997E-2</v>
      </c>
      <c r="M466" s="2">
        <f>ff_portfolios25!M466-ff_factors!$E466</f>
        <v>9.0580999999999995E-2</v>
      </c>
      <c r="N466" s="2">
        <f>ff_portfolios25!N466-ff_factors!$E466</f>
        <v>0.14779400000000001</v>
      </c>
      <c r="O466" s="2">
        <f>ff_portfolios25!O466-ff_factors!$E466</f>
        <v>9.2987E-2</v>
      </c>
      <c r="P466" s="2">
        <f>ff_portfolios25!P466-ff_factors!$E466</f>
        <v>8.6855000000000002E-2</v>
      </c>
      <c r="Q466" s="2">
        <f>ff_portfolios25!Q466-ff_factors!$E466</f>
        <v>4.6091E-2</v>
      </c>
      <c r="R466" s="2">
        <f>ff_portfolios25!R466-ff_factors!$E466</f>
        <v>5.5402E-2</v>
      </c>
      <c r="S466" s="2">
        <f>ff_portfolios25!S466-ff_factors!$E466</f>
        <v>9.0803999999999996E-2</v>
      </c>
      <c r="T466" s="2">
        <f>ff_portfolios25!T466-ff_factors!$E466</f>
        <v>5.6300999999999997E-2</v>
      </c>
      <c r="U466" s="2">
        <f>ff_portfolios25!U466-ff_factors!$E466</f>
        <v>4.2723999999999998E-2</v>
      </c>
      <c r="V466" s="2">
        <f>ff_portfolios25!V466-ff_factors!$E466</f>
        <v>3.3360000000000001E-2</v>
      </c>
      <c r="W466" s="2">
        <f>ff_portfolios25!W466-ff_factors!$E466</f>
        <v>7.5007999999999991E-2</v>
      </c>
      <c r="X466" s="2">
        <f>ff_portfolios25!X466-ff_factors!$E466</f>
        <v>6.6392999999999994E-2</v>
      </c>
      <c r="Y466" s="2">
        <f>ff_portfolios25!Y466-ff_factors!$E466</f>
        <v>-2.1680000000000002E-3</v>
      </c>
      <c r="Z466" s="2">
        <f>ff_portfolios25!Z466-ff_factors!$E466</f>
        <v>-8.4730000000000014E-3</v>
      </c>
      <c r="AA466" s="2">
        <f>ff_portfolios25!AA466-ff_factors!$E466</f>
        <v>-2.2670000000000004E-3</v>
      </c>
      <c r="AB466" s="2">
        <f>ff_portfolios25!AB466-ff_factors!$E466</f>
        <v>3.8482999999999996E-2</v>
      </c>
    </row>
    <row r="467" spans="1:28" x14ac:dyDescent="0.2">
      <c r="A467">
        <v>19701030</v>
      </c>
      <c r="B467">
        <v>1970</v>
      </c>
      <c r="C467">
        <v>10</v>
      </c>
      <c r="D467" s="2">
        <f>ff_portfolios25!D467-ff_factors!$E467</f>
        <v>-0.11593200000000001</v>
      </c>
      <c r="E467" s="2">
        <f>ff_portfolios25!E467-ff_factors!$E467</f>
        <v>-7.9090999999999995E-2</v>
      </c>
      <c r="F467" s="2">
        <f>ff_portfolios25!F467-ff_factors!$E467</f>
        <v>-0.11752699999999999</v>
      </c>
      <c r="G467" s="2">
        <f>ff_portfolios25!G467-ff_factors!$E467</f>
        <v>-6.9769999999999999E-2</v>
      </c>
      <c r="H467" s="2">
        <f>ff_portfolios25!H467-ff_factors!$E467</f>
        <v>-5.4197000000000002E-2</v>
      </c>
      <c r="I467" s="2">
        <f>ff_portfolios25!I467-ff_factors!$E467</f>
        <v>-4.9685E-2</v>
      </c>
      <c r="J467" s="2">
        <f>ff_portfolios25!J467-ff_factors!$E467</f>
        <v>-9.1541000000000011E-2</v>
      </c>
      <c r="K467" s="2">
        <f>ff_portfolios25!K467-ff_factors!$E467</f>
        <v>-6.5084000000000003E-2</v>
      </c>
      <c r="L467" s="2">
        <f>ff_portfolios25!L467-ff_factors!$E467</f>
        <v>-4.0333000000000001E-2</v>
      </c>
      <c r="M467" s="2">
        <f>ff_portfolios25!M467-ff_factors!$E467</f>
        <v>-4.8719999999999999E-2</v>
      </c>
      <c r="N467" s="2">
        <f>ff_portfolios25!N467-ff_factors!$E467</f>
        <v>-6.4376000000000003E-2</v>
      </c>
      <c r="O467" s="2">
        <f>ff_portfolios25!O467-ff_factors!$E467</f>
        <v>-4.7160000000000001E-2</v>
      </c>
      <c r="P467" s="2">
        <f>ff_portfolios25!P467-ff_factors!$E467</f>
        <v>-6.6961999999999994E-2</v>
      </c>
      <c r="Q467" s="2">
        <f>ff_portfolios25!Q467-ff_factors!$E467</f>
        <v>-3.3449E-2</v>
      </c>
      <c r="R467" s="2">
        <f>ff_portfolios25!R467-ff_factors!$E467</f>
        <v>-5.0872000000000001E-2</v>
      </c>
      <c r="S467" s="2">
        <f>ff_portfolios25!S467-ff_factors!$E467</f>
        <v>-2.9978999999999999E-2</v>
      </c>
      <c r="T467" s="2">
        <f>ff_portfolios25!T467-ff_factors!$E467</f>
        <v>-3.9543000000000002E-2</v>
      </c>
      <c r="U467" s="2">
        <f>ff_portfolios25!U467-ff_factors!$E467</f>
        <v>-3.7442999999999997E-2</v>
      </c>
      <c r="V467" s="2">
        <f>ff_portfolios25!V467-ff_factors!$E467</f>
        <v>-3.9031000000000003E-2</v>
      </c>
      <c r="W467" s="2">
        <f>ff_portfolios25!W467-ff_factors!$E467</f>
        <v>-6.6543999999999992E-2</v>
      </c>
      <c r="X467" s="2">
        <f>ff_portfolios25!X467-ff_factors!$E467</f>
        <v>-5.4339999999999996E-3</v>
      </c>
      <c r="Y467" s="2">
        <f>ff_portfolios25!Y467-ff_factors!$E467</f>
        <v>-1.4225999999999999E-2</v>
      </c>
      <c r="Z467" s="2">
        <f>ff_portfolios25!Z467-ff_factors!$E467</f>
        <v>-3.8195E-2</v>
      </c>
      <c r="AA467" s="2">
        <f>ff_portfolios25!AA467-ff_factors!$E467</f>
        <v>-4.0850000000000001E-3</v>
      </c>
      <c r="AB467" s="2">
        <f>ff_portfolios25!AB467-ff_factors!$E467</f>
        <v>-4.2300999999999998E-2</v>
      </c>
    </row>
    <row r="468" spans="1:28" x14ac:dyDescent="0.2">
      <c r="A468">
        <v>19701130</v>
      </c>
      <c r="B468">
        <v>1970</v>
      </c>
      <c r="C468">
        <v>11</v>
      </c>
      <c r="D468" s="2">
        <f>ff_portfolios25!D468-ff_factors!$E468</f>
        <v>-5.1754000000000001E-2</v>
      </c>
      <c r="E468" s="2">
        <f>ff_portfolios25!E468-ff_factors!$E468</f>
        <v>-2.5788999999999999E-2</v>
      </c>
      <c r="F468" s="2">
        <f>ff_portfolios25!F468-ff_factors!$E468</f>
        <v>-2.5478000000000001E-2</v>
      </c>
      <c r="G468" s="2">
        <f>ff_portfolios25!G468-ff_factors!$E468</f>
        <v>-8.479999999999998E-4</v>
      </c>
      <c r="H468" s="2">
        <f>ff_portfolios25!H468-ff_factors!$E468</f>
        <v>-2.4789999999999999E-3</v>
      </c>
      <c r="I468" s="2">
        <f>ff_portfolios25!I468-ff_factors!$E468</f>
        <v>3.0229999999999996E-3</v>
      </c>
      <c r="J468" s="2">
        <f>ff_portfolios25!J468-ff_factors!$E468</f>
        <v>9.0039999999999999E-3</v>
      </c>
      <c r="K468" s="2">
        <f>ff_portfolios25!K468-ff_factors!$E468</f>
        <v>2.6009999999999998E-2</v>
      </c>
      <c r="L468" s="2">
        <f>ff_portfolios25!L468-ff_factors!$E468</f>
        <v>5.0999000000000003E-2</v>
      </c>
      <c r="M468" s="2">
        <f>ff_portfolios25!M468-ff_factors!$E468</f>
        <v>3.3869000000000003E-2</v>
      </c>
      <c r="N468" s="2">
        <f>ff_portfolios25!N468-ff_factors!$E468</f>
        <v>2.5271999999999999E-2</v>
      </c>
      <c r="O468" s="2">
        <f>ff_portfolios25!O468-ff_factors!$E468</f>
        <v>2.6072999999999999E-2</v>
      </c>
      <c r="P468" s="2">
        <f>ff_portfolios25!P468-ff_factors!$E468</f>
        <v>4.1738999999999998E-2</v>
      </c>
      <c r="Q468" s="2">
        <f>ff_portfolios25!Q468-ff_factors!$E468</f>
        <v>4.5100000000000001E-2</v>
      </c>
      <c r="R468" s="2">
        <f>ff_portfolios25!R468-ff_factors!$E468</f>
        <v>1.5033999999999999E-2</v>
      </c>
      <c r="S468" s="2">
        <f>ff_portfolios25!S468-ff_factors!$E468</f>
        <v>4.3471000000000003E-2</v>
      </c>
      <c r="T468" s="2">
        <f>ff_portfolios25!T468-ff_factors!$E468</f>
        <v>2.6023999999999999E-2</v>
      </c>
      <c r="U468" s="2">
        <f>ff_portfolios25!U468-ff_factors!$E468</f>
        <v>5.7015000000000003E-2</v>
      </c>
      <c r="V468" s="2">
        <f>ff_portfolios25!V468-ff_factors!$E468</f>
        <v>7.9437000000000008E-2</v>
      </c>
      <c r="W468" s="2">
        <f>ff_portfolios25!W468-ff_factors!$E468</f>
        <v>4.3535999999999998E-2</v>
      </c>
      <c r="X468" s="2">
        <f>ff_portfolios25!X468-ff_factors!$E468</f>
        <v>4.7026999999999999E-2</v>
      </c>
      <c r="Y468" s="2">
        <f>ff_portfolios25!Y468-ff_factors!$E468</f>
        <v>6.3096000000000013E-2</v>
      </c>
      <c r="Z468" s="2">
        <f>ff_portfolios25!Z468-ff_factors!$E468</f>
        <v>4.7580999999999998E-2</v>
      </c>
      <c r="AA468" s="2">
        <f>ff_portfolios25!AA468-ff_factors!$E468</f>
        <v>5.3973E-2</v>
      </c>
      <c r="AB468" s="2">
        <f>ff_portfolios25!AB468-ff_factors!$E468</f>
        <v>5.2181999999999999E-2</v>
      </c>
    </row>
    <row r="469" spans="1:28" x14ac:dyDescent="0.2">
      <c r="A469">
        <v>19701231</v>
      </c>
      <c r="B469">
        <v>1970</v>
      </c>
      <c r="C469">
        <v>12</v>
      </c>
      <c r="D469" s="2">
        <f>ff_portfolios25!D469-ff_factors!$E469</f>
        <v>6.5606000000000012E-2</v>
      </c>
      <c r="E469" s="2">
        <f>ff_portfolios25!E469-ff_factors!$E469</f>
        <v>6.905E-2</v>
      </c>
      <c r="F469" s="2">
        <f>ff_portfolios25!F469-ff_factors!$E469</f>
        <v>0.100216</v>
      </c>
      <c r="G469" s="2">
        <f>ff_portfolios25!G469-ff_factors!$E469</f>
        <v>0.111593</v>
      </c>
      <c r="H469" s="2">
        <f>ff_portfolios25!H469-ff_factors!$E469</f>
        <v>0.102842</v>
      </c>
      <c r="I469" s="2">
        <f>ff_portfolios25!I469-ff_factors!$E469</f>
        <v>8.2008999999999999E-2</v>
      </c>
      <c r="J469" s="2">
        <f>ff_portfolios25!J469-ff_factors!$E469</f>
        <v>8.2618000000000011E-2</v>
      </c>
      <c r="K469" s="2">
        <f>ff_portfolios25!K469-ff_factors!$E469</f>
        <v>7.7886000000000011E-2</v>
      </c>
      <c r="L469" s="2">
        <f>ff_portfolios25!L469-ff_factors!$E469</f>
        <v>8.9618000000000003E-2</v>
      </c>
      <c r="M469" s="2">
        <f>ff_portfolios25!M469-ff_factors!$E469</f>
        <v>9.2623000000000011E-2</v>
      </c>
      <c r="N469" s="2">
        <f>ff_portfolios25!N469-ff_factors!$E469</f>
        <v>5.9312999999999998E-2</v>
      </c>
      <c r="O469" s="2">
        <f>ff_portfolios25!O469-ff_factors!$E469</f>
        <v>9.1946E-2</v>
      </c>
      <c r="P469" s="2">
        <f>ff_portfolios25!P469-ff_factors!$E469</f>
        <v>0.105405</v>
      </c>
      <c r="Q469" s="2">
        <f>ff_portfolios25!Q469-ff_factors!$E469</f>
        <v>7.6481000000000007E-2</v>
      </c>
      <c r="R469" s="2">
        <f>ff_portfolios25!R469-ff_factors!$E469</f>
        <v>8.6354E-2</v>
      </c>
      <c r="S469" s="2">
        <f>ff_portfolios25!S469-ff_factors!$E469</f>
        <v>5.6401E-2</v>
      </c>
      <c r="T469" s="2">
        <f>ff_portfolios25!T469-ff_factors!$E469</f>
        <v>0.101731</v>
      </c>
      <c r="U469" s="2">
        <f>ff_portfolios25!U469-ff_factors!$E469</f>
        <v>7.9947000000000004E-2</v>
      </c>
      <c r="V469" s="2">
        <f>ff_portfolios25!V469-ff_factors!$E469</f>
        <v>9.6167000000000002E-2</v>
      </c>
      <c r="W469" s="2">
        <f>ff_portfolios25!W469-ff_factors!$E469</f>
        <v>7.1879999999999999E-2</v>
      </c>
      <c r="X469" s="2">
        <f>ff_portfolios25!X469-ff_factors!$E469</f>
        <v>4.2648999999999999E-2</v>
      </c>
      <c r="Y469" s="2">
        <f>ff_portfolios25!Y469-ff_factors!$E469</f>
        <v>5.3641999999999995E-2</v>
      </c>
      <c r="Z469" s="2">
        <f>ff_portfolios25!Z469-ff_factors!$E469</f>
        <v>7.0788000000000004E-2</v>
      </c>
      <c r="AA469" s="2">
        <f>ff_portfolios25!AA469-ff_factors!$E469</f>
        <v>4.6421999999999998E-2</v>
      </c>
      <c r="AB469" s="2">
        <f>ff_portfolios25!AB469-ff_factors!$E469</f>
        <v>6.4920000000000005E-2</v>
      </c>
    </row>
    <row r="470" spans="1:28" x14ac:dyDescent="0.2">
      <c r="A470">
        <v>19710129</v>
      </c>
      <c r="B470">
        <v>1971</v>
      </c>
      <c r="C470">
        <v>1</v>
      </c>
      <c r="D470" s="2">
        <f>ff_portfolios25!D470-ff_factors!$E470</f>
        <v>0.14885000000000001</v>
      </c>
      <c r="E470" s="2">
        <f>ff_portfolios25!E470-ff_factors!$E470</f>
        <v>0.134048</v>
      </c>
      <c r="F470" s="2">
        <f>ff_portfolios25!F470-ff_factors!$E470</f>
        <v>0.159331</v>
      </c>
      <c r="G470" s="2">
        <f>ff_portfolios25!G470-ff_factors!$E470</f>
        <v>0.13738</v>
      </c>
      <c r="H470" s="2">
        <f>ff_portfolios25!H470-ff_factors!$E470</f>
        <v>0.15535299999999999</v>
      </c>
      <c r="I470" s="2">
        <f>ff_portfolios25!I470-ff_factors!$E470</f>
        <v>7.3322999999999999E-2</v>
      </c>
      <c r="J470" s="2">
        <f>ff_portfolios25!J470-ff_factors!$E470</f>
        <v>0.117032</v>
      </c>
      <c r="K470" s="2">
        <f>ff_portfolios25!K470-ff_factors!$E470</f>
        <v>0.124196</v>
      </c>
      <c r="L470" s="2">
        <f>ff_portfolios25!L470-ff_factors!$E470</f>
        <v>0.10515100000000001</v>
      </c>
      <c r="M470" s="2">
        <f>ff_portfolios25!M470-ff_factors!$E470</f>
        <v>0.12701699999999999</v>
      </c>
      <c r="N470" s="2">
        <f>ff_portfolios25!N470-ff_factors!$E470</f>
        <v>7.8004000000000004E-2</v>
      </c>
      <c r="O470" s="2">
        <f>ff_portfolios25!O470-ff_factors!$E470</f>
        <v>8.4740999999999997E-2</v>
      </c>
      <c r="P470" s="2">
        <f>ff_portfolios25!P470-ff_factors!$E470</f>
        <v>0.105472</v>
      </c>
      <c r="Q470" s="2">
        <f>ff_portfolios25!Q470-ff_factors!$E470</f>
        <v>7.7315000000000009E-2</v>
      </c>
      <c r="R470" s="2">
        <f>ff_portfolios25!R470-ff_factors!$E470</f>
        <v>8.2998000000000002E-2</v>
      </c>
      <c r="S470" s="2">
        <f>ff_portfolios25!S470-ff_factors!$E470</f>
        <v>4.9624000000000001E-2</v>
      </c>
      <c r="T470" s="2">
        <f>ff_portfolios25!T470-ff_factors!$E470</f>
        <v>6.7097000000000004E-2</v>
      </c>
      <c r="U470" s="2">
        <f>ff_portfolios25!U470-ff_factors!$E470</f>
        <v>4.6644999999999999E-2</v>
      </c>
      <c r="V470" s="2">
        <f>ff_portfolios25!V470-ff_factors!$E470</f>
        <v>8.2674999999999998E-2</v>
      </c>
      <c r="W470" s="2">
        <f>ff_portfolios25!W470-ff_factors!$E470</f>
        <v>0.13617299999999999</v>
      </c>
      <c r="X470" s="2">
        <f>ff_portfolios25!X470-ff_factors!$E470</f>
        <v>3.7171000000000003E-2</v>
      </c>
      <c r="Y470" s="2">
        <f>ff_portfolios25!Y470-ff_factors!$E470</f>
        <v>3.9272000000000001E-2</v>
      </c>
      <c r="Z470" s="2">
        <f>ff_portfolios25!Z470-ff_factors!$E470</f>
        <v>2.9016999999999998E-2</v>
      </c>
      <c r="AA470" s="2">
        <f>ff_portfolios25!AA470-ff_factors!$E470</f>
        <v>2.6255999999999998E-2</v>
      </c>
      <c r="AB470" s="2">
        <f>ff_portfolios25!AB470-ff_factors!$E470</f>
        <v>3.6509E-2</v>
      </c>
    </row>
    <row r="471" spans="1:28" x14ac:dyDescent="0.2">
      <c r="A471">
        <v>19710226</v>
      </c>
      <c r="B471">
        <v>1971</v>
      </c>
      <c r="C471">
        <v>2</v>
      </c>
      <c r="D471" s="2">
        <f>ff_portfolios25!D471-ff_factors!$E471</f>
        <v>7.6716000000000006E-2</v>
      </c>
      <c r="E471" s="2">
        <f>ff_portfolios25!E471-ff_factors!$E471</f>
        <v>7.1362000000000009E-2</v>
      </c>
      <c r="F471" s="2">
        <f>ff_portfolios25!F471-ff_factors!$E471</f>
        <v>5.7685E-2</v>
      </c>
      <c r="G471" s="2">
        <f>ff_portfolios25!G471-ff_factors!$E471</f>
        <v>2.9882999999999996E-2</v>
      </c>
      <c r="H471" s="2">
        <f>ff_portfolios25!H471-ff_factors!$E471</f>
        <v>3.7246000000000001E-2</v>
      </c>
      <c r="I471" s="2">
        <f>ff_portfolios25!I471-ff_factors!$E471</f>
        <v>3.9392000000000003E-2</v>
      </c>
      <c r="J471" s="2">
        <f>ff_portfolios25!J471-ff_factors!$E471</f>
        <v>2.4701999999999998E-2</v>
      </c>
      <c r="K471" s="2">
        <f>ff_portfolios25!K471-ff_factors!$E471</f>
        <v>2.2841E-2</v>
      </c>
      <c r="L471" s="2">
        <f>ff_portfolios25!L471-ff_factors!$E471</f>
        <v>1.1748999999999999E-2</v>
      </c>
      <c r="M471" s="2">
        <f>ff_portfolios25!M471-ff_factors!$E471</f>
        <v>5.5749999999999992E-3</v>
      </c>
      <c r="N471" s="2">
        <f>ff_portfolios25!N471-ff_factors!$E471</f>
        <v>3.7805999999999999E-2</v>
      </c>
      <c r="O471" s="2">
        <f>ff_portfolios25!O471-ff_factors!$E471</f>
        <v>1.6128999999999998E-2</v>
      </c>
      <c r="P471" s="2">
        <f>ff_portfolios25!P471-ff_factors!$E471</f>
        <v>2.1062999999999998E-2</v>
      </c>
      <c r="Q471" s="2">
        <f>ff_portfolios25!Q471-ff_factors!$E471</f>
        <v>8.7360000000000007E-3</v>
      </c>
      <c r="R471" s="2">
        <f>ff_portfolios25!R471-ff_factors!$E471</f>
        <v>1.5091E-2</v>
      </c>
      <c r="S471" s="2">
        <f>ff_portfolios25!S471-ff_factors!$E471</f>
        <v>3.3552999999999999E-2</v>
      </c>
      <c r="T471" s="2">
        <f>ff_portfolios25!T471-ff_factors!$E471</f>
        <v>2.5463E-2</v>
      </c>
      <c r="U471" s="2">
        <f>ff_portfolios25!U471-ff_factors!$E471</f>
        <v>-5.6799999999999993E-4</v>
      </c>
      <c r="V471" s="2">
        <f>ff_portfolios25!V471-ff_factors!$E471</f>
        <v>2.9131000000000001E-2</v>
      </c>
      <c r="W471" s="2">
        <f>ff_portfolios25!W471-ff_factors!$E471</f>
        <v>8.820999999999999E-3</v>
      </c>
      <c r="X471" s="2">
        <f>ff_portfolios25!X471-ff_factors!$E471</f>
        <v>2.0070999999999999E-2</v>
      </c>
      <c r="Y471" s="2">
        <f>ff_portfolios25!Y471-ff_factors!$E471</f>
        <v>2.2600000000000007E-4</v>
      </c>
      <c r="Z471" s="2">
        <f>ff_portfolios25!Z471-ff_factors!$E471</f>
        <v>3.3880000000000004E-3</v>
      </c>
      <c r="AA471" s="2">
        <f>ff_portfolios25!AA471-ff_factors!$E471</f>
        <v>1.5050000000000003E-3</v>
      </c>
      <c r="AB471" s="2">
        <f>ff_portfolios25!AB471-ff_factors!$E471</f>
        <v>9.215000000000001E-3</v>
      </c>
    </row>
    <row r="472" spans="1:28" x14ac:dyDescent="0.2">
      <c r="A472">
        <v>19710331</v>
      </c>
      <c r="B472">
        <v>1971</v>
      </c>
      <c r="C472">
        <v>3</v>
      </c>
      <c r="D472" s="2">
        <f>ff_portfolios25!D472-ff_factors!$E472</f>
        <v>8.0387E-2</v>
      </c>
      <c r="E472" s="2">
        <f>ff_portfolios25!E472-ff_factors!$E472</f>
        <v>4.3302999999999994E-2</v>
      </c>
      <c r="F472" s="2">
        <f>ff_portfolios25!F472-ff_factors!$E472</f>
        <v>7.5614000000000001E-2</v>
      </c>
      <c r="G472" s="2">
        <f>ff_portfolios25!G472-ff_factors!$E472</f>
        <v>6.1924999999999994E-2</v>
      </c>
      <c r="H472" s="2">
        <f>ff_portfolios25!H472-ff_factors!$E472</f>
        <v>4.7613999999999997E-2</v>
      </c>
      <c r="I472" s="2">
        <f>ff_portfolios25!I472-ff_factors!$E472</f>
        <v>7.5648999999999994E-2</v>
      </c>
      <c r="J472" s="2">
        <f>ff_portfolios25!J472-ff_factors!$E472</f>
        <v>6.4125000000000001E-2</v>
      </c>
      <c r="K472" s="2">
        <f>ff_portfolios25!K472-ff_factors!$E472</f>
        <v>5.5241999999999999E-2</v>
      </c>
      <c r="L472" s="2">
        <f>ff_portfolios25!L472-ff_factors!$E472</f>
        <v>3.9059999999999997E-2</v>
      </c>
      <c r="M472" s="2">
        <f>ff_portfolios25!M472-ff_factors!$E472</f>
        <v>1.0874999999999999E-2</v>
      </c>
      <c r="N472" s="2">
        <f>ff_portfolios25!N472-ff_factors!$E472</f>
        <v>0.10167899999999999</v>
      </c>
      <c r="O472" s="2">
        <f>ff_portfolios25!O472-ff_factors!$E472</f>
        <v>8.9966999999999991E-2</v>
      </c>
      <c r="P472" s="2">
        <f>ff_portfolios25!P472-ff_factors!$E472</f>
        <v>3.5215999999999997E-2</v>
      </c>
      <c r="Q472" s="2">
        <f>ff_portfolios25!Q472-ff_factors!$E472</f>
        <v>2.6848E-2</v>
      </c>
      <c r="R472" s="2">
        <f>ff_portfolios25!R472-ff_factors!$E472</f>
        <v>4.3816000000000001E-2</v>
      </c>
      <c r="S472" s="2">
        <f>ff_portfolios25!S472-ff_factors!$E472</f>
        <v>6.4905999999999991E-2</v>
      </c>
      <c r="T472" s="2">
        <f>ff_portfolios25!T472-ff_factors!$E472</f>
        <v>5.8754999999999995E-2</v>
      </c>
      <c r="U472" s="2">
        <f>ff_portfolios25!U472-ff_factors!$E472</f>
        <v>4.3938999999999999E-2</v>
      </c>
      <c r="V472" s="2">
        <f>ff_portfolios25!V472-ff_factors!$E472</f>
        <v>2.0501000000000002E-2</v>
      </c>
      <c r="W472" s="2">
        <f>ff_portfolios25!W472-ff_factors!$E472</f>
        <v>3.2128999999999998E-2</v>
      </c>
      <c r="X472" s="2">
        <f>ff_portfolios25!X472-ff_factors!$E472</f>
        <v>5.5572999999999997E-2</v>
      </c>
      <c r="Y472" s="2">
        <f>ff_portfolios25!Y472-ff_factors!$E472</f>
        <v>2.6002000000000001E-2</v>
      </c>
      <c r="Z472" s="2">
        <f>ff_portfolios25!Z472-ff_factors!$E472</f>
        <v>4.5456999999999997E-2</v>
      </c>
      <c r="AA472" s="2">
        <f>ff_portfolios25!AA472-ff_factors!$E472</f>
        <v>1.1359000000000001E-2</v>
      </c>
      <c r="AB472" s="2">
        <f>ff_portfolios25!AB472-ff_factors!$E472</f>
        <v>2.2005E-2</v>
      </c>
    </row>
    <row r="473" spans="1:28" x14ac:dyDescent="0.2">
      <c r="A473">
        <v>19710430</v>
      </c>
      <c r="B473">
        <v>1971</v>
      </c>
      <c r="C473">
        <v>4</v>
      </c>
      <c r="D473" s="2">
        <f>ff_portfolios25!D473-ff_factors!$E473</f>
        <v>4.9510000000000005E-3</v>
      </c>
      <c r="E473" s="2">
        <f>ff_portfolios25!E473-ff_factors!$E473</f>
        <v>2.9757999999999996E-2</v>
      </c>
      <c r="F473" s="2">
        <f>ff_portfolios25!F473-ff_factors!$E473</f>
        <v>1.9598000000000001E-2</v>
      </c>
      <c r="G473" s="2">
        <f>ff_portfolios25!G473-ff_factors!$E473</f>
        <v>2.4584999999999999E-2</v>
      </c>
      <c r="H473" s="2">
        <f>ff_portfolios25!H473-ff_factors!$E473</f>
        <v>1.5574000000000001E-2</v>
      </c>
      <c r="I473" s="2">
        <f>ff_portfolios25!I473-ff_factors!$E473</f>
        <v>1.6712000000000001E-2</v>
      </c>
      <c r="J473" s="2">
        <f>ff_portfolios25!J473-ff_factors!$E473</f>
        <v>2.5204000000000001E-2</v>
      </c>
      <c r="K473" s="2">
        <f>ff_portfolios25!K473-ff_factors!$E473</f>
        <v>1.9708E-2</v>
      </c>
      <c r="L473" s="2">
        <f>ff_portfolios25!L473-ff_factors!$E473</f>
        <v>3.3228000000000001E-2</v>
      </c>
      <c r="M473" s="2">
        <f>ff_portfolios25!M473-ff_factors!$E473</f>
        <v>6.7502000000000006E-2</v>
      </c>
      <c r="N473" s="2">
        <f>ff_portfolios25!N473-ff_factors!$E473</f>
        <v>5.8968000000000007E-2</v>
      </c>
      <c r="O473" s="2">
        <f>ff_portfolios25!O473-ff_factors!$E473</f>
        <v>4.4465000000000005E-2</v>
      </c>
      <c r="P473" s="2">
        <f>ff_portfolios25!P473-ff_factors!$E473</f>
        <v>4.1449E-2</v>
      </c>
      <c r="Q473" s="2">
        <f>ff_portfolios25!Q473-ff_factors!$E473</f>
        <v>2.3241999999999999E-2</v>
      </c>
      <c r="R473" s="2">
        <f>ff_portfolios25!R473-ff_factors!$E473</f>
        <v>7.7718000000000009E-2</v>
      </c>
      <c r="S473" s="2">
        <f>ff_portfolios25!S473-ff_factors!$E473</f>
        <v>2.7584000000000001E-2</v>
      </c>
      <c r="T473" s="2">
        <f>ff_portfolios25!T473-ff_factors!$E473</f>
        <v>2.7917000000000001E-2</v>
      </c>
      <c r="U473" s="2">
        <f>ff_portfolios25!U473-ff_factors!$E473</f>
        <v>1.6723999999999999E-2</v>
      </c>
      <c r="V473" s="2">
        <f>ff_portfolios25!V473-ff_factors!$E473</f>
        <v>3.8638000000000006E-2</v>
      </c>
      <c r="W473" s="2">
        <f>ff_portfolios25!W473-ff_factors!$E473</f>
        <v>8.8929000000000008E-2</v>
      </c>
      <c r="X473" s="2">
        <f>ff_portfolios25!X473-ff_factors!$E473</f>
        <v>3.3488000000000004E-2</v>
      </c>
      <c r="Y473" s="2">
        <f>ff_portfolios25!Y473-ff_factors!$E473</f>
        <v>5.3815000000000002E-2</v>
      </c>
      <c r="Z473" s="2">
        <f>ff_portfolios25!Z473-ff_factors!$E473</f>
        <v>3.643E-3</v>
      </c>
      <c r="AA473" s="2">
        <f>ff_portfolios25!AA473-ff_factors!$E473</f>
        <v>2.3368E-2</v>
      </c>
      <c r="AB473" s="2">
        <f>ff_portfolios25!AB473-ff_factors!$E473</f>
        <v>5.8743000000000004E-2</v>
      </c>
    </row>
    <row r="474" spans="1:28" x14ac:dyDescent="0.2">
      <c r="A474">
        <v>19710528</v>
      </c>
      <c r="B474">
        <v>1971</v>
      </c>
      <c r="C474">
        <v>5</v>
      </c>
      <c r="D474" s="2">
        <f>ff_portfolios25!D474-ff_factors!$E474</f>
        <v>-6.8904999999999994E-2</v>
      </c>
      <c r="E474" s="2">
        <f>ff_portfolios25!E474-ff_factors!$E474</f>
        <v>-5.3851000000000003E-2</v>
      </c>
      <c r="F474" s="2">
        <f>ff_portfolios25!F474-ff_factors!$E474</f>
        <v>-7.6345999999999997E-2</v>
      </c>
      <c r="G474" s="2">
        <f>ff_portfolios25!G474-ff_factors!$E474</f>
        <v>-5.2486999999999999E-2</v>
      </c>
      <c r="H474" s="2">
        <f>ff_portfolios25!H474-ff_factors!$E474</f>
        <v>-6.8651000000000004E-2</v>
      </c>
      <c r="I474" s="2">
        <f>ff_portfolios25!I474-ff_factors!$E474</f>
        <v>-3.6742999999999998E-2</v>
      </c>
      <c r="J474" s="2">
        <f>ff_portfolios25!J474-ff_factors!$E474</f>
        <v>-6.2289999999999998E-2</v>
      </c>
      <c r="K474" s="2">
        <f>ff_portfolios25!K474-ff_factors!$E474</f>
        <v>-5.0715000000000003E-2</v>
      </c>
      <c r="L474" s="2">
        <f>ff_portfolios25!L474-ff_factors!$E474</f>
        <v>-4.8351999999999999E-2</v>
      </c>
      <c r="M474" s="2">
        <f>ff_portfolios25!M474-ff_factors!$E474</f>
        <v>-4.7578000000000002E-2</v>
      </c>
      <c r="N474" s="2">
        <f>ff_portfolios25!N474-ff_factors!$E474</f>
        <v>-4.8122999999999999E-2</v>
      </c>
      <c r="O474" s="2">
        <f>ff_portfolios25!O474-ff_factors!$E474</f>
        <v>-2.8545000000000001E-2</v>
      </c>
      <c r="P474" s="2">
        <f>ff_portfolios25!P474-ff_factors!$E474</f>
        <v>-5.0528999999999998E-2</v>
      </c>
      <c r="Q474" s="2">
        <f>ff_portfolios25!Q474-ff_factors!$E474</f>
        <v>-4.2081E-2</v>
      </c>
      <c r="R474" s="2">
        <f>ff_portfolios25!R474-ff_factors!$E474</f>
        <v>-3.3898999999999999E-2</v>
      </c>
      <c r="S474" s="2">
        <f>ff_portfolios25!S474-ff_factors!$E474</f>
        <v>-2.4465000000000001E-2</v>
      </c>
      <c r="T474" s="2">
        <f>ff_portfolios25!T474-ff_factors!$E474</f>
        <v>-3.6969000000000002E-2</v>
      </c>
      <c r="U474" s="2">
        <f>ff_portfolios25!U474-ff_factors!$E474</f>
        <v>-4.4068999999999997E-2</v>
      </c>
      <c r="V474" s="2">
        <f>ff_portfolios25!V474-ff_factors!$E474</f>
        <v>-3.4349999999999999E-2</v>
      </c>
      <c r="W474" s="2">
        <f>ff_portfolios25!W474-ff_factors!$E474</f>
        <v>-4.6619000000000001E-2</v>
      </c>
      <c r="X474" s="2">
        <f>ff_portfolios25!X474-ff_factors!$E474</f>
        <v>-2.7219E-2</v>
      </c>
      <c r="Y474" s="2">
        <f>ff_portfolios25!Y474-ff_factors!$E474</f>
        <v>-4.6427000000000003E-2</v>
      </c>
      <c r="Z474" s="2">
        <f>ff_portfolios25!Z474-ff_factors!$E474</f>
        <v>-4.4632999999999999E-2</v>
      </c>
      <c r="AA474" s="2">
        <f>ff_portfolios25!AA474-ff_factors!$E474</f>
        <v>-5.3090999999999999E-2</v>
      </c>
      <c r="AB474" s="2">
        <f>ff_portfolios25!AB474-ff_factors!$E474</f>
        <v>-3.9434999999999998E-2</v>
      </c>
    </row>
    <row r="475" spans="1:28" x14ac:dyDescent="0.2">
      <c r="A475">
        <v>19710630</v>
      </c>
      <c r="B475">
        <v>1971</v>
      </c>
      <c r="C475">
        <v>6</v>
      </c>
      <c r="D475" s="2">
        <f>ff_portfolios25!D475-ff_factors!$E475</f>
        <v>-7.92E-3</v>
      </c>
      <c r="E475" s="2">
        <f>ff_portfolios25!E475-ff_factors!$E475</f>
        <v>-3.9557000000000002E-2</v>
      </c>
      <c r="F475" s="2">
        <f>ff_portfolios25!F475-ff_factors!$E475</f>
        <v>-2.6612999999999998E-2</v>
      </c>
      <c r="G475" s="2">
        <f>ff_portfolios25!G475-ff_factors!$E475</f>
        <v>-1.6136999999999999E-2</v>
      </c>
      <c r="H475" s="2">
        <f>ff_portfolios25!H475-ff_factors!$E475</f>
        <v>-2.5488999999999998E-2</v>
      </c>
      <c r="I475" s="2">
        <f>ff_portfolios25!I475-ff_factors!$E475</f>
        <v>3.3234E-2</v>
      </c>
      <c r="J475" s="2">
        <f>ff_portfolios25!J475-ff_factors!$E475</f>
        <v>-1.9729999999999998E-2</v>
      </c>
      <c r="K475" s="2">
        <f>ff_portfolios25!K475-ff_factors!$E475</f>
        <v>-4.1600000000000014E-4</v>
      </c>
      <c r="L475" s="2">
        <f>ff_portfolios25!L475-ff_factors!$E475</f>
        <v>-2.4829999999999998E-2</v>
      </c>
      <c r="M475" s="2">
        <f>ff_portfolios25!M475-ff_factors!$E475</f>
        <v>-3.7326000000000005E-2</v>
      </c>
      <c r="N475" s="2">
        <f>ff_portfolios25!N475-ff_factors!$E475</f>
        <v>-2.1061000000000003E-2</v>
      </c>
      <c r="O475" s="2">
        <f>ff_portfolios25!O475-ff_factors!$E475</f>
        <v>1.3730000000000001E-2</v>
      </c>
      <c r="P475" s="2">
        <f>ff_portfolios25!P475-ff_factors!$E475</f>
        <v>-1.8282E-2</v>
      </c>
      <c r="Q475" s="2">
        <f>ff_portfolios25!Q475-ff_factors!$E475</f>
        <v>-2.2559999999999997E-2</v>
      </c>
      <c r="R475" s="2">
        <f>ff_portfolios25!R475-ff_factors!$E475</f>
        <v>-2.862E-2</v>
      </c>
      <c r="S475" s="2">
        <f>ff_portfolios25!S475-ff_factors!$E475</f>
        <v>8.6960000000000006E-3</v>
      </c>
      <c r="T475" s="2">
        <f>ff_portfolios25!T475-ff_factors!$E475</f>
        <v>6.6759999999999996E-3</v>
      </c>
      <c r="U475" s="2">
        <f>ff_portfolios25!U475-ff_factors!$E475</f>
        <v>2.0548999999999998E-2</v>
      </c>
      <c r="V475" s="2">
        <f>ff_portfolios25!V475-ff_factors!$E475</f>
        <v>2.1009999999999996E-3</v>
      </c>
      <c r="W475" s="2">
        <f>ff_portfolios25!W475-ff_factors!$E475</f>
        <v>-4.3126000000000005E-2</v>
      </c>
      <c r="X475" s="2">
        <f>ff_portfolios25!X475-ff_factors!$E475</f>
        <v>8.6689999999999996E-3</v>
      </c>
      <c r="Y475" s="2">
        <f>ff_portfolios25!Y475-ff_factors!$E475</f>
        <v>-1.2231000000000001E-2</v>
      </c>
      <c r="Z475" s="2">
        <f>ff_portfolios25!Z475-ff_factors!$E475</f>
        <v>-6.4819999999999999E-3</v>
      </c>
      <c r="AA475" s="2">
        <f>ff_portfolios25!AA475-ff_factors!$E475</f>
        <v>4.8159999999999991E-3</v>
      </c>
      <c r="AB475" s="2">
        <f>ff_portfolios25!AB475-ff_factors!$E475</f>
        <v>-6.5210000000000008E-3</v>
      </c>
    </row>
    <row r="476" spans="1:28" x14ac:dyDescent="0.2">
      <c r="A476">
        <v>19710730</v>
      </c>
      <c r="B476">
        <v>1971</v>
      </c>
      <c r="C476">
        <v>7</v>
      </c>
      <c r="D476" s="2">
        <f>ff_portfolios25!D476-ff_factors!$E476</f>
        <v>-9.0193000000000009E-2</v>
      </c>
      <c r="E476" s="2">
        <f>ff_portfolios25!E476-ff_factors!$E476</f>
        <v>-8.4616999999999998E-2</v>
      </c>
      <c r="F476" s="2">
        <f>ff_portfolios25!F476-ff_factors!$E476</f>
        <v>-7.6468000000000008E-2</v>
      </c>
      <c r="G476" s="2">
        <f>ff_portfolios25!G476-ff_factors!$E476</f>
        <v>-6.4359E-2</v>
      </c>
      <c r="H476" s="2">
        <f>ff_portfolios25!H476-ff_factors!$E476</f>
        <v>-6.3247999999999999E-2</v>
      </c>
      <c r="I476" s="2">
        <f>ff_portfolios25!I476-ff_factors!$E476</f>
        <v>-6.8101000000000009E-2</v>
      </c>
      <c r="J476" s="2">
        <f>ff_portfolios25!J476-ff_factors!$E476</f>
        <v>-5.1228999999999997E-2</v>
      </c>
      <c r="K476" s="2">
        <f>ff_portfolios25!K476-ff_factors!$E476</f>
        <v>-3.8559999999999997E-2</v>
      </c>
      <c r="L476" s="2">
        <f>ff_portfolios25!L476-ff_factors!$E476</f>
        <v>-6.8962000000000009E-2</v>
      </c>
      <c r="M476" s="2">
        <f>ff_portfolios25!M476-ff_factors!$E476</f>
        <v>-6.1433000000000001E-2</v>
      </c>
      <c r="N476" s="2">
        <f>ff_portfolios25!N476-ff_factors!$E476</f>
        <v>-8.4235000000000004E-2</v>
      </c>
      <c r="O476" s="2">
        <f>ff_portfolios25!O476-ff_factors!$E476</f>
        <v>-4.8899999999999999E-2</v>
      </c>
      <c r="P476" s="2">
        <f>ff_portfolios25!P476-ff_factors!$E476</f>
        <v>-3.6766000000000007E-2</v>
      </c>
      <c r="Q476" s="2">
        <f>ff_portfolios25!Q476-ff_factors!$E476</f>
        <v>-6.2132000000000007E-2</v>
      </c>
      <c r="R476" s="2">
        <f>ff_portfolios25!R476-ff_factors!$E476</f>
        <v>-5.0869999999999999E-2</v>
      </c>
      <c r="S476" s="2">
        <f>ff_portfolios25!S476-ff_factors!$E476</f>
        <v>-4.0114999999999998E-2</v>
      </c>
      <c r="T476" s="2">
        <f>ff_portfolios25!T476-ff_factors!$E476</f>
        <v>-4.5939999999999995E-2</v>
      </c>
      <c r="U476" s="2">
        <f>ff_portfolios25!U476-ff_factors!$E476</f>
        <v>-4.1902999999999996E-2</v>
      </c>
      <c r="V476" s="2">
        <f>ff_portfolios25!V476-ff_factors!$E476</f>
        <v>-4.6450000000000005E-2</v>
      </c>
      <c r="W476" s="2">
        <f>ff_portfolios25!W476-ff_factors!$E476</f>
        <v>-8.0080999999999999E-2</v>
      </c>
      <c r="X476" s="2">
        <f>ff_portfolios25!X476-ff_factors!$E476</f>
        <v>-4.3817999999999996E-2</v>
      </c>
      <c r="Y476" s="2">
        <f>ff_portfolios25!Y476-ff_factors!$E476</f>
        <v>-4.3036000000000005E-2</v>
      </c>
      <c r="Z476" s="2">
        <f>ff_portfolios25!Z476-ff_factors!$E476</f>
        <v>-3.8699999999999998E-2</v>
      </c>
      <c r="AA476" s="2">
        <f>ff_portfolios25!AA476-ff_factors!$E476</f>
        <v>-3.6955000000000002E-2</v>
      </c>
      <c r="AB476" s="2">
        <f>ff_portfolios25!AB476-ff_factors!$E476</f>
        <v>-5.8873999999999996E-2</v>
      </c>
    </row>
    <row r="477" spans="1:28" x14ac:dyDescent="0.2">
      <c r="A477">
        <v>19710831</v>
      </c>
      <c r="B477">
        <v>1971</v>
      </c>
      <c r="C477">
        <v>8</v>
      </c>
      <c r="D477" s="2">
        <f>ff_portfolios25!D477-ff_factors!$E477</f>
        <v>2.8204000000000003E-2</v>
      </c>
      <c r="E477" s="2">
        <f>ff_portfolios25!E477-ff_factors!$E477</f>
        <v>3.9122999999999998E-2</v>
      </c>
      <c r="F477" s="2">
        <f>ff_portfolios25!F477-ff_factors!$E477</f>
        <v>2.3397000000000001E-2</v>
      </c>
      <c r="G477" s="2">
        <f>ff_portfolios25!G477-ff_factors!$E477</f>
        <v>4.0855999999999996E-2</v>
      </c>
      <c r="H477" s="2">
        <f>ff_portfolios25!H477-ff_factors!$E477</f>
        <v>5.1957999999999997E-2</v>
      </c>
      <c r="I477" s="2">
        <f>ff_portfolios25!I477-ff_factors!$E477</f>
        <v>3.6062999999999998E-2</v>
      </c>
      <c r="J477" s="2">
        <f>ff_portfolios25!J477-ff_factors!$E477</f>
        <v>6.6017000000000006E-2</v>
      </c>
      <c r="K477" s="2">
        <f>ff_portfolios25!K477-ff_factors!$E477</f>
        <v>2.7697000000000003E-2</v>
      </c>
      <c r="L477" s="2">
        <f>ff_portfolios25!L477-ff_factors!$E477</f>
        <v>5.6812999999999995E-2</v>
      </c>
      <c r="M477" s="2">
        <f>ff_portfolios25!M477-ff_factors!$E477</f>
        <v>7.3190000000000005E-2</v>
      </c>
      <c r="N477" s="2">
        <f>ff_portfolios25!N477-ff_factors!$E477</f>
        <v>6.0847999999999992E-2</v>
      </c>
      <c r="O477" s="2">
        <f>ff_portfolios25!O477-ff_factors!$E477</f>
        <v>4.5448999999999996E-2</v>
      </c>
      <c r="P477" s="2">
        <f>ff_portfolios25!P477-ff_factors!$E477</f>
        <v>1.4493000000000002E-2</v>
      </c>
      <c r="Q477" s="2">
        <f>ff_portfolios25!Q477-ff_factors!$E477</f>
        <v>7.028100000000001E-2</v>
      </c>
      <c r="R477" s="2">
        <f>ff_portfolios25!R477-ff_factors!$E477</f>
        <v>8.5274000000000003E-2</v>
      </c>
      <c r="S477" s="2">
        <f>ff_portfolios25!S477-ff_factors!$E477</f>
        <v>6.5505000000000008E-2</v>
      </c>
      <c r="T477" s="2">
        <f>ff_portfolios25!T477-ff_factors!$E477</f>
        <v>3.8162999999999996E-2</v>
      </c>
      <c r="U477" s="2">
        <f>ff_portfolios25!U477-ff_factors!$E477</f>
        <v>1.8187000000000002E-2</v>
      </c>
      <c r="V477" s="2">
        <f>ff_portfolios25!V477-ff_factors!$E477</f>
        <v>2.8149000000000004E-2</v>
      </c>
      <c r="W477" s="2">
        <f>ff_portfolios25!W477-ff_factors!$E477</f>
        <v>0.100883</v>
      </c>
      <c r="X477" s="2">
        <f>ff_portfolios25!X477-ff_factors!$E477</f>
        <v>4.9317999999999994E-2</v>
      </c>
      <c r="Y477" s="2">
        <f>ff_portfolios25!Y477-ff_factors!$E477</f>
        <v>4.1893E-2</v>
      </c>
      <c r="Z477" s="2">
        <f>ff_portfolios25!Z477-ff_factors!$E477</f>
        <v>-1.8995999999999999E-2</v>
      </c>
      <c r="AA477" s="2">
        <f>ff_portfolios25!AA477-ff_factors!$E477</f>
        <v>1.4992000000000002E-2</v>
      </c>
      <c r="AB477" s="2">
        <f>ff_portfolios25!AB477-ff_factors!$E477</f>
        <v>0.13117399999999999</v>
      </c>
    </row>
    <row r="478" spans="1:28" x14ac:dyDescent="0.2">
      <c r="A478">
        <v>19710930</v>
      </c>
      <c r="B478">
        <v>1971</v>
      </c>
      <c r="C478">
        <v>9</v>
      </c>
      <c r="D478" s="2">
        <f>ff_portfolios25!D478-ff_factors!$E478</f>
        <v>8.3920000000000002E-3</v>
      </c>
      <c r="E478" s="2">
        <f>ff_portfolios25!E478-ff_factors!$E478</f>
        <v>1.7196999999999997E-2</v>
      </c>
      <c r="F478" s="2">
        <f>ff_portfolios25!F478-ff_factors!$E478</f>
        <v>-4.927E-3</v>
      </c>
      <c r="G478" s="2">
        <f>ff_portfolios25!G478-ff_factors!$E478</f>
        <v>-9.9690000000000004E-3</v>
      </c>
      <c r="H478" s="2">
        <f>ff_portfolios25!H478-ff_factors!$E478</f>
        <v>-2.7853999999999997E-2</v>
      </c>
      <c r="I478" s="2">
        <f>ff_portfolios25!I478-ff_factors!$E478</f>
        <v>1.7300000000000003E-2</v>
      </c>
      <c r="J478" s="2">
        <f>ff_portfolios25!J478-ff_factors!$E478</f>
        <v>-1.5494000000000001E-2</v>
      </c>
      <c r="K478" s="2">
        <f>ff_portfolios25!K478-ff_factors!$E478</f>
        <v>-2.4013E-2</v>
      </c>
      <c r="L478" s="2">
        <f>ff_portfolios25!L478-ff_factors!$E478</f>
        <v>-2.0936999999999997E-2</v>
      </c>
      <c r="M478" s="2">
        <f>ff_portfolios25!M478-ff_factors!$E478</f>
        <v>-3.2003999999999998E-2</v>
      </c>
      <c r="N478" s="2">
        <f>ff_portfolios25!N478-ff_factors!$E478</f>
        <v>7.618999999999999E-3</v>
      </c>
      <c r="O478" s="2">
        <f>ff_portfolios25!O478-ff_factors!$E478</f>
        <v>-3.7700000000000016E-4</v>
      </c>
      <c r="P478" s="2">
        <f>ff_portfolios25!P478-ff_factors!$E478</f>
        <v>-1.0475999999999999E-2</v>
      </c>
      <c r="Q478" s="2">
        <f>ff_portfolios25!Q478-ff_factors!$E478</f>
        <v>-1.7021000000000001E-2</v>
      </c>
      <c r="R478" s="2">
        <f>ff_portfolios25!R478-ff_factors!$E478</f>
        <v>-3.3494000000000003E-2</v>
      </c>
      <c r="S478" s="2">
        <f>ff_portfolios25!S478-ff_factors!$E478</f>
        <v>1.5094999999999999E-2</v>
      </c>
      <c r="T478" s="2">
        <f>ff_portfolios25!T478-ff_factors!$E478</f>
        <v>-1.3244000000000001E-2</v>
      </c>
      <c r="U478" s="2">
        <f>ff_portfolios25!U478-ff_factors!$E478</f>
        <v>-6.8640000000000003E-3</v>
      </c>
      <c r="V478" s="2">
        <f>ff_portfolios25!V478-ff_factors!$E478</f>
        <v>-7.5250000000000004E-3</v>
      </c>
      <c r="W478" s="2">
        <f>ff_portfolios25!W478-ff_factors!$E478</f>
        <v>-4.8093000000000004E-2</v>
      </c>
      <c r="X478" s="2">
        <f>ff_portfolios25!X478-ff_factors!$E478</f>
        <v>-3.1300000000000034E-4</v>
      </c>
      <c r="Y478" s="2">
        <f>ff_portfolios25!Y478-ff_factors!$E478</f>
        <v>-1.4775E-2</v>
      </c>
      <c r="Z478" s="2">
        <f>ff_portfolios25!Z478-ff_factors!$E478</f>
        <v>-1.6475999999999998E-2</v>
      </c>
      <c r="AA478" s="2">
        <f>ff_portfolios25!AA478-ff_factors!$E478</f>
        <v>-1.8216E-2</v>
      </c>
      <c r="AB478" s="2">
        <f>ff_portfolios25!AB478-ff_factors!$E478</f>
        <v>-2.5194000000000001E-2</v>
      </c>
    </row>
    <row r="479" spans="1:28" x14ac:dyDescent="0.2">
      <c r="A479">
        <v>19711029</v>
      </c>
      <c r="B479">
        <v>1971</v>
      </c>
      <c r="C479">
        <v>10</v>
      </c>
      <c r="D479" s="2">
        <f>ff_portfolios25!D479-ff_factors!$E479</f>
        <v>-8.2289999999999988E-2</v>
      </c>
      <c r="E479" s="2">
        <f>ff_portfolios25!E479-ff_factors!$E479</f>
        <v>-7.1522999999999989E-2</v>
      </c>
      <c r="F479" s="2">
        <f>ff_portfolios25!F479-ff_factors!$E479</f>
        <v>-7.457599999999999E-2</v>
      </c>
      <c r="G479" s="2">
        <f>ff_portfolios25!G479-ff_factors!$E479</f>
        <v>-4.8191999999999999E-2</v>
      </c>
      <c r="H479" s="2">
        <f>ff_portfolios25!H479-ff_factors!$E479</f>
        <v>-7.654699999999999E-2</v>
      </c>
      <c r="I479" s="2">
        <f>ff_portfolios25!I479-ff_factors!$E479</f>
        <v>-6.3268999999999992E-2</v>
      </c>
      <c r="J479" s="2">
        <f>ff_portfolios25!J479-ff_factors!$E479</f>
        <v>-5.6877000000000004E-2</v>
      </c>
      <c r="K479" s="2">
        <f>ff_portfolios25!K479-ff_factors!$E479</f>
        <v>-3.4533000000000001E-2</v>
      </c>
      <c r="L479" s="2">
        <f>ff_portfolios25!L479-ff_factors!$E479</f>
        <v>-4.7183000000000003E-2</v>
      </c>
      <c r="M479" s="2">
        <f>ff_portfolios25!M479-ff_factors!$E479</f>
        <v>-7.0252999999999996E-2</v>
      </c>
      <c r="N479" s="2">
        <f>ff_portfolios25!N479-ff_factors!$E479</f>
        <v>-8.3599999999999994E-2</v>
      </c>
      <c r="O479" s="2">
        <f>ff_portfolios25!O479-ff_factors!$E479</f>
        <v>-6.7809999999999995E-2</v>
      </c>
      <c r="P479" s="2">
        <f>ff_portfolios25!P479-ff_factors!$E479</f>
        <v>-3.5451000000000003E-2</v>
      </c>
      <c r="Q479" s="2">
        <f>ff_portfolios25!Q479-ff_factors!$E479</f>
        <v>-5.0582000000000002E-2</v>
      </c>
      <c r="R479" s="2">
        <f>ff_portfolios25!R479-ff_factors!$E479</f>
        <v>-5.6186E-2</v>
      </c>
      <c r="S479" s="2">
        <f>ff_portfolios25!S479-ff_factors!$E479</f>
        <v>-3.7347000000000005E-2</v>
      </c>
      <c r="T479" s="2">
        <f>ff_portfolios25!T479-ff_factors!$E479</f>
        <v>-3.6179000000000003E-2</v>
      </c>
      <c r="U479" s="2">
        <f>ff_portfolios25!U479-ff_factors!$E479</f>
        <v>-2.4263E-2</v>
      </c>
      <c r="V479" s="2">
        <f>ff_portfolios25!V479-ff_factors!$E479</f>
        <v>-6.0850000000000001E-2</v>
      </c>
      <c r="W479" s="2">
        <f>ff_portfolios25!W479-ff_factors!$E479</f>
        <v>-6.2361E-2</v>
      </c>
      <c r="X479" s="2">
        <f>ff_portfolios25!X479-ff_factors!$E479</f>
        <v>-3.8626000000000001E-2</v>
      </c>
      <c r="Y479" s="2">
        <f>ff_portfolios25!Y479-ff_factors!$E479</f>
        <v>-5.6010000000000004E-2</v>
      </c>
      <c r="Z479" s="2">
        <f>ff_portfolios25!Z479-ff_factors!$E479</f>
        <v>-0.04</v>
      </c>
      <c r="AA479" s="2">
        <f>ff_portfolios25!AA479-ff_factors!$E479</f>
        <v>-3.0767999999999997E-2</v>
      </c>
      <c r="AB479" s="2">
        <f>ff_portfolios25!AB479-ff_factors!$E479</f>
        <v>-4.3855999999999999E-2</v>
      </c>
    </row>
    <row r="480" spans="1:28" x14ac:dyDescent="0.2">
      <c r="A480">
        <v>19711130</v>
      </c>
      <c r="B480">
        <v>1971</v>
      </c>
      <c r="C480">
        <v>11</v>
      </c>
      <c r="D480" s="2">
        <f>ff_portfolios25!D480-ff_factors!$E480</f>
        <v>-3.6372000000000002E-2</v>
      </c>
      <c r="E480" s="2">
        <f>ff_portfolios25!E480-ff_factors!$E480</f>
        <v>-6.1582000000000005E-2</v>
      </c>
      <c r="F480" s="2">
        <f>ff_portfolios25!F480-ff_factors!$E480</f>
        <v>-4.1262E-2</v>
      </c>
      <c r="G480" s="2">
        <f>ff_portfolios25!G480-ff_factors!$E480</f>
        <v>-4.7625000000000001E-2</v>
      </c>
      <c r="H480" s="2">
        <f>ff_portfolios25!H480-ff_factors!$E480</f>
        <v>-5.9361000000000004E-2</v>
      </c>
      <c r="I480" s="2">
        <f>ff_portfolios25!I480-ff_factors!$E480</f>
        <v>-2.2636999999999997E-2</v>
      </c>
      <c r="J480" s="2">
        <f>ff_portfolios25!J480-ff_factors!$E480</f>
        <v>-2.5695000000000003E-2</v>
      </c>
      <c r="K480" s="2">
        <f>ff_portfolios25!K480-ff_factors!$E480</f>
        <v>-2.0322E-2</v>
      </c>
      <c r="L480" s="2">
        <f>ff_portfolios25!L480-ff_factors!$E480</f>
        <v>-2.7972999999999998E-2</v>
      </c>
      <c r="M480" s="2">
        <f>ff_portfolios25!M480-ff_factors!$E480</f>
        <v>-3.1061999999999999E-2</v>
      </c>
      <c r="N480" s="2">
        <f>ff_portfolios25!N480-ff_factors!$E480</f>
        <v>-2.2911000000000001E-2</v>
      </c>
      <c r="O480" s="2">
        <f>ff_portfolios25!O480-ff_factors!$E480</f>
        <v>-1.6184999999999998E-2</v>
      </c>
      <c r="P480" s="2">
        <f>ff_portfolios25!P480-ff_factors!$E480</f>
        <v>-9.4970000000000002E-3</v>
      </c>
      <c r="Q480" s="2">
        <f>ff_portfolios25!Q480-ff_factors!$E480</f>
        <v>-4.5578E-2</v>
      </c>
      <c r="R480" s="2">
        <f>ff_portfolios25!R480-ff_factors!$E480</f>
        <v>-5.0868000000000003E-2</v>
      </c>
      <c r="S480" s="2">
        <f>ff_portfolios25!S480-ff_factors!$E480</f>
        <v>-3.5100000000000018E-4</v>
      </c>
      <c r="T480" s="2">
        <f>ff_portfolios25!T480-ff_factors!$E480</f>
        <v>-2.2490000000000003E-2</v>
      </c>
      <c r="U480" s="2">
        <f>ff_portfolios25!U480-ff_factors!$E480</f>
        <v>-3.0830000000000003E-2</v>
      </c>
      <c r="V480" s="2">
        <f>ff_portfolios25!V480-ff_factors!$E480</f>
        <v>1.5389999999999996E-3</v>
      </c>
      <c r="W480" s="2">
        <f>ff_portfolios25!W480-ff_factors!$E480</f>
        <v>-4.7581000000000005E-2</v>
      </c>
      <c r="X480" s="2">
        <f>ff_portfolios25!X480-ff_factors!$E480</f>
        <v>7.3010000000000002E-3</v>
      </c>
      <c r="Y480" s="2">
        <f>ff_portfolios25!Y480-ff_factors!$E480</f>
        <v>6.7819999999999998E-3</v>
      </c>
      <c r="Z480" s="2">
        <f>ff_portfolios25!Z480-ff_factors!$E480</f>
        <v>-5.0220000000000004E-3</v>
      </c>
      <c r="AA480" s="2">
        <f>ff_portfolios25!AA480-ff_factors!$E480</f>
        <v>-9.2329999999999999E-3</v>
      </c>
      <c r="AB480" s="2">
        <f>ff_portfolios25!AB480-ff_factors!$E480</f>
        <v>-8.6600000000000002E-4</v>
      </c>
    </row>
    <row r="481" spans="1:28" x14ac:dyDescent="0.2">
      <c r="A481">
        <v>19711231</v>
      </c>
      <c r="B481">
        <v>1971</v>
      </c>
      <c r="C481">
        <v>12</v>
      </c>
      <c r="D481" s="2">
        <f>ff_portfolios25!D481-ff_factors!$E481</f>
        <v>0.141157</v>
      </c>
      <c r="E481" s="2">
        <f>ff_portfolios25!E481-ff_factors!$E481</f>
        <v>0.13874299999999998</v>
      </c>
      <c r="F481" s="2">
        <f>ff_portfolios25!F481-ff_factors!$E481</f>
        <v>0.10366700000000001</v>
      </c>
      <c r="G481" s="2">
        <f>ff_portfolios25!G481-ff_factors!$E481</f>
        <v>0.11412600000000001</v>
      </c>
      <c r="H481" s="2">
        <f>ff_portfolios25!H481-ff_factors!$E481</f>
        <v>0.130278</v>
      </c>
      <c r="I481" s="2">
        <f>ff_portfolios25!I481-ff_factors!$E481</f>
        <v>0.12696499999999999</v>
      </c>
      <c r="J481" s="2">
        <f>ff_portfolios25!J481-ff_factors!$E481</f>
        <v>0.13709199999999999</v>
      </c>
      <c r="K481" s="2">
        <f>ff_portfolios25!K481-ff_factors!$E481</f>
        <v>0.125252</v>
      </c>
      <c r="L481" s="2">
        <f>ff_portfolios25!L481-ff_factors!$E481</f>
        <v>0.10508500000000001</v>
      </c>
      <c r="M481" s="2">
        <f>ff_portfolios25!M481-ff_factors!$E481</f>
        <v>0.12280700000000001</v>
      </c>
      <c r="N481" s="2">
        <f>ff_portfolios25!N481-ff_factors!$E481</f>
        <v>0.137462</v>
      </c>
      <c r="O481" s="2">
        <f>ff_portfolios25!O481-ff_factors!$E481</f>
        <v>9.2404E-2</v>
      </c>
      <c r="P481" s="2">
        <f>ff_portfolios25!P481-ff_factors!$E481</f>
        <v>9.8043000000000005E-2</v>
      </c>
      <c r="Q481" s="2">
        <f>ff_portfolios25!Q481-ff_factors!$E481</f>
        <v>0.11564000000000001</v>
      </c>
      <c r="R481" s="2">
        <f>ff_portfolios25!R481-ff_factors!$E481</f>
        <v>0.12012300000000001</v>
      </c>
      <c r="S481" s="2">
        <f>ff_portfolios25!S481-ff_factors!$E481</f>
        <v>0.11951500000000001</v>
      </c>
      <c r="T481" s="2">
        <f>ff_portfolios25!T481-ff_factors!$E481</f>
        <v>9.5352000000000006E-2</v>
      </c>
      <c r="U481" s="2">
        <f>ff_portfolios25!U481-ff_factors!$E481</f>
        <v>8.4101000000000009E-2</v>
      </c>
      <c r="V481" s="2">
        <f>ff_portfolios25!V481-ff_factors!$E481</f>
        <v>7.9869000000000009E-2</v>
      </c>
      <c r="W481" s="2">
        <f>ff_portfolios25!W481-ff_factors!$E481</f>
        <v>0.12091</v>
      </c>
      <c r="X481" s="2">
        <f>ff_portfolios25!X481-ff_factors!$E481</f>
        <v>8.0833000000000002E-2</v>
      </c>
      <c r="Y481" s="2">
        <f>ff_portfolios25!Y481-ff_factors!$E481</f>
        <v>8.9446999999999999E-2</v>
      </c>
      <c r="Z481" s="2">
        <f>ff_portfolios25!Z481-ff_factors!$E481</f>
        <v>8.5109000000000004E-2</v>
      </c>
      <c r="AA481" s="2">
        <f>ff_portfolios25!AA481-ff_factors!$E481</f>
        <v>6.5602000000000008E-2</v>
      </c>
      <c r="AB481" s="2">
        <f>ff_portfolios25!AB481-ff_factors!$E481</f>
        <v>8.5692000000000004E-2</v>
      </c>
    </row>
    <row r="482" spans="1:28" x14ac:dyDescent="0.2">
      <c r="A482">
        <v>19720131</v>
      </c>
      <c r="B482">
        <v>1972</v>
      </c>
      <c r="C482">
        <v>1</v>
      </c>
      <c r="D482" s="2">
        <f>ff_portfolios25!D482-ff_factors!$E482</f>
        <v>0.12934299999999999</v>
      </c>
      <c r="E482" s="2">
        <f>ff_portfolios25!E482-ff_factors!$E482</f>
        <v>0.13093900000000003</v>
      </c>
      <c r="F482" s="2">
        <f>ff_portfolios25!F482-ff_factors!$E482</f>
        <v>0.115651</v>
      </c>
      <c r="G482" s="2">
        <f>ff_portfolios25!G482-ff_factors!$E482</f>
        <v>0.10553800000000001</v>
      </c>
      <c r="H482" s="2">
        <f>ff_portfolios25!H482-ff_factors!$E482</f>
        <v>0.14533099999999999</v>
      </c>
      <c r="I482" s="2">
        <f>ff_portfolios25!I482-ff_factors!$E482</f>
        <v>9.1066999999999995E-2</v>
      </c>
      <c r="J482" s="2">
        <f>ff_portfolios25!J482-ff_factors!$E482</f>
        <v>6.1370999999999995E-2</v>
      </c>
      <c r="K482" s="2">
        <f>ff_portfolios25!K482-ff_factors!$E482</f>
        <v>5.1512000000000002E-2</v>
      </c>
      <c r="L482" s="2">
        <f>ff_portfolios25!L482-ff_factors!$E482</f>
        <v>6.5667000000000003E-2</v>
      </c>
      <c r="M482" s="2">
        <f>ff_portfolios25!M482-ff_factors!$E482</f>
        <v>0.10742400000000001</v>
      </c>
      <c r="N482" s="2">
        <f>ff_portfolios25!N482-ff_factors!$E482</f>
        <v>5.7728000000000002E-2</v>
      </c>
      <c r="O482" s="2">
        <f>ff_portfolios25!O482-ff_factors!$E482</f>
        <v>3.7131999999999998E-2</v>
      </c>
      <c r="P482" s="2">
        <f>ff_portfolios25!P482-ff_factors!$E482</f>
        <v>2.6065000000000001E-2</v>
      </c>
      <c r="Q482" s="2">
        <f>ff_portfolios25!Q482-ff_factors!$E482</f>
        <v>5.5825E-2</v>
      </c>
      <c r="R482" s="2">
        <f>ff_portfolios25!R482-ff_factors!$E482</f>
        <v>8.1851000000000007E-2</v>
      </c>
      <c r="S482" s="2">
        <f>ff_portfolios25!S482-ff_factors!$E482</f>
        <v>2.844E-2</v>
      </c>
      <c r="T482" s="2">
        <f>ff_portfolios25!T482-ff_factors!$E482</f>
        <v>1.6538000000000001E-2</v>
      </c>
      <c r="U482" s="2">
        <f>ff_portfolios25!U482-ff_factors!$E482</f>
        <v>9.2589999999999999E-3</v>
      </c>
      <c r="V482" s="2">
        <f>ff_portfolios25!V482-ff_factors!$E482</f>
        <v>2.8067999999999999E-2</v>
      </c>
      <c r="W482" s="2">
        <f>ff_portfolios25!W482-ff_factors!$E482</f>
        <v>7.9750000000000001E-2</v>
      </c>
      <c r="X482" s="2">
        <f>ff_portfolios25!X482-ff_factors!$E482</f>
        <v>2.4629000000000002E-2</v>
      </c>
      <c r="Y482" s="2">
        <f>ff_portfolios25!Y482-ff_factors!$E482</f>
        <v>2.5060000000000004E-3</v>
      </c>
      <c r="Z482" s="2">
        <f>ff_portfolios25!Z482-ff_factors!$E482</f>
        <v>-1.0183999999999999E-2</v>
      </c>
      <c r="AA482" s="2">
        <f>ff_portfolios25!AA482-ff_factors!$E482</f>
        <v>5.287E-3</v>
      </c>
      <c r="AB482" s="2">
        <f>ff_portfolios25!AB482-ff_factors!$E482</f>
        <v>6.0929999999999998E-2</v>
      </c>
    </row>
    <row r="483" spans="1:28" x14ac:dyDescent="0.2">
      <c r="A483">
        <v>19720229</v>
      </c>
      <c r="B483">
        <v>1972</v>
      </c>
      <c r="C483">
        <v>2</v>
      </c>
      <c r="D483" s="2">
        <f>ff_portfolios25!D483-ff_factors!$E483</f>
        <v>2.7788E-2</v>
      </c>
      <c r="E483" s="2">
        <f>ff_portfolios25!E483-ff_factors!$E483</f>
        <v>5.2271999999999999E-2</v>
      </c>
      <c r="F483" s="2">
        <f>ff_portfolios25!F483-ff_factors!$E483</f>
        <v>3.9098000000000001E-2</v>
      </c>
      <c r="G483" s="2">
        <f>ff_portfolios25!G483-ff_factors!$E483</f>
        <v>3.9729999999999994E-2</v>
      </c>
      <c r="H483" s="2">
        <f>ff_portfolios25!H483-ff_factors!$E483</f>
        <v>3.2787999999999998E-2</v>
      </c>
      <c r="I483" s="2">
        <f>ff_portfolios25!I483-ff_factors!$E483</f>
        <v>4.8346E-2</v>
      </c>
      <c r="J483" s="2">
        <f>ff_portfolios25!J483-ff_factors!$E483</f>
        <v>4.1506999999999995E-2</v>
      </c>
      <c r="K483" s="2">
        <f>ff_portfolios25!K483-ff_factors!$E483</f>
        <v>4.1769000000000001E-2</v>
      </c>
      <c r="L483" s="2">
        <f>ff_portfolios25!L483-ff_factors!$E483</f>
        <v>1.4338999999999999E-2</v>
      </c>
      <c r="M483" s="2">
        <f>ff_portfolios25!M483-ff_factors!$E483</f>
        <v>3.8696000000000001E-2</v>
      </c>
      <c r="N483" s="2">
        <f>ff_portfolios25!N483-ff_factors!$E483</f>
        <v>6.6311999999999996E-2</v>
      </c>
      <c r="O483" s="2">
        <f>ff_portfolios25!O483-ff_factors!$E483</f>
        <v>3.7798999999999999E-2</v>
      </c>
      <c r="P483" s="2">
        <f>ff_portfolios25!P483-ff_factors!$E483</f>
        <v>1.7993000000000002E-2</v>
      </c>
      <c r="Q483" s="2">
        <f>ff_portfolios25!Q483-ff_factors!$E483</f>
        <v>-7.7059999999999993E-3</v>
      </c>
      <c r="R483" s="2">
        <f>ff_portfolios25!R483-ff_factors!$E483</f>
        <v>1.7088000000000002E-2</v>
      </c>
      <c r="S483" s="2">
        <f>ff_portfolios25!S483-ff_factors!$E483</f>
        <v>5.2073999999999995E-2</v>
      </c>
      <c r="T483" s="2">
        <f>ff_portfolios25!T483-ff_factors!$E483</f>
        <v>1.5576999999999999E-2</v>
      </c>
      <c r="U483" s="2">
        <f>ff_portfolios25!U483-ff_factors!$E483</f>
        <v>-2.2980000000000001E-3</v>
      </c>
      <c r="V483" s="2">
        <f>ff_portfolios25!V483-ff_factors!$E483</f>
        <v>1.8809000000000003E-2</v>
      </c>
      <c r="W483" s="2">
        <f>ff_portfolios25!W483-ff_factors!$E483</f>
        <v>1.3800000000000002E-3</v>
      </c>
      <c r="X483" s="2">
        <f>ff_portfolios25!X483-ff_factors!$E483</f>
        <v>4.3520999999999997E-2</v>
      </c>
      <c r="Y483" s="2">
        <f>ff_portfolios25!Y483-ff_factors!$E483</f>
        <v>1.9969000000000001E-2</v>
      </c>
      <c r="Z483" s="2">
        <f>ff_portfolios25!Z483-ff_factors!$E483</f>
        <v>1.0069E-2</v>
      </c>
      <c r="AA483" s="2">
        <f>ff_portfolios25!AA483-ff_factors!$E483</f>
        <v>1.2299999999999998E-3</v>
      </c>
      <c r="AB483" s="2">
        <f>ff_portfolios25!AB483-ff_factors!$E483</f>
        <v>-1.8600000000000001E-3</v>
      </c>
    </row>
    <row r="484" spans="1:28" x14ac:dyDescent="0.2">
      <c r="A484">
        <v>19720330</v>
      </c>
      <c r="B484">
        <v>1972</v>
      </c>
      <c r="C484">
        <v>3</v>
      </c>
      <c r="D484" s="2">
        <f>ff_portfolios25!D484-ff_factors!$E484</f>
        <v>2.6873999999999999E-2</v>
      </c>
      <c r="E484" s="2">
        <f>ff_portfolios25!E484-ff_factors!$E484</f>
        <v>-1.6670000000000001E-3</v>
      </c>
      <c r="F484" s="2">
        <f>ff_portfolios25!F484-ff_factors!$E484</f>
        <v>-2.2017999999999999E-2</v>
      </c>
      <c r="G484" s="2">
        <f>ff_portfolios25!G484-ff_factors!$E484</f>
        <v>-1.8405000000000001E-2</v>
      </c>
      <c r="H484" s="2">
        <f>ff_portfolios25!H484-ff_factors!$E484</f>
        <v>-7.1980000000000004E-3</v>
      </c>
      <c r="I484" s="2">
        <f>ff_portfolios25!I484-ff_factors!$E484</f>
        <v>1.6251999999999999E-2</v>
      </c>
      <c r="J484" s="2">
        <f>ff_portfolios25!J484-ff_factors!$E484</f>
        <v>1.5182999999999999E-2</v>
      </c>
      <c r="K484" s="2">
        <f>ff_portfolios25!K484-ff_factors!$E484</f>
        <v>-1.1189000000000001E-2</v>
      </c>
      <c r="L484" s="2">
        <f>ff_portfolios25!L484-ff_factors!$E484</f>
        <v>-5.8519999999999996E-3</v>
      </c>
      <c r="M484" s="2">
        <f>ff_portfolios25!M484-ff_factors!$E484</f>
        <v>-1.8652999999999999E-2</v>
      </c>
      <c r="N484" s="2">
        <f>ff_portfolios25!N484-ff_factors!$E484</f>
        <v>2.1713E-2</v>
      </c>
      <c r="O484" s="2">
        <f>ff_portfolios25!O484-ff_factors!$E484</f>
        <v>9.7810000000000015E-3</v>
      </c>
      <c r="P484" s="2">
        <f>ff_portfolios25!P484-ff_factors!$E484</f>
        <v>1.8603999999999999E-2</v>
      </c>
      <c r="Q484" s="2">
        <f>ff_portfolios25!Q484-ff_factors!$E484</f>
        <v>6.119999999999997E-4</v>
      </c>
      <c r="R484" s="2">
        <f>ff_portfolios25!R484-ff_factors!$E484</f>
        <v>-2.0222E-2</v>
      </c>
      <c r="S484" s="2">
        <f>ff_portfolios25!S484-ff_factors!$E484</f>
        <v>5.5730000000000007E-3</v>
      </c>
      <c r="T484" s="2">
        <f>ff_portfolios25!T484-ff_factors!$E484</f>
        <v>-4.986E-3</v>
      </c>
      <c r="U484" s="2">
        <f>ff_portfolios25!U484-ff_factors!$E484</f>
        <v>2.5160999999999999E-2</v>
      </c>
      <c r="V484" s="2">
        <f>ff_portfolios25!V484-ff_factors!$E484</f>
        <v>1.6153000000000001E-2</v>
      </c>
      <c r="W484" s="2">
        <f>ff_portfolios25!W484-ff_factors!$E484</f>
        <v>5.7329999999999994E-3</v>
      </c>
      <c r="X484" s="2">
        <f>ff_portfolios25!X484-ff_factors!$E484</f>
        <v>2.3198999999999997E-2</v>
      </c>
      <c r="Y484" s="2">
        <f>ff_portfolios25!Y484-ff_factors!$E484</f>
        <v>7.2579999999999997E-3</v>
      </c>
      <c r="Z484" s="2">
        <f>ff_portfolios25!Z484-ff_factors!$E484</f>
        <v>-4.0870999999999998E-2</v>
      </c>
      <c r="AA484" s="2">
        <f>ff_portfolios25!AA484-ff_factors!$E484</f>
        <v>-2.1727E-2</v>
      </c>
      <c r="AB484" s="2">
        <f>ff_portfolios25!AB484-ff_factors!$E484</f>
        <v>2.5901E-2</v>
      </c>
    </row>
    <row r="485" spans="1:28" x14ac:dyDescent="0.2">
      <c r="A485">
        <v>19720428</v>
      </c>
      <c r="B485">
        <v>1972</v>
      </c>
      <c r="C485">
        <v>4</v>
      </c>
      <c r="D485" s="2">
        <f>ff_portfolios25!D485-ff_factors!$E485</f>
        <v>-1.5212E-2</v>
      </c>
      <c r="E485" s="2">
        <f>ff_portfolios25!E485-ff_factors!$E485</f>
        <v>-1.0369999999999997E-3</v>
      </c>
      <c r="F485" s="2">
        <f>ff_portfolios25!F485-ff_factors!$E485</f>
        <v>-1.3611E-2</v>
      </c>
      <c r="G485" s="2">
        <f>ff_portfolios25!G485-ff_factors!$E485</f>
        <v>1.0121E-2</v>
      </c>
      <c r="H485" s="2">
        <f>ff_portfolios25!H485-ff_factors!$E485</f>
        <v>8.1469999999999997E-3</v>
      </c>
      <c r="I485" s="2">
        <f>ff_portfolios25!I485-ff_factors!$E485</f>
        <v>-5.9209999999999992E-3</v>
      </c>
      <c r="J485" s="2">
        <f>ff_portfolios25!J485-ff_factors!$E485</f>
        <v>5.5160000000000001E-3</v>
      </c>
      <c r="K485" s="2">
        <f>ff_portfolios25!K485-ff_factors!$E485</f>
        <v>1.6306000000000001E-2</v>
      </c>
      <c r="L485" s="2">
        <f>ff_portfolios25!L485-ff_factors!$E485</f>
        <v>1.5855000000000001E-2</v>
      </c>
      <c r="M485" s="2">
        <f>ff_portfolios25!M485-ff_factors!$E485</f>
        <v>1.3954000000000001E-2</v>
      </c>
      <c r="N485" s="2">
        <f>ff_portfolios25!N485-ff_factors!$E485</f>
        <v>1.3055000000000001E-2</v>
      </c>
      <c r="O485" s="2">
        <f>ff_portfolios25!O485-ff_factors!$E485</f>
        <v>-9.4330000000000004E-3</v>
      </c>
      <c r="P485" s="2">
        <f>ff_portfolios25!P485-ff_factors!$E485</f>
        <v>-3.5529999999999997E-3</v>
      </c>
      <c r="Q485" s="2">
        <f>ff_portfolios25!Q485-ff_factors!$E485</f>
        <v>2.1540000000000005E-3</v>
      </c>
      <c r="R485" s="2">
        <f>ff_portfolios25!R485-ff_factors!$E485</f>
        <v>-1.0819999999999998E-3</v>
      </c>
      <c r="S485" s="2">
        <f>ff_portfolios25!S485-ff_factors!$E485</f>
        <v>-1.2156E-2</v>
      </c>
      <c r="T485" s="2">
        <f>ff_portfolios25!T485-ff_factors!$E485</f>
        <v>-9.9389999999999999E-3</v>
      </c>
      <c r="U485" s="2">
        <f>ff_portfolios25!U485-ff_factors!$E485</f>
        <v>-6.4180000000000001E-3</v>
      </c>
      <c r="V485" s="2">
        <f>ff_portfolios25!V485-ff_factors!$E485</f>
        <v>9.7180000000000009E-3</v>
      </c>
      <c r="W485" s="2">
        <f>ff_portfolios25!W485-ff_factors!$E485</f>
        <v>3.2746999999999998E-2</v>
      </c>
      <c r="X485" s="2">
        <f>ff_portfolios25!X485-ff_factors!$E485</f>
        <v>6.0879999999999997E-3</v>
      </c>
      <c r="Y485" s="2">
        <f>ff_portfolios25!Y485-ff_factors!$E485</f>
        <v>1.2891E-2</v>
      </c>
      <c r="Z485" s="2">
        <f>ff_portfolios25!Z485-ff_factors!$E485</f>
        <v>-5.6239999999999997E-3</v>
      </c>
      <c r="AA485" s="2">
        <f>ff_portfolios25!AA485-ff_factors!$E485</f>
        <v>-1.3059999999999999E-3</v>
      </c>
      <c r="AB485" s="2">
        <f>ff_portfolios25!AB485-ff_factors!$E485</f>
        <v>-1.3780000000000001E-2</v>
      </c>
    </row>
    <row r="486" spans="1:28" x14ac:dyDescent="0.2">
      <c r="A486">
        <v>19720531</v>
      </c>
      <c r="B486">
        <v>1972</v>
      </c>
      <c r="C486">
        <v>5</v>
      </c>
      <c r="D486" s="2">
        <f>ff_portfolios25!D486-ff_factors!$E486</f>
        <v>-1.874E-2</v>
      </c>
      <c r="E486" s="2">
        <f>ff_portfolios25!E486-ff_factors!$E486</f>
        <v>-2.2019999999999998E-2</v>
      </c>
      <c r="F486" s="2">
        <f>ff_portfolios25!F486-ff_factors!$E486</f>
        <v>-4.4382000000000005E-2</v>
      </c>
      <c r="G486" s="2">
        <f>ff_portfolios25!G486-ff_factors!$E486</f>
        <v>-2.5623E-2</v>
      </c>
      <c r="H486" s="2">
        <f>ff_portfolios25!H486-ff_factors!$E486</f>
        <v>-2.5419999999999998E-2</v>
      </c>
      <c r="I486" s="2">
        <f>ff_portfolios25!I486-ff_factors!$E486</f>
        <v>-7.9989999999999992E-3</v>
      </c>
      <c r="J486" s="2">
        <f>ff_portfolios25!J486-ff_factors!$E486</f>
        <v>-1.9407999999999998E-2</v>
      </c>
      <c r="K486" s="2">
        <f>ff_portfolios25!K486-ff_factors!$E486</f>
        <v>-2.1828999999999998E-2</v>
      </c>
      <c r="L486" s="2">
        <f>ff_portfolios25!L486-ff_factors!$E486</f>
        <v>-3.6741000000000003E-2</v>
      </c>
      <c r="M486" s="2">
        <f>ff_portfolios25!M486-ff_factors!$E486</f>
        <v>-1.754E-2</v>
      </c>
      <c r="N486" s="2">
        <f>ff_portfolios25!N486-ff_factors!$E486</f>
        <v>9.1479999999999999E-3</v>
      </c>
      <c r="O486" s="2">
        <f>ff_portfolios25!O486-ff_factors!$E486</f>
        <v>-2.1099E-2</v>
      </c>
      <c r="P486" s="2">
        <f>ff_portfolios25!P486-ff_factors!$E486</f>
        <v>6.868E-3</v>
      </c>
      <c r="Q486" s="2">
        <f>ff_portfolios25!Q486-ff_factors!$E486</f>
        <v>-1.4605E-2</v>
      </c>
      <c r="R486" s="2">
        <f>ff_portfolios25!R486-ff_factors!$E486</f>
        <v>-3.7503000000000002E-2</v>
      </c>
      <c r="S486" s="2">
        <f>ff_portfolios25!S486-ff_factors!$E486</f>
        <v>3.4083999999999996E-2</v>
      </c>
      <c r="T486" s="2">
        <f>ff_portfolios25!T486-ff_factors!$E486</f>
        <v>-1.7808000000000001E-2</v>
      </c>
      <c r="U486" s="2">
        <f>ff_portfolios25!U486-ff_factors!$E486</f>
        <v>-1.6344999999999998E-2</v>
      </c>
      <c r="V486" s="2">
        <f>ff_portfolios25!V486-ff_factors!$E486</f>
        <v>-3.4090000000000001E-3</v>
      </c>
      <c r="W486" s="2">
        <f>ff_portfolios25!W486-ff_factors!$E486</f>
        <v>1.9750000000000002E-3</v>
      </c>
      <c r="X486" s="2">
        <f>ff_portfolios25!X486-ff_factors!$E486</f>
        <v>3.0766999999999999E-2</v>
      </c>
      <c r="Y486" s="2">
        <f>ff_portfolios25!Y486-ff_factors!$E486</f>
        <v>-8.3759999999999998E-3</v>
      </c>
      <c r="Z486" s="2">
        <f>ff_portfolios25!Z486-ff_factors!$E486</f>
        <v>2.8822000000000004E-2</v>
      </c>
      <c r="AA486" s="2">
        <f>ff_portfolios25!AA486-ff_factors!$E486</f>
        <v>7.0300000000000007E-3</v>
      </c>
      <c r="AB486" s="2">
        <f>ff_portfolios25!AB486-ff_factors!$E486</f>
        <v>-2.9656999999999999E-2</v>
      </c>
    </row>
    <row r="487" spans="1:28" x14ac:dyDescent="0.2">
      <c r="A487">
        <v>19720630</v>
      </c>
      <c r="B487">
        <v>1972</v>
      </c>
      <c r="C487">
        <v>6</v>
      </c>
      <c r="D487" s="2">
        <f>ff_portfolios25!D487-ff_factors!$E487</f>
        <v>-4.5046000000000003E-2</v>
      </c>
      <c r="E487" s="2">
        <f>ff_portfolios25!E487-ff_factors!$E487</f>
        <v>-4.9648999999999999E-2</v>
      </c>
      <c r="F487" s="2">
        <f>ff_portfolios25!F487-ff_factors!$E487</f>
        <v>-3.6141E-2</v>
      </c>
      <c r="G487" s="2">
        <f>ff_portfolios25!G487-ff_factors!$E487</f>
        <v>-3.4361999999999997E-2</v>
      </c>
      <c r="H487" s="2">
        <f>ff_portfolios25!H487-ff_factors!$E487</f>
        <v>-4.0497999999999999E-2</v>
      </c>
      <c r="I487" s="2">
        <f>ff_portfolios25!I487-ff_factors!$E487</f>
        <v>-4.7079000000000003E-2</v>
      </c>
      <c r="J487" s="2">
        <f>ff_portfolios25!J487-ff_factors!$E487</f>
        <v>-2.3694E-2</v>
      </c>
      <c r="K487" s="2">
        <f>ff_portfolios25!K487-ff_factors!$E487</f>
        <v>-1.6466999999999999E-2</v>
      </c>
      <c r="L487" s="2">
        <f>ff_portfolios25!L487-ff_factors!$E487</f>
        <v>-1.7460999999999997E-2</v>
      </c>
      <c r="M487" s="2">
        <f>ff_portfolios25!M487-ff_factors!$E487</f>
        <v>4.8539999999999998E-3</v>
      </c>
      <c r="N487" s="2">
        <f>ff_portfolios25!N487-ff_factors!$E487</f>
        <v>-3.986E-3</v>
      </c>
      <c r="O487" s="2">
        <f>ff_portfolios25!O487-ff_factors!$E487</f>
        <v>-2.1631000000000001E-2</v>
      </c>
      <c r="P487" s="2">
        <f>ff_portfolios25!P487-ff_factors!$E487</f>
        <v>-4.3403999999999998E-2</v>
      </c>
      <c r="Q487" s="2">
        <f>ff_portfolios25!Q487-ff_factors!$E487</f>
        <v>-4.7246999999999997E-2</v>
      </c>
      <c r="R487" s="2">
        <f>ff_portfolios25!R487-ff_factors!$E487</f>
        <v>-6.1327E-2</v>
      </c>
      <c r="S487" s="2">
        <f>ff_portfolios25!S487-ff_factors!$E487</f>
        <v>-4.3561000000000002E-2</v>
      </c>
      <c r="T487" s="2">
        <f>ff_portfolios25!T487-ff_factors!$E487</f>
        <v>-2.1051E-2</v>
      </c>
      <c r="U487" s="2">
        <f>ff_portfolios25!U487-ff_factors!$E487</f>
        <v>-2.3376999999999998E-2</v>
      </c>
      <c r="V487" s="2">
        <f>ff_portfolios25!V487-ff_factors!$E487</f>
        <v>-4.9329999999999999E-2</v>
      </c>
      <c r="W487" s="2">
        <f>ff_portfolios25!W487-ff_factors!$E487</f>
        <v>-8.0726999999999993E-2</v>
      </c>
      <c r="X487" s="2">
        <f>ff_portfolios25!X487-ff_factors!$E487</f>
        <v>-9.4409999999999997E-3</v>
      </c>
      <c r="Y487" s="2">
        <f>ff_portfolios25!Y487-ff_factors!$E487</f>
        <v>-3.5230999999999998E-2</v>
      </c>
      <c r="Z487" s="2">
        <f>ff_portfolios25!Z487-ff_factors!$E487</f>
        <v>-3.0499999999999999E-2</v>
      </c>
      <c r="AA487" s="2">
        <f>ff_portfolios25!AA487-ff_factors!$E487</f>
        <v>-2.6287000000000001E-2</v>
      </c>
      <c r="AB487" s="2">
        <f>ff_portfolios25!AB487-ff_factors!$E487</f>
        <v>-6.9636000000000003E-2</v>
      </c>
    </row>
    <row r="488" spans="1:28" x14ac:dyDescent="0.2">
      <c r="A488">
        <v>19720731</v>
      </c>
      <c r="B488">
        <v>1972</v>
      </c>
      <c r="C488">
        <v>7</v>
      </c>
      <c r="D488" s="2">
        <f>ff_portfolios25!D488-ff_factors!$E488</f>
        <v>-7.4182999999999999E-2</v>
      </c>
      <c r="E488" s="2">
        <f>ff_portfolios25!E488-ff_factors!$E488</f>
        <v>-5.3796999999999998E-2</v>
      </c>
      <c r="F488" s="2">
        <f>ff_portfolios25!F488-ff_factors!$E488</f>
        <v>-4.2762999999999995E-2</v>
      </c>
      <c r="G488" s="2">
        <f>ff_portfolios25!G488-ff_factors!$E488</f>
        <v>-3.7595999999999997E-2</v>
      </c>
      <c r="H488" s="2">
        <f>ff_portfolios25!H488-ff_factors!$E488</f>
        <v>-3.0941E-2</v>
      </c>
      <c r="I488" s="2">
        <f>ff_portfolios25!I488-ff_factors!$E488</f>
        <v>-5.5761999999999999E-2</v>
      </c>
      <c r="J488" s="2">
        <f>ff_portfolios25!J488-ff_factors!$E488</f>
        <v>-5.1538E-2</v>
      </c>
      <c r="K488" s="2">
        <f>ff_portfolios25!K488-ff_factors!$E488</f>
        <v>-3.6031000000000001E-2</v>
      </c>
      <c r="L488" s="2">
        <f>ff_portfolios25!L488-ff_factors!$E488</f>
        <v>-2.0303999999999999E-2</v>
      </c>
      <c r="M488" s="2">
        <f>ff_portfolios25!M488-ff_factors!$E488</f>
        <v>-4.2195999999999997E-2</v>
      </c>
      <c r="N488" s="2">
        <f>ff_portfolios25!N488-ff_factors!$E488</f>
        <v>-3.5576999999999998E-2</v>
      </c>
      <c r="O488" s="2">
        <f>ff_portfolios25!O488-ff_factors!$E488</f>
        <v>-1.7850999999999999E-2</v>
      </c>
      <c r="P488" s="2">
        <f>ff_portfolios25!P488-ff_factors!$E488</f>
        <v>-3.3868000000000002E-2</v>
      </c>
      <c r="Q488" s="2">
        <f>ff_portfolios25!Q488-ff_factors!$E488</f>
        <v>-9.5729999999999999E-3</v>
      </c>
      <c r="R488" s="2">
        <f>ff_portfolios25!R488-ff_factors!$E488</f>
        <v>-1.3269E-2</v>
      </c>
      <c r="S488" s="2">
        <f>ff_portfolios25!S488-ff_factors!$E488</f>
        <v>-3.8183000000000002E-2</v>
      </c>
      <c r="T488" s="2">
        <f>ff_portfolios25!T488-ff_factors!$E488</f>
        <v>-4.3661999999999999E-2</v>
      </c>
      <c r="U488" s="2">
        <f>ff_portfolios25!U488-ff_factors!$E488</f>
        <v>-2.3800999999999999E-2</v>
      </c>
      <c r="V488" s="2">
        <f>ff_portfolios25!V488-ff_factors!$E488</f>
        <v>-3.0309999999999998E-3</v>
      </c>
      <c r="W488" s="2">
        <f>ff_portfolios25!W488-ff_factors!$E488</f>
        <v>-2.3954E-2</v>
      </c>
      <c r="X488" s="2">
        <f>ff_portfolios25!X488-ff_factors!$E488</f>
        <v>1.3192999999999998E-2</v>
      </c>
      <c r="Y488" s="2">
        <f>ff_portfolios25!Y488-ff_factors!$E488</f>
        <v>-1.5529000000000001E-2</v>
      </c>
      <c r="Z488" s="2">
        <f>ff_portfolios25!Z488-ff_factors!$E488</f>
        <v>-1.6079999999999998E-3</v>
      </c>
      <c r="AA488" s="2">
        <f>ff_portfolios25!AA488-ff_factors!$E488</f>
        <v>-1.5828999999999999E-2</v>
      </c>
      <c r="AB488" s="2">
        <f>ff_portfolios25!AB488-ff_factors!$E488</f>
        <v>-1.9550999999999999E-2</v>
      </c>
    </row>
    <row r="489" spans="1:28" x14ac:dyDescent="0.2">
      <c r="A489">
        <v>19720831</v>
      </c>
      <c r="B489">
        <v>1972</v>
      </c>
      <c r="C489">
        <v>8</v>
      </c>
      <c r="D489" s="2">
        <f>ff_portfolios25!D489-ff_factors!$E489</f>
        <v>-1.9286000000000001E-2</v>
      </c>
      <c r="E489" s="2">
        <f>ff_portfolios25!E489-ff_factors!$E489</f>
        <v>-2.7529999999999999E-2</v>
      </c>
      <c r="F489" s="2">
        <f>ff_portfolios25!F489-ff_factors!$E489</f>
        <v>1.8470000000000006E-3</v>
      </c>
      <c r="G489" s="2">
        <f>ff_portfolios25!G489-ff_factors!$E489</f>
        <v>-3.3699999999999997E-3</v>
      </c>
      <c r="H489" s="2">
        <f>ff_portfolios25!H489-ff_factors!$E489</f>
        <v>1.9404000000000001E-2</v>
      </c>
      <c r="I489" s="2">
        <f>ff_portfolios25!I489-ff_factors!$E489</f>
        <v>-8.1220000000000007E-3</v>
      </c>
      <c r="J489" s="2">
        <f>ff_portfolios25!J489-ff_factors!$E489</f>
        <v>-1.9612999999999998E-2</v>
      </c>
      <c r="K489" s="2">
        <f>ff_portfolios25!K489-ff_factors!$E489</f>
        <v>2.0275999999999999E-2</v>
      </c>
      <c r="L489" s="2">
        <f>ff_portfolios25!L489-ff_factors!$E489</f>
        <v>1.1679999999999999E-2</v>
      </c>
      <c r="M489" s="2">
        <f>ff_portfolios25!M489-ff_factors!$E489</f>
        <v>4.6996999999999997E-2</v>
      </c>
      <c r="N489" s="2">
        <f>ff_portfolios25!N489-ff_factors!$E489</f>
        <v>1.34E-4</v>
      </c>
      <c r="O489" s="2">
        <f>ff_portfolios25!O489-ff_factors!$E489</f>
        <v>1.7977E-2</v>
      </c>
      <c r="P489" s="2">
        <f>ff_portfolios25!P489-ff_factors!$E489</f>
        <v>2.5863000000000001E-2</v>
      </c>
      <c r="Q489" s="2">
        <f>ff_portfolios25!Q489-ff_factors!$E489</f>
        <v>5.1039000000000001E-2</v>
      </c>
      <c r="R489" s="2">
        <f>ff_portfolios25!R489-ff_factors!$E489</f>
        <v>3.8315000000000002E-2</v>
      </c>
      <c r="S489" s="2">
        <f>ff_portfolios25!S489-ff_factors!$E489</f>
        <v>-3.1579999999999998E-3</v>
      </c>
      <c r="T489" s="2">
        <f>ff_portfolios25!T489-ff_factors!$E489</f>
        <v>2.6098E-2</v>
      </c>
      <c r="U489" s="2">
        <f>ff_portfolios25!U489-ff_factors!$E489</f>
        <v>4.6441000000000003E-2</v>
      </c>
      <c r="V489" s="2">
        <f>ff_portfolios25!V489-ff_factors!$E489</f>
        <v>4.9515000000000003E-2</v>
      </c>
      <c r="W489" s="2">
        <f>ff_portfolios25!W489-ff_factors!$E489</f>
        <v>6.7780000000000007E-2</v>
      </c>
      <c r="X489" s="2">
        <f>ff_portfolios25!X489-ff_factors!$E489</f>
        <v>3.7400000000000003E-3</v>
      </c>
      <c r="Y489" s="2">
        <f>ff_portfolios25!Y489-ff_factors!$E489</f>
        <v>6.5472000000000002E-2</v>
      </c>
      <c r="Z489" s="2">
        <f>ff_portfolios25!Z489-ff_factors!$E489</f>
        <v>6.8492999999999998E-2</v>
      </c>
      <c r="AA489" s="2">
        <f>ff_portfolios25!AA489-ff_factors!$E489</f>
        <v>8.7054999999999993E-2</v>
      </c>
      <c r="AB489" s="2">
        <f>ff_portfolios25!AB489-ff_factors!$E489</f>
        <v>5.8642E-2</v>
      </c>
    </row>
    <row r="490" spans="1:28" x14ac:dyDescent="0.2">
      <c r="A490">
        <v>19720929</v>
      </c>
      <c r="B490">
        <v>1972</v>
      </c>
      <c r="C490">
        <v>9</v>
      </c>
      <c r="D490" s="2">
        <f>ff_portfolios25!D490-ff_factors!$E490</f>
        <v>-5.2583999999999999E-2</v>
      </c>
      <c r="E490" s="2">
        <f>ff_portfolios25!E490-ff_factors!$E490</f>
        <v>-5.1893000000000002E-2</v>
      </c>
      <c r="F490" s="2">
        <f>ff_portfolios25!F490-ff_factors!$E490</f>
        <v>-5.1102000000000002E-2</v>
      </c>
      <c r="G490" s="2">
        <f>ff_portfolios25!G490-ff_factors!$E490</f>
        <v>-4.0390000000000002E-2</v>
      </c>
      <c r="H490" s="2">
        <f>ff_portfolios25!H490-ff_factors!$E490</f>
        <v>-4.5384000000000001E-2</v>
      </c>
      <c r="I490" s="2">
        <f>ff_portfolios25!I490-ff_factors!$E490</f>
        <v>-3.8557000000000001E-2</v>
      </c>
      <c r="J490" s="2">
        <f>ff_portfolios25!J490-ff_factors!$E490</f>
        <v>-3.8898000000000002E-2</v>
      </c>
      <c r="K490" s="2">
        <f>ff_portfolios25!K490-ff_factors!$E490</f>
        <v>-2.5565000000000001E-2</v>
      </c>
      <c r="L490" s="2">
        <f>ff_portfolios25!L490-ff_factors!$E490</f>
        <v>-2.5807E-2</v>
      </c>
      <c r="M490" s="2">
        <f>ff_portfolios25!M490-ff_factors!$E490</f>
        <v>-3.6547999999999997E-2</v>
      </c>
      <c r="N490" s="2">
        <f>ff_portfolios25!N490-ff_factors!$E490</f>
        <v>-2.0226000000000001E-2</v>
      </c>
      <c r="O490" s="2">
        <f>ff_portfolios25!O490-ff_factors!$E490</f>
        <v>-2.8698999999999999E-2</v>
      </c>
      <c r="P490" s="2">
        <f>ff_portfolios25!P490-ff_factors!$E490</f>
        <v>-1.3678000000000001E-2</v>
      </c>
      <c r="Q490" s="2">
        <f>ff_portfolios25!Q490-ff_factors!$E490</f>
        <v>-2.3030999999999999E-2</v>
      </c>
      <c r="R490" s="2">
        <f>ff_portfolios25!R490-ff_factors!$E490</f>
        <v>-2.9618999999999999E-2</v>
      </c>
      <c r="S490" s="2">
        <f>ff_portfolios25!S490-ff_factors!$E490</f>
        <v>-2.2284000000000002E-2</v>
      </c>
      <c r="T490" s="2">
        <f>ff_portfolios25!T490-ff_factors!$E490</f>
        <v>-3.4667000000000003E-2</v>
      </c>
      <c r="U490" s="2">
        <f>ff_portfolios25!U490-ff_factors!$E490</f>
        <v>-1.0459E-2</v>
      </c>
      <c r="V490" s="2">
        <f>ff_portfolios25!V490-ff_factors!$E490</f>
        <v>-2.7118E-2</v>
      </c>
      <c r="W490" s="2">
        <f>ff_portfolios25!W490-ff_factors!$E490</f>
        <v>-4.3388000000000003E-2</v>
      </c>
      <c r="X490" s="2">
        <f>ff_portfolios25!X490-ff_factors!$E490</f>
        <v>-1.2749999999999997E-3</v>
      </c>
      <c r="Y490" s="2">
        <f>ff_portfolios25!Y490-ff_factors!$E490</f>
        <v>-2.0740000000000001E-2</v>
      </c>
      <c r="Z490" s="2">
        <f>ff_portfolios25!Z490-ff_factors!$E490</f>
        <v>-2.0757999999999999E-2</v>
      </c>
      <c r="AA490" s="2">
        <f>ff_portfolios25!AA490-ff_factors!$E490</f>
        <v>1.6213999999999999E-2</v>
      </c>
      <c r="AB490" s="2">
        <f>ff_portfolios25!AB490-ff_factors!$E490</f>
        <v>-4.0939999999999997E-2</v>
      </c>
    </row>
    <row r="491" spans="1:28" x14ac:dyDescent="0.2">
      <c r="A491">
        <v>19721031</v>
      </c>
      <c r="B491">
        <v>1972</v>
      </c>
      <c r="C491">
        <v>10</v>
      </c>
      <c r="D491" s="2">
        <f>ff_portfolios25!D491-ff_factors!$E491</f>
        <v>-3.6705000000000002E-2</v>
      </c>
      <c r="E491" s="2">
        <f>ff_portfolios25!E491-ff_factors!$E491</f>
        <v>-3.8744000000000001E-2</v>
      </c>
      <c r="F491" s="2">
        <f>ff_portfolios25!F491-ff_factors!$E491</f>
        <v>-3.2225000000000004E-2</v>
      </c>
      <c r="G491" s="2">
        <f>ff_portfolios25!G491-ff_factors!$E491</f>
        <v>-2.4670000000000001E-2</v>
      </c>
      <c r="H491" s="2">
        <f>ff_portfolios25!H491-ff_factors!$E491</f>
        <v>-2.3279999999999999E-2</v>
      </c>
      <c r="I491" s="2">
        <f>ff_portfolios25!I491-ff_factors!$E491</f>
        <v>-4.4425000000000006E-2</v>
      </c>
      <c r="J491" s="2">
        <f>ff_portfolios25!J491-ff_factors!$E491</f>
        <v>-7.182E-3</v>
      </c>
      <c r="K491" s="2">
        <f>ff_portfolios25!K491-ff_factors!$E491</f>
        <v>9.5060000000000006E-3</v>
      </c>
      <c r="L491" s="2">
        <f>ff_portfolios25!L491-ff_factors!$E491</f>
        <v>2.9919999999999999E-3</v>
      </c>
      <c r="M491" s="2">
        <f>ff_portfolios25!M491-ff_factors!$E491</f>
        <v>-1.0544999999999999E-2</v>
      </c>
      <c r="N491" s="2">
        <f>ff_portfolios25!N491-ff_factors!$E491</f>
        <v>-3.1181E-2</v>
      </c>
      <c r="O491" s="2">
        <f>ff_portfolios25!O491-ff_factors!$E491</f>
        <v>-1.3540999999999999E-2</v>
      </c>
      <c r="P491" s="2">
        <f>ff_portfolios25!P491-ff_factors!$E491</f>
        <v>9.5960000000000004E-3</v>
      </c>
      <c r="Q491" s="2">
        <f>ff_portfolios25!Q491-ff_factors!$E491</f>
        <v>3.2550000000000001E-3</v>
      </c>
      <c r="R491" s="2">
        <f>ff_portfolios25!R491-ff_factors!$E491</f>
        <v>-8.020000000000002E-4</v>
      </c>
      <c r="S491" s="2">
        <f>ff_portfolios25!S491-ff_factors!$E491</f>
        <v>-1.9972E-2</v>
      </c>
      <c r="T491" s="2">
        <f>ff_portfolios25!T491-ff_factors!$E491</f>
        <v>-9.9880000000000004E-3</v>
      </c>
      <c r="U491" s="2">
        <f>ff_portfolios25!U491-ff_factors!$E491</f>
        <v>1.2455000000000001E-2</v>
      </c>
      <c r="V491" s="2">
        <f>ff_portfolios25!V491-ff_factors!$E491</f>
        <v>1.9443999999999999E-2</v>
      </c>
      <c r="W491" s="2">
        <f>ff_portfolios25!W491-ff_factors!$E491</f>
        <v>-1.3554E-2</v>
      </c>
      <c r="X491" s="2">
        <f>ff_portfolios25!X491-ff_factors!$E491</f>
        <v>5.8639999999999994E-3</v>
      </c>
      <c r="Y491" s="2">
        <f>ff_portfolios25!Y491-ff_factors!$E491</f>
        <v>6.7530000000000003E-3</v>
      </c>
      <c r="Z491" s="2">
        <f>ff_portfolios25!Z491-ff_factors!$E491</f>
        <v>1.7505E-2</v>
      </c>
      <c r="AA491" s="2">
        <f>ff_portfolios25!AA491-ff_factors!$E491</f>
        <v>1.9695000000000001E-2</v>
      </c>
      <c r="AB491" s="2">
        <f>ff_portfolios25!AB491-ff_factors!$E491</f>
        <v>6.5699999999999995E-3</v>
      </c>
    </row>
    <row r="492" spans="1:28" x14ac:dyDescent="0.2">
      <c r="A492">
        <v>19721130</v>
      </c>
      <c r="B492">
        <v>1972</v>
      </c>
      <c r="C492">
        <v>11</v>
      </c>
      <c r="D492" s="2">
        <f>ff_portfolios25!D492-ff_factors!$E492</f>
        <v>-8.2769999999999996E-3</v>
      </c>
      <c r="E492" s="2">
        <f>ff_portfolios25!E492-ff_factors!$E492</f>
        <v>3.8771E-2</v>
      </c>
      <c r="F492" s="2">
        <f>ff_portfolios25!F492-ff_factors!$E492</f>
        <v>4.1499000000000001E-2</v>
      </c>
      <c r="G492" s="2">
        <f>ff_portfolios25!G492-ff_factors!$E492</f>
        <v>5.6179E-2</v>
      </c>
      <c r="H492" s="2">
        <f>ff_portfolios25!H492-ff_factors!$E492</f>
        <v>5.6728999999999995E-2</v>
      </c>
      <c r="I492" s="2">
        <f>ff_portfolios25!I492-ff_factors!$E492</f>
        <v>4.0934999999999999E-2</v>
      </c>
      <c r="J492" s="2">
        <f>ff_portfolios25!J492-ff_factors!$E492</f>
        <v>4.5463999999999997E-2</v>
      </c>
      <c r="K492" s="2">
        <f>ff_portfolios25!K492-ff_factors!$E492</f>
        <v>6.8407000000000009E-2</v>
      </c>
      <c r="L492" s="2">
        <f>ff_portfolios25!L492-ff_factors!$E492</f>
        <v>3.9724999999999996E-2</v>
      </c>
      <c r="M492" s="2">
        <f>ff_portfolios25!M492-ff_factors!$E492</f>
        <v>7.3399000000000006E-2</v>
      </c>
      <c r="N492" s="2">
        <f>ff_portfolios25!N492-ff_factors!$E492</f>
        <v>2.6539E-2</v>
      </c>
      <c r="O492" s="2">
        <f>ff_portfolios25!O492-ff_factors!$E492</f>
        <v>3.8526999999999999E-2</v>
      </c>
      <c r="P492" s="2">
        <f>ff_portfolios25!P492-ff_factors!$E492</f>
        <v>6.2257E-2</v>
      </c>
      <c r="Q492" s="2">
        <f>ff_portfolios25!Q492-ff_factors!$E492</f>
        <v>7.1555000000000007E-2</v>
      </c>
      <c r="R492" s="2">
        <f>ff_portfolios25!R492-ff_factors!$E492</f>
        <v>7.0613000000000009E-2</v>
      </c>
      <c r="S492" s="2">
        <f>ff_portfolios25!S492-ff_factors!$E492</f>
        <v>6.2766000000000002E-2</v>
      </c>
      <c r="T492" s="2">
        <f>ff_portfolios25!T492-ff_factors!$E492</f>
        <v>7.638700000000001E-2</v>
      </c>
      <c r="U492" s="2">
        <f>ff_portfolios25!U492-ff_factors!$E492</f>
        <v>6.2106000000000001E-2</v>
      </c>
      <c r="V492" s="2">
        <f>ff_portfolios25!V492-ff_factors!$E492</f>
        <v>6.6891000000000006E-2</v>
      </c>
      <c r="W492" s="2">
        <f>ff_portfolios25!W492-ff_factors!$E492</f>
        <v>0.10684200000000001</v>
      </c>
      <c r="X492" s="2">
        <f>ff_portfolios25!X492-ff_factors!$E492</f>
        <v>1.1776999999999999E-2</v>
      </c>
      <c r="Y492" s="2">
        <f>ff_portfolios25!Y492-ff_factors!$E492</f>
        <v>6.3027E-2</v>
      </c>
      <c r="Z492" s="2">
        <f>ff_portfolios25!Z492-ff_factors!$E492</f>
        <v>6.4989000000000005E-2</v>
      </c>
      <c r="AA492" s="2">
        <f>ff_portfolios25!AA492-ff_factors!$E492</f>
        <v>7.6491000000000003E-2</v>
      </c>
      <c r="AB492" s="2">
        <f>ff_portfolios25!AB492-ff_factors!$E492</f>
        <v>0.13434699999999999</v>
      </c>
    </row>
    <row r="493" spans="1:28" x14ac:dyDescent="0.2">
      <c r="A493">
        <v>19721229</v>
      </c>
      <c r="B493">
        <v>1972</v>
      </c>
      <c r="C493">
        <v>12</v>
      </c>
      <c r="D493" s="2">
        <f>ff_portfolios25!D493-ff_factors!$E493</f>
        <v>-2.2782999999999998E-2</v>
      </c>
      <c r="E493" s="2">
        <f>ff_portfolios25!E493-ff_factors!$E493</f>
        <v>-2.8967E-2</v>
      </c>
      <c r="F493" s="2">
        <f>ff_portfolios25!F493-ff_factors!$E493</f>
        <v>-3.6476000000000001E-2</v>
      </c>
      <c r="G493" s="2">
        <f>ff_portfolios25!G493-ff_factors!$E493</f>
        <v>-2.8943000000000003E-2</v>
      </c>
      <c r="H493" s="2">
        <f>ff_portfolios25!H493-ff_factors!$E493</f>
        <v>-1.8224999999999998E-2</v>
      </c>
      <c r="I493" s="2">
        <f>ff_portfolios25!I493-ff_factors!$E493</f>
        <v>-1.008E-2</v>
      </c>
      <c r="J493" s="2">
        <f>ff_portfolios25!J493-ff_factors!$E493</f>
        <v>-3.0764E-2</v>
      </c>
      <c r="K493" s="2">
        <f>ff_portfolios25!K493-ff_factors!$E493</f>
        <v>3.5400000000000015E-4</v>
      </c>
      <c r="L493" s="2">
        <f>ff_portfolios25!L493-ff_factors!$E493</f>
        <v>-3.7463000000000003E-2</v>
      </c>
      <c r="M493" s="2">
        <f>ff_portfolios25!M493-ff_factors!$E493</f>
        <v>-2.7014000000000003E-2</v>
      </c>
      <c r="N493" s="2">
        <f>ff_portfolios25!N493-ff_factors!$E493</f>
        <v>6.3269999999999993E-3</v>
      </c>
      <c r="O493" s="2">
        <f>ff_portfolios25!O493-ff_factors!$E493</f>
        <v>-7.8000000000000005E-3</v>
      </c>
      <c r="P493" s="2">
        <f>ff_portfolios25!P493-ff_factors!$E493</f>
        <v>-1.0404E-2</v>
      </c>
      <c r="Q493" s="2">
        <f>ff_portfolios25!Q493-ff_factors!$E493</f>
        <v>-1.4376E-2</v>
      </c>
      <c r="R493" s="2">
        <f>ff_portfolios25!R493-ff_factors!$E493</f>
        <v>-2.9930999999999999E-2</v>
      </c>
      <c r="S493" s="2">
        <f>ff_portfolios25!S493-ff_factors!$E493</f>
        <v>1.8449999999999994E-3</v>
      </c>
      <c r="T493" s="2">
        <f>ff_portfolios25!T493-ff_factors!$E493</f>
        <v>-1.4391000000000001E-2</v>
      </c>
      <c r="U493" s="2">
        <f>ff_portfolios25!U493-ff_factors!$E493</f>
        <v>-1.4904000000000001E-2</v>
      </c>
      <c r="V493" s="2">
        <f>ff_portfolios25!V493-ff_factors!$E493</f>
        <v>-1.8612E-2</v>
      </c>
      <c r="W493" s="2">
        <f>ff_portfolios25!W493-ff_factors!$E493</f>
        <v>-4.7799000000000001E-2</v>
      </c>
      <c r="X493" s="2">
        <f>ff_portfolios25!X493-ff_factors!$E493</f>
        <v>3.3404999999999997E-2</v>
      </c>
      <c r="Y493" s="2">
        <f>ff_portfolios25!Y493-ff_factors!$E493</f>
        <v>-4.927E-3</v>
      </c>
      <c r="Z493" s="2">
        <f>ff_portfolios25!Z493-ff_factors!$E493</f>
        <v>-1.1122E-2</v>
      </c>
      <c r="AA493" s="2">
        <f>ff_portfolios25!AA493-ff_factors!$E493</f>
        <v>-3.346E-3</v>
      </c>
      <c r="AB493" s="2">
        <f>ff_portfolios25!AB493-ff_factors!$E493</f>
        <v>-3.0084E-2</v>
      </c>
    </row>
    <row r="494" spans="1:28" x14ac:dyDescent="0.2">
      <c r="A494">
        <v>19730131</v>
      </c>
      <c r="B494">
        <v>1973</v>
      </c>
      <c r="C494">
        <v>1</v>
      </c>
      <c r="D494" s="2">
        <f>ff_portfolios25!D494-ff_factors!$E494</f>
        <v>-8.5349999999999995E-2</v>
      </c>
      <c r="E494" s="2">
        <f>ff_portfolios25!E494-ff_factors!$E494</f>
        <v>-4.9414E-2</v>
      </c>
      <c r="F494" s="2">
        <f>ff_portfolios25!F494-ff_factors!$E494</f>
        <v>-3.7152000000000004E-2</v>
      </c>
      <c r="G494" s="2">
        <f>ff_portfolios25!G494-ff_factors!$E494</f>
        <v>-4.0299000000000001E-2</v>
      </c>
      <c r="H494" s="2">
        <f>ff_portfolios25!H494-ff_factors!$E494</f>
        <v>-1.8017999999999999E-2</v>
      </c>
      <c r="I494" s="2">
        <f>ff_portfolios25!I494-ff_factors!$E494</f>
        <v>-0.110816</v>
      </c>
      <c r="J494" s="2">
        <f>ff_portfolios25!J494-ff_factors!$E494</f>
        <v>-5.9663000000000001E-2</v>
      </c>
      <c r="K494" s="2">
        <f>ff_portfolios25!K494-ff_factors!$E494</f>
        <v>-7.2986999999999996E-2</v>
      </c>
      <c r="L494" s="2">
        <f>ff_portfolios25!L494-ff_factors!$E494</f>
        <v>-3.3715999999999996E-2</v>
      </c>
      <c r="M494" s="2">
        <f>ff_portfolios25!M494-ff_factors!$E494</f>
        <v>-6.3196000000000002E-2</v>
      </c>
      <c r="N494" s="2">
        <f>ff_portfolios25!N494-ff_factors!$E494</f>
        <v>-7.9314999999999997E-2</v>
      </c>
      <c r="O494" s="2">
        <f>ff_portfolios25!O494-ff_factors!$E494</f>
        <v>-8.0019000000000007E-2</v>
      </c>
      <c r="P494" s="2">
        <f>ff_portfolios25!P494-ff_factors!$E494</f>
        <v>-6.4121999999999998E-2</v>
      </c>
      <c r="Q494" s="2">
        <f>ff_portfolios25!Q494-ff_factors!$E494</f>
        <v>-4.0454999999999998E-2</v>
      </c>
      <c r="R494" s="2">
        <f>ff_portfolios25!R494-ff_factors!$E494</f>
        <v>-5.3790999999999999E-2</v>
      </c>
      <c r="S494" s="2">
        <f>ff_portfolios25!S494-ff_factors!$E494</f>
        <v>-6.9342000000000001E-2</v>
      </c>
      <c r="T494" s="2">
        <f>ff_portfolios25!T494-ff_factors!$E494</f>
        <v>-7.7308000000000002E-2</v>
      </c>
      <c r="U494" s="2">
        <f>ff_portfolios25!U494-ff_factors!$E494</f>
        <v>-6.2883999999999995E-2</v>
      </c>
      <c r="V494" s="2">
        <f>ff_portfolios25!V494-ff_factors!$E494</f>
        <v>-3.8861E-2</v>
      </c>
      <c r="W494" s="2">
        <f>ff_portfolios25!W494-ff_factors!$E494</f>
        <v>-4.6865999999999998E-2</v>
      </c>
      <c r="X494" s="2">
        <f>ff_portfolios25!X494-ff_factors!$E494</f>
        <v>-1.9859999999999999E-2</v>
      </c>
      <c r="Y494" s="2">
        <f>ff_portfolios25!Y494-ff_factors!$E494</f>
        <v>-4.4618999999999999E-2</v>
      </c>
      <c r="Z494" s="2">
        <f>ff_portfolios25!Z494-ff_factors!$E494</f>
        <v>-1.4416999999999999E-2</v>
      </c>
      <c r="AA494" s="2">
        <f>ff_portfolios25!AA494-ff_factors!$E494</f>
        <v>1.7439999999999999E-3</v>
      </c>
      <c r="AB494" s="2">
        <f>ff_portfolios25!AB494-ff_factors!$E494</f>
        <v>-4.8009000000000003E-2</v>
      </c>
    </row>
    <row r="495" spans="1:28" x14ac:dyDescent="0.2">
      <c r="A495">
        <v>19730228</v>
      </c>
      <c r="B495">
        <v>1973</v>
      </c>
      <c r="C495">
        <v>2</v>
      </c>
      <c r="D495" s="2">
        <f>ff_portfolios25!D495-ff_factors!$E495</f>
        <v>-0.14349899999999999</v>
      </c>
      <c r="E495" s="2">
        <f>ff_portfolios25!E495-ff_factors!$E495</f>
        <v>-9.359300000000001E-2</v>
      </c>
      <c r="F495" s="2">
        <f>ff_portfolios25!F495-ff_factors!$E495</f>
        <v>-8.6860000000000007E-2</v>
      </c>
      <c r="G495" s="2">
        <f>ff_portfolios25!G495-ff_factors!$E495</f>
        <v>-8.5974000000000009E-2</v>
      </c>
      <c r="H495" s="2">
        <f>ff_portfolios25!H495-ff_factors!$E495</f>
        <v>-6.4366000000000007E-2</v>
      </c>
      <c r="I495" s="2">
        <f>ff_portfolios25!I495-ff_factors!$E495</f>
        <v>-0.144263</v>
      </c>
      <c r="J495" s="2">
        <f>ff_portfolios25!J495-ff_factors!$E495</f>
        <v>-8.3435000000000009E-2</v>
      </c>
      <c r="K495" s="2">
        <f>ff_portfolios25!K495-ff_factors!$E495</f>
        <v>-8.1775E-2</v>
      </c>
      <c r="L495" s="2">
        <f>ff_portfolios25!L495-ff_factors!$E495</f>
        <v>-6.0544000000000001E-2</v>
      </c>
      <c r="M495" s="2">
        <f>ff_portfolios25!M495-ff_factors!$E495</f>
        <v>-5.9789000000000002E-2</v>
      </c>
      <c r="N495" s="2">
        <f>ff_portfolios25!N495-ff_factors!$E495</f>
        <v>-0.11366800000000001</v>
      </c>
      <c r="O495" s="2">
        <f>ff_portfolios25!O495-ff_factors!$E495</f>
        <v>-8.7645000000000001E-2</v>
      </c>
      <c r="P495" s="2">
        <f>ff_portfolios25!P495-ff_factors!$E495</f>
        <v>-7.905100000000001E-2</v>
      </c>
      <c r="Q495" s="2">
        <f>ff_portfolios25!Q495-ff_factors!$E495</f>
        <v>-3.5195999999999998E-2</v>
      </c>
      <c r="R495" s="2">
        <f>ff_portfolios25!R495-ff_factors!$E495</f>
        <v>-7.6726000000000003E-2</v>
      </c>
      <c r="S495" s="2">
        <f>ff_portfolios25!S495-ff_factors!$E495</f>
        <v>-8.8857000000000005E-2</v>
      </c>
      <c r="T495" s="2">
        <f>ff_portfolios25!T495-ff_factors!$E495</f>
        <v>-7.8449000000000005E-2</v>
      </c>
      <c r="U495" s="2">
        <f>ff_portfolios25!U495-ff_factors!$E495</f>
        <v>-5.0700999999999996E-2</v>
      </c>
      <c r="V495" s="2">
        <f>ff_portfolios25!V495-ff_factors!$E495</f>
        <v>-4.0351999999999999E-2</v>
      </c>
      <c r="W495" s="2">
        <f>ff_portfolios25!W495-ff_factors!$E495</f>
        <v>-2.4825E-2</v>
      </c>
      <c r="X495" s="2">
        <f>ff_portfolios25!X495-ff_factors!$E495</f>
        <v>-2.5253999999999999E-2</v>
      </c>
      <c r="Y495" s="2">
        <f>ff_portfolios25!Y495-ff_factors!$E495</f>
        <v>-3.5693999999999997E-2</v>
      </c>
      <c r="Z495" s="2">
        <f>ff_portfolios25!Z495-ff_factors!$E495</f>
        <v>-5.2683000000000001E-2</v>
      </c>
      <c r="AA495" s="2">
        <f>ff_portfolios25!AA495-ff_factors!$E495</f>
        <v>-6.2921000000000005E-2</v>
      </c>
      <c r="AB495" s="2">
        <f>ff_portfolios25!AB495-ff_factors!$E495</f>
        <v>-3.7865000000000003E-2</v>
      </c>
    </row>
    <row r="496" spans="1:28" x14ac:dyDescent="0.2">
      <c r="A496">
        <v>19730330</v>
      </c>
      <c r="B496">
        <v>1973</v>
      </c>
      <c r="C496">
        <v>3</v>
      </c>
      <c r="D496" s="2">
        <f>ff_portfolios25!D496-ff_factors!$E496</f>
        <v>-7.2503000000000012E-2</v>
      </c>
      <c r="E496" s="2">
        <f>ff_portfolios25!E496-ff_factors!$E496</f>
        <v>-4.6252000000000001E-2</v>
      </c>
      <c r="F496" s="2">
        <f>ff_portfolios25!F496-ff_factors!$E496</f>
        <v>-3.1911999999999996E-2</v>
      </c>
      <c r="G496" s="2">
        <f>ff_portfolios25!G496-ff_factors!$E496</f>
        <v>-1.3665E-2</v>
      </c>
      <c r="H496" s="2">
        <f>ff_portfolios25!H496-ff_factors!$E496</f>
        <v>-2.2651999999999999E-2</v>
      </c>
      <c r="I496" s="2">
        <f>ff_portfolios25!I496-ff_factors!$E496</f>
        <v>-5.3987E-2</v>
      </c>
      <c r="J496" s="2">
        <f>ff_portfolios25!J496-ff_factors!$E496</f>
        <v>-3.0296E-2</v>
      </c>
      <c r="K496" s="2">
        <f>ff_portfolios25!K496-ff_factors!$E496</f>
        <v>-2.6991999999999999E-2</v>
      </c>
      <c r="L496" s="2">
        <f>ff_portfolios25!L496-ff_factors!$E496</f>
        <v>-2.7535E-2</v>
      </c>
      <c r="M496" s="2">
        <f>ff_portfolios25!M496-ff_factors!$E496</f>
        <v>-6.13E-3</v>
      </c>
      <c r="N496" s="2">
        <f>ff_portfolios25!N496-ff_factors!$E496</f>
        <v>-5.3594000000000003E-2</v>
      </c>
      <c r="O496" s="2">
        <f>ff_portfolios25!O496-ff_factors!$E496</f>
        <v>-4.6997999999999998E-2</v>
      </c>
      <c r="P496" s="2">
        <f>ff_portfolios25!P496-ff_factors!$E496</f>
        <v>-2.4079E-2</v>
      </c>
      <c r="Q496" s="2">
        <f>ff_portfolios25!Q496-ff_factors!$E496</f>
        <v>-2.2953000000000001E-2</v>
      </c>
      <c r="R496" s="2">
        <f>ff_portfolios25!R496-ff_factors!$E496</f>
        <v>-6.6739999999999994E-3</v>
      </c>
      <c r="S496" s="2">
        <f>ff_portfolios25!S496-ff_factors!$E496</f>
        <v>-4.4014999999999999E-2</v>
      </c>
      <c r="T496" s="2">
        <f>ff_portfolios25!T496-ff_factors!$E496</f>
        <v>-4.4850000000000001E-2</v>
      </c>
      <c r="U496" s="2">
        <f>ff_portfolios25!U496-ff_factors!$E496</f>
        <v>-2.1332E-2</v>
      </c>
      <c r="V496" s="2">
        <f>ff_portfolios25!V496-ff_factors!$E496</f>
        <v>-2.8417999999999999E-2</v>
      </c>
      <c r="W496" s="2">
        <f>ff_portfolios25!W496-ff_factors!$E496</f>
        <v>3.6140000000000009E-3</v>
      </c>
      <c r="X496" s="2">
        <f>ff_portfolios25!X496-ff_factors!$E496</f>
        <v>-1.3159000000000001E-2</v>
      </c>
      <c r="Y496" s="2">
        <f>ff_portfolios25!Y496-ff_factors!$E496</f>
        <v>-1.4578000000000001E-2</v>
      </c>
      <c r="Z496" s="2">
        <f>ff_portfolios25!Z496-ff_factors!$E496</f>
        <v>1.3655E-2</v>
      </c>
      <c r="AA496" s="2">
        <f>ff_portfolios25!AA496-ff_factors!$E496</f>
        <v>1.4175E-2</v>
      </c>
      <c r="AB496" s="2">
        <f>ff_portfolios25!AB496-ff_factors!$E496</f>
        <v>1.1099000000000001E-2</v>
      </c>
    </row>
    <row r="497" spans="1:28" x14ac:dyDescent="0.2">
      <c r="A497">
        <v>19730430</v>
      </c>
      <c r="B497">
        <v>1973</v>
      </c>
      <c r="C497">
        <v>4</v>
      </c>
      <c r="D497" s="2">
        <f>ff_portfolios25!D497-ff_factors!$E497</f>
        <v>-0.12293</v>
      </c>
      <c r="E497" s="2">
        <f>ff_portfolios25!E497-ff_factors!$E497</f>
        <v>-0.104698</v>
      </c>
      <c r="F497" s="2">
        <f>ff_portfolios25!F497-ff_factors!$E497</f>
        <v>-6.7724999999999994E-2</v>
      </c>
      <c r="G497" s="2">
        <f>ff_portfolios25!G497-ff_factors!$E497</f>
        <v>-6.8918999999999994E-2</v>
      </c>
      <c r="H497" s="2">
        <f>ff_portfolios25!H497-ff_factors!$E497</f>
        <v>-5.9205999999999995E-2</v>
      </c>
      <c r="I497" s="2">
        <f>ff_portfolios25!I497-ff_factors!$E497</f>
        <v>-0.14809800000000001</v>
      </c>
      <c r="J497" s="2">
        <f>ff_portfolios25!J497-ff_factors!$E497</f>
        <v>-9.8308999999999994E-2</v>
      </c>
      <c r="K497" s="2">
        <f>ff_portfolios25!K497-ff_factors!$E497</f>
        <v>-6.2317999999999998E-2</v>
      </c>
      <c r="L497" s="2">
        <f>ff_portfolios25!L497-ff_factors!$E497</f>
        <v>-4.7791E-2</v>
      </c>
      <c r="M497" s="2">
        <f>ff_portfolios25!M497-ff_factors!$E497</f>
        <v>-5.4023000000000002E-2</v>
      </c>
      <c r="N497" s="2">
        <f>ff_portfolios25!N497-ff_factors!$E497</f>
        <v>-0.11752499999999999</v>
      </c>
      <c r="O497" s="2">
        <f>ff_portfolios25!O497-ff_factors!$E497</f>
        <v>-6.8123000000000003E-2</v>
      </c>
      <c r="P497" s="2">
        <f>ff_portfolios25!P497-ff_factors!$E497</f>
        <v>-4.4336E-2</v>
      </c>
      <c r="Q497" s="2">
        <f>ff_portfolios25!Q497-ff_factors!$E497</f>
        <v>-4.1967000000000004E-2</v>
      </c>
      <c r="R497" s="2">
        <f>ff_portfolios25!R497-ff_factors!$E497</f>
        <v>-4.8236000000000001E-2</v>
      </c>
      <c r="S497" s="2">
        <f>ff_portfolios25!S497-ff_factors!$E497</f>
        <v>-0.11492999999999999</v>
      </c>
      <c r="T497" s="2">
        <f>ff_portfolios25!T497-ff_factors!$E497</f>
        <v>-8.6510999999999991E-2</v>
      </c>
      <c r="U497" s="2">
        <f>ff_portfolios25!U497-ff_factors!$E497</f>
        <v>-3.4462E-2</v>
      </c>
      <c r="V497" s="2">
        <f>ff_portfolios25!V497-ff_factors!$E497</f>
        <v>-3.3606999999999998E-2</v>
      </c>
      <c r="W497" s="2">
        <f>ff_portfolios25!W497-ff_factors!$E497</f>
        <v>-5.1627000000000006E-2</v>
      </c>
      <c r="X497" s="2">
        <f>ff_portfolios25!X497-ff_factors!$E497</f>
        <v>-6.4603999999999995E-2</v>
      </c>
      <c r="Y497" s="2">
        <f>ff_portfolios25!Y497-ff_factors!$E497</f>
        <v>-3.8993E-2</v>
      </c>
      <c r="Z497" s="2">
        <f>ff_portfolios25!Z497-ff_factors!$E497</f>
        <v>-2.6536000000000001E-2</v>
      </c>
      <c r="AA497" s="2">
        <f>ff_portfolios25!AA497-ff_factors!$E497</f>
        <v>-1.2121E-2</v>
      </c>
      <c r="AB497" s="2">
        <f>ff_portfolios25!AB497-ff_factors!$E497</f>
        <v>-3.2867E-2</v>
      </c>
    </row>
    <row r="498" spans="1:28" x14ac:dyDescent="0.2">
      <c r="A498">
        <v>19730531</v>
      </c>
      <c r="B498">
        <v>1973</v>
      </c>
      <c r="C498">
        <v>5</v>
      </c>
      <c r="D498" s="2">
        <f>ff_portfolios25!D498-ff_factors!$E498</f>
        <v>-0.1157</v>
      </c>
      <c r="E498" s="2">
        <f>ff_portfolios25!E498-ff_factors!$E498</f>
        <v>-0.11608499999999999</v>
      </c>
      <c r="F498" s="2">
        <f>ff_portfolios25!F498-ff_factors!$E498</f>
        <v>-9.7177000000000013E-2</v>
      </c>
      <c r="G498" s="2">
        <f>ff_portfolios25!G498-ff_factors!$E498</f>
        <v>-8.1710000000000005E-2</v>
      </c>
      <c r="H498" s="2">
        <f>ff_portfolios25!H498-ff_factors!$E498</f>
        <v>-8.8108999999999993E-2</v>
      </c>
      <c r="I498" s="2">
        <f>ff_portfolios25!I498-ff_factors!$E498</f>
        <v>-0.11693200000000001</v>
      </c>
      <c r="J498" s="2">
        <f>ff_portfolios25!J498-ff_factors!$E498</f>
        <v>-9.8848999999999992E-2</v>
      </c>
      <c r="K498" s="2">
        <f>ff_portfolios25!K498-ff_factors!$E498</f>
        <v>-8.2623000000000002E-2</v>
      </c>
      <c r="L498" s="2">
        <f>ff_portfolios25!L498-ff_factors!$E498</f>
        <v>-6.7424999999999999E-2</v>
      </c>
      <c r="M498" s="2">
        <f>ff_portfolios25!M498-ff_factors!$E498</f>
        <v>-9.5965999999999996E-2</v>
      </c>
      <c r="N498" s="2">
        <f>ff_portfolios25!N498-ff_factors!$E498</f>
        <v>-9.6512999999999988E-2</v>
      </c>
      <c r="O498" s="2">
        <f>ff_portfolios25!O498-ff_factors!$E498</f>
        <v>-8.9564000000000005E-2</v>
      </c>
      <c r="P498" s="2">
        <f>ff_portfolios25!P498-ff_factors!$E498</f>
        <v>-5.0865E-2</v>
      </c>
      <c r="Q498" s="2">
        <f>ff_portfolios25!Q498-ff_factors!$E498</f>
        <v>-3.3048000000000001E-2</v>
      </c>
      <c r="R498" s="2">
        <f>ff_portfolios25!R498-ff_factors!$E498</f>
        <v>-7.830899999999999E-2</v>
      </c>
      <c r="S498" s="2">
        <f>ff_portfolios25!S498-ff_factors!$E498</f>
        <v>-7.6596999999999998E-2</v>
      </c>
      <c r="T498" s="2">
        <f>ff_portfolios25!T498-ff_factors!$E498</f>
        <v>-7.8965000000000007E-2</v>
      </c>
      <c r="U498" s="2">
        <f>ff_portfolios25!U498-ff_factors!$E498</f>
        <v>-2.8438000000000001E-2</v>
      </c>
      <c r="V498" s="2">
        <f>ff_portfolios25!V498-ff_factors!$E498</f>
        <v>-3.0461000000000002E-2</v>
      </c>
      <c r="W498" s="2">
        <f>ff_portfolios25!W498-ff_factors!$E498</f>
        <v>-5.0570999999999998E-2</v>
      </c>
      <c r="X498" s="2">
        <f>ff_portfolios25!X498-ff_factors!$E498</f>
        <v>-3.2510000000000004E-3</v>
      </c>
      <c r="Y498" s="2">
        <f>ff_portfolios25!Y498-ff_factors!$E498</f>
        <v>-1.6760999999999998E-2</v>
      </c>
      <c r="Z498" s="2">
        <f>ff_portfolios25!Z498-ff_factors!$E498</f>
        <v>-1.4122000000000001E-2</v>
      </c>
      <c r="AA498" s="2">
        <f>ff_portfolios25!AA498-ff_factors!$E498</f>
        <v>-3.7784999999999999E-2</v>
      </c>
      <c r="AB498" s="2">
        <f>ff_portfolios25!AB498-ff_factors!$E498</f>
        <v>-6.1194999999999999E-2</v>
      </c>
    </row>
    <row r="499" spans="1:28" x14ac:dyDescent="0.2">
      <c r="A499">
        <v>19730629</v>
      </c>
      <c r="B499">
        <v>1973</v>
      </c>
      <c r="C499">
        <v>6</v>
      </c>
      <c r="D499" s="2">
        <f>ff_portfolios25!D499-ff_factors!$E499</f>
        <v>-5.3588000000000004E-2</v>
      </c>
      <c r="E499" s="2">
        <f>ff_portfolios25!E499-ff_factors!$E499</f>
        <v>-4.5657999999999997E-2</v>
      </c>
      <c r="F499" s="2">
        <f>ff_portfolios25!F499-ff_factors!$E499</f>
        <v>-5.0819999999999997E-2</v>
      </c>
      <c r="G499" s="2">
        <f>ff_portfolios25!G499-ff_factors!$E499</f>
        <v>-3.4388000000000002E-2</v>
      </c>
      <c r="H499" s="2">
        <f>ff_portfolios25!H499-ff_factors!$E499</f>
        <v>-2.8681000000000002E-2</v>
      </c>
      <c r="I499" s="2">
        <f>ff_portfolios25!I499-ff_factors!$E499</f>
        <v>-7.4745000000000006E-2</v>
      </c>
      <c r="J499" s="2">
        <f>ff_portfolios25!J499-ff_factors!$E499</f>
        <v>-4.5616000000000004E-2</v>
      </c>
      <c r="K499" s="2">
        <f>ff_portfolios25!K499-ff_factors!$E499</f>
        <v>-3.1986000000000001E-2</v>
      </c>
      <c r="L499" s="2">
        <f>ff_portfolios25!L499-ff_factors!$E499</f>
        <v>-2.7449999999999999E-2</v>
      </c>
      <c r="M499" s="2">
        <f>ff_portfolios25!M499-ff_factors!$E499</f>
        <v>-2.1132999999999999E-2</v>
      </c>
      <c r="N499" s="2">
        <f>ff_portfolios25!N499-ff_factors!$E499</f>
        <v>-7.0317999999999992E-2</v>
      </c>
      <c r="O499" s="2">
        <f>ff_portfolios25!O499-ff_factors!$E499</f>
        <v>-3.5651000000000002E-2</v>
      </c>
      <c r="P499" s="2">
        <f>ff_portfolios25!P499-ff_factors!$E499</f>
        <v>-2.1311E-2</v>
      </c>
      <c r="Q499" s="2">
        <f>ff_portfolios25!Q499-ff_factors!$E499</f>
        <v>-1.4493000000000001E-2</v>
      </c>
      <c r="R499" s="2">
        <f>ff_portfolios25!R499-ff_factors!$E499</f>
        <v>-3.4358E-2</v>
      </c>
      <c r="S499" s="2">
        <f>ff_portfolios25!S499-ff_factors!$E499</f>
        <v>-5.1701999999999998E-2</v>
      </c>
      <c r="T499" s="2">
        <f>ff_portfolios25!T499-ff_factors!$E499</f>
        <v>-4.3909000000000004E-2</v>
      </c>
      <c r="U499" s="2">
        <f>ff_portfolios25!U499-ff_factors!$E499</f>
        <v>-3.5935000000000002E-2</v>
      </c>
      <c r="V499" s="2">
        <f>ff_portfolios25!V499-ff_factors!$E499</f>
        <v>-1.4488000000000001E-2</v>
      </c>
      <c r="W499" s="2">
        <f>ff_portfolios25!W499-ff_factors!$E499</f>
        <v>-4.2398999999999999E-2</v>
      </c>
      <c r="X499" s="2">
        <f>ff_portfolios25!X499-ff_factors!$E499</f>
        <v>-8.8900000000000003E-3</v>
      </c>
      <c r="Y499" s="2">
        <f>ff_portfolios25!Y499-ff_factors!$E499</f>
        <v>-8.6549999999999995E-3</v>
      </c>
      <c r="Z499" s="2">
        <f>ff_portfolios25!Z499-ff_factors!$E499</f>
        <v>2.019E-3</v>
      </c>
      <c r="AA499" s="2">
        <f>ff_portfolios25!AA499-ff_factors!$E499</f>
        <v>-1.1993E-2</v>
      </c>
      <c r="AB499" s="2">
        <f>ff_portfolios25!AB499-ff_factors!$E499</f>
        <v>-2.5391E-2</v>
      </c>
    </row>
    <row r="500" spans="1:28" x14ac:dyDescent="0.2">
      <c r="A500">
        <v>19730731</v>
      </c>
      <c r="B500">
        <v>1973</v>
      </c>
      <c r="C500">
        <v>7</v>
      </c>
      <c r="D500" s="2">
        <f>ff_portfolios25!D500-ff_factors!$E500</f>
        <v>0.182509</v>
      </c>
      <c r="E500" s="2">
        <f>ff_portfolios25!E500-ff_factors!$E500</f>
        <v>0.154476</v>
      </c>
      <c r="F500" s="2">
        <f>ff_portfolios25!F500-ff_factors!$E500</f>
        <v>0.11332399999999999</v>
      </c>
      <c r="G500" s="2">
        <f>ff_portfolios25!G500-ff_factors!$E500</f>
        <v>0.12828600000000001</v>
      </c>
      <c r="H500" s="2">
        <f>ff_portfolios25!H500-ff_factors!$E500</f>
        <v>9.7746E-2</v>
      </c>
      <c r="I500" s="2">
        <f>ff_portfolios25!I500-ff_factors!$E500</f>
        <v>0.213669</v>
      </c>
      <c r="J500" s="2">
        <f>ff_portfolios25!J500-ff_factors!$E500</f>
        <v>0.12770000000000001</v>
      </c>
      <c r="K500" s="2">
        <f>ff_portfolios25!K500-ff_factors!$E500</f>
        <v>0.105116</v>
      </c>
      <c r="L500" s="2">
        <f>ff_portfolios25!L500-ff_factors!$E500</f>
        <v>6.2022999999999995E-2</v>
      </c>
      <c r="M500" s="2">
        <f>ff_portfolios25!M500-ff_factors!$E500</f>
        <v>9.2590999999999993E-2</v>
      </c>
      <c r="N500" s="2">
        <f>ff_portfolios25!N500-ff_factors!$E500</f>
        <v>0.18755200000000002</v>
      </c>
      <c r="O500" s="2">
        <f>ff_portfolios25!O500-ff_factors!$E500</f>
        <v>9.0657000000000001E-2</v>
      </c>
      <c r="P500" s="2">
        <f>ff_portfolios25!P500-ff_factors!$E500</f>
        <v>6.3881999999999994E-2</v>
      </c>
      <c r="Q500" s="2">
        <f>ff_portfolios25!Q500-ff_factors!$E500</f>
        <v>1.4960000000000001E-2</v>
      </c>
      <c r="R500" s="2">
        <f>ff_portfolios25!R500-ff_factors!$E500</f>
        <v>7.0696999999999996E-2</v>
      </c>
      <c r="S500" s="2">
        <f>ff_portfolios25!S500-ff_factors!$E500</f>
        <v>0.14657500000000001</v>
      </c>
      <c r="T500" s="2">
        <f>ff_portfolios25!T500-ff_factors!$E500</f>
        <v>8.4037000000000001E-2</v>
      </c>
      <c r="U500" s="2">
        <f>ff_portfolios25!U500-ff_factors!$E500</f>
        <v>6.3243999999999995E-2</v>
      </c>
      <c r="V500" s="2">
        <f>ff_portfolios25!V500-ff_factors!$E500</f>
        <v>2.4188000000000001E-2</v>
      </c>
      <c r="W500" s="2">
        <f>ff_portfolios25!W500-ff_factors!$E500</f>
        <v>8.2758999999999999E-2</v>
      </c>
      <c r="X500" s="2">
        <f>ff_portfolios25!X500-ff_factors!$E500</f>
        <v>4.7611999999999995E-2</v>
      </c>
      <c r="Y500" s="2">
        <f>ff_portfolios25!Y500-ff_factors!$E500</f>
        <v>4.8172E-2</v>
      </c>
      <c r="Z500" s="2">
        <f>ff_portfolios25!Z500-ff_factors!$E500</f>
        <v>-8.1939999999999999E-3</v>
      </c>
      <c r="AA500" s="2">
        <f>ff_portfolios25!AA500-ff_factors!$E500</f>
        <v>1.3557E-2</v>
      </c>
      <c r="AB500" s="2">
        <f>ff_portfolios25!AB500-ff_factors!$E500</f>
        <v>3.5802E-2</v>
      </c>
    </row>
    <row r="501" spans="1:28" x14ac:dyDescent="0.2">
      <c r="A501">
        <v>19730831</v>
      </c>
      <c r="B501">
        <v>1973</v>
      </c>
      <c r="C501">
        <v>8</v>
      </c>
      <c r="D501" s="2">
        <f>ff_portfolios25!D501-ff_factors!$E501</f>
        <v>-6.1961999999999996E-2</v>
      </c>
      <c r="E501" s="2">
        <f>ff_portfolios25!E501-ff_factors!$E501</f>
        <v>-7.4877000000000013E-2</v>
      </c>
      <c r="F501" s="2">
        <f>ff_portfolios25!F501-ff_factors!$E501</f>
        <v>-6.5183000000000005E-2</v>
      </c>
      <c r="G501" s="2">
        <f>ff_portfolios25!G501-ff_factors!$E501</f>
        <v>-6.5733E-2</v>
      </c>
      <c r="H501" s="2">
        <f>ff_portfolios25!H501-ff_factors!$E501</f>
        <v>-5.2135000000000001E-2</v>
      </c>
      <c r="I501" s="2">
        <f>ff_portfolios25!I501-ff_factors!$E501</f>
        <v>-3.8254999999999997E-2</v>
      </c>
      <c r="J501" s="2">
        <f>ff_portfolios25!J501-ff_factors!$E501</f>
        <v>-7.6885000000000009E-2</v>
      </c>
      <c r="K501" s="2">
        <f>ff_portfolios25!K501-ff_factors!$E501</f>
        <v>-5.5099000000000002E-2</v>
      </c>
      <c r="L501" s="2">
        <f>ff_portfolios25!L501-ff_factors!$E501</f>
        <v>-5.7745999999999999E-2</v>
      </c>
      <c r="M501" s="2">
        <f>ff_portfolios25!M501-ff_factors!$E501</f>
        <v>-4.6994000000000001E-2</v>
      </c>
      <c r="N501" s="2">
        <f>ff_portfolios25!N501-ff_factors!$E501</f>
        <v>-3.7109000000000003E-2</v>
      </c>
      <c r="O501" s="2">
        <f>ff_portfolios25!O501-ff_factors!$E501</f>
        <v>-4.9509999999999998E-2</v>
      </c>
      <c r="P501" s="2">
        <f>ff_portfolios25!P501-ff_factors!$E501</f>
        <v>-4.8312000000000001E-2</v>
      </c>
      <c r="Q501" s="2">
        <f>ff_portfolios25!Q501-ff_factors!$E501</f>
        <v>-3.1668000000000002E-2</v>
      </c>
      <c r="R501" s="2">
        <f>ff_portfolios25!R501-ff_factors!$E501</f>
        <v>-1.4749E-2</v>
      </c>
      <c r="S501" s="2">
        <f>ff_portfolios25!S501-ff_factors!$E501</f>
        <v>-3.3440999999999999E-2</v>
      </c>
      <c r="T501" s="2">
        <f>ff_portfolios25!T501-ff_factors!$E501</f>
        <v>-1.5146E-2</v>
      </c>
      <c r="U501" s="2">
        <f>ff_portfolios25!U501-ff_factors!$E501</f>
        <v>-2.8048E-2</v>
      </c>
      <c r="V501" s="2">
        <f>ff_portfolios25!V501-ff_factors!$E501</f>
        <v>-3.7974000000000001E-2</v>
      </c>
      <c r="W501" s="2">
        <f>ff_portfolios25!W501-ff_factors!$E501</f>
        <v>-8.1080000000000006E-3</v>
      </c>
      <c r="X501" s="2">
        <f>ff_portfolios25!X501-ff_factors!$E501</f>
        <v>-4.2473999999999998E-2</v>
      </c>
      <c r="Y501" s="2">
        <f>ff_portfolios25!Y501-ff_factors!$E501</f>
        <v>-3.1331999999999999E-2</v>
      </c>
      <c r="Z501" s="2">
        <f>ff_portfolios25!Z501-ff_factors!$E501</f>
        <v>-4.3971999999999997E-2</v>
      </c>
      <c r="AA501" s="2">
        <f>ff_portfolios25!AA501-ff_factors!$E501</f>
        <v>-3.0786999999999998E-2</v>
      </c>
      <c r="AB501" s="2">
        <f>ff_portfolios25!AB501-ff_factors!$E501</f>
        <v>8.1699999999999915E-4</v>
      </c>
    </row>
    <row r="502" spans="1:28" x14ac:dyDescent="0.2">
      <c r="A502">
        <v>19730928</v>
      </c>
      <c r="B502">
        <v>1973</v>
      </c>
      <c r="C502">
        <v>9</v>
      </c>
      <c r="D502" s="2">
        <f>ff_portfolios25!D502-ff_factors!$E502</f>
        <v>0.11225399999999999</v>
      </c>
      <c r="E502" s="2">
        <f>ff_portfolios25!E502-ff_factors!$E502</f>
        <v>0.107873</v>
      </c>
      <c r="F502" s="2">
        <f>ff_portfolios25!F502-ff_factors!$E502</f>
        <v>6.0702999999999993E-2</v>
      </c>
      <c r="G502" s="2">
        <f>ff_portfolios25!G502-ff_factors!$E502</f>
        <v>7.1447999999999998E-2</v>
      </c>
      <c r="H502" s="2">
        <f>ff_portfolios25!H502-ff_factors!$E502</f>
        <v>6.3503000000000004E-2</v>
      </c>
      <c r="I502" s="2">
        <f>ff_portfolios25!I502-ff_factors!$E502</f>
        <v>0.10299899999999999</v>
      </c>
      <c r="J502" s="2">
        <f>ff_portfolios25!J502-ff_factors!$E502</f>
        <v>0.103925</v>
      </c>
      <c r="K502" s="2">
        <f>ff_portfolios25!K502-ff_factors!$E502</f>
        <v>0.10865999999999999</v>
      </c>
      <c r="L502" s="2">
        <f>ff_portfolios25!L502-ff_factors!$E502</f>
        <v>6.3791E-2</v>
      </c>
      <c r="M502" s="2">
        <f>ff_portfolios25!M502-ff_factors!$E502</f>
        <v>9.5769999999999994E-2</v>
      </c>
      <c r="N502" s="2">
        <f>ff_portfolios25!N502-ff_factors!$E502</f>
        <v>0.10567699999999999</v>
      </c>
      <c r="O502" s="2">
        <f>ff_portfolios25!O502-ff_factors!$E502</f>
        <v>9.4375000000000001E-2</v>
      </c>
      <c r="P502" s="2">
        <f>ff_portfolios25!P502-ff_factors!$E502</f>
        <v>9.3896999999999994E-2</v>
      </c>
      <c r="Q502" s="2">
        <f>ff_portfolios25!Q502-ff_factors!$E502</f>
        <v>8.1921999999999995E-2</v>
      </c>
      <c r="R502" s="2">
        <f>ff_portfolios25!R502-ff_factors!$E502</f>
        <v>9.8122000000000001E-2</v>
      </c>
      <c r="S502" s="2">
        <f>ff_portfolios25!S502-ff_factors!$E502</f>
        <v>9.2407000000000003E-2</v>
      </c>
      <c r="T502" s="2">
        <f>ff_portfolios25!T502-ff_factors!$E502</f>
        <v>0.11019</v>
      </c>
      <c r="U502" s="2">
        <f>ff_portfolios25!U502-ff_factors!$E502</f>
        <v>0.109086</v>
      </c>
      <c r="V502" s="2">
        <f>ff_portfolios25!V502-ff_factors!$E502</f>
        <v>9.0943999999999997E-2</v>
      </c>
      <c r="W502" s="2">
        <f>ff_portfolios25!W502-ff_factors!$E502</f>
        <v>9.8380999999999996E-2</v>
      </c>
      <c r="X502" s="2">
        <f>ff_portfolios25!X502-ff_factors!$E502</f>
        <v>-7.9930000000000001E-3</v>
      </c>
      <c r="Y502" s="2">
        <f>ff_portfolios25!Y502-ff_factors!$E502</f>
        <v>7.0877999999999997E-2</v>
      </c>
      <c r="Z502" s="2">
        <f>ff_portfolios25!Z502-ff_factors!$E502</f>
        <v>8.0366999999999994E-2</v>
      </c>
      <c r="AA502" s="2">
        <f>ff_portfolios25!AA502-ff_factors!$E502</f>
        <v>7.8954999999999997E-2</v>
      </c>
      <c r="AB502" s="2">
        <f>ff_portfolios25!AB502-ff_factors!$E502</f>
        <v>7.5883000000000006E-2</v>
      </c>
    </row>
    <row r="503" spans="1:28" x14ac:dyDescent="0.2">
      <c r="A503">
        <v>19731031</v>
      </c>
      <c r="B503">
        <v>1973</v>
      </c>
      <c r="C503">
        <v>10</v>
      </c>
      <c r="D503" s="2">
        <f>ff_portfolios25!D503-ff_factors!$E503</f>
        <v>-3.4620999999999999E-2</v>
      </c>
      <c r="E503" s="2">
        <f>ff_portfolios25!E503-ff_factors!$E503</f>
        <v>-1.1169999999999999E-3</v>
      </c>
      <c r="F503" s="2">
        <f>ff_portfolios25!F503-ff_factors!$E503</f>
        <v>4.0260000000000009E-3</v>
      </c>
      <c r="G503" s="2">
        <f>ff_portfolios25!G503-ff_factors!$E503</f>
        <v>-3.5329999999999997E-3</v>
      </c>
      <c r="H503" s="2">
        <f>ff_portfolios25!H503-ff_factors!$E503</f>
        <v>6.1920000000000005E-3</v>
      </c>
      <c r="I503" s="2">
        <f>ff_portfolios25!I503-ff_factors!$E503</f>
        <v>-3.7421000000000003E-2</v>
      </c>
      <c r="J503" s="2">
        <f>ff_portfolios25!J503-ff_factors!$E503</f>
        <v>-3.9798E-2</v>
      </c>
      <c r="K503" s="2">
        <f>ff_portfolios25!K503-ff_factors!$E503</f>
        <v>7.1919999999999996E-3</v>
      </c>
      <c r="L503" s="2">
        <f>ff_portfolios25!L503-ff_factors!$E503</f>
        <v>4.6730000000000009E-3</v>
      </c>
      <c r="M503" s="2">
        <f>ff_portfolios25!M503-ff_factors!$E503</f>
        <v>8.0040000000000007E-3</v>
      </c>
      <c r="N503" s="2">
        <f>ff_portfolios25!N503-ff_factors!$E503</f>
        <v>-4.5885000000000002E-2</v>
      </c>
      <c r="O503" s="2">
        <f>ff_portfolios25!O503-ff_factors!$E503</f>
        <v>1.9100000000000002E-2</v>
      </c>
      <c r="P503" s="2">
        <f>ff_portfolios25!P503-ff_factors!$E503</f>
        <v>-1.6199999999999999E-3</v>
      </c>
      <c r="Q503" s="2">
        <f>ff_portfolios25!Q503-ff_factors!$E503</f>
        <v>-1.1814999999999999E-2</v>
      </c>
      <c r="R503" s="2">
        <f>ff_portfolios25!R503-ff_factors!$E503</f>
        <v>7.0549999999999996E-3</v>
      </c>
      <c r="S503" s="2">
        <f>ff_portfolios25!S503-ff_factors!$E503</f>
        <v>-3.2807000000000003E-2</v>
      </c>
      <c r="T503" s="2">
        <f>ff_portfolios25!T503-ff_factors!$E503</f>
        <v>-1.7333000000000001E-2</v>
      </c>
      <c r="U503" s="2">
        <f>ff_portfolios25!U503-ff_factors!$E503</f>
        <v>6.3240000000000006E-3</v>
      </c>
      <c r="V503" s="2">
        <f>ff_portfolios25!V503-ff_factors!$E503</f>
        <v>-1.0783000000000001E-2</v>
      </c>
      <c r="W503" s="2">
        <f>ff_portfolios25!W503-ff_factors!$E503</f>
        <v>1.1374000000000002E-2</v>
      </c>
      <c r="X503" s="2">
        <f>ff_portfolios25!X503-ff_factors!$E503</f>
        <v>-1.9369999999999995E-3</v>
      </c>
      <c r="Y503" s="2">
        <f>ff_portfolios25!Y503-ff_factors!$E503</f>
        <v>-1.3462999999999999E-2</v>
      </c>
      <c r="Z503" s="2">
        <f>ff_portfolios25!Z503-ff_factors!$E503</f>
        <v>-3.6019999999999997E-3</v>
      </c>
      <c r="AA503" s="2">
        <f>ff_portfolios25!AA503-ff_factors!$E503</f>
        <v>-3.6610000000000004E-2</v>
      </c>
      <c r="AB503" s="2">
        <f>ff_portfolios25!AB503-ff_factors!$E503</f>
        <v>1.8975000000000002E-2</v>
      </c>
    </row>
    <row r="504" spans="1:28" x14ac:dyDescent="0.2">
      <c r="A504">
        <v>19731130</v>
      </c>
      <c r="B504">
        <v>1973</v>
      </c>
      <c r="C504">
        <v>11</v>
      </c>
      <c r="D504" s="2">
        <f>ff_portfolios25!D504-ff_factors!$E504</f>
        <v>-0.25511200000000001</v>
      </c>
      <c r="E504" s="2">
        <f>ff_portfolios25!E504-ff_factors!$E504</f>
        <v>-0.221244</v>
      </c>
      <c r="F504" s="2">
        <f>ff_portfolios25!F504-ff_factors!$E504</f>
        <v>-0.19539699999999999</v>
      </c>
      <c r="G504" s="2">
        <f>ff_portfolios25!G504-ff_factors!$E504</f>
        <v>-0.17293500000000001</v>
      </c>
      <c r="H504" s="2">
        <f>ff_portfolios25!H504-ff_factors!$E504</f>
        <v>-0.185778</v>
      </c>
      <c r="I504" s="2">
        <f>ff_portfolios25!I504-ff_factors!$E504</f>
        <v>-0.23990899999999998</v>
      </c>
      <c r="J504" s="2">
        <f>ff_portfolios25!J504-ff_factors!$E504</f>
        <v>-0.20895</v>
      </c>
      <c r="K504" s="2">
        <f>ff_portfolios25!K504-ff_factors!$E504</f>
        <v>-0.196932</v>
      </c>
      <c r="L504" s="2">
        <f>ff_portfolios25!L504-ff_factors!$E504</f>
        <v>-0.162271</v>
      </c>
      <c r="M504" s="2">
        <f>ff_portfolios25!M504-ff_factors!$E504</f>
        <v>-0.165022</v>
      </c>
      <c r="N504" s="2">
        <f>ff_portfolios25!N504-ff_factors!$E504</f>
        <v>-0.234705</v>
      </c>
      <c r="O504" s="2">
        <f>ff_portfolios25!O504-ff_factors!$E504</f>
        <v>-0.18742599999999998</v>
      </c>
      <c r="P504" s="2">
        <f>ff_portfolios25!P504-ff_factors!$E504</f>
        <v>-0.164961</v>
      </c>
      <c r="Q504" s="2">
        <f>ff_portfolios25!Q504-ff_factors!$E504</f>
        <v>-0.127606</v>
      </c>
      <c r="R504" s="2">
        <f>ff_portfolios25!R504-ff_factors!$E504</f>
        <v>-0.16644100000000001</v>
      </c>
      <c r="S504" s="2">
        <f>ff_portfolios25!S504-ff_factors!$E504</f>
        <v>-0.208785</v>
      </c>
      <c r="T504" s="2">
        <f>ff_portfolios25!T504-ff_factors!$E504</f>
        <v>-0.17843399999999998</v>
      </c>
      <c r="U504" s="2">
        <f>ff_portfolios25!U504-ff_factors!$E504</f>
        <v>-0.14929499999999998</v>
      </c>
      <c r="V504" s="2">
        <f>ff_portfolios25!V504-ff_factors!$E504</f>
        <v>-0.12648100000000001</v>
      </c>
      <c r="W504" s="2">
        <f>ff_portfolios25!W504-ff_factors!$E504</f>
        <v>-0.15435699999999999</v>
      </c>
      <c r="X504" s="2">
        <f>ff_portfolios25!X504-ff_factors!$E504</f>
        <v>-0.11267199999999999</v>
      </c>
      <c r="Y504" s="2">
        <f>ff_portfolios25!Y504-ff_factors!$E504</f>
        <v>-0.13280899999999998</v>
      </c>
      <c r="Z504" s="2">
        <f>ff_portfolios25!Z504-ff_factors!$E504</f>
        <v>-0.113578</v>
      </c>
      <c r="AA504" s="2">
        <f>ff_portfolios25!AA504-ff_factors!$E504</f>
        <v>-6.8856000000000001E-2</v>
      </c>
      <c r="AB504" s="2">
        <f>ff_portfolios25!AB504-ff_factors!$E504</f>
        <v>-8.8083999999999996E-2</v>
      </c>
    </row>
    <row r="505" spans="1:28" x14ac:dyDescent="0.2">
      <c r="A505">
        <v>19731231</v>
      </c>
      <c r="B505">
        <v>1973</v>
      </c>
      <c r="C505">
        <v>12</v>
      </c>
      <c r="D505" s="2">
        <f>ff_portfolios25!D505-ff_factors!$E505</f>
        <v>-4.3718E-2</v>
      </c>
      <c r="E505" s="2">
        <f>ff_portfolios25!E505-ff_factors!$E505</f>
        <v>-5.2835E-2</v>
      </c>
      <c r="F505" s="2">
        <f>ff_portfolios25!F505-ff_factors!$E505</f>
        <v>-4.4424000000000005E-2</v>
      </c>
      <c r="G505" s="2">
        <f>ff_portfolios25!G505-ff_factors!$E505</f>
        <v>-3.5514000000000004E-2</v>
      </c>
      <c r="H505" s="2">
        <f>ff_portfolios25!H505-ff_factors!$E505</f>
        <v>-4.8417000000000002E-2</v>
      </c>
      <c r="I505" s="2">
        <f>ff_portfolios25!I505-ff_factors!$E505</f>
        <v>-1.0392999999999999E-2</v>
      </c>
      <c r="J505" s="2">
        <f>ff_portfolios25!J505-ff_factors!$E505</f>
        <v>-5.3796000000000004E-2</v>
      </c>
      <c r="K505" s="2">
        <f>ff_portfolios25!K505-ff_factors!$E505</f>
        <v>-1.3129999999999999E-2</v>
      </c>
      <c r="L505" s="2">
        <f>ff_portfolios25!L505-ff_factors!$E505</f>
        <v>-1.9389E-2</v>
      </c>
      <c r="M505" s="2">
        <f>ff_portfolios25!M505-ff_factors!$E505</f>
        <v>-1.5265000000000001E-2</v>
      </c>
      <c r="N505" s="2">
        <f>ff_portfolios25!N505-ff_factors!$E505</f>
        <v>-2.0626000000000002E-2</v>
      </c>
      <c r="O505" s="2">
        <f>ff_portfolios25!O505-ff_factors!$E505</f>
        <v>1.072E-3</v>
      </c>
      <c r="P505" s="2">
        <f>ff_portfolios25!P505-ff_factors!$E505</f>
        <v>2.4999999999999935E-4</v>
      </c>
      <c r="Q505" s="2">
        <f>ff_portfolios25!Q505-ff_factors!$E505</f>
        <v>-3.8400000000000066E-4</v>
      </c>
      <c r="R505" s="2">
        <f>ff_portfolios25!R505-ff_factors!$E505</f>
        <v>1.7233000000000002E-2</v>
      </c>
      <c r="S505" s="2">
        <f>ff_portfolios25!S505-ff_factors!$E505</f>
        <v>-5.0790000000000002E-3</v>
      </c>
      <c r="T505" s="2">
        <f>ff_portfolios25!T505-ff_factors!$E505</f>
        <v>2.5193000000000004E-2</v>
      </c>
      <c r="U505" s="2">
        <f>ff_portfolios25!U505-ff_factors!$E505</f>
        <v>6.0840999999999992E-2</v>
      </c>
      <c r="V505" s="2">
        <f>ff_portfolios25!V505-ff_factors!$E505</f>
        <v>2.2445E-2</v>
      </c>
      <c r="W505" s="2">
        <f>ff_portfolios25!W505-ff_factors!$E505</f>
        <v>5.9376999999999999E-2</v>
      </c>
      <c r="X505" s="2">
        <f>ff_portfolios25!X505-ff_factors!$E505</f>
        <v>-2.6918000000000001E-2</v>
      </c>
      <c r="Y505" s="2">
        <f>ff_portfolios25!Y505-ff_factors!$E505</f>
        <v>2.3500000000000005E-3</v>
      </c>
      <c r="Z505" s="2">
        <f>ff_portfolios25!Z505-ff_factors!$E505</f>
        <v>6.6018999999999994E-2</v>
      </c>
      <c r="AA505" s="2">
        <f>ff_portfolios25!AA505-ff_factors!$E505</f>
        <v>4.3892E-2</v>
      </c>
      <c r="AB505" s="2">
        <f>ff_portfolios25!AB505-ff_factors!$E505</f>
        <v>0.10494199999999999</v>
      </c>
    </row>
    <row r="506" spans="1:28" x14ac:dyDescent="0.2">
      <c r="A506">
        <v>19740131</v>
      </c>
      <c r="B506">
        <v>1974</v>
      </c>
      <c r="C506">
        <v>1</v>
      </c>
      <c r="D506" s="2">
        <f>ff_portfolios25!D506-ff_factors!$E506</f>
        <v>9.6264000000000002E-2</v>
      </c>
      <c r="E506" s="2">
        <f>ff_portfolios25!E506-ff_factors!$E506</f>
        <v>0.137433</v>
      </c>
      <c r="F506" s="2">
        <f>ff_portfolios25!F506-ff_factors!$E506</f>
        <v>0.142156</v>
      </c>
      <c r="G506" s="2">
        <f>ff_portfolios25!G506-ff_factors!$E506</f>
        <v>0.121582</v>
      </c>
      <c r="H506" s="2">
        <f>ff_portfolios25!H506-ff_factors!$E506</f>
        <v>0.182835</v>
      </c>
      <c r="I506" s="2">
        <f>ff_portfolios25!I506-ff_factors!$E506</f>
        <v>3.8591E-2</v>
      </c>
      <c r="J506" s="2">
        <f>ff_portfolios25!J506-ff_factors!$E506</f>
        <v>0.108733</v>
      </c>
      <c r="K506" s="2">
        <f>ff_portfolios25!K506-ff_factors!$E506</f>
        <v>8.6313000000000001E-2</v>
      </c>
      <c r="L506" s="2">
        <f>ff_portfolios25!L506-ff_factors!$E506</f>
        <v>0.100506</v>
      </c>
      <c r="M506" s="2">
        <f>ff_portfolios25!M506-ff_factors!$E506</f>
        <v>0.12832099999999999</v>
      </c>
      <c r="N506" s="2">
        <f>ff_portfolios25!N506-ff_factors!$E506</f>
        <v>4.6087999999999997E-2</v>
      </c>
      <c r="O506" s="2">
        <f>ff_portfolios25!O506-ff_factors!$E506</f>
        <v>3.7629000000000003E-2</v>
      </c>
      <c r="P506" s="2">
        <f>ff_portfolios25!P506-ff_factors!$E506</f>
        <v>7.8797000000000006E-2</v>
      </c>
      <c r="Q506" s="2">
        <f>ff_portfolios25!Q506-ff_factors!$E506</f>
        <v>7.0349999999999996E-2</v>
      </c>
      <c r="R506" s="2">
        <f>ff_portfolios25!R506-ff_factors!$E506</f>
        <v>0.109317</v>
      </c>
      <c r="S506" s="2">
        <f>ff_portfolios25!S506-ff_factors!$E506</f>
        <v>-2.2697999999999999E-2</v>
      </c>
      <c r="T506" s="2">
        <f>ff_portfolios25!T506-ff_factors!$E506</f>
        <v>1.4804000000000001E-2</v>
      </c>
      <c r="U506" s="2">
        <f>ff_portfolios25!U506-ff_factors!$E506</f>
        <v>2.2939000000000001E-2</v>
      </c>
      <c r="V506" s="2">
        <f>ff_portfolios25!V506-ff_factors!$E506</f>
        <v>7.0999999999999994E-2</v>
      </c>
      <c r="W506" s="2">
        <f>ff_portfolios25!W506-ff_factors!$E506</f>
        <v>4.8514000000000002E-2</v>
      </c>
      <c r="X506" s="2">
        <f>ff_portfolios25!X506-ff_factors!$E506</f>
        <v>-2.6447999999999999E-2</v>
      </c>
      <c r="Y506" s="2">
        <f>ff_portfolios25!Y506-ff_factors!$E506</f>
        <v>9.6999999999999864E-5</v>
      </c>
      <c r="Z506" s="2">
        <f>ff_portfolios25!Z506-ff_factors!$E506</f>
        <v>-3.5210999999999999E-2</v>
      </c>
      <c r="AA506" s="2">
        <f>ff_portfolios25!AA506-ff_factors!$E506</f>
        <v>1.1260000000000003E-3</v>
      </c>
      <c r="AB506" s="2">
        <f>ff_portfolios25!AB506-ff_factors!$E506</f>
        <v>-7.1240000000000001E-3</v>
      </c>
    </row>
    <row r="507" spans="1:28" x14ac:dyDescent="0.2">
      <c r="A507">
        <v>19740228</v>
      </c>
      <c r="B507">
        <v>1974</v>
      </c>
      <c r="C507">
        <v>2</v>
      </c>
      <c r="D507" s="2">
        <f>ff_portfolios25!D507-ff_factors!$E507</f>
        <v>-1.0127000000000001E-2</v>
      </c>
      <c r="E507" s="2">
        <f>ff_portfolios25!E507-ff_factors!$E507</f>
        <v>-1.3916E-2</v>
      </c>
      <c r="F507" s="2">
        <f>ff_portfolios25!F507-ff_factors!$E507</f>
        <v>-7.5709999999999996E-3</v>
      </c>
      <c r="G507" s="2">
        <f>ff_portfolios25!G507-ff_factors!$E507</f>
        <v>-7.7329999999999994E-3</v>
      </c>
      <c r="H507" s="2">
        <f>ff_portfolios25!H507-ff_factors!$E507</f>
        <v>5.3260000000000009E-3</v>
      </c>
      <c r="I507" s="2">
        <f>ff_portfolios25!I507-ff_factors!$E507</f>
        <v>-2.0089999999999995E-3</v>
      </c>
      <c r="J507" s="2">
        <f>ff_portfolios25!J507-ff_factors!$E507</f>
        <v>6.744E-3</v>
      </c>
      <c r="K507" s="2">
        <f>ff_portfolios25!K507-ff_factors!$E507</f>
        <v>5.8860000000000006E-3</v>
      </c>
      <c r="L507" s="2">
        <f>ff_portfolios25!L507-ff_factors!$E507</f>
        <v>1.2524E-2</v>
      </c>
      <c r="M507" s="2">
        <f>ff_portfolios25!M507-ff_factors!$E507</f>
        <v>3.5493999999999998E-2</v>
      </c>
      <c r="N507" s="2">
        <f>ff_portfolios25!N507-ff_factors!$E507</f>
        <v>-3.1831999999999999E-2</v>
      </c>
      <c r="O507" s="2">
        <f>ff_portfolios25!O507-ff_factors!$E507</f>
        <v>-4.7829999999999999E-3</v>
      </c>
      <c r="P507" s="2">
        <f>ff_portfolios25!P507-ff_factors!$E507</f>
        <v>1.0135999999999999E-2</v>
      </c>
      <c r="Q507" s="2">
        <f>ff_portfolios25!Q507-ff_factors!$E507</f>
        <v>-9.6899999999999938E-4</v>
      </c>
      <c r="R507" s="2">
        <f>ff_portfolios25!R507-ff_factors!$E507</f>
        <v>1.7559999999999999E-2</v>
      </c>
      <c r="S507" s="2">
        <f>ff_portfolios25!S507-ff_factors!$E507</f>
        <v>-2.9321E-2</v>
      </c>
      <c r="T507" s="2">
        <f>ff_portfolios25!T507-ff_factors!$E507</f>
        <v>1.0620000000000004E-3</v>
      </c>
      <c r="U507" s="2">
        <f>ff_portfolios25!U507-ff_factors!$E507</f>
        <v>1.8259000000000001E-2</v>
      </c>
      <c r="V507" s="2">
        <f>ff_portfolios25!V507-ff_factors!$E507</f>
        <v>1.2331999999999999E-2</v>
      </c>
      <c r="W507" s="2">
        <f>ff_portfolios25!W507-ff_factors!$E507</f>
        <v>2.9111999999999999E-2</v>
      </c>
      <c r="X507" s="2">
        <f>ff_portfolios25!X507-ff_factors!$E507</f>
        <v>-1.9279999999999999E-2</v>
      </c>
      <c r="Y507" s="2">
        <f>ff_portfolios25!Y507-ff_factors!$E507</f>
        <v>1.2256E-2</v>
      </c>
      <c r="Z507" s="2">
        <f>ff_portfolios25!Z507-ff_factors!$E507</f>
        <v>-1.5269E-2</v>
      </c>
      <c r="AA507" s="2">
        <f>ff_portfolios25!AA507-ff_factors!$E507</f>
        <v>2.2352E-2</v>
      </c>
      <c r="AB507" s="2">
        <f>ff_portfolios25!AB507-ff_factors!$E507</f>
        <v>3.2327000000000002E-2</v>
      </c>
    </row>
    <row r="508" spans="1:28" x14ac:dyDescent="0.2">
      <c r="A508">
        <v>19740329</v>
      </c>
      <c r="B508">
        <v>1974</v>
      </c>
      <c r="C508">
        <v>3</v>
      </c>
      <c r="D508" s="2">
        <f>ff_portfolios25!D508-ff_factors!$E508</f>
        <v>-3.0530000000000002E-3</v>
      </c>
      <c r="E508" s="2">
        <f>ff_portfolios25!E508-ff_factors!$E508</f>
        <v>-1.3894E-2</v>
      </c>
      <c r="F508" s="2">
        <f>ff_portfolios25!F508-ff_factors!$E508</f>
        <v>-4.9900000000000031E-4</v>
      </c>
      <c r="G508" s="2">
        <f>ff_portfolios25!G508-ff_factors!$E508</f>
        <v>8.6399999999999984E-3</v>
      </c>
      <c r="H508" s="2">
        <f>ff_portfolios25!H508-ff_factors!$E508</f>
        <v>1.3576999999999999E-2</v>
      </c>
      <c r="I508" s="2">
        <f>ff_portfolios25!I508-ff_factors!$E508</f>
        <v>-2.1873E-2</v>
      </c>
      <c r="J508" s="2">
        <f>ff_portfolios25!J508-ff_factors!$E508</f>
        <v>1.6677000000000001E-2</v>
      </c>
      <c r="K508" s="2">
        <f>ff_portfolios25!K508-ff_factors!$E508</f>
        <v>-2.1860000000000001E-2</v>
      </c>
      <c r="L508" s="2">
        <f>ff_portfolios25!L508-ff_factors!$E508</f>
        <v>-1.5398999999999999E-2</v>
      </c>
      <c r="M508" s="2">
        <f>ff_portfolios25!M508-ff_factors!$E508</f>
        <v>8.9499999999999996E-4</v>
      </c>
      <c r="N508" s="2">
        <f>ff_portfolios25!N508-ff_factors!$E508</f>
        <v>-2.3703000000000002E-2</v>
      </c>
      <c r="O508" s="2">
        <f>ff_portfolios25!O508-ff_factors!$E508</f>
        <v>-1.4412999999999999E-2</v>
      </c>
      <c r="P508" s="2">
        <f>ff_portfolios25!P508-ff_factors!$E508</f>
        <v>-3.6733999999999996E-2</v>
      </c>
      <c r="Q508" s="2">
        <f>ff_portfolios25!Q508-ff_factors!$E508</f>
        <v>-2.1170999999999999E-2</v>
      </c>
      <c r="R508" s="2">
        <f>ff_portfolios25!R508-ff_factors!$E508</f>
        <v>-1.5647999999999999E-2</v>
      </c>
      <c r="S508" s="2">
        <f>ff_portfolios25!S508-ff_factors!$E508</f>
        <v>-3.1253999999999997E-2</v>
      </c>
      <c r="T508" s="2">
        <f>ff_portfolios25!T508-ff_factors!$E508</f>
        <v>-4.1245999999999998E-2</v>
      </c>
      <c r="U508" s="2">
        <f>ff_portfolios25!U508-ff_factors!$E508</f>
        <v>-5.2937999999999999E-2</v>
      </c>
      <c r="V508" s="2">
        <f>ff_portfolios25!V508-ff_factors!$E508</f>
        <v>-3.4881000000000002E-2</v>
      </c>
      <c r="W508" s="2">
        <f>ff_portfolios25!W508-ff_factors!$E508</f>
        <v>-2.793E-2</v>
      </c>
      <c r="X508" s="2">
        <f>ff_portfolios25!X508-ff_factors!$E508</f>
        <v>-2.1156000000000001E-2</v>
      </c>
      <c r="Y508" s="2">
        <f>ff_portfolios25!Y508-ff_factors!$E508</f>
        <v>-4.0972000000000001E-2</v>
      </c>
      <c r="Z508" s="2">
        <f>ff_portfolios25!Z508-ff_factors!$E508</f>
        <v>-2.8855000000000002E-2</v>
      </c>
      <c r="AA508" s="2">
        <f>ff_portfolios25!AA508-ff_factors!$E508</f>
        <v>-4.0410000000000001E-2</v>
      </c>
      <c r="AB508" s="2">
        <f>ff_portfolios25!AB508-ff_factors!$E508</f>
        <v>-5.3186999999999998E-2</v>
      </c>
    </row>
    <row r="509" spans="1:28" x14ac:dyDescent="0.2">
      <c r="A509">
        <v>19740430</v>
      </c>
      <c r="B509">
        <v>1974</v>
      </c>
      <c r="C509">
        <v>4</v>
      </c>
      <c r="D509" s="2">
        <f>ff_portfolios25!D509-ff_factors!$E509</f>
        <v>-5.4438E-2</v>
      </c>
      <c r="E509" s="2">
        <f>ff_portfolios25!E509-ff_factors!$E509</f>
        <v>-6.7034999999999997E-2</v>
      </c>
      <c r="F509" s="2">
        <f>ff_portfolios25!F509-ff_factors!$E509</f>
        <v>-5.8226E-2</v>
      </c>
      <c r="G509" s="2">
        <f>ff_portfolios25!G509-ff_factors!$E509</f>
        <v>-6.2036000000000001E-2</v>
      </c>
      <c r="H509" s="2">
        <f>ff_portfolios25!H509-ff_factors!$E509</f>
        <v>-4.7688000000000001E-2</v>
      </c>
      <c r="I509" s="2">
        <f>ff_portfolios25!I509-ff_factors!$E509</f>
        <v>-9.0404000000000012E-2</v>
      </c>
      <c r="J509" s="2">
        <f>ff_portfolios25!J509-ff_factors!$E509</f>
        <v>-7.1035999999999988E-2</v>
      </c>
      <c r="K509" s="2">
        <f>ff_portfolios25!K509-ff_factors!$E509</f>
        <v>-6.437699999999999E-2</v>
      </c>
      <c r="L509" s="2">
        <f>ff_portfolios25!L509-ff_factors!$E509</f>
        <v>-4.7190999999999997E-2</v>
      </c>
      <c r="M509" s="2">
        <f>ff_portfolios25!M509-ff_factors!$E509</f>
        <v>-4.1308999999999998E-2</v>
      </c>
      <c r="N509" s="2">
        <f>ff_portfolios25!N509-ff_factors!$E509</f>
        <v>-6.9483000000000003E-2</v>
      </c>
      <c r="O509" s="2">
        <f>ff_portfolios25!O509-ff_factors!$E509</f>
        <v>-7.9598000000000002E-2</v>
      </c>
      <c r="P509" s="2">
        <f>ff_portfolios25!P509-ff_factors!$E509</f>
        <v>-5.1575999999999997E-2</v>
      </c>
      <c r="Q509" s="2">
        <f>ff_portfolios25!Q509-ff_factors!$E509</f>
        <v>-6.6736999999999991E-2</v>
      </c>
      <c r="R509" s="2">
        <f>ff_portfolios25!R509-ff_factors!$E509</f>
        <v>-3.1136999999999998E-2</v>
      </c>
      <c r="S509" s="2">
        <f>ff_portfolios25!S509-ff_factors!$E509</f>
        <v>-7.7210000000000001E-2</v>
      </c>
      <c r="T509" s="2">
        <f>ff_portfolios25!T509-ff_factors!$E509</f>
        <v>-7.6135000000000008E-2</v>
      </c>
      <c r="U509" s="2">
        <f>ff_portfolios25!U509-ff_factors!$E509</f>
        <v>-6.7195000000000005E-2</v>
      </c>
      <c r="V509" s="2">
        <f>ff_portfolios25!V509-ff_factors!$E509</f>
        <v>-7.4276000000000009E-2</v>
      </c>
      <c r="W509" s="2">
        <f>ff_portfolios25!W509-ff_factors!$E509</f>
        <v>-2.3542E-2</v>
      </c>
      <c r="X509" s="2">
        <f>ff_portfolios25!X509-ff_factors!$E509</f>
        <v>-3.8002000000000001E-2</v>
      </c>
      <c r="Y509" s="2">
        <f>ff_portfolios25!Y509-ff_factors!$E509</f>
        <v>-4.9940999999999999E-2</v>
      </c>
      <c r="Z509" s="2">
        <f>ff_portfolios25!Z509-ff_factors!$E509</f>
        <v>-5.7652000000000002E-2</v>
      </c>
      <c r="AA509" s="2">
        <f>ff_portfolios25!AA509-ff_factors!$E509</f>
        <v>-6.8177000000000001E-2</v>
      </c>
      <c r="AB509" s="2">
        <f>ff_portfolios25!AB509-ff_factors!$E509</f>
        <v>-6.1713999999999998E-2</v>
      </c>
    </row>
    <row r="510" spans="1:28" x14ac:dyDescent="0.2">
      <c r="A510">
        <v>19740531</v>
      </c>
      <c r="B510">
        <v>1974</v>
      </c>
      <c r="C510">
        <v>5</v>
      </c>
      <c r="D510" s="2">
        <f>ff_portfolios25!D510-ff_factors!$E510</f>
        <v>-8.8980000000000004E-2</v>
      </c>
      <c r="E510" s="2">
        <f>ff_portfolios25!E510-ff_factors!$E510</f>
        <v>-8.1869999999999998E-2</v>
      </c>
      <c r="F510" s="2">
        <f>ff_portfolios25!F510-ff_factors!$E510</f>
        <v>-8.9369000000000004E-2</v>
      </c>
      <c r="G510" s="2">
        <f>ff_portfolios25!G510-ff_factors!$E510</f>
        <v>-7.6596999999999998E-2</v>
      </c>
      <c r="H510" s="2">
        <f>ff_portfolios25!H510-ff_factors!$E510</f>
        <v>-6.7833000000000004E-2</v>
      </c>
      <c r="I510" s="2">
        <f>ff_portfolios25!I510-ff_factors!$E510</f>
        <v>-7.2960999999999998E-2</v>
      </c>
      <c r="J510" s="2">
        <f>ff_portfolios25!J510-ff_factors!$E510</f>
        <v>-8.3209000000000005E-2</v>
      </c>
      <c r="K510" s="2">
        <f>ff_portfolios25!K510-ff_factors!$E510</f>
        <v>-8.4430000000000005E-2</v>
      </c>
      <c r="L510" s="2">
        <f>ff_portfolios25!L510-ff_factors!$E510</f>
        <v>-7.8649999999999998E-2</v>
      </c>
      <c r="M510" s="2">
        <f>ff_portfolios25!M510-ff_factors!$E510</f>
        <v>-8.3188000000000012E-2</v>
      </c>
      <c r="N510" s="2">
        <f>ff_portfolios25!N510-ff_factors!$E510</f>
        <v>-7.8038999999999997E-2</v>
      </c>
      <c r="O510" s="2">
        <f>ff_portfolios25!O510-ff_factors!$E510</f>
        <v>-0.10153200000000001</v>
      </c>
      <c r="P510" s="2">
        <f>ff_portfolios25!P510-ff_factors!$E510</f>
        <v>-7.4411000000000005E-2</v>
      </c>
      <c r="Q510" s="2">
        <f>ff_portfolios25!Q510-ff_factors!$E510</f>
        <v>-7.7901999999999999E-2</v>
      </c>
      <c r="R510" s="2">
        <f>ff_portfolios25!R510-ff_factors!$E510</f>
        <v>-9.0456000000000009E-2</v>
      </c>
      <c r="S510" s="2">
        <f>ff_portfolios25!S510-ff_factors!$E510</f>
        <v>-7.0508999999999988E-2</v>
      </c>
      <c r="T510" s="2">
        <f>ff_portfolios25!T510-ff_factors!$E510</f>
        <v>-9.5706000000000013E-2</v>
      </c>
      <c r="U510" s="2">
        <f>ff_portfolios25!U510-ff_factors!$E510</f>
        <v>-6.1172999999999998E-2</v>
      </c>
      <c r="V510" s="2">
        <f>ff_portfolios25!V510-ff_factors!$E510</f>
        <v>-6.7691000000000001E-2</v>
      </c>
      <c r="W510" s="2">
        <f>ff_portfolios25!W510-ff_factors!$E510</f>
        <v>-7.9820000000000002E-2</v>
      </c>
      <c r="X510" s="2">
        <f>ff_portfolios25!X510-ff_factors!$E510</f>
        <v>-1.1318999999999999E-2</v>
      </c>
      <c r="Y510" s="2">
        <f>ff_portfolios25!Y510-ff_factors!$E510</f>
        <v>-4.2870999999999999E-2</v>
      </c>
      <c r="Z510" s="2">
        <f>ff_portfolios25!Z510-ff_factors!$E510</f>
        <v>-6.3541E-2</v>
      </c>
      <c r="AA510" s="2">
        <f>ff_portfolios25!AA510-ff_factors!$E510</f>
        <v>-4.0770000000000001E-2</v>
      </c>
      <c r="AB510" s="2">
        <f>ff_portfolios25!AB510-ff_factors!$E510</f>
        <v>-8.5542000000000007E-2</v>
      </c>
    </row>
    <row r="511" spans="1:28" x14ac:dyDescent="0.2">
      <c r="A511">
        <v>19740628</v>
      </c>
      <c r="B511">
        <v>1974</v>
      </c>
      <c r="C511">
        <v>6</v>
      </c>
      <c r="D511" s="2">
        <f>ff_portfolios25!D511-ff_factors!$E511</f>
        <v>-4.2129E-2</v>
      </c>
      <c r="E511" s="2">
        <f>ff_portfolios25!E511-ff_factors!$E511</f>
        <v>-4.0238999999999997E-2</v>
      </c>
      <c r="F511" s="2">
        <f>ff_portfolios25!F511-ff_factors!$E511</f>
        <v>-2.8221999999999997E-2</v>
      </c>
      <c r="G511" s="2">
        <f>ff_portfolios25!G511-ff_factors!$E511</f>
        <v>-2.8990000000000002E-2</v>
      </c>
      <c r="H511" s="2">
        <f>ff_portfolios25!H511-ff_factors!$E511</f>
        <v>-2.0846E-2</v>
      </c>
      <c r="I511" s="2">
        <f>ff_portfolios25!I511-ff_factors!$E511</f>
        <v>-4.3630999999999996E-2</v>
      </c>
      <c r="J511" s="2">
        <f>ff_portfolios25!J511-ff_factors!$E511</f>
        <v>-3.7336999999999995E-2</v>
      </c>
      <c r="K511" s="2">
        <f>ff_portfolios25!K511-ff_factors!$E511</f>
        <v>-3.3029000000000003E-2</v>
      </c>
      <c r="L511" s="2">
        <f>ff_portfolios25!L511-ff_factors!$E511</f>
        <v>-1.1559E-2</v>
      </c>
      <c r="M511" s="2">
        <f>ff_portfolios25!M511-ff_factors!$E511</f>
        <v>-1.076E-2</v>
      </c>
      <c r="N511" s="2">
        <f>ff_portfolios25!N511-ff_factors!$E511</f>
        <v>-5.1242999999999997E-2</v>
      </c>
      <c r="O511" s="2">
        <f>ff_portfolios25!O511-ff_factors!$E511</f>
        <v>-3.2598000000000002E-2</v>
      </c>
      <c r="P511" s="2">
        <f>ff_portfolios25!P511-ff_factors!$E511</f>
        <v>-4.0521000000000001E-2</v>
      </c>
      <c r="Q511" s="2">
        <f>ff_portfolios25!Q511-ff_factors!$E511</f>
        <v>-5.0022999999999998E-2</v>
      </c>
      <c r="R511" s="2">
        <f>ff_portfolios25!R511-ff_factors!$E511</f>
        <v>-1.0607999999999999E-2</v>
      </c>
      <c r="S511" s="2">
        <f>ff_portfolios25!S511-ff_factors!$E511</f>
        <v>-3.0341E-2</v>
      </c>
      <c r="T511" s="2">
        <f>ff_portfolios25!T511-ff_factors!$E511</f>
        <v>-4.1980999999999997E-2</v>
      </c>
      <c r="U511" s="2">
        <f>ff_portfolios25!U511-ff_factors!$E511</f>
        <v>-3.4008999999999998E-2</v>
      </c>
      <c r="V511" s="2">
        <f>ff_portfolios25!V511-ff_factors!$E511</f>
        <v>-5.2132999999999999E-2</v>
      </c>
      <c r="W511" s="2">
        <f>ff_portfolios25!W511-ff_factors!$E511</f>
        <v>-5.0312999999999997E-2</v>
      </c>
      <c r="X511" s="2">
        <f>ff_portfolios25!X511-ff_factors!$E511</f>
        <v>-2.0878000000000001E-2</v>
      </c>
      <c r="Y511" s="2">
        <f>ff_portfolios25!Y511-ff_factors!$E511</f>
        <v>-3.3332000000000001E-2</v>
      </c>
      <c r="Z511" s="2">
        <f>ff_portfolios25!Z511-ff_factors!$E511</f>
        <v>-2.4008000000000002E-2</v>
      </c>
      <c r="AA511" s="2">
        <f>ff_portfolios25!AA511-ff_factors!$E511</f>
        <v>-2.7210999999999999E-2</v>
      </c>
      <c r="AB511" s="2">
        <f>ff_portfolios25!AB511-ff_factors!$E511</f>
        <v>9.699000000000001E-3</v>
      </c>
    </row>
    <row r="512" spans="1:28" x14ac:dyDescent="0.2">
      <c r="A512">
        <v>19740731</v>
      </c>
      <c r="B512">
        <v>1974</v>
      </c>
      <c r="C512">
        <v>7</v>
      </c>
      <c r="D512" s="2">
        <f>ff_portfolios25!D512-ff_factors!$E512</f>
        <v>-9.245600000000001E-2</v>
      </c>
      <c r="E512" s="2">
        <f>ff_portfolios25!E512-ff_factors!$E512</f>
        <v>-6.2625E-2</v>
      </c>
      <c r="F512" s="2">
        <f>ff_portfolios25!F512-ff_factors!$E512</f>
        <v>-5.8821999999999999E-2</v>
      </c>
      <c r="G512" s="2">
        <f>ff_portfolios25!G512-ff_factors!$E512</f>
        <v>-5.3131999999999999E-2</v>
      </c>
      <c r="H512" s="2">
        <f>ff_portfolios25!H512-ff_factors!$E512</f>
        <v>-4.6571000000000001E-2</v>
      </c>
      <c r="I512" s="2">
        <f>ff_portfolios25!I512-ff_factors!$E512</f>
        <v>-7.9553000000000013E-2</v>
      </c>
      <c r="J512" s="2">
        <f>ff_portfolios25!J512-ff_factors!$E512</f>
        <v>-4.5593000000000002E-2</v>
      </c>
      <c r="K512" s="2">
        <f>ff_portfolios25!K512-ff_factors!$E512</f>
        <v>-4.8337999999999999E-2</v>
      </c>
      <c r="L512" s="2">
        <f>ff_portfolios25!L512-ff_factors!$E512</f>
        <v>-4.4250999999999999E-2</v>
      </c>
      <c r="M512" s="2">
        <f>ff_portfolios25!M512-ff_factors!$E512</f>
        <v>-3.4828999999999999E-2</v>
      </c>
      <c r="N512" s="2">
        <f>ff_portfolios25!N512-ff_factors!$E512</f>
        <v>-7.4227000000000001E-2</v>
      </c>
      <c r="O512" s="2">
        <f>ff_portfolios25!O512-ff_factors!$E512</f>
        <v>-3.2965000000000001E-2</v>
      </c>
      <c r="P512" s="2">
        <f>ff_portfolios25!P512-ff_factors!$E512</f>
        <v>-2.8291E-2</v>
      </c>
      <c r="Q512" s="2">
        <f>ff_portfolios25!Q512-ff_factors!$E512</f>
        <v>-3.8337999999999997E-2</v>
      </c>
      <c r="R512" s="2">
        <f>ff_portfolios25!R512-ff_factors!$E512</f>
        <v>2.7269999999999994E-3</v>
      </c>
      <c r="S512" s="2">
        <f>ff_portfolios25!S512-ff_factors!$E512</f>
        <v>-9.4236E-2</v>
      </c>
      <c r="T512" s="2">
        <f>ff_portfolios25!T512-ff_factors!$E512</f>
        <v>-6.6336000000000006E-2</v>
      </c>
      <c r="U512" s="2">
        <f>ff_portfolios25!U512-ff_factors!$E512</f>
        <v>-3.0244E-2</v>
      </c>
      <c r="V512" s="2">
        <f>ff_portfolios25!V512-ff_factors!$E512</f>
        <v>-1.5681E-2</v>
      </c>
      <c r="W512" s="2">
        <f>ff_portfolios25!W512-ff_factors!$E512</f>
        <v>-1.4970000000000001E-2</v>
      </c>
      <c r="X512" s="2">
        <f>ff_portfolios25!X512-ff_factors!$E512</f>
        <v>-0.11692200000000001</v>
      </c>
      <c r="Y512" s="2">
        <f>ff_portfolios25!Y512-ff_factors!$E512</f>
        <v>-4.8501000000000002E-2</v>
      </c>
      <c r="Z512" s="2">
        <f>ff_portfolios25!Z512-ff_factors!$E512</f>
        <v>-4.3978999999999997E-2</v>
      </c>
      <c r="AA512" s="2">
        <f>ff_portfolios25!AA512-ff_factors!$E512</f>
        <v>-4.8022999999999996E-2</v>
      </c>
      <c r="AB512" s="2">
        <f>ff_portfolios25!AB512-ff_factors!$E512</f>
        <v>-5.8036999999999998E-2</v>
      </c>
    </row>
    <row r="513" spans="1:28" x14ac:dyDescent="0.2">
      <c r="A513">
        <v>19740830</v>
      </c>
      <c r="B513">
        <v>1974</v>
      </c>
      <c r="C513">
        <v>8</v>
      </c>
      <c r="D513" s="2">
        <f>ff_portfolios25!D513-ff_factors!$E513</f>
        <v>-9.8344000000000001E-2</v>
      </c>
      <c r="E513" s="2">
        <f>ff_portfolios25!E513-ff_factors!$E513</f>
        <v>-8.8372000000000006E-2</v>
      </c>
      <c r="F513" s="2">
        <f>ff_portfolios25!F513-ff_factors!$E513</f>
        <v>-8.1534000000000009E-2</v>
      </c>
      <c r="G513" s="2">
        <f>ff_portfolios25!G513-ff_factors!$E513</f>
        <v>-8.1220000000000001E-2</v>
      </c>
      <c r="H513" s="2">
        <f>ff_portfolios25!H513-ff_factors!$E513</f>
        <v>-7.6444999999999999E-2</v>
      </c>
      <c r="I513" s="2">
        <f>ff_portfolios25!I513-ff_factors!$E513</f>
        <v>-0.102909</v>
      </c>
      <c r="J513" s="2">
        <f>ff_portfolios25!J513-ff_factors!$E513</f>
        <v>-0.116387</v>
      </c>
      <c r="K513" s="2">
        <f>ff_portfolios25!K513-ff_factors!$E513</f>
        <v>-6.9746000000000002E-2</v>
      </c>
      <c r="L513" s="2">
        <f>ff_portfolios25!L513-ff_factors!$E513</f>
        <v>-8.4030000000000007E-2</v>
      </c>
      <c r="M513" s="2">
        <f>ff_portfolios25!M513-ff_factors!$E513</f>
        <v>-6.0608999999999996E-2</v>
      </c>
      <c r="N513" s="2">
        <f>ff_portfolios25!N513-ff_factors!$E513</f>
        <v>-0.11599100000000001</v>
      </c>
      <c r="O513" s="2">
        <f>ff_portfolios25!O513-ff_factors!$E513</f>
        <v>-0.10824700000000001</v>
      </c>
      <c r="P513" s="2">
        <f>ff_portfolios25!P513-ff_factors!$E513</f>
        <v>-7.2789000000000006E-2</v>
      </c>
      <c r="Q513" s="2">
        <f>ff_portfolios25!Q513-ff_factors!$E513</f>
        <v>-7.5036000000000005E-2</v>
      </c>
      <c r="R513" s="2">
        <f>ff_portfolios25!R513-ff_factors!$E513</f>
        <v>-7.4741000000000002E-2</v>
      </c>
      <c r="S513" s="2">
        <f>ff_portfolios25!S513-ff_factors!$E513</f>
        <v>-0.123515</v>
      </c>
      <c r="T513" s="2">
        <f>ff_portfolios25!T513-ff_factors!$E513</f>
        <v>-9.3946000000000002E-2</v>
      </c>
      <c r="U513" s="2">
        <f>ff_portfolios25!U513-ff_factors!$E513</f>
        <v>-8.9276000000000008E-2</v>
      </c>
      <c r="V513" s="2">
        <f>ff_portfolios25!V513-ff_factors!$E513</f>
        <v>-7.3075000000000001E-2</v>
      </c>
      <c r="W513" s="2">
        <f>ff_portfolios25!W513-ff_factors!$E513</f>
        <v>-6.7601000000000008E-2</v>
      </c>
      <c r="X513" s="2">
        <f>ff_portfolios25!X513-ff_factors!$E513</f>
        <v>-0.10555300000000001</v>
      </c>
      <c r="Y513" s="2">
        <f>ff_portfolios25!Y513-ff_factors!$E513</f>
        <v>-8.2290000000000002E-2</v>
      </c>
      <c r="Z513" s="2">
        <f>ff_portfolios25!Z513-ff_factors!$E513</f>
        <v>-5.1139999999999998E-2</v>
      </c>
      <c r="AA513" s="2">
        <f>ff_portfolios25!AA513-ff_factors!$E513</f>
        <v>-8.3518000000000009E-2</v>
      </c>
      <c r="AB513" s="2">
        <f>ff_portfolios25!AB513-ff_factors!$E513</f>
        <v>-9.2429000000000011E-2</v>
      </c>
    </row>
    <row r="514" spans="1:28" x14ac:dyDescent="0.2">
      <c r="A514">
        <v>19740930</v>
      </c>
      <c r="B514">
        <v>1974</v>
      </c>
      <c r="C514">
        <v>9</v>
      </c>
      <c r="D514" s="2">
        <f>ff_portfolios25!D514-ff_factors!$E514</f>
        <v>-0.14269199999999999</v>
      </c>
      <c r="E514" s="2">
        <f>ff_portfolios25!E514-ff_factors!$E514</f>
        <v>-9.1323000000000001E-2</v>
      </c>
      <c r="F514" s="2">
        <f>ff_portfolios25!F514-ff_factors!$E514</f>
        <v>-7.6104999999999992E-2</v>
      </c>
      <c r="G514" s="2">
        <f>ff_portfolios25!G514-ff_factors!$E514</f>
        <v>-7.7455999999999997E-2</v>
      </c>
      <c r="H514" s="2">
        <f>ff_portfolios25!H514-ff_factors!$E514</f>
        <v>-9.2688999999999994E-2</v>
      </c>
      <c r="I514" s="2">
        <f>ff_portfolios25!I514-ff_factors!$E514</f>
        <v>-0.12900800000000001</v>
      </c>
      <c r="J514" s="2">
        <f>ff_portfolios25!J514-ff_factors!$E514</f>
        <v>-7.8473000000000001E-2</v>
      </c>
      <c r="K514" s="2">
        <f>ff_portfolios25!K514-ff_factors!$E514</f>
        <v>-8.9246999999999993E-2</v>
      </c>
      <c r="L514" s="2">
        <f>ff_portfolios25!L514-ff_factors!$E514</f>
        <v>-8.4201999999999999E-2</v>
      </c>
      <c r="M514" s="2">
        <f>ff_portfolios25!M514-ff_factors!$E514</f>
        <v>-7.9926999999999998E-2</v>
      </c>
      <c r="N514" s="2">
        <f>ff_portfolios25!N514-ff_factors!$E514</f>
        <v>-0.13850999999999999</v>
      </c>
      <c r="O514" s="2">
        <f>ff_portfolios25!O514-ff_factors!$E514</f>
        <v>-9.6680999999999989E-2</v>
      </c>
      <c r="P514" s="2">
        <f>ff_portfolios25!P514-ff_factors!$E514</f>
        <v>-7.6766000000000001E-2</v>
      </c>
      <c r="Q514" s="2">
        <f>ff_portfolios25!Q514-ff_factors!$E514</f>
        <v>-5.4488999999999996E-2</v>
      </c>
      <c r="R514" s="2">
        <f>ff_portfolios25!R514-ff_factors!$E514</f>
        <v>-7.2636999999999993E-2</v>
      </c>
      <c r="S514" s="2">
        <f>ff_portfolios25!S514-ff_factors!$E514</f>
        <v>-0.125892</v>
      </c>
      <c r="T514" s="2">
        <f>ff_portfolios25!T514-ff_factors!$E514</f>
        <v>-7.9396999999999995E-2</v>
      </c>
      <c r="U514" s="2">
        <f>ff_portfolios25!U514-ff_factors!$E514</f>
        <v>-5.7979000000000003E-2</v>
      </c>
      <c r="V514" s="2">
        <f>ff_portfolios25!V514-ff_factors!$E514</f>
        <v>-7.1469999999999992E-2</v>
      </c>
      <c r="W514" s="2">
        <f>ff_portfolios25!W514-ff_factors!$E514</f>
        <v>-8.9314999999999992E-2</v>
      </c>
      <c r="X514" s="2">
        <f>ff_portfolios25!X514-ff_factors!$E514</f>
        <v>-0.15562100000000001</v>
      </c>
      <c r="Y514" s="2">
        <f>ff_portfolios25!Y514-ff_factors!$E514</f>
        <v>-0.10660499999999999</v>
      </c>
      <c r="Z514" s="2">
        <f>ff_portfolios25!Z514-ff_factors!$E514</f>
        <v>-5.6622000000000006E-2</v>
      </c>
      <c r="AA514" s="2">
        <f>ff_portfolios25!AA514-ff_factors!$E514</f>
        <v>-5.9396000000000004E-2</v>
      </c>
      <c r="AB514" s="2">
        <f>ff_portfolios25!AB514-ff_factors!$E514</f>
        <v>-7.4362999999999999E-2</v>
      </c>
    </row>
    <row r="515" spans="1:28" x14ac:dyDescent="0.2">
      <c r="A515">
        <v>19741031</v>
      </c>
      <c r="B515">
        <v>1974</v>
      </c>
      <c r="C515">
        <v>10</v>
      </c>
      <c r="D515" s="2">
        <f>ff_portfolios25!D515-ff_factors!$E515</f>
        <v>0.16449800000000001</v>
      </c>
      <c r="E515" s="2">
        <f>ff_portfolios25!E515-ff_factors!$E515</f>
        <v>6.654199999999999E-2</v>
      </c>
      <c r="F515" s="2">
        <f>ff_portfolios25!F515-ff_factors!$E515</f>
        <v>6.4484999999999987E-2</v>
      </c>
      <c r="G515" s="2">
        <f>ff_portfolios25!G515-ff_factors!$E515</f>
        <v>7.3364000000000013E-2</v>
      </c>
      <c r="H515" s="2">
        <f>ff_portfolios25!H515-ff_factors!$E515</f>
        <v>8.3235000000000003E-2</v>
      </c>
      <c r="I515" s="2">
        <f>ff_portfolios25!I515-ff_factors!$E515</f>
        <v>0.155247</v>
      </c>
      <c r="J515" s="2">
        <f>ff_portfolios25!J515-ff_factors!$E515</f>
        <v>0.10231699999999999</v>
      </c>
      <c r="K515" s="2">
        <f>ff_portfolios25!K515-ff_factors!$E515</f>
        <v>7.0319999999999994E-2</v>
      </c>
      <c r="L515" s="2">
        <f>ff_portfolios25!L515-ff_factors!$E515</f>
        <v>7.1397999999999989E-2</v>
      </c>
      <c r="M515" s="2">
        <f>ff_portfolios25!M515-ff_factors!$E515</f>
        <v>5.9490999999999995E-2</v>
      </c>
      <c r="N515" s="2">
        <f>ff_portfolios25!N515-ff_factors!$E515</f>
        <v>0.181279</v>
      </c>
      <c r="O515" s="2">
        <f>ff_portfolios25!O515-ff_factors!$E515</f>
        <v>0.10245000000000001</v>
      </c>
      <c r="P515" s="2">
        <f>ff_portfolios25!P515-ff_factors!$E515</f>
        <v>6.5451000000000009E-2</v>
      </c>
      <c r="Q515" s="2">
        <f>ff_portfolios25!Q515-ff_factors!$E515</f>
        <v>8.0451999999999996E-2</v>
      </c>
      <c r="R515" s="2">
        <f>ff_portfolios25!R515-ff_factors!$E515</f>
        <v>9.6828999999999998E-2</v>
      </c>
      <c r="S515" s="2">
        <f>ff_portfolios25!S515-ff_factors!$E515</f>
        <v>0.208368</v>
      </c>
      <c r="T515" s="2">
        <f>ff_portfolios25!T515-ff_factors!$E515</f>
        <v>0.12554600000000002</v>
      </c>
      <c r="U515" s="2">
        <f>ff_portfolios25!U515-ff_factors!$E515</f>
        <v>0.110234</v>
      </c>
      <c r="V515" s="2">
        <f>ff_portfolios25!V515-ff_factors!$E515</f>
        <v>9.1451000000000005E-2</v>
      </c>
      <c r="W515" s="2">
        <f>ff_portfolios25!W515-ff_factors!$E515</f>
        <v>9.8415000000000002E-2</v>
      </c>
      <c r="X515" s="2">
        <f>ff_portfolios25!X515-ff_factors!$E515</f>
        <v>0.21829100000000001</v>
      </c>
      <c r="Y515" s="2">
        <f>ff_portfolios25!Y515-ff_factors!$E515</f>
        <v>0.13423200000000002</v>
      </c>
      <c r="Z515" s="2">
        <f>ff_portfolios25!Z515-ff_factors!$E515</f>
        <v>0.12889800000000001</v>
      </c>
      <c r="AA515" s="2">
        <f>ff_portfolios25!AA515-ff_factors!$E515</f>
        <v>0.100745</v>
      </c>
      <c r="AB515" s="2">
        <f>ff_portfolios25!AB515-ff_factors!$E515</f>
        <v>8.0350000000000005E-3</v>
      </c>
    </row>
    <row r="516" spans="1:28" x14ac:dyDescent="0.2">
      <c r="A516">
        <v>19741129</v>
      </c>
      <c r="B516">
        <v>1974</v>
      </c>
      <c r="C516">
        <v>11</v>
      </c>
      <c r="D516" s="2">
        <f>ff_portfolios25!D516-ff_factors!$E516</f>
        <v>-6.6006999999999996E-2</v>
      </c>
      <c r="E516" s="2">
        <f>ff_portfolios25!E516-ff_factors!$E516</f>
        <v>-6.0891000000000001E-2</v>
      </c>
      <c r="F516" s="2">
        <f>ff_portfolios25!F516-ff_factors!$E516</f>
        <v>-5.5621000000000004E-2</v>
      </c>
      <c r="G516" s="2">
        <f>ff_portfolios25!G516-ff_factors!$E516</f>
        <v>-5.7600000000000005E-2</v>
      </c>
      <c r="H516" s="2">
        <f>ff_portfolios25!H516-ff_factors!$E516</f>
        <v>-7.3450000000000001E-2</v>
      </c>
      <c r="I516" s="2">
        <f>ff_portfolios25!I516-ff_factors!$E516</f>
        <v>-5.7983E-2</v>
      </c>
      <c r="J516" s="2">
        <f>ff_portfolios25!J516-ff_factors!$E516</f>
        <v>-5.1128E-2</v>
      </c>
      <c r="K516" s="2">
        <f>ff_portfolios25!K516-ff_factors!$E516</f>
        <v>-4.4325000000000003E-2</v>
      </c>
      <c r="L516" s="2">
        <f>ff_portfolios25!L516-ff_factors!$E516</f>
        <v>-5.7496000000000005E-2</v>
      </c>
      <c r="M516" s="2">
        <f>ff_portfolios25!M516-ff_factors!$E516</f>
        <v>-7.4578000000000005E-2</v>
      </c>
      <c r="N516" s="2">
        <f>ff_portfolios25!N516-ff_factors!$E516</f>
        <v>-4.9603000000000001E-2</v>
      </c>
      <c r="O516" s="2">
        <f>ff_portfolios25!O516-ff_factors!$E516</f>
        <v>-4.6061999999999999E-2</v>
      </c>
      <c r="P516" s="2">
        <f>ff_portfolios25!P516-ff_factors!$E516</f>
        <v>-3.5163E-2</v>
      </c>
      <c r="Q516" s="2">
        <f>ff_portfolios25!Q516-ff_factors!$E516</f>
        <v>-4.6914000000000004E-2</v>
      </c>
      <c r="R516" s="2">
        <f>ff_portfolios25!R516-ff_factors!$E516</f>
        <v>-2.4792000000000002E-2</v>
      </c>
      <c r="S516" s="2">
        <f>ff_portfolios25!S516-ff_factors!$E516</f>
        <v>-2.751E-2</v>
      </c>
      <c r="T516" s="2">
        <f>ff_portfolios25!T516-ff_factors!$E516</f>
        <v>-9.9230000000000013E-3</v>
      </c>
      <c r="U516" s="2">
        <f>ff_portfolios25!U516-ff_factors!$E516</f>
        <v>-1.9284000000000003E-2</v>
      </c>
      <c r="V516" s="2">
        <f>ff_portfolios25!V516-ff_factors!$E516</f>
        <v>-4.3885E-2</v>
      </c>
      <c r="W516" s="2">
        <f>ff_portfolios25!W516-ff_factors!$E516</f>
        <v>-7.1350999999999998E-2</v>
      </c>
      <c r="X516" s="2">
        <f>ff_portfolios25!X516-ff_factors!$E516</f>
        <v>-5.1507000000000004E-2</v>
      </c>
      <c r="Y516" s="2">
        <f>ff_portfolios25!Y516-ff_factors!$E516</f>
        <v>-3.8269000000000004E-2</v>
      </c>
      <c r="Z516" s="2">
        <f>ff_portfolios25!Z516-ff_factors!$E516</f>
        <v>-4.6459E-2</v>
      </c>
      <c r="AA516" s="2">
        <f>ff_portfolios25!AA516-ff_factors!$E516</f>
        <v>-2.8629000000000002E-2</v>
      </c>
      <c r="AB516" s="2">
        <f>ff_portfolios25!AB516-ff_factors!$E516</f>
        <v>-4.6464999999999999E-2</v>
      </c>
    </row>
    <row r="517" spans="1:28" x14ac:dyDescent="0.2">
      <c r="A517">
        <v>19741231</v>
      </c>
      <c r="B517">
        <v>1974</v>
      </c>
      <c r="C517">
        <v>12</v>
      </c>
      <c r="D517" s="2">
        <f>ff_portfolios25!D517-ff_factors!$E517</f>
        <v>-7.8546000000000005E-2</v>
      </c>
      <c r="E517" s="2">
        <f>ff_portfolios25!E517-ff_factors!$E517</f>
        <v>-8.7748000000000007E-2</v>
      </c>
      <c r="F517" s="2">
        <f>ff_portfolios25!F517-ff_factors!$E517</f>
        <v>-8.0264000000000002E-2</v>
      </c>
      <c r="G517" s="2">
        <f>ff_portfolios25!G517-ff_factors!$E517</f>
        <v>-8.1453000000000012E-2</v>
      </c>
      <c r="H517" s="2">
        <f>ff_portfolios25!H517-ff_factors!$E517</f>
        <v>-0.100138</v>
      </c>
      <c r="I517" s="2">
        <f>ff_portfolios25!I517-ff_factors!$E517</f>
        <v>-6.9175E-2</v>
      </c>
      <c r="J517" s="2">
        <f>ff_portfolios25!J517-ff_factors!$E517</f>
        <v>-6.8678000000000003E-2</v>
      </c>
      <c r="K517" s="2">
        <f>ff_portfolios25!K517-ff_factors!$E517</f>
        <v>-6.6520999999999997E-2</v>
      </c>
      <c r="L517" s="2">
        <f>ff_portfolios25!L517-ff_factors!$E517</f>
        <v>-7.4585000000000012E-2</v>
      </c>
      <c r="M517" s="2">
        <f>ff_portfolios25!M517-ff_factors!$E517</f>
        <v>-6.427200000000001E-2</v>
      </c>
      <c r="N517" s="2">
        <f>ff_portfolios25!N517-ff_factors!$E517</f>
        <v>-6.3045000000000004E-2</v>
      </c>
      <c r="O517" s="2">
        <f>ff_portfolios25!O517-ff_factors!$E517</f>
        <v>-5.0971999999999996E-2</v>
      </c>
      <c r="P517" s="2">
        <f>ff_portfolios25!P517-ff_factors!$E517</f>
        <v>-4.8677999999999999E-2</v>
      </c>
      <c r="Q517" s="2">
        <f>ff_portfolios25!Q517-ff_factors!$E517</f>
        <v>-5.7988999999999999E-2</v>
      </c>
      <c r="R517" s="2">
        <f>ff_portfolios25!R517-ff_factors!$E517</f>
        <v>-7.9347000000000001E-2</v>
      </c>
      <c r="S517" s="2">
        <f>ff_portfolios25!S517-ff_factors!$E517</f>
        <v>-5.0958999999999997E-2</v>
      </c>
      <c r="T517" s="2">
        <f>ff_portfolios25!T517-ff_factors!$E517</f>
        <v>-3.1842000000000002E-2</v>
      </c>
      <c r="U517" s="2">
        <f>ff_portfolios25!U517-ff_factors!$E517</f>
        <v>-4.7839E-2</v>
      </c>
      <c r="V517" s="2">
        <f>ff_portfolios25!V517-ff_factors!$E517</f>
        <v>-2.6956000000000001E-2</v>
      </c>
      <c r="W517" s="2">
        <f>ff_portfolios25!W517-ff_factors!$E517</f>
        <v>-0.103519</v>
      </c>
      <c r="X517" s="2">
        <f>ff_portfolios25!X517-ff_factors!$E517</f>
        <v>-4.4991999999999997E-2</v>
      </c>
      <c r="Y517" s="2">
        <f>ff_portfolios25!Y517-ff_factors!$E517</f>
        <v>-3.437E-3</v>
      </c>
      <c r="Z517" s="2">
        <f>ff_portfolios25!Z517-ff_factors!$E517</f>
        <v>7.3020000000000003E-3</v>
      </c>
      <c r="AA517" s="2">
        <f>ff_portfolios25!AA517-ff_factors!$E517</f>
        <v>-1.7444000000000001E-2</v>
      </c>
      <c r="AB517" s="2">
        <f>ff_portfolios25!AB517-ff_factors!$E517</f>
        <v>1.1779000000000001E-2</v>
      </c>
    </row>
    <row r="518" spans="1:28" x14ac:dyDescent="0.2">
      <c r="A518">
        <v>19750131</v>
      </c>
      <c r="B518">
        <v>1975</v>
      </c>
      <c r="C518">
        <v>1</v>
      </c>
      <c r="D518" s="2">
        <f>ff_portfolios25!D518-ff_factors!$E518</f>
        <v>0.24883999999999998</v>
      </c>
      <c r="E518" s="2">
        <f>ff_portfolios25!E518-ff_factors!$E518</f>
        <v>0.28921699999999995</v>
      </c>
      <c r="F518" s="2">
        <f>ff_portfolios25!F518-ff_factors!$E518</f>
        <v>0.27580800000000005</v>
      </c>
      <c r="G518" s="2">
        <f>ff_portfolios25!G518-ff_factors!$E518</f>
        <v>0.27263899999999996</v>
      </c>
      <c r="H518" s="2">
        <f>ff_portfolios25!H518-ff_factors!$E518</f>
        <v>0.33296300000000001</v>
      </c>
      <c r="I518" s="2">
        <f>ff_portfolios25!I518-ff_factors!$E518</f>
        <v>0.21335799999999999</v>
      </c>
      <c r="J518" s="2">
        <f>ff_portfolios25!J518-ff_factors!$E518</f>
        <v>0.25540200000000002</v>
      </c>
      <c r="K518" s="2">
        <f>ff_portfolios25!K518-ff_factors!$E518</f>
        <v>0.25755799999999995</v>
      </c>
      <c r="L518" s="2">
        <f>ff_portfolios25!L518-ff_factors!$E518</f>
        <v>0.27005599999999996</v>
      </c>
      <c r="M518" s="2">
        <f>ff_portfolios25!M518-ff_factors!$E518</f>
        <v>0.29130900000000004</v>
      </c>
      <c r="N518" s="2">
        <f>ff_portfolios25!N518-ff_factors!$E518</f>
        <v>0.18463199999999999</v>
      </c>
      <c r="O518" s="2">
        <f>ff_portfolios25!O518-ff_factors!$E518</f>
        <v>0.24385599999999999</v>
      </c>
      <c r="P518" s="2">
        <f>ff_portfolios25!P518-ff_factors!$E518</f>
        <v>0.213584</v>
      </c>
      <c r="Q518" s="2">
        <f>ff_portfolios25!Q518-ff_factors!$E518</f>
        <v>0.228215</v>
      </c>
      <c r="R518" s="2">
        <f>ff_portfolios25!R518-ff_factors!$E518</f>
        <v>0.28623900000000002</v>
      </c>
      <c r="S518" s="2">
        <f>ff_portfolios25!S518-ff_factors!$E518</f>
        <v>0.149363</v>
      </c>
      <c r="T518" s="2">
        <f>ff_portfolios25!T518-ff_factors!$E518</f>
        <v>0.19864599999999999</v>
      </c>
      <c r="U518" s="2">
        <f>ff_portfolios25!U518-ff_factors!$E518</f>
        <v>0.23433999999999999</v>
      </c>
      <c r="V518" s="2">
        <f>ff_portfolios25!V518-ff_factors!$E518</f>
        <v>0.23780499999999999</v>
      </c>
      <c r="W518" s="2">
        <f>ff_portfolios25!W518-ff_factors!$E518</f>
        <v>0.27318399999999998</v>
      </c>
      <c r="X518" s="2">
        <f>ff_portfolios25!X518-ff_factors!$E518</f>
        <v>8.6416000000000007E-2</v>
      </c>
      <c r="Y518" s="2">
        <f>ff_portfolios25!Y518-ff_factors!$E518</f>
        <v>0.13316500000000001</v>
      </c>
      <c r="Z518" s="2">
        <f>ff_portfolios25!Z518-ff_factors!$E518</f>
        <v>0.132187</v>
      </c>
      <c r="AA518" s="2">
        <f>ff_portfolios25!AA518-ff_factors!$E518</f>
        <v>0.19182099999999999</v>
      </c>
      <c r="AB518" s="2">
        <f>ff_portfolios25!AB518-ff_factors!$E518</f>
        <v>0.150842</v>
      </c>
    </row>
    <row r="519" spans="1:28" x14ac:dyDescent="0.2">
      <c r="A519">
        <v>19750228</v>
      </c>
      <c r="B519">
        <v>1975</v>
      </c>
      <c r="C519">
        <v>2</v>
      </c>
      <c r="D519" s="2">
        <f>ff_portfolios25!D519-ff_factors!$E519</f>
        <v>7.3188000000000003E-2</v>
      </c>
      <c r="E519" s="2">
        <f>ff_portfolios25!E519-ff_factors!$E519</f>
        <v>4.9014000000000002E-2</v>
      </c>
      <c r="F519" s="2">
        <f>ff_portfolios25!F519-ff_factors!$E519</f>
        <v>2.8066000000000001E-2</v>
      </c>
      <c r="G519" s="2">
        <f>ff_portfolios25!G519-ff_factors!$E519</f>
        <v>3.048E-2</v>
      </c>
      <c r="H519" s="2">
        <f>ff_portfolios25!H519-ff_factors!$E519</f>
        <v>4.3429000000000002E-2</v>
      </c>
      <c r="I519" s="2">
        <f>ff_portfolios25!I519-ff_factors!$E519</f>
        <v>8.6588999999999999E-2</v>
      </c>
      <c r="J519" s="2">
        <f>ff_portfolios25!J519-ff_factors!$E519</f>
        <v>6.1932000000000001E-2</v>
      </c>
      <c r="K519" s="2">
        <f>ff_portfolios25!K519-ff_factors!$E519</f>
        <v>1.0883E-2</v>
      </c>
      <c r="L519" s="2">
        <f>ff_portfolios25!L519-ff_factors!$E519</f>
        <v>3.286E-2</v>
      </c>
      <c r="M519" s="2">
        <f>ff_portfolios25!M519-ff_factors!$E519</f>
        <v>1.5635999999999997E-2</v>
      </c>
      <c r="N519" s="2">
        <f>ff_portfolios25!N519-ff_factors!$E519</f>
        <v>6.8874000000000005E-2</v>
      </c>
      <c r="O519" s="2">
        <f>ff_portfolios25!O519-ff_factors!$E519</f>
        <v>2.7493000000000004E-2</v>
      </c>
      <c r="P519" s="2">
        <f>ff_portfolios25!P519-ff_factors!$E519</f>
        <v>2.4030000000000003E-2</v>
      </c>
      <c r="Q519" s="2">
        <f>ff_portfolios25!Q519-ff_factors!$E519</f>
        <v>4.2713000000000001E-2</v>
      </c>
      <c r="R519" s="2">
        <f>ff_portfolios25!R519-ff_factors!$E519</f>
        <v>4.2262000000000001E-2</v>
      </c>
      <c r="S519" s="2">
        <f>ff_portfolios25!S519-ff_factors!$E519</f>
        <v>6.0326000000000005E-2</v>
      </c>
      <c r="T519" s="2">
        <f>ff_portfolios25!T519-ff_factors!$E519</f>
        <v>1.9380000000000001E-2</v>
      </c>
      <c r="U519" s="2">
        <f>ff_portfolios25!U519-ff_factors!$E519</f>
        <v>1.4803999999999999E-2</v>
      </c>
      <c r="V519" s="2">
        <f>ff_portfolios25!V519-ff_factors!$E519</f>
        <v>2.8027000000000003E-2</v>
      </c>
      <c r="W519" s="2">
        <f>ff_portfolios25!W519-ff_factors!$E519</f>
        <v>2.1040999999999997E-2</v>
      </c>
      <c r="X519" s="2">
        <f>ff_portfolios25!X519-ff_factors!$E519</f>
        <v>9.2148000000000008E-2</v>
      </c>
      <c r="Y519" s="2">
        <f>ff_portfolios25!Y519-ff_factors!$E519</f>
        <v>2.2180999999999999E-2</v>
      </c>
      <c r="Z519" s="2">
        <f>ff_portfolios25!Z519-ff_factors!$E519</f>
        <v>3.3618000000000002E-2</v>
      </c>
      <c r="AA519" s="2">
        <f>ff_portfolios25!AA519-ff_factors!$E519</f>
        <v>1.6777E-2</v>
      </c>
      <c r="AB519" s="2">
        <f>ff_portfolios25!AB519-ff_factors!$E519</f>
        <v>-3.6734999999999997E-2</v>
      </c>
    </row>
    <row r="520" spans="1:28" x14ac:dyDescent="0.2">
      <c r="A520">
        <v>19750331</v>
      </c>
      <c r="B520">
        <v>1975</v>
      </c>
      <c r="C520">
        <v>3</v>
      </c>
      <c r="D520" s="2">
        <f>ff_portfolios25!D520-ff_factors!$E520</f>
        <v>8.5480999999999988E-2</v>
      </c>
      <c r="E520" s="2">
        <f>ff_portfolios25!E520-ff_factors!$E520</f>
        <v>0.10214999999999999</v>
      </c>
      <c r="F520" s="2">
        <f>ff_portfolios25!F520-ff_factors!$E520</f>
        <v>8.6178999999999992E-2</v>
      </c>
      <c r="G520" s="2">
        <f>ff_portfolios25!G520-ff_factors!$E520</f>
        <v>7.4483999999999995E-2</v>
      </c>
      <c r="H520" s="2">
        <f>ff_portfolios25!H520-ff_factors!$E520</f>
        <v>9.4730999999999996E-2</v>
      </c>
      <c r="I520" s="2">
        <f>ff_portfolios25!I520-ff_factors!$E520</f>
        <v>5.9727999999999996E-2</v>
      </c>
      <c r="J520" s="2">
        <f>ff_portfolios25!J520-ff_factors!$E520</f>
        <v>6.4148999999999998E-2</v>
      </c>
      <c r="K520" s="2">
        <f>ff_portfolios25!K520-ff_factors!$E520</f>
        <v>6.7751999999999993E-2</v>
      </c>
      <c r="L520" s="2">
        <f>ff_portfolios25!L520-ff_factors!$E520</f>
        <v>5.5216000000000001E-2</v>
      </c>
      <c r="M520" s="2">
        <f>ff_portfolios25!M520-ff_factors!$E520</f>
        <v>7.8851999999999992E-2</v>
      </c>
      <c r="N520" s="2">
        <f>ff_portfolios25!N520-ff_factors!$E520</f>
        <v>5.4678999999999998E-2</v>
      </c>
      <c r="O520" s="2">
        <f>ff_portfolios25!O520-ff_factors!$E520</f>
        <v>6.4812999999999996E-2</v>
      </c>
      <c r="P520" s="2">
        <f>ff_portfolios25!P520-ff_factors!$E520</f>
        <v>3.4014000000000003E-2</v>
      </c>
      <c r="Q520" s="2">
        <f>ff_portfolios25!Q520-ff_factors!$E520</f>
        <v>6.8869999999999987E-2</v>
      </c>
      <c r="R520" s="2">
        <f>ff_portfolios25!R520-ff_factors!$E520</f>
        <v>4.9093999999999999E-2</v>
      </c>
      <c r="S520" s="2">
        <f>ff_portfolios25!S520-ff_factors!$E520</f>
        <v>5.561E-2</v>
      </c>
      <c r="T520" s="2">
        <f>ff_portfolios25!T520-ff_factors!$E520</f>
        <v>6.0824999999999997E-2</v>
      </c>
      <c r="U520" s="2">
        <f>ff_portfolios25!U520-ff_factors!$E520</f>
        <v>4.9364999999999999E-2</v>
      </c>
      <c r="V520" s="2">
        <f>ff_portfolios25!V520-ff_factors!$E520</f>
        <v>4.9624000000000001E-2</v>
      </c>
      <c r="W520" s="2">
        <f>ff_portfolios25!W520-ff_factors!$E520</f>
        <v>3.8032000000000003E-2</v>
      </c>
      <c r="X520" s="2">
        <f>ff_portfolios25!X520-ff_factors!$E520</f>
        <v>2.2790000000000001E-2</v>
      </c>
      <c r="Y520" s="2">
        <f>ff_portfolios25!Y520-ff_factors!$E520</f>
        <v>1.286E-2</v>
      </c>
      <c r="Z520" s="2">
        <f>ff_portfolios25!Z520-ff_factors!$E520</f>
        <v>-1.6279000000000002E-2</v>
      </c>
      <c r="AA520" s="2">
        <f>ff_portfolios25!AA520-ff_factors!$E520</f>
        <v>5.7862999999999998E-2</v>
      </c>
      <c r="AB520" s="2">
        <f>ff_portfolios25!AB520-ff_factors!$E520</f>
        <v>5.7412999999999999E-2</v>
      </c>
    </row>
    <row r="521" spans="1:28" x14ac:dyDescent="0.2">
      <c r="A521">
        <v>19750430</v>
      </c>
      <c r="B521">
        <v>1975</v>
      </c>
      <c r="C521">
        <v>4</v>
      </c>
      <c r="D521" s="2">
        <f>ff_portfolios25!D521-ff_factors!$E521</f>
        <v>6.6789000000000001E-2</v>
      </c>
      <c r="E521" s="2">
        <f>ff_portfolios25!E521-ff_factors!$E521</f>
        <v>5.9265999999999999E-2</v>
      </c>
      <c r="F521" s="2">
        <f>ff_portfolios25!F521-ff_factors!$E521</f>
        <v>3.7267000000000002E-2</v>
      </c>
      <c r="G521" s="2">
        <f>ff_portfolios25!G521-ff_factors!$E521</f>
        <v>2.4725E-2</v>
      </c>
      <c r="H521" s="2">
        <f>ff_portfolios25!H521-ff_factors!$E521</f>
        <v>2.5085999999999997E-2</v>
      </c>
      <c r="I521" s="2">
        <f>ff_portfolios25!I521-ff_factors!$E521</f>
        <v>6.0080999999999996E-2</v>
      </c>
      <c r="J521" s="2">
        <f>ff_portfolios25!J521-ff_factors!$E521</f>
        <v>3.5196999999999999E-2</v>
      </c>
      <c r="K521" s="2">
        <f>ff_portfolios25!K521-ff_factors!$E521</f>
        <v>2.2917E-2</v>
      </c>
      <c r="L521" s="2">
        <f>ff_portfolios25!L521-ff_factors!$E521</f>
        <v>9.2649999999999989E-3</v>
      </c>
      <c r="M521" s="2">
        <f>ff_portfolios25!M521-ff_factors!$E521</f>
        <v>3.7279E-2</v>
      </c>
      <c r="N521" s="2">
        <f>ff_portfolios25!N521-ff_factors!$E521</f>
        <v>5.0090999999999997E-2</v>
      </c>
      <c r="O521" s="2">
        <f>ff_portfolios25!O521-ff_factors!$E521</f>
        <v>4.8509999999999998E-2</v>
      </c>
      <c r="P521" s="2">
        <f>ff_portfolios25!P521-ff_factors!$E521</f>
        <v>4.5122999999999996E-2</v>
      </c>
      <c r="Q521" s="2">
        <f>ff_portfolios25!Q521-ff_factors!$E521</f>
        <v>3.4221999999999995E-2</v>
      </c>
      <c r="R521" s="2">
        <f>ff_portfolios25!R521-ff_factors!$E521</f>
        <v>2.8376999999999999E-2</v>
      </c>
      <c r="S521" s="2">
        <f>ff_portfolios25!S521-ff_factors!$E521</f>
        <v>6.4586000000000005E-2</v>
      </c>
      <c r="T521" s="2">
        <f>ff_portfolios25!T521-ff_factors!$E521</f>
        <v>2.7236999999999997E-2</v>
      </c>
      <c r="U521" s="2">
        <f>ff_portfolios25!U521-ff_factors!$E521</f>
        <v>2.0671999999999999E-2</v>
      </c>
      <c r="V521" s="2">
        <f>ff_portfolios25!V521-ff_factors!$E521</f>
        <v>5.6537999999999998E-2</v>
      </c>
      <c r="W521" s="2">
        <f>ff_portfolios25!W521-ff_factors!$E521</f>
        <v>4.0709000000000002E-2</v>
      </c>
      <c r="X521" s="2">
        <f>ff_portfolios25!X521-ff_factors!$E521</f>
        <v>5.1733000000000001E-2</v>
      </c>
      <c r="Y521" s="2">
        <f>ff_portfolios25!Y521-ff_factors!$E521</f>
        <v>4.3179999999999996E-2</v>
      </c>
      <c r="Z521" s="2">
        <f>ff_portfolios25!Z521-ff_factors!$E521</f>
        <v>4.627E-3</v>
      </c>
      <c r="AA521" s="2">
        <f>ff_portfolios25!AA521-ff_factors!$E521</f>
        <v>4.8561E-2</v>
      </c>
      <c r="AB521" s="2">
        <f>ff_portfolios25!AB521-ff_factors!$E521</f>
        <v>4.5816999999999997E-2</v>
      </c>
    </row>
    <row r="522" spans="1:28" x14ac:dyDescent="0.2">
      <c r="A522">
        <v>19750530</v>
      </c>
      <c r="B522">
        <v>1975</v>
      </c>
      <c r="C522">
        <v>5</v>
      </c>
      <c r="D522" s="2">
        <f>ff_portfolios25!D522-ff_factors!$E522</f>
        <v>0.11216</v>
      </c>
      <c r="E522" s="2">
        <f>ff_portfolios25!E522-ff_factors!$E522</f>
        <v>0.106752</v>
      </c>
      <c r="F522" s="2">
        <f>ff_portfolios25!F522-ff_factors!$E522</f>
        <v>7.9946000000000003E-2</v>
      </c>
      <c r="G522" s="2">
        <f>ff_portfolios25!G522-ff_factors!$E522</f>
        <v>7.3039999999999994E-2</v>
      </c>
      <c r="H522" s="2">
        <f>ff_portfolios25!H522-ff_factors!$E522</f>
        <v>6.3352999999999993E-2</v>
      </c>
      <c r="I522" s="2">
        <f>ff_portfolios25!I522-ff_factors!$E522</f>
        <v>0.113785</v>
      </c>
      <c r="J522" s="2">
        <f>ff_portfolios25!J522-ff_factors!$E522</f>
        <v>7.3292999999999997E-2</v>
      </c>
      <c r="K522" s="2">
        <f>ff_portfolios25!K522-ff_factors!$E522</f>
        <v>6.6811999999999996E-2</v>
      </c>
      <c r="L522" s="2">
        <f>ff_portfolios25!L522-ff_factors!$E522</f>
        <v>7.4258000000000005E-2</v>
      </c>
      <c r="M522" s="2">
        <f>ff_portfolios25!M522-ff_factors!$E522</f>
        <v>7.3898999999999992E-2</v>
      </c>
      <c r="N522" s="2">
        <f>ff_portfolios25!N522-ff_factors!$E522</f>
        <v>4.9410999999999997E-2</v>
      </c>
      <c r="O522" s="2">
        <f>ff_portfolios25!O522-ff_factors!$E522</f>
        <v>7.6880000000000004E-2</v>
      </c>
      <c r="P522" s="2">
        <f>ff_portfolios25!P522-ff_factors!$E522</f>
        <v>3.8831999999999998E-2</v>
      </c>
      <c r="Q522" s="2">
        <f>ff_portfolios25!Q522-ff_factors!$E522</f>
        <v>7.8008999999999995E-2</v>
      </c>
      <c r="R522" s="2">
        <f>ff_portfolios25!R522-ff_factors!$E522</f>
        <v>8.0429999999999981E-3</v>
      </c>
      <c r="S522" s="2">
        <f>ff_portfolios25!S522-ff_factors!$E522</f>
        <v>7.2028999999999996E-2</v>
      </c>
      <c r="T522" s="2">
        <f>ff_portfolios25!T522-ff_factors!$E522</f>
        <v>5.4842000000000002E-2</v>
      </c>
      <c r="U522" s="2">
        <f>ff_portfolios25!U522-ff_factors!$E522</f>
        <v>5.0195999999999998E-2</v>
      </c>
      <c r="V522" s="2">
        <f>ff_portfolios25!V522-ff_factors!$E522</f>
        <v>3.7018999999999996E-2</v>
      </c>
      <c r="W522" s="2">
        <f>ff_portfolios25!W522-ff_factors!$E522</f>
        <v>4.8103E-2</v>
      </c>
      <c r="X522" s="2">
        <f>ff_portfolios25!X522-ff_factors!$E522</f>
        <v>4.5548999999999999E-2</v>
      </c>
      <c r="Y522" s="2">
        <f>ff_portfolios25!Y522-ff_factors!$E522</f>
        <v>8.1470000000000001E-2</v>
      </c>
      <c r="Z522" s="2">
        <f>ff_portfolios25!Z522-ff_factors!$E522</f>
        <v>4.2678000000000001E-2</v>
      </c>
      <c r="AA522" s="2">
        <f>ff_portfolios25!AA522-ff_factors!$E522</f>
        <v>-7.0910000000000001E-3</v>
      </c>
      <c r="AB522" s="2">
        <f>ff_portfolios25!AB522-ff_factors!$E522</f>
        <v>5.156E-3</v>
      </c>
    </row>
    <row r="523" spans="1:28" x14ac:dyDescent="0.2">
      <c r="A523">
        <v>19750630</v>
      </c>
      <c r="B523">
        <v>1975</v>
      </c>
      <c r="C523">
        <v>6</v>
      </c>
      <c r="D523" s="2">
        <f>ff_portfolios25!D523-ff_factors!$E523</f>
        <v>5.3318999999999998E-2</v>
      </c>
      <c r="E523" s="2">
        <f>ff_portfolios25!E523-ff_factors!$E523</f>
        <v>7.2895999999999989E-2</v>
      </c>
      <c r="F523" s="2">
        <f>ff_portfolios25!F523-ff_factors!$E523</f>
        <v>7.0818999999999993E-2</v>
      </c>
      <c r="G523" s="2">
        <f>ff_portfolios25!G523-ff_factors!$E523</f>
        <v>8.5598999999999995E-2</v>
      </c>
      <c r="H523" s="2">
        <f>ff_portfolios25!H523-ff_factors!$E523</f>
        <v>7.6485999999999998E-2</v>
      </c>
      <c r="I523" s="2">
        <f>ff_portfolios25!I523-ff_factors!$E523</f>
        <v>9.3498999999999999E-2</v>
      </c>
      <c r="J523" s="2">
        <f>ff_portfolios25!J523-ff_factors!$E523</f>
        <v>6.6942999999999989E-2</v>
      </c>
      <c r="K523" s="2">
        <f>ff_portfolios25!K523-ff_factors!$E523</f>
        <v>6.3657999999999992E-2</v>
      </c>
      <c r="L523" s="2">
        <f>ff_portfolios25!L523-ff_factors!$E523</f>
        <v>8.0481999999999998E-2</v>
      </c>
      <c r="M523" s="2">
        <f>ff_portfolios25!M523-ff_factors!$E523</f>
        <v>2.4398E-2</v>
      </c>
      <c r="N523" s="2">
        <f>ff_portfolios25!N523-ff_factors!$E523</f>
        <v>5.3103999999999998E-2</v>
      </c>
      <c r="O523" s="2">
        <f>ff_portfolios25!O523-ff_factors!$E523</f>
        <v>4.7218999999999997E-2</v>
      </c>
      <c r="P523" s="2">
        <f>ff_portfolios25!P523-ff_factors!$E523</f>
        <v>6.7856E-2</v>
      </c>
      <c r="Q523" s="2">
        <f>ff_portfolios25!Q523-ff_factors!$E523</f>
        <v>5.6190000000000004E-2</v>
      </c>
      <c r="R523" s="2">
        <f>ff_portfolios25!R523-ff_factors!$E523</f>
        <v>4.3338000000000002E-2</v>
      </c>
      <c r="S523" s="2">
        <f>ff_portfolios25!S523-ff_factors!$E523</f>
        <v>4.8635999999999999E-2</v>
      </c>
      <c r="T523" s="2">
        <f>ff_portfolios25!T523-ff_factors!$E523</f>
        <v>7.4889999999999998E-2</v>
      </c>
      <c r="U523" s="2">
        <f>ff_portfolios25!U523-ff_factors!$E523</f>
        <v>6.6900999999999988E-2</v>
      </c>
      <c r="V523" s="2">
        <f>ff_portfolios25!V523-ff_factors!$E523</f>
        <v>0.101629</v>
      </c>
      <c r="W523" s="2">
        <f>ff_portfolios25!W523-ff_factors!$E523</f>
        <v>7.7501E-2</v>
      </c>
      <c r="X523" s="2">
        <f>ff_portfolios25!X523-ff_factors!$E523</f>
        <v>3.1494000000000001E-2</v>
      </c>
      <c r="Y523" s="2">
        <f>ff_portfolios25!Y523-ff_factors!$E523</f>
        <v>6.712499999999999E-2</v>
      </c>
      <c r="Z523" s="2">
        <f>ff_portfolios25!Z523-ff_factors!$E523</f>
        <v>4.4334999999999999E-2</v>
      </c>
      <c r="AA523" s="2">
        <f>ff_portfolios25!AA523-ff_factors!$E523</f>
        <v>6.341999999999999E-2</v>
      </c>
      <c r="AB523" s="2">
        <f>ff_portfolios25!AB523-ff_factors!$E523</f>
        <v>7.0150999999999991E-2</v>
      </c>
    </row>
    <row r="524" spans="1:28" x14ac:dyDescent="0.2">
      <c r="A524">
        <v>19750731</v>
      </c>
      <c r="B524">
        <v>1975</v>
      </c>
      <c r="C524">
        <v>7</v>
      </c>
      <c r="D524" s="2">
        <f>ff_portfolios25!D524-ff_factors!$E524</f>
        <v>-1.9880999999999999E-2</v>
      </c>
      <c r="E524" s="2">
        <f>ff_portfolios25!E524-ff_factors!$E524</f>
        <v>-2.3969999999999994E-3</v>
      </c>
      <c r="F524" s="2">
        <f>ff_portfolios25!F524-ff_factors!$E524</f>
        <v>-2.1203999999999997E-2</v>
      </c>
      <c r="G524" s="2">
        <f>ff_portfolios25!G524-ff_factors!$E524</f>
        <v>-7.9579999999999998E-3</v>
      </c>
      <c r="H524" s="2">
        <f>ff_portfolios25!H524-ff_factors!$E524</f>
        <v>-1.0591E-2</v>
      </c>
      <c r="I524" s="2">
        <f>ff_portfolios25!I524-ff_factors!$E524</f>
        <v>-3.7266000000000001E-2</v>
      </c>
      <c r="J524" s="2">
        <f>ff_portfolios25!J524-ff_factors!$E524</f>
        <v>-3.8317999999999998E-2</v>
      </c>
      <c r="K524" s="2">
        <f>ff_portfolios25!K524-ff_factors!$E524</f>
        <v>-2.8327999999999999E-2</v>
      </c>
      <c r="L524" s="2">
        <f>ff_portfolios25!L524-ff_factors!$E524</f>
        <v>-4.2169999999999999E-2</v>
      </c>
      <c r="M524" s="2">
        <f>ff_portfolios25!M524-ff_factors!$E524</f>
        <v>-4.5697000000000002E-2</v>
      </c>
      <c r="N524" s="2">
        <f>ff_portfolios25!N524-ff_factors!$E524</f>
        <v>-5.7192E-2</v>
      </c>
      <c r="O524" s="2">
        <f>ff_portfolios25!O524-ff_factors!$E524</f>
        <v>-3.8862000000000001E-2</v>
      </c>
      <c r="P524" s="2">
        <f>ff_portfolios25!P524-ff_factors!$E524</f>
        <v>-4.0682999999999997E-2</v>
      </c>
      <c r="Q524" s="2">
        <f>ff_portfolios25!Q524-ff_factors!$E524</f>
        <v>-4.2979999999999997E-2</v>
      </c>
      <c r="R524" s="2">
        <f>ff_portfolios25!R524-ff_factors!$E524</f>
        <v>-6.4522999999999997E-2</v>
      </c>
      <c r="S524" s="2">
        <f>ff_portfolios25!S524-ff_factors!$E524</f>
        <v>-7.7752000000000002E-2</v>
      </c>
      <c r="T524" s="2">
        <f>ff_portfolios25!T524-ff_factors!$E524</f>
        <v>-6.8803000000000003E-2</v>
      </c>
      <c r="U524" s="2">
        <f>ff_portfolios25!U524-ff_factors!$E524</f>
        <v>-4.9370999999999998E-2</v>
      </c>
      <c r="V524" s="2">
        <f>ff_portfolios25!V524-ff_factors!$E524</f>
        <v>-4.7622999999999999E-2</v>
      </c>
      <c r="W524" s="2">
        <f>ff_portfolios25!W524-ff_factors!$E524</f>
        <v>-7.3182999999999998E-2</v>
      </c>
      <c r="X524" s="2">
        <f>ff_portfolios25!X524-ff_factors!$E524</f>
        <v>-8.6280999999999997E-2</v>
      </c>
      <c r="Y524" s="2">
        <f>ff_portfolios25!Y524-ff_factors!$E524</f>
        <v>-4.6519999999999999E-2</v>
      </c>
      <c r="Z524" s="2">
        <f>ff_portfolios25!Z524-ff_factors!$E524</f>
        <v>-4.9679000000000001E-2</v>
      </c>
      <c r="AA524" s="2">
        <f>ff_portfolios25!AA524-ff_factors!$E524</f>
        <v>-6.1532999999999997E-2</v>
      </c>
      <c r="AB524" s="2">
        <f>ff_portfolios25!AB524-ff_factors!$E524</f>
        <v>-2.0347999999999998E-2</v>
      </c>
    </row>
    <row r="525" spans="1:28" x14ac:dyDescent="0.2">
      <c r="A525">
        <v>19750829</v>
      </c>
      <c r="B525">
        <v>1975</v>
      </c>
      <c r="C525">
        <v>8</v>
      </c>
      <c r="D525" s="2">
        <f>ff_portfolios25!D525-ff_factors!$E525</f>
        <v>-7.5195999999999999E-2</v>
      </c>
      <c r="E525" s="2">
        <f>ff_portfolios25!E525-ff_factors!$E525</f>
        <v>-6.8953E-2</v>
      </c>
      <c r="F525" s="2">
        <f>ff_portfolios25!F525-ff_factors!$E525</f>
        <v>-5.3914999999999998E-2</v>
      </c>
      <c r="G525" s="2">
        <f>ff_portfolios25!G525-ff_factors!$E525</f>
        <v>-5.8408999999999996E-2</v>
      </c>
      <c r="H525" s="2">
        <f>ff_portfolios25!H525-ff_factors!$E525</f>
        <v>-8.1031999999999993E-2</v>
      </c>
      <c r="I525" s="2">
        <f>ff_portfolios25!I525-ff_factors!$E525</f>
        <v>-4.9031999999999999E-2</v>
      </c>
      <c r="J525" s="2">
        <f>ff_portfolios25!J525-ff_factors!$E525</f>
        <v>-4.5364999999999996E-2</v>
      </c>
      <c r="K525" s="2">
        <f>ff_portfolios25!K525-ff_factors!$E525</f>
        <v>-5.7298999999999996E-2</v>
      </c>
      <c r="L525" s="2">
        <f>ff_portfolios25!L525-ff_factors!$E525</f>
        <v>-4.6496999999999997E-2</v>
      </c>
      <c r="M525" s="2">
        <f>ff_portfolios25!M525-ff_factors!$E525</f>
        <v>-8.8246000000000005E-2</v>
      </c>
      <c r="N525" s="2">
        <f>ff_portfolios25!N525-ff_factors!$E525</f>
        <v>-4.4871000000000001E-2</v>
      </c>
      <c r="O525" s="2">
        <f>ff_portfolios25!O525-ff_factors!$E525</f>
        <v>-3.8155000000000001E-2</v>
      </c>
      <c r="P525" s="2">
        <f>ff_portfolios25!P525-ff_factors!$E525</f>
        <v>-3.9355000000000001E-2</v>
      </c>
      <c r="Q525" s="2">
        <f>ff_portfolios25!Q525-ff_factors!$E525</f>
        <v>-4.6983999999999998E-2</v>
      </c>
      <c r="R525" s="2">
        <f>ff_portfolios25!R525-ff_factors!$E525</f>
        <v>-6.1235999999999999E-2</v>
      </c>
      <c r="S525" s="2">
        <f>ff_portfolios25!S525-ff_factors!$E525</f>
        <v>-5.0063999999999997E-2</v>
      </c>
      <c r="T525" s="2">
        <f>ff_portfolios25!T525-ff_factors!$E525</f>
        <v>-3.9892999999999998E-2</v>
      </c>
      <c r="U525" s="2">
        <f>ff_portfolios25!U525-ff_factors!$E525</f>
        <v>-3.2148999999999997E-2</v>
      </c>
      <c r="V525" s="2">
        <f>ff_portfolios25!V525-ff_factors!$E525</f>
        <v>-2.9210999999999997E-2</v>
      </c>
      <c r="W525" s="2">
        <f>ff_portfolios25!W525-ff_factors!$E525</f>
        <v>-1.1745999999999999E-2</v>
      </c>
      <c r="X525" s="2">
        <f>ff_portfolios25!X525-ff_factors!$E525</f>
        <v>-2.4952999999999999E-2</v>
      </c>
      <c r="Y525" s="2">
        <f>ff_portfolios25!Y525-ff_factors!$E525</f>
        <v>-2.2844999999999997E-2</v>
      </c>
      <c r="Z525" s="2">
        <f>ff_portfolios25!Z525-ff_factors!$E525</f>
        <v>-2.2858E-2</v>
      </c>
      <c r="AA525" s="2">
        <f>ff_portfolios25!AA525-ff_factors!$E525</f>
        <v>1.7651E-2</v>
      </c>
      <c r="AB525" s="2">
        <f>ff_portfolios25!AB525-ff_factors!$E525</f>
        <v>-4.9437000000000002E-2</v>
      </c>
    </row>
    <row r="526" spans="1:28" x14ac:dyDescent="0.2">
      <c r="A526">
        <v>19750930</v>
      </c>
      <c r="B526">
        <v>1975</v>
      </c>
      <c r="C526">
        <v>9</v>
      </c>
      <c r="D526" s="2">
        <f>ff_portfolios25!D526-ff_factors!$E526</f>
        <v>-5.8666999999999997E-2</v>
      </c>
      <c r="E526" s="2">
        <f>ff_portfolios25!E526-ff_factors!$E526</f>
        <v>-2.9241E-2</v>
      </c>
      <c r="F526" s="2">
        <f>ff_portfolios25!F526-ff_factors!$E526</f>
        <v>-3.9177999999999998E-2</v>
      </c>
      <c r="G526" s="2">
        <f>ff_portfolios25!G526-ff_factors!$E526</f>
        <v>-3.4793999999999999E-2</v>
      </c>
      <c r="H526" s="2">
        <f>ff_portfolios25!H526-ff_factors!$E526</f>
        <v>-4.4664999999999996E-2</v>
      </c>
      <c r="I526" s="2">
        <f>ff_portfolios25!I526-ff_factors!$E526</f>
        <v>-3.8733999999999998E-2</v>
      </c>
      <c r="J526" s="2">
        <f>ff_portfolios25!J526-ff_factors!$E526</f>
        <v>-4.5351000000000002E-2</v>
      </c>
      <c r="K526" s="2">
        <f>ff_portfolios25!K526-ff_factors!$E526</f>
        <v>-4.0404000000000002E-2</v>
      </c>
      <c r="L526" s="2">
        <f>ff_portfolios25!L526-ff_factors!$E526</f>
        <v>-3.8364999999999996E-2</v>
      </c>
      <c r="M526" s="2">
        <f>ff_portfolios25!M526-ff_factors!$E526</f>
        <v>-5.4717999999999996E-2</v>
      </c>
      <c r="N526" s="2">
        <f>ff_portfolios25!N526-ff_factors!$E526</f>
        <v>-5.8270000000000002E-2</v>
      </c>
      <c r="O526" s="2">
        <f>ff_portfolios25!O526-ff_factors!$E526</f>
        <v>-3.3675000000000004E-2</v>
      </c>
      <c r="P526" s="2">
        <f>ff_portfolios25!P526-ff_factors!$E526</f>
        <v>-4.4302000000000001E-2</v>
      </c>
      <c r="Q526" s="2">
        <f>ff_portfolios25!Q526-ff_factors!$E526</f>
        <v>-4.5553999999999997E-2</v>
      </c>
      <c r="R526" s="2">
        <f>ff_portfolios25!R526-ff_factors!$E526</f>
        <v>-4.5580000000000002E-2</v>
      </c>
      <c r="S526" s="2">
        <f>ff_portfolios25!S526-ff_factors!$E526</f>
        <v>-4.9298000000000002E-2</v>
      </c>
      <c r="T526" s="2">
        <f>ff_portfolios25!T526-ff_factors!$E526</f>
        <v>-3.6886000000000002E-2</v>
      </c>
      <c r="U526" s="2">
        <f>ff_portfolios25!U526-ff_factors!$E526</f>
        <v>-4.1671E-2</v>
      </c>
      <c r="V526" s="2">
        <f>ff_portfolios25!V526-ff_factors!$E526</f>
        <v>-3.9598000000000001E-2</v>
      </c>
      <c r="W526" s="2">
        <f>ff_portfolios25!W526-ff_factors!$E526</f>
        <v>-4.9842999999999998E-2</v>
      </c>
      <c r="X526" s="2">
        <f>ff_portfolios25!X526-ff_factors!$E526</f>
        <v>-5.0585999999999999E-2</v>
      </c>
      <c r="Y526" s="2">
        <f>ff_portfolios25!Y526-ff_factors!$E526</f>
        <v>-1.8477E-2</v>
      </c>
      <c r="Z526" s="2">
        <f>ff_portfolios25!Z526-ff_factors!$E526</f>
        <v>-2.9014999999999999E-2</v>
      </c>
      <c r="AA526" s="2">
        <f>ff_portfolios25!AA526-ff_factors!$E526</f>
        <v>-4.8459999999999996E-2</v>
      </c>
      <c r="AB526" s="2">
        <f>ff_portfolios25!AB526-ff_factors!$E526</f>
        <v>-5.8841999999999998E-2</v>
      </c>
    </row>
    <row r="527" spans="1:28" x14ac:dyDescent="0.2">
      <c r="A527">
        <v>19751031</v>
      </c>
      <c r="B527">
        <v>1975</v>
      </c>
      <c r="C527">
        <v>10</v>
      </c>
      <c r="D527" s="2">
        <f>ff_portfolios25!D527-ff_factors!$E527</f>
        <v>9.4100000000000017E-3</v>
      </c>
      <c r="E527" s="2">
        <f>ff_portfolios25!E527-ff_factors!$E527</f>
        <v>8.4669999999999988E-3</v>
      </c>
      <c r="F527" s="2">
        <f>ff_portfolios25!F527-ff_factors!$E527</f>
        <v>2.1606E-2</v>
      </c>
      <c r="G527" s="2">
        <f>ff_portfolios25!G527-ff_factors!$E527</f>
        <v>2.1918E-2</v>
      </c>
      <c r="H527" s="2">
        <f>ff_portfolios25!H527-ff_factors!$E527</f>
        <v>4.2650000000000006E-3</v>
      </c>
      <c r="I527" s="2">
        <f>ff_portfolios25!I527-ff_factors!$E527</f>
        <v>1.5674999999999998E-2</v>
      </c>
      <c r="J527" s="2">
        <f>ff_portfolios25!J527-ff_factors!$E527</f>
        <v>3.5719000000000001E-2</v>
      </c>
      <c r="K527" s="2">
        <f>ff_portfolios25!K527-ff_factors!$E527</f>
        <v>9.8150000000000008E-3</v>
      </c>
      <c r="L527" s="2">
        <f>ff_portfolios25!L527-ff_factors!$E527</f>
        <v>3.1121999999999997E-2</v>
      </c>
      <c r="M527" s="2">
        <f>ff_portfolios25!M527-ff_factors!$E527</f>
        <v>4.3325999999999996E-2</v>
      </c>
      <c r="N527" s="2">
        <f>ff_portfolios25!N527-ff_factors!$E527</f>
        <v>1.4654E-2</v>
      </c>
      <c r="O527" s="2">
        <f>ff_portfolios25!O527-ff_factors!$E527</f>
        <v>3.3041000000000001E-2</v>
      </c>
      <c r="P527" s="2">
        <f>ff_portfolios25!P527-ff_factors!$E527</f>
        <v>3.0406999999999997E-2</v>
      </c>
      <c r="Q527" s="2">
        <f>ff_portfolios25!Q527-ff_factors!$E527</f>
        <v>4.5308000000000001E-2</v>
      </c>
      <c r="R527" s="2">
        <f>ff_portfolios25!R527-ff_factors!$E527</f>
        <v>-1.859E-3</v>
      </c>
      <c r="S527" s="2">
        <f>ff_portfolios25!S527-ff_factors!$E527</f>
        <v>5.0881999999999997E-2</v>
      </c>
      <c r="T527" s="2">
        <f>ff_portfolios25!T527-ff_factors!$E527</f>
        <v>5.3309000000000002E-2</v>
      </c>
      <c r="U527" s="2">
        <f>ff_portfolios25!U527-ff_factors!$E527</f>
        <v>6.3957E-2</v>
      </c>
      <c r="V527" s="2">
        <f>ff_portfolios25!V527-ff_factors!$E527</f>
        <v>4.6663999999999997E-2</v>
      </c>
      <c r="W527" s="2">
        <f>ff_portfolios25!W527-ff_factors!$E527</f>
        <v>6.3669000000000003E-2</v>
      </c>
      <c r="X527" s="2">
        <f>ff_portfolios25!X527-ff_factors!$E527</f>
        <v>6.6156000000000006E-2</v>
      </c>
      <c r="Y527" s="2">
        <f>ff_portfolios25!Y527-ff_factors!$E527</f>
        <v>5.0907000000000001E-2</v>
      </c>
      <c r="Z527" s="2">
        <f>ff_portfolios25!Z527-ff_factors!$E527</f>
        <v>3.8829999999999996E-2</v>
      </c>
      <c r="AA527" s="2">
        <f>ff_portfolios25!AA527-ff_factors!$E527</f>
        <v>6.1367999999999999E-2</v>
      </c>
      <c r="AB527" s="2">
        <f>ff_portfolios25!AB527-ff_factors!$E527</f>
        <v>3.3411999999999997E-2</v>
      </c>
    </row>
    <row r="528" spans="1:28" x14ac:dyDescent="0.2">
      <c r="A528">
        <v>19751128</v>
      </c>
      <c r="B528">
        <v>1975</v>
      </c>
      <c r="C528">
        <v>11</v>
      </c>
      <c r="D528" s="2">
        <f>ff_portfolios25!D528-ff_factors!$E528</f>
        <v>-3.1930000000000005E-3</v>
      </c>
      <c r="E528" s="2">
        <f>ff_portfolios25!E528-ff_factors!$E528</f>
        <v>1.6159E-2</v>
      </c>
      <c r="F528" s="2">
        <f>ff_portfolios25!F528-ff_factors!$E528</f>
        <v>1.5937E-2</v>
      </c>
      <c r="G528" s="2">
        <f>ff_portfolios25!G528-ff_factors!$E528</f>
        <v>2.0511000000000001E-2</v>
      </c>
      <c r="H528" s="2">
        <f>ff_portfolios25!H528-ff_factors!$E528</f>
        <v>3.2679E-2</v>
      </c>
      <c r="I528" s="2">
        <f>ff_portfolios25!I528-ff_factors!$E528</f>
        <v>-4.1120000000000002E-3</v>
      </c>
      <c r="J528" s="2">
        <f>ff_portfolios25!J528-ff_factors!$E528</f>
        <v>2.8933E-2</v>
      </c>
      <c r="K528" s="2">
        <f>ff_portfolios25!K528-ff_factors!$E528</f>
        <v>1.5609000000000001E-2</v>
      </c>
      <c r="L528" s="2">
        <f>ff_portfolios25!L528-ff_factors!$E528</f>
        <v>3.9098000000000001E-2</v>
      </c>
      <c r="M528" s="2">
        <f>ff_portfolios25!M528-ff_factors!$E528</f>
        <v>3.4834000000000004E-2</v>
      </c>
      <c r="N528" s="2">
        <f>ff_portfolios25!N528-ff_factors!$E528</f>
        <v>1.5953000000000002E-2</v>
      </c>
      <c r="O528" s="2">
        <f>ff_portfolios25!O528-ff_factors!$E528</f>
        <v>2.4805000000000001E-2</v>
      </c>
      <c r="P528" s="2">
        <f>ff_portfolios25!P528-ff_factors!$E528</f>
        <v>4.2824000000000001E-2</v>
      </c>
      <c r="Q528" s="2">
        <f>ff_portfolios25!Q528-ff_factors!$E528</f>
        <v>3.7970000000000004E-2</v>
      </c>
      <c r="R528" s="2">
        <f>ff_portfolios25!R528-ff_factors!$E528</f>
        <v>6.9150000000000001E-3</v>
      </c>
      <c r="S528" s="2">
        <f>ff_portfolios25!S528-ff_factors!$E528</f>
        <v>2.5899999999999999E-2</v>
      </c>
      <c r="T528" s="2">
        <f>ff_portfolios25!T528-ff_factors!$E528</f>
        <v>3.4346000000000002E-2</v>
      </c>
      <c r="U528" s="2">
        <f>ff_portfolios25!U528-ff_factors!$E528</f>
        <v>3.2544000000000003E-2</v>
      </c>
      <c r="V528" s="2">
        <f>ff_portfolios25!V528-ff_factors!$E528</f>
        <v>7.3565999999999993E-2</v>
      </c>
      <c r="W528" s="2">
        <f>ff_portfolios25!W528-ff_factors!$E528</f>
        <v>5.6316999999999999E-2</v>
      </c>
      <c r="X528" s="2">
        <f>ff_portfolios25!X528-ff_factors!$E528</f>
        <v>2.9325000000000004E-2</v>
      </c>
      <c r="Y528" s="2">
        <f>ff_portfolios25!Y528-ff_factors!$E528</f>
        <v>1.8076999999999999E-2</v>
      </c>
      <c r="Z528" s="2">
        <f>ff_portfolios25!Z528-ff_factors!$E528</f>
        <v>2.6749999999999999E-2</v>
      </c>
      <c r="AA528" s="2">
        <f>ff_portfolios25!AA528-ff_factors!$E528</f>
        <v>2.4323000000000001E-2</v>
      </c>
      <c r="AB528" s="2">
        <f>ff_portfolios25!AB528-ff_factors!$E528</f>
        <v>4.2700000000000002E-2</v>
      </c>
    </row>
    <row r="529" spans="1:28" x14ac:dyDescent="0.2">
      <c r="A529">
        <v>19751231</v>
      </c>
      <c r="B529">
        <v>1975</v>
      </c>
      <c r="C529">
        <v>12</v>
      </c>
      <c r="D529" s="2">
        <f>ff_portfolios25!D529-ff_factors!$E529</f>
        <v>-1.3933999999999998E-2</v>
      </c>
      <c r="E529" s="2">
        <f>ff_portfolios25!E529-ff_factors!$E529</f>
        <v>-1.8096000000000001E-2</v>
      </c>
      <c r="F529" s="2">
        <f>ff_portfolios25!F529-ff_factors!$E529</f>
        <v>-1.6125999999999998E-2</v>
      </c>
      <c r="G529" s="2">
        <f>ff_portfolios25!G529-ff_factors!$E529</f>
        <v>-1.4596999999999999E-2</v>
      </c>
      <c r="H529" s="2">
        <f>ff_portfolios25!H529-ff_factors!$E529</f>
        <v>-1.8609999999999998E-2</v>
      </c>
      <c r="I529" s="2">
        <f>ff_portfolios25!I529-ff_factors!$E529</f>
        <v>-3.1445000000000001E-2</v>
      </c>
      <c r="J529" s="2">
        <f>ff_portfolios25!J529-ff_factors!$E529</f>
        <v>-1.8536999999999998E-2</v>
      </c>
      <c r="K529" s="2">
        <f>ff_portfolios25!K529-ff_factors!$E529</f>
        <v>2.0540000000000003E-3</v>
      </c>
      <c r="L529" s="2">
        <f>ff_portfolios25!L529-ff_factors!$E529</f>
        <v>-1.227E-2</v>
      </c>
      <c r="M529" s="2">
        <f>ff_portfolios25!M529-ff_factors!$E529</f>
        <v>-2.5555999999999999E-2</v>
      </c>
      <c r="N529" s="2">
        <f>ff_portfolios25!N529-ff_factors!$E529</f>
        <v>-1.4419999999999999E-2</v>
      </c>
      <c r="O529" s="2">
        <f>ff_portfolios25!O529-ff_factors!$E529</f>
        <v>-1.2368000000000001E-2</v>
      </c>
      <c r="P529" s="2">
        <f>ff_portfolios25!P529-ff_factors!$E529</f>
        <v>2.0890000000000006E-3</v>
      </c>
      <c r="Q529" s="2">
        <f>ff_portfolios25!Q529-ff_factors!$E529</f>
        <v>-8.2449999999999989E-3</v>
      </c>
      <c r="R529" s="2">
        <f>ff_portfolios25!R529-ff_factors!$E529</f>
        <v>2.5823000000000002E-2</v>
      </c>
      <c r="S529" s="2">
        <f>ff_portfolios25!S529-ff_factors!$E529</f>
        <v>-2.5734999999999997E-2</v>
      </c>
      <c r="T529" s="2">
        <f>ff_portfolios25!T529-ff_factors!$E529</f>
        <v>3.0850000000000001E-3</v>
      </c>
      <c r="U529" s="2">
        <f>ff_portfolios25!U529-ff_factors!$E529</f>
        <v>-4.6669999999999993E-3</v>
      </c>
      <c r="V529" s="2">
        <f>ff_portfolios25!V529-ff_factors!$E529</f>
        <v>-8.7329999999999994E-3</v>
      </c>
      <c r="W529" s="2">
        <f>ff_portfolios25!W529-ff_factors!$E529</f>
        <v>-1.257E-2</v>
      </c>
      <c r="X529" s="2">
        <f>ff_portfolios25!X529-ff_factors!$E529</f>
        <v>-3.1461000000000003E-2</v>
      </c>
      <c r="Y529" s="2">
        <f>ff_portfolios25!Y529-ff_factors!$E529</f>
        <v>4.0190000000000009E-3</v>
      </c>
      <c r="Z529" s="2">
        <f>ff_portfolios25!Z529-ff_factors!$E529</f>
        <v>-1.8399999999999996E-3</v>
      </c>
      <c r="AA529" s="2">
        <f>ff_portfolios25!AA529-ff_factors!$E529</f>
        <v>1.3310000000000006E-3</v>
      </c>
      <c r="AB529" s="2">
        <f>ff_portfolios25!AB529-ff_factors!$E529</f>
        <v>4.7676000000000003E-2</v>
      </c>
    </row>
    <row r="530" spans="1:28" x14ac:dyDescent="0.2">
      <c r="A530">
        <v>19760130</v>
      </c>
      <c r="B530">
        <v>1976</v>
      </c>
      <c r="C530">
        <v>1</v>
      </c>
      <c r="D530" s="2">
        <f>ff_portfolios25!D530-ff_factors!$E530</f>
        <v>0.15395999999999999</v>
      </c>
      <c r="E530" s="2">
        <f>ff_portfolios25!E530-ff_factors!$E530</f>
        <v>0.16458899999999999</v>
      </c>
      <c r="F530" s="2">
        <f>ff_portfolios25!F530-ff_factors!$E530</f>
        <v>0.20870899999999998</v>
      </c>
      <c r="G530" s="2">
        <f>ff_portfolios25!G530-ff_factors!$E530</f>
        <v>0.21974299999999999</v>
      </c>
      <c r="H530" s="2">
        <f>ff_portfolios25!H530-ff_factors!$E530</f>
        <v>0.26485700000000001</v>
      </c>
      <c r="I530" s="2">
        <f>ff_portfolios25!I530-ff_factors!$E530</f>
        <v>0.124041</v>
      </c>
      <c r="J530" s="2">
        <f>ff_portfolios25!J530-ff_factors!$E530</f>
        <v>0.16245599999999999</v>
      </c>
      <c r="K530" s="2">
        <f>ff_portfolios25!K530-ff_factors!$E530</f>
        <v>0.162275</v>
      </c>
      <c r="L530" s="2">
        <f>ff_portfolios25!L530-ff_factors!$E530</f>
        <v>0.207679</v>
      </c>
      <c r="M530" s="2">
        <f>ff_portfolios25!M530-ff_factors!$E530</f>
        <v>0.262963</v>
      </c>
      <c r="N530" s="2">
        <f>ff_portfolios25!N530-ff_factors!$E530</f>
        <v>0.15743099999999999</v>
      </c>
      <c r="O530" s="2">
        <f>ff_portfolios25!O530-ff_factors!$E530</f>
        <v>0.14604499999999998</v>
      </c>
      <c r="P530" s="2">
        <f>ff_portfolios25!P530-ff_factors!$E530</f>
        <v>0.164742</v>
      </c>
      <c r="Q530" s="2">
        <f>ff_portfolios25!Q530-ff_factors!$E530</f>
        <v>0.180926</v>
      </c>
      <c r="R530" s="2">
        <f>ff_portfolios25!R530-ff_factors!$E530</f>
        <v>0.21811899999999998</v>
      </c>
      <c r="S530" s="2">
        <f>ff_portfolios25!S530-ff_factors!$E530</f>
        <v>0.12307</v>
      </c>
      <c r="T530" s="2">
        <f>ff_portfolios25!T530-ff_factors!$E530</f>
        <v>0.129636</v>
      </c>
      <c r="U530" s="2">
        <f>ff_portfolios25!U530-ff_factors!$E530</f>
        <v>0.15882199999999999</v>
      </c>
      <c r="V530" s="2">
        <f>ff_portfolios25!V530-ff_factors!$E530</f>
        <v>0.183642</v>
      </c>
      <c r="W530" s="2">
        <f>ff_portfolios25!W530-ff_factors!$E530</f>
        <v>0.22126499999999999</v>
      </c>
      <c r="X530" s="2">
        <f>ff_portfolios25!X530-ff_factors!$E530</f>
        <v>0.10562200000000001</v>
      </c>
      <c r="Y530" s="2">
        <f>ff_portfolios25!Y530-ff_factors!$E530</f>
        <v>9.020800000000001E-2</v>
      </c>
      <c r="Z530" s="2">
        <f>ff_portfolios25!Z530-ff_factors!$E530</f>
        <v>0.134793</v>
      </c>
      <c r="AA530" s="2">
        <f>ff_portfolios25!AA530-ff_factors!$E530</f>
        <v>0.168013</v>
      </c>
      <c r="AB530" s="2">
        <f>ff_portfolios25!AB530-ff_factors!$E530</f>
        <v>0.14693299999999998</v>
      </c>
    </row>
    <row r="531" spans="1:28" x14ac:dyDescent="0.2">
      <c r="A531">
        <v>19760227</v>
      </c>
      <c r="B531">
        <v>1976</v>
      </c>
      <c r="C531">
        <v>2</v>
      </c>
      <c r="D531" s="2">
        <f>ff_portfolios25!D531-ff_factors!$E531</f>
        <v>9.4963000000000006E-2</v>
      </c>
      <c r="E531" s="2">
        <f>ff_portfolios25!E531-ff_factors!$E531</f>
        <v>7.1178000000000005E-2</v>
      </c>
      <c r="F531" s="2">
        <f>ff_portfolios25!F531-ff_factors!$E531</f>
        <v>0.100337</v>
      </c>
      <c r="G531" s="2">
        <f>ff_portfolios25!G531-ff_factors!$E531</f>
        <v>0.12046999999999999</v>
      </c>
      <c r="H531" s="2">
        <f>ff_portfolios25!H531-ff_factors!$E531</f>
        <v>0.15509500000000001</v>
      </c>
      <c r="I531" s="2">
        <f>ff_portfolios25!I531-ff_factors!$E531</f>
        <v>7.2568999999999995E-2</v>
      </c>
      <c r="J531" s="2">
        <f>ff_portfolios25!J531-ff_factors!$E531</f>
        <v>5.9459999999999999E-2</v>
      </c>
      <c r="K531" s="2">
        <f>ff_portfolios25!K531-ff_factors!$E531</f>
        <v>6.9641999999999996E-2</v>
      </c>
      <c r="L531" s="2">
        <f>ff_portfolios25!L531-ff_factors!$E531</f>
        <v>7.9971E-2</v>
      </c>
      <c r="M531" s="2">
        <f>ff_portfolios25!M531-ff_factors!$E531</f>
        <v>0.112092</v>
      </c>
      <c r="N531" s="2">
        <f>ff_portfolios25!N531-ff_factors!$E531</f>
        <v>3.6533000000000003E-2</v>
      </c>
      <c r="O531" s="2">
        <f>ff_portfolios25!O531-ff_factors!$E531</f>
        <v>3.4208000000000002E-2</v>
      </c>
      <c r="P531" s="2">
        <f>ff_portfolios25!P531-ff_factors!$E531</f>
        <v>5.1415000000000002E-2</v>
      </c>
      <c r="Q531" s="2">
        <f>ff_portfolios25!Q531-ff_factors!$E531</f>
        <v>6.9697999999999996E-2</v>
      </c>
      <c r="R531" s="2">
        <f>ff_portfolios25!R531-ff_factors!$E531</f>
        <v>0.12923800000000002</v>
      </c>
      <c r="S531" s="2">
        <f>ff_portfolios25!S531-ff_factors!$E531</f>
        <v>1.6819999999999999E-3</v>
      </c>
      <c r="T531" s="2">
        <f>ff_portfolios25!T531-ff_factors!$E531</f>
        <v>2.8968000000000001E-2</v>
      </c>
      <c r="U531" s="2">
        <f>ff_portfolios25!U531-ff_factors!$E531</f>
        <v>3.9413999999999998E-2</v>
      </c>
      <c r="V531" s="2">
        <f>ff_portfolios25!V531-ff_factors!$E531</f>
        <v>5.0535999999999998E-2</v>
      </c>
      <c r="W531" s="2">
        <f>ff_portfolios25!W531-ff_factors!$E531</f>
        <v>3.5972999999999998E-2</v>
      </c>
      <c r="X531" s="2">
        <f>ff_portfolios25!X531-ff_factors!$E531</f>
        <v>-2.6526000000000001E-2</v>
      </c>
      <c r="Y531" s="2">
        <f>ff_portfolios25!Y531-ff_factors!$E531</f>
        <v>1.0626999999999999E-2</v>
      </c>
      <c r="Z531" s="2">
        <f>ff_portfolios25!Z531-ff_factors!$E531</f>
        <v>-1.227E-2</v>
      </c>
      <c r="AA531" s="2">
        <f>ff_portfolios25!AA531-ff_factors!$E531</f>
        <v>-1.1522000000000001E-2</v>
      </c>
      <c r="AB531" s="2">
        <f>ff_portfolios25!AB531-ff_factors!$E531</f>
        <v>9.0984999999999996E-2</v>
      </c>
    </row>
    <row r="532" spans="1:28" x14ac:dyDescent="0.2">
      <c r="A532">
        <v>19760331</v>
      </c>
      <c r="B532">
        <v>1976</v>
      </c>
      <c r="C532">
        <v>3</v>
      </c>
      <c r="D532" s="2">
        <f>ff_portfolios25!D532-ff_factors!$E532</f>
        <v>3.1632999999999994E-2</v>
      </c>
      <c r="E532" s="2">
        <f>ff_portfolios25!E532-ff_factors!$E532</f>
        <v>1.8723E-2</v>
      </c>
      <c r="F532" s="2">
        <f>ff_portfolios25!F532-ff_factors!$E532</f>
        <v>1.6693E-2</v>
      </c>
      <c r="G532" s="2">
        <f>ff_portfolios25!G532-ff_factors!$E532</f>
        <v>3.4879999999999998E-3</v>
      </c>
      <c r="H532" s="2">
        <f>ff_portfolios25!H532-ff_factors!$E532</f>
        <v>1.1162999999999999E-2</v>
      </c>
      <c r="I532" s="2">
        <f>ff_portfolios25!I532-ff_factors!$E532</f>
        <v>8.4969999999999993E-3</v>
      </c>
      <c r="J532" s="2">
        <f>ff_portfolios25!J532-ff_factors!$E532</f>
        <v>2.1510000000000001E-3</v>
      </c>
      <c r="K532" s="2">
        <f>ff_portfolios25!K532-ff_factors!$E532</f>
        <v>-1.2890000000000002E-3</v>
      </c>
      <c r="L532" s="2">
        <f>ff_portfolios25!L532-ff_factors!$E532</f>
        <v>8.0569999999999999E-3</v>
      </c>
      <c r="M532" s="2">
        <f>ff_portfolios25!M532-ff_factors!$E532</f>
        <v>1.9151999999999999E-2</v>
      </c>
      <c r="N532" s="2">
        <f>ff_portfolios25!N532-ff_factors!$E532</f>
        <v>4.8789999999999997E-3</v>
      </c>
      <c r="O532" s="2">
        <f>ff_portfolios25!O532-ff_factors!$E532</f>
        <v>4.6789999999999991E-3</v>
      </c>
      <c r="P532" s="2">
        <f>ff_portfolios25!P532-ff_factors!$E532</f>
        <v>1.5009000000000002E-2</v>
      </c>
      <c r="Q532" s="2">
        <f>ff_portfolios25!Q532-ff_factors!$E532</f>
        <v>1.7228E-2</v>
      </c>
      <c r="R532" s="2">
        <f>ff_portfolios25!R532-ff_factors!$E532</f>
        <v>1.5401000000000001E-2</v>
      </c>
      <c r="S532" s="2">
        <f>ff_portfolios25!S532-ff_factors!$E532</f>
        <v>7.0570000000000008E-3</v>
      </c>
      <c r="T532" s="2">
        <f>ff_portfolios25!T532-ff_factors!$E532</f>
        <v>1.8633E-2</v>
      </c>
      <c r="U532" s="2">
        <f>ff_portfolios25!U532-ff_factors!$E532</f>
        <v>7.3139999999999993E-3</v>
      </c>
      <c r="V532" s="2">
        <f>ff_portfolios25!V532-ff_factors!$E532</f>
        <v>1.0855999999999999E-2</v>
      </c>
      <c r="W532" s="2">
        <f>ff_portfolios25!W532-ff_factors!$E532</f>
        <v>6.3990999999999992E-2</v>
      </c>
      <c r="X532" s="2">
        <f>ff_portfolios25!X532-ff_factors!$E532</f>
        <v>2.5631000000000001E-2</v>
      </c>
      <c r="Y532" s="2">
        <f>ff_portfolios25!Y532-ff_factors!$E532</f>
        <v>3.1982999999999998E-2</v>
      </c>
      <c r="Z532" s="2">
        <f>ff_portfolios25!Z532-ff_factors!$E532</f>
        <v>3.0209000000000003E-2</v>
      </c>
      <c r="AA532" s="2">
        <f>ff_portfolios25!AA532-ff_factors!$E532</f>
        <v>2.2585999999999998E-2</v>
      </c>
      <c r="AB532" s="2">
        <f>ff_portfolios25!AB532-ff_factors!$E532</f>
        <v>-1.4107E-2</v>
      </c>
    </row>
    <row r="533" spans="1:28" x14ac:dyDescent="0.2">
      <c r="A533">
        <v>19760430</v>
      </c>
      <c r="B533">
        <v>1976</v>
      </c>
      <c r="C533">
        <v>4</v>
      </c>
      <c r="D533" s="2">
        <f>ff_portfolios25!D533-ff_factors!$E533</f>
        <v>-1.8683999999999999E-2</v>
      </c>
      <c r="E533" s="2">
        <f>ff_portfolios25!E533-ff_factors!$E533</f>
        <v>-1.2087999999999998E-2</v>
      </c>
      <c r="F533" s="2">
        <f>ff_portfolios25!F533-ff_factors!$E533</f>
        <v>-3.1889000000000001E-2</v>
      </c>
      <c r="G533" s="2">
        <f>ff_portfolios25!G533-ff_factors!$E533</f>
        <v>-1.5473999999999998E-2</v>
      </c>
      <c r="H533" s="2">
        <f>ff_portfolios25!H533-ff_factors!$E533</f>
        <v>-2.0768999999999999E-2</v>
      </c>
      <c r="I533" s="2">
        <f>ff_portfolios25!I533-ff_factors!$E533</f>
        <v>-1.3930999999999999E-2</v>
      </c>
      <c r="J533" s="2">
        <f>ff_portfolios25!J533-ff_factors!$E533</f>
        <v>-2.1378999999999999E-2</v>
      </c>
      <c r="K533" s="2">
        <f>ff_portfolios25!K533-ff_factors!$E533</f>
        <v>-1.1911999999999999E-2</v>
      </c>
      <c r="L533" s="2">
        <f>ff_portfolios25!L533-ff_factors!$E533</f>
        <v>-1.2442999999999999E-2</v>
      </c>
      <c r="M533" s="2">
        <f>ff_portfolios25!M533-ff_factors!$E533</f>
        <v>-2.0003E-2</v>
      </c>
      <c r="N533" s="2">
        <f>ff_portfolios25!N533-ff_factors!$E533</f>
        <v>-1.9525000000000001E-2</v>
      </c>
      <c r="O533" s="2">
        <f>ff_portfolios25!O533-ff_factors!$E533</f>
        <v>-3.8869999999999998E-3</v>
      </c>
      <c r="P533" s="2">
        <f>ff_portfolios25!P533-ff_factors!$E533</f>
        <v>-9.8579999999999987E-3</v>
      </c>
      <c r="Q533" s="2">
        <f>ff_portfolios25!Q533-ff_factors!$E533</f>
        <v>-1.5793999999999999E-2</v>
      </c>
      <c r="R533" s="2">
        <f>ff_portfolios25!R533-ff_factors!$E533</f>
        <v>-9.1119999999999986E-3</v>
      </c>
      <c r="S533" s="2">
        <f>ff_portfolios25!S533-ff_factors!$E533</f>
        <v>-1.9098E-2</v>
      </c>
      <c r="T533" s="2">
        <f>ff_portfolios25!T533-ff_factors!$E533</f>
        <v>-1.7330999999999999E-2</v>
      </c>
      <c r="U533" s="2">
        <f>ff_portfolios25!U533-ff_factors!$E533</f>
        <v>-1.0936E-2</v>
      </c>
      <c r="V533" s="2">
        <f>ff_portfolios25!V533-ff_factors!$E533</f>
        <v>-2.5625999999999999E-2</v>
      </c>
      <c r="W533" s="2">
        <f>ff_portfolios25!W533-ff_factors!$E533</f>
        <v>-4.1547000000000001E-2</v>
      </c>
      <c r="X533" s="2">
        <f>ff_portfolios25!X533-ff_factors!$E533</f>
        <v>-2.6801999999999999E-2</v>
      </c>
      <c r="Y533" s="2">
        <f>ff_portfolios25!Y533-ff_factors!$E533</f>
        <v>-1.2159999999999996E-3</v>
      </c>
      <c r="Z533" s="2">
        <f>ff_portfolios25!Z533-ff_factors!$E533</f>
        <v>1.3808000000000001E-2</v>
      </c>
      <c r="AA533" s="2">
        <f>ff_portfolios25!AA533-ff_factors!$E533</f>
        <v>2.9180000000000005E-3</v>
      </c>
      <c r="AB533" s="2">
        <f>ff_portfolios25!AB533-ff_factors!$E533</f>
        <v>7.2389999999999998E-3</v>
      </c>
    </row>
    <row r="534" spans="1:28" x14ac:dyDescent="0.2">
      <c r="A534">
        <v>19760528</v>
      </c>
      <c r="B534">
        <v>1976</v>
      </c>
      <c r="C534">
        <v>5</v>
      </c>
      <c r="D534" s="2">
        <f>ff_portfolios25!D534-ff_factors!$E534</f>
        <v>-2.1926000000000001E-2</v>
      </c>
      <c r="E534" s="2">
        <f>ff_portfolios25!E534-ff_factors!$E534</f>
        <v>-2.0570999999999999E-2</v>
      </c>
      <c r="F534" s="2">
        <f>ff_portfolios25!F534-ff_factors!$E534</f>
        <v>-1.9043000000000001E-2</v>
      </c>
      <c r="G534" s="2">
        <f>ff_portfolios25!G534-ff_factors!$E534</f>
        <v>-3.9081999999999999E-2</v>
      </c>
      <c r="H534" s="2">
        <f>ff_portfolios25!H534-ff_factors!$E534</f>
        <v>-5.1380000000000002E-2</v>
      </c>
      <c r="I534" s="2">
        <f>ff_portfolios25!I534-ff_factors!$E534</f>
        <v>-1.3564E-2</v>
      </c>
      <c r="J534" s="2">
        <f>ff_portfolios25!J534-ff_factors!$E534</f>
        <v>-2.3415999999999999E-2</v>
      </c>
      <c r="K534" s="2">
        <f>ff_portfolios25!K534-ff_factors!$E534</f>
        <v>-1.0567E-2</v>
      </c>
      <c r="L534" s="2">
        <f>ff_portfolios25!L534-ff_factors!$E534</f>
        <v>-3.0268000000000003E-2</v>
      </c>
      <c r="M534" s="2">
        <f>ff_portfolios25!M534-ff_factors!$E534</f>
        <v>-4.7615000000000005E-2</v>
      </c>
      <c r="N534" s="2">
        <f>ff_portfolios25!N534-ff_factors!$E534</f>
        <v>-2.1618999999999999E-2</v>
      </c>
      <c r="O534" s="2">
        <f>ff_portfolios25!O534-ff_factors!$E534</f>
        <v>-1.7181000000000002E-2</v>
      </c>
      <c r="P534" s="2">
        <f>ff_portfolios25!P534-ff_factors!$E534</f>
        <v>-2.0049999999999998E-2</v>
      </c>
      <c r="Q534" s="2">
        <f>ff_portfolios25!Q534-ff_factors!$E534</f>
        <v>-1.8321999999999998E-2</v>
      </c>
      <c r="R534" s="2">
        <f>ff_portfolios25!R534-ff_factors!$E534</f>
        <v>-3.4708999999999997E-2</v>
      </c>
      <c r="S534" s="2">
        <f>ff_portfolios25!S534-ff_factors!$E534</f>
        <v>-2.5502999999999998E-2</v>
      </c>
      <c r="T534" s="2">
        <f>ff_portfolios25!T534-ff_factors!$E534</f>
        <v>-1.5865999999999998E-2</v>
      </c>
      <c r="U534" s="2">
        <f>ff_portfolios25!U534-ff_factors!$E534</f>
        <v>-1.3774E-2</v>
      </c>
      <c r="V534" s="2">
        <f>ff_portfolios25!V534-ff_factors!$E534</f>
        <v>-3.7990000000000003E-2</v>
      </c>
      <c r="W534" s="2">
        <f>ff_portfolios25!W534-ff_factors!$E534</f>
        <v>8.6230000000000005E-3</v>
      </c>
      <c r="X534" s="2">
        <f>ff_portfolios25!X534-ff_factors!$E534</f>
        <v>-1.4309000000000001E-2</v>
      </c>
      <c r="Y534" s="2">
        <f>ff_portfolios25!Y534-ff_factors!$E534</f>
        <v>1.8120000000000002E-3</v>
      </c>
      <c r="Z534" s="2">
        <f>ff_portfolios25!Z534-ff_factors!$E534</f>
        <v>-1.2492E-2</v>
      </c>
      <c r="AA534" s="2">
        <f>ff_portfolios25!AA534-ff_factors!$E534</f>
        <v>-2.5433999999999998E-2</v>
      </c>
      <c r="AB534" s="2">
        <f>ff_portfolios25!AB534-ff_factors!$E534</f>
        <v>1.0121E-2</v>
      </c>
    </row>
    <row r="535" spans="1:28" x14ac:dyDescent="0.2">
      <c r="A535">
        <v>19760630</v>
      </c>
      <c r="B535">
        <v>1976</v>
      </c>
      <c r="C535">
        <v>6</v>
      </c>
      <c r="D535" s="2">
        <f>ff_portfolios25!D535-ff_factors!$E535</f>
        <v>3.7524000000000002E-2</v>
      </c>
      <c r="E535" s="2">
        <f>ff_portfolios25!E535-ff_factors!$E535</f>
        <v>1.8338E-2</v>
      </c>
      <c r="F535" s="2">
        <f>ff_portfolios25!F535-ff_factors!$E535</f>
        <v>1.6530999999999997E-2</v>
      </c>
      <c r="G535" s="2">
        <f>ff_portfolios25!G535-ff_factors!$E535</f>
        <v>2.7161999999999999E-2</v>
      </c>
      <c r="H535" s="2">
        <f>ff_portfolios25!H535-ff_factors!$E535</f>
        <v>1.6064000000000002E-2</v>
      </c>
      <c r="I535" s="2">
        <f>ff_portfolios25!I535-ff_factors!$E535</f>
        <v>1.9386E-2</v>
      </c>
      <c r="J535" s="2">
        <f>ff_portfolios25!J535-ff_factors!$E535</f>
        <v>2.7175999999999999E-2</v>
      </c>
      <c r="K535" s="2">
        <f>ff_portfolios25!K535-ff_factors!$E535</f>
        <v>3.1752000000000002E-2</v>
      </c>
      <c r="L535" s="2">
        <f>ff_portfolios25!L535-ff_factors!$E535</f>
        <v>2.9225000000000001E-2</v>
      </c>
      <c r="M535" s="2">
        <f>ff_portfolios25!M535-ff_factors!$E535</f>
        <v>5.7702000000000003E-2</v>
      </c>
      <c r="N535" s="2">
        <f>ff_portfolios25!N535-ff_factors!$E535</f>
        <v>4.1287000000000004E-2</v>
      </c>
      <c r="O535" s="2">
        <f>ff_portfolios25!O535-ff_factors!$E535</f>
        <v>4.8547E-2</v>
      </c>
      <c r="P535" s="2">
        <f>ff_portfolios25!P535-ff_factors!$E535</f>
        <v>6.1571000000000001E-2</v>
      </c>
      <c r="Q535" s="2">
        <f>ff_portfolios25!Q535-ff_factors!$E535</f>
        <v>4.0968999999999998E-2</v>
      </c>
      <c r="R535" s="2">
        <f>ff_portfolios25!R535-ff_factors!$E535</f>
        <v>7.7034000000000005E-2</v>
      </c>
      <c r="S535" s="2">
        <f>ff_portfolios25!S535-ff_factors!$E535</f>
        <v>3.8089999999999999E-2</v>
      </c>
      <c r="T535" s="2">
        <f>ff_portfolios25!T535-ff_factors!$E535</f>
        <v>4.4902999999999998E-2</v>
      </c>
      <c r="U535" s="2">
        <f>ff_portfolios25!U535-ff_factors!$E535</f>
        <v>6.7392000000000007E-2</v>
      </c>
      <c r="V535" s="2">
        <f>ff_portfolios25!V535-ff_factors!$E535</f>
        <v>7.5420000000000001E-2</v>
      </c>
      <c r="W535" s="2">
        <f>ff_portfolios25!W535-ff_factors!$E535</f>
        <v>3.4752000000000005E-2</v>
      </c>
      <c r="X535" s="2">
        <f>ff_portfolios25!X535-ff_factors!$E535</f>
        <v>4.0309999999999999E-2</v>
      </c>
      <c r="Y535" s="2">
        <f>ff_portfolios25!Y535-ff_factors!$E535</f>
        <v>3.5525000000000001E-2</v>
      </c>
      <c r="Z535" s="2">
        <f>ff_portfolios25!Z535-ff_factors!$E535</f>
        <v>5.1798000000000004E-2</v>
      </c>
      <c r="AA535" s="2">
        <f>ff_portfolios25!AA535-ff_factors!$E535</f>
        <v>5.4656000000000003E-2</v>
      </c>
      <c r="AB535" s="2">
        <f>ff_portfolios25!AB535-ff_factors!$E535</f>
        <v>2.5131000000000001E-2</v>
      </c>
    </row>
    <row r="536" spans="1:28" x14ac:dyDescent="0.2">
      <c r="A536">
        <v>19760730</v>
      </c>
      <c r="B536">
        <v>1976</v>
      </c>
      <c r="C536">
        <v>7</v>
      </c>
      <c r="D536" s="2">
        <f>ff_portfolios25!D536-ff_factors!$E536</f>
        <v>-1.5914999999999999E-2</v>
      </c>
      <c r="E536" s="2">
        <f>ff_portfolios25!E536-ff_factors!$E536</f>
        <v>-2.2515E-2</v>
      </c>
      <c r="F536" s="2">
        <f>ff_portfolios25!F536-ff_factors!$E536</f>
        <v>2.96E-3</v>
      </c>
      <c r="G536" s="2">
        <f>ff_portfolios25!G536-ff_factors!$E536</f>
        <v>-7.6229999999999996E-3</v>
      </c>
      <c r="H536" s="2">
        <f>ff_portfolios25!H536-ff_factors!$E536</f>
        <v>6.5969999999999996E-3</v>
      </c>
      <c r="I536" s="2">
        <f>ff_portfolios25!I536-ff_factors!$E536</f>
        <v>-1.4485999999999999E-2</v>
      </c>
      <c r="J536" s="2">
        <f>ff_portfolios25!J536-ff_factors!$E536</f>
        <v>-6.2710000000000005E-3</v>
      </c>
      <c r="K536" s="2">
        <f>ff_portfolios25!K536-ff_factors!$E536</f>
        <v>2.1958000000000002E-2</v>
      </c>
      <c r="L536" s="2">
        <f>ff_portfolios25!L536-ff_factors!$E536</f>
        <v>-2.4100000000000002E-3</v>
      </c>
      <c r="M536" s="2">
        <f>ff_portfolios25!M536-ff_factors!$E536</f>
        <v>9.7399999999999987E-3</v>
      </c>
      <c r="N536" s="2">
        <f>ff_portfolios25!N536-ff_factors!$E536</f>
        <v>-2.0964E-2</v>
      </c>
      <c r="O536" s="2">
        <f>ff_portfolios25!O536-ff_factors!$E536</f>
        <v>-9.3980000000000001E-3</v>
      </c>
      <c r="P536" s="2">
        <f>ff_portfolios25!P536-ff_factors!$E536</f>
        <v>-2.1600000000000005E-4</v>
      </c>
      <c r="Q536" s="2">
        <f>ff_portfolios25!Q536-ff_factors!$E536</f>
        <v>3.0340000000000002E-3</v>
      </c>
      <c r="R536" s="2">
        <f>ff_portfolios25!R536-ff_factors!$E536</f>
        <v>-3.2040000000000003E-3</v>
      </c>
      <c r="S536" s="2">
        <f>ff_portfolios25!S536-ff_factors!$E536</f>
        <v>-2.1299999999999999E-2</v>
      </c>
      <c r="T536" s="2">
        <f>ff_portfolios25!T536-ff_factors!$E536</f>
        <v>1.3649999999999999E-3</v>
      </c>
      <c r="U536" s="2">
        <f>ff_portfolios25!U536-ff_factors!$E536</f>
        <v>-1.0800000000000046E-4</v>
      </c>
      <c r="V536" s="2">
        <f>ff_portfolios25!V536-ff_factors!$E536</f>
        <v>1.0839000000000001E-2</v>
      </c>
      <c r="W536" s="2">
        <f>ff_portfolios25!W536-ff_factors!$E536</f>
        <v>9.1649999999999995E-3</v>
      </c>
      <c r="X536" s="2">
        <f>ff_portfolios25!X536-ff_factors!$E536</f>
        <v>-2.0881999999999998E-2</v>
      </c>
      <c r="Y536" s="2">
        <f>ff_portfolios25!Y536-ff_factors!$E536</f>
        <v>-2.7690000000000002E-3</v>
      </c>
      <c r="Z536" s="2">
        <f>ff_portfolios25!Z536-ff_factors!$E536</f>
        <v>-2.8760000000000001E-3</v>
      </c>
      <c r="AA536" s="2">
        <f>ff_portfolios25!AA536-ff_factors!$E536</f>
        <v>-1.1311E-2</v>
      </c>
      <c r="AB536" s="2">
        <f>ff_portfolios25!AB536-ff_factors!$E536</f>
        <v>2.1757000000000002E-2</v>
      </c>
    </row>
    <row r="537" spans="1:28" x14ac:dyDescent="0.2">
      <c r="A537">
        <v>19760831</v>
      </c>
      <c r="B537">
        <v>1976</v>
      </c>
      <c r="C537">
        <v>8</v>
      </c>
      <c r="D537" s="2">
        <f>ff_portfolios25!D537-ff_factors!$E537</f>
        <v>-4.7483000000000004E-2</v>
      </c>
      <c r="E537" s="2">
        <f>ff_portfolios25!E537-ff_factors!$E537</f>
        <v>-2.0541E-2</v>
      </c>
      <c r="F537" s="2">
        <f>ff_portfolios25!F537-ff_factors!$E537</f>
        <v>-1.6032000000000001E-2</v>
      </c>
      <c r="G537" s="2">
        <f>ff_portfolios25!G537-ff_factors!$E537</f>
        <v>-1.8190999999999999E-2</v>
      </c>
      <c r="H537" s="2">
        <f>ff_portfolios25!H537-ff_factors!$E537</f>
        <v>-1.9880999999999999E-2</v>
      </c>
      <c r="I537" s="2">
        <f>ff_portfolios25!I537-ff_factors!$E537</f>
        <v>-4.7369000000000001E-2</v>
      </c>
      <c r="J537" s="2">
        <f>ff_portfolios25!J537-ff_factors!$E537</f>
        <v>-2.4319999999999998E-2</v>
      </c>
      <c r="K537" s="2">
        <f>ff_portfolios25!K537-ff_factors!$E537</f>
        <v>-3.0501E-2</v>
      </c>
      <c r="L537" s="2">
        <f>ff_portfolios25!L537-ff_factors!$E537</f>
        <v>-1.4446000000000001E-2</v>
      </c>
      <c r="M537" s="2">
        <f>ff_portfolios25!M537-ff_factors!$E537</f>
        <v>-1.9918999999999999E-2</v>
      </c>
      <c r="N537" s="2">
        <f>ff_portfolios25!N537-ff_factors!$E537</f>
        <v>-3.1438000000000001E-2</v>
      </c>
      <c r="O537" s="2">
        <f>ff_portfolios25!O537-ff_factors!$E537</f>
        <v>-1.6972999999999999E-2</v>
      </c>
      <c r="P537" s="2">
        <f>ff_portfolios25!P537-ff_factors!$E537</f>
        <v>-1.4435E-2</v>
      </c>
      <c r="Q537" s="2">
        <f>ff_portfolios25!Q537-ff_factors!$E537</f>
        <v>-6.7469999999999995E-3</v>
      </c>
      <c r="R537" s="2">
        <f>ff_portfolios25!R537-ff_factors!$E537</f>
        <v>-4.4646999999999999E-2</v>
      </c>
      <c r="S537" s="2">
        <f>ff_portfolios25!S537-ff_factors!$E537</f>
        <v>-3.1300000000000001E-2</v>
      </c>
      <c r="T537" s="2">
        <f>ff_portfolios25!T537-ff_factors!$E537</f>
        <v>2.5800000000000042E-4</v>
      </c>
      <c r="U537" s="2">
        <f>ff_portfolios25!U537-ff_factors!$E537</f>
        <v>1.1401999999999999E-2</v>
      </c>
      <c r="V537" s="2">
        <f>ff_portfolios25!V537-ff_factors!$E537</f>
        <v>-1.6397999999999999E-2</v>
      </c>
      <c r="W537" s="2">
        <f>ff_portfolios25!W537-ff_factors!$E537</f>
        <v>1.2399999999999998E-4</v>
      </c>
      <c r="X537" s="2">
        <f>ff_portfolios25!X537-ff_factors!$E537</f>
        <v>-5.8999999999999999E-3</v>
      </c>
      <c r="Y537" s="2">
        <f>ff_portfolios25!Y537-ff_factors!$E537</f>
        <v>1.8000000000000654E-5</v>
      </c>
      <c r="Z537" s="2">
        <f>ff_portfolios25!Z537-ff_factors!$E537</f>
        <v>1.5278E-2</v>
      </c>
      <c r="AA537" s="2">
        <f>ff_portfolios25!AA537-ff_factors!$E537</f>
        <v>-1.3187999999999998E-2</v>
      </c>
      <c r="AB537" s="2">
        <f>ff_portfolios25!AB537-ff_factors!$E537</f>
        <v>6.391E-3</v>
      </c>
    </row>
    <row r="538" spans="1:28" x14ac:dyDescent="0.2">
      <c r="A538">
        <v>19760930</v>
      </c>
      <c r="B538">
        <v>1976</v>
      </c>
      <c r="C538">
        <v>9</v>
      </c>
      <c r="D538" s="2">
        <f>ff_portfolios25!D538-ff_factors!$E538</f>
        <v>1.7766000000000001E-2</v>
      </c>
      <c r="E538" s="2">
        <f>ff_portfolios25!E538-ff_factors!$E538</f>
        <v>1.4959999999999998E-2</v>
      </c>
      <c r="F538" s="2">
        <f>ff_portfolios25!F538-ff_factors!$E538</f>
        <v>5.862E-3</v>
      </c>
      <c r="G538" s="2">
        <f>ff_portfolios25!G538-ff_factors!$E538</f>
        <v>1.7350999999999998E-2</v>
      </c>
      <c r="H538" s="2">
        <f>ff_portfolios25!H538-ff_factors!$E538</f>
        <v>1.5106999999999999E-2</v>
      </c>
      <c r="I538" s="2">
        <f>ff_portfolios25!I538-ff_factors!$E538</f>
        <v>3.7240999999999996E-2</v>
      </c>
      <c r="J538" s="2">
        <f>ff_portfolios25!J538-ff_factors!$E538</f>
        <v>3.7263999999999999E-2</v>
      </c>
      <c r="K538" s="2">
        <f>ff_portfolios25!K538-ff_factors!$E538</f>
        <v>2.2690999999999999E-2</v>
      </c>
      <c r="L538" s="2">
        <f>ff_portfolios25!L538-ff_factors!$E538</f>
        <v>2.8204E-2</v>
      </c>
      <c r="M538" s="2">
        <f>ff_portfolios25!M538-ff_factors!$E538</f>
        <v>1.5872999999999998E-2</v>
      </c>
      <c r="N538" s="2">
        <f>ff_portfolios25!N538-ff_factors!$E538</f>
        <v>3.1025999999999998E-2</v>
      </c>
      <c r="O538" s="2">
        <f>ff_portfolios25!O538-ff_factors!$E538</f>
        <v>2.2463999999999998E-2</v>
      </c>
      <c r="P538" s="2">
        <f>ff_portfolios25!P538-ff_factors!$E538</f>
        <v>2.1395999999999998E-2</v>
      </c>
      <c r="Q538" s="2">
        <f>ff_portfolios25!Q538-ff_factors!$E538</f>
        <v>2.368E-2</v>
      </c>
      <c r="R538" s="2">
        <f>ff_portfolios25!R538-ff_factors!$E538</f>
        <v>4.4549999999999998E-3</v>
      </c>
      <c r="S538" s="2">
        <f>ff_portfolios25!S538-ff_factors!$E538</f>
        <v>1.9139E-2</v>
      </c>
      <c r="T538" s="2">
        <f>ff_portfolios25!T538-ff_factors!$E538</f>
        <v>1.7249999999999998E-2</v>
      </c>
      <c r="U538" s="2">
        <f>ff_portfolios25!U538-ff_factors!$E538</f>
        <v>2.4410999999999999E-2</v>
      </c>
      <c r="V538" s="2">
        <f>ff_portfolios25!V538-ff_factors!$E538</f>
        <v>2.4364999999999998E-2</v>
      </c>
      <c r="W538" s="2">
        <f>ff_portfolios25!W538-ff_factors!$E538</f>
        <v>8.6819999999999987E-3</v>
      </c>
      <c r="X538" s="2">
        <f>ff_portfolios25!X538-ff_factors!$E538</f>
        <v>1.1300999999999999E-2</v>
      </c>
      <c r="Y538" s="2">
        <f>ff_portfolios25!Y538-ff_factors!$E538</f>
        <v>3.9551999999999997E-2</v>
      </c>
      <c r="Z538" s="2">
        <f>ff_portfolios25!Z538-ff_factors!$E538</f>
        <v>2.8178999999999996E-2</v>
      </c>
      <c r="AA538" s="2">
        <f>ff_portfolios25!AA538-ff_factors!$E538</f>
        <v>3.4608E-2</v>
      </c>
      <c r="AB538" s="2">
        <f>ff_portfolios25!AB538-ff_factors!$E538</f>
        <v>-1.0627000000000001E-2</v>
      </c>
    </row>
    <row r="539" spans="1:28" x14ac:dyDescent="0.2">
      <c r="A539">
        <v>19761029</v>
      </c>
      <c r="B539">
        <v>1976</v>
      </c>
      <c r="C539">
        <v>10</v>
      </c>
      <c r="D539" s="2">
        <f>ff_portfolios25!D539-ff_factors!$E539</f>
        <v>-3.2052999999999998E-2</v>
      </c>
      <c r="E539" s="2">
        <f>ff_portfolios25!E539-ff_factors!$E539</f>
        <v>-1.8672999999999999E-2</v>
      </c>
      <c r="F539" s="2">
        <f>ff_portfolios25!F539-ff_factors!$E539</f>
        <v>-1.9875E-2</v>
      </c>
      <c r="G539" s="2">
        <f>ff_portfolios25!G539-ff_factors!$E539</f>
        <v>-1.9545E-2</v>
      </c>
      <c r="H539" s="2">
        <f>ff_portfolios25!H539-ff_factors!$E539</f>
        <v>-2.7563999999999998E-2</v>
      </c>
      <c r="I539" s="2">
        <f>ff_portfolios25!I539-ff_factors!$E539</f>
        <v>-3.2464E-2</v>
      </c>
      <c r="J539" s="2">
        <f>ff_portfolios25!J539-ff_factors!$E539</f>
        <v>-3.5236000000000003E-2</v>
      </c>
      <c r="K539" s="2">
        <f>ff_portfolios25!K539-ff_factors!$E539</f>
        <v>-2.7192000000000001E-2</v>
      </c>
      <c r="L539" s="2">
        <f>ff_portfolios25!L539-ff_factors!$E539</f>
        <v>-1.8100000000000002E-2</v>
      </c>
      <c r="M539" s="2">
        <f>ff_portfolios25!M539-ff_factors!$E539</f>
        <v>-1.5158000000000001E-2</v>
      </c>
      <c r="N539" s="2">
        <f>ff_portfolios25!N539-ff_factors!$E539</f>
        <v>-3.6789000000000002E-2</v>
      </c>
      <c r="O539" s="2">
        <f>ff_portfolios25!O539-ff_factors!$E539</f>
        <v>-4.8860000000000006E-3</v>
      </c>
      <c r="P539" s="2">
        <f>ff_portfolios25!P539-ff_factors!$E539</f>
        <v>-2.0067999999999999E-2</v>
      </c>
      <c r="Q539" s="2">
        <f>ff_portfolios25!Q539-ff_factors!$E539</f>
        <v>-1.4784000000000002E-2</v>
      </c>
      <c r="R539" s="2">
        <f>ff_portfolios25!R539-ff_factors!$E539</f>
        <v>-4.0811E-2</v>
      </c>
      <c r="S539" s="2">
        <f>ff_portfolios25!S539-ff_factors!$E539</f>
        <v>-2.7300999999999999E-2</v>
      </c>
      <c r="T539" s="2">
        <f>ff_portfolios25!T539-ff_factors!$E539</f>
        <v>-1.9514E-2</v>
      </c>
      <c r="U539" s="2">
        <f>ff_portfolios25!U539-ff_factors!$E539</f>
        <v>-1.5696000000000002E-2</v>
      </c>
      <c r="V539" s="2">
        <f>ff_portfolios25!V539-ff_factors!$E539</f>
        <v>-2.0768999999999999E-2</v>
      </c>
      <c r="W539" s="2">
        <f>ff_portfolios25!W539-ff_factors!$E539</f>
        <v>-3.356E-2</v>
      </c>
      <c r="X539" s="2">
        <f>ff_portfolios25!X539-ff_factors!$E539</f>
        <v>-2.9231E-2</v>
      </c>
      <c r="Y539" s="2">
        <f>ff_portfolios25!Y539-ff_factors!$E539</f>
        <v>-2.9086999999999998E-2</v>
      </c>
      <c r="Z539" s="2">
        <f>ff_portfolios25!Z539-ff_factors!$E539</f>
        <v>-1.0579000000000002E-2</v>
      </c>
      <c r="AA539" s="2">
        <f>ff_portfolios25!AA539-ff_factors!$E539</f>
        <v>-3.6958999999999999E-2</v>
      </c>
      <c r="AB539" s="2">
        <f>ff_portfolios25!AB539-ff_factors!$E539</f>
        <v>-4.4206999999999996E-2</v>
      </c>
    </row>
    <row r="540" spans="1:28" x14ac:dyDescent="0.2">
      <c r="A540">
        <v>19761130</v>
      </c>
      <c r="B540">
        <v>1976</v>
      </c>
      <c r="C540">
        <v>11</v>
      </c>
      <c r="D540" s="2">
        <f>ff_portfolios25!D540-ff_factors!$E540</f>
        <v>5.3176000000000001E-2</v>
      </c>
      <c r="E540" s="2">
        <f>ff_portfolios25!E540-ff_factors!$E540</f>
        <v>2.8119000000000002E-2</v>
      </c>
      <c r="F540" s="2">
        <f>ff_portfolios25!F540-ff_factors!$E540</f>
        <v>1.5168999999999998E-2</v>
      </c>
      <c r="G540" s="2">
        <f>ff_portfolios25!G540-ff_factors!$E540</f>
        <v>1.9769999999999999E-2</v>
      </c>
      <c r="H540" s="2">
        <f>ff_portfolios25!H540-ff_factors!$E540</f>
        <v>2.4015999999999999E-2</v>
      </c>
      <c r="I540" s="2">
        <f>ff_portfolios25!I540-ff_factors!$E540</f>
        <v>2.7524000000000003E-2</v>
      </c>
      <c r="J540" s="2">
        <f>ff_portfolios25!J540-ff_factors!$E540</f>
        <v>2.9552999999999999E-2</v>
      </c>
      <c r="K540" s="2">
        <f>ff_portfolios25!K540-ff_factors!$E540</f>
        <v>2.3465E-2</v>
      </c>
      <c r="L540" s="2">
        <f>ff_portfolios25!L540-ff_factors!$E540</f>
        <v>3.8057999999999995E-2</v>
      </c>
      <c r="M540" s="2">
        <f>ff_portfolios25!M540-ff_factors!$E540</f>
        <v>4.6960000000000002E-2</v>
      </c>
      <c r="N540" s="2">
        <f>ff_portfolios25!N540-ff_factors!$E540</f>
        <v>3.3492999999999995E-2</v>
      </c>
      <c r="O540" s="2">
        <f>ff_portfolios25!O540-ff_factors!$E540</f>
        <v>2.9939999999999998E-2</v>
      </c>
      <c r="P540" s="2">
        <f>ff_portfolios25!P540-ff_factors!$E540</f>
        <v>2.8523000000000003E-2</v>
      </c>
      <c r="Q540" s="2">
        <f>ff_portfolios25!Q540-ff_factors!$E540</f>
        <v>3.9508000000000001E-2</v>
      </c>
      <c r="R540" s="2">
        <f>ff_portfolios25!R540-ff_factors!$E540</f>
        <v>6.7001999999999992E-2</v>
      </c>
      <c r="S540" s="2">
        <f>ff_portfolios25!S540-ff_factors!$E540</f>
        <v>3.9082000000000006E-2</v>
      </c>
      <c r="T540" s="2">
        <f>ff_portfolios25!T540-ff_factors!$E540</f>
        <v>2.9279000000000003E-2</v>
      </c>
      <c r="U540" s="2">
        <f>ff_portfolios25!U540-ff_factors!$E540</f>
        <v>2.8844999999999999E-2</v>
      </c>
      <c r="V540" s="2">
        <f>ff_portfolios25!V540-ff_factors!$E540</f>
        <v>1.4766000000000001E-2</v>
      </c>
      <c r="W540" s="2">
        <f>ff_portfolios25!W540-ff_factors!$E540</f>
        <v>1.2837000000000001E-2</v>
      </c>
      <c r="X540" s="2">
        <f>ff_portfolios25!X540-ff_factors!$E540</f>
        <v>-2.0614E-2</v>
      </c>
      <c r="Y540" s="2">
        <f>ff_portfolios25!Y540-ff_factors!$E540</f>
        <v>-2.6329999999999999E-3</v>
      </c>
      <c r="Z540" s="2">
        <f>ff_portfolios25!Z540-ff_factors!$E540</f>
        <v>1.6816000000000001E-2</v>
      </c>
      <c r="AA540" s="2">
        <f>ff_portfolios25!AA540-ff_factors!$E540</f>
        <v>1.4357999999999999E-2</v>
      </c>
      <c r="AB540" s="2">
        <f>ff_portfolios25!AB540-ff_factors!$E540</f>
        <v>3.9513999999999994E-2</v>
      </c>
    </row>
    <row r="541" spans="1:28" x14ac:dyDescent="0.2">
      <c r="A541">
        <v>19761231</v>
      </c>
      <c r="B541">
        <v>1976</v>
      </c>
      <c r="C541">
        <v>12</v>
      </c>
      <c r="D541" s="2">
        <f>ff_portfolios25!D541-ff_factors!$E541</f>
        <v>0.104366</v>
      </c>
      <c r="E541" s="2">
        <f>ff_portfolios25!E541-ff_factors!$E541</f>
        <v>9.0598999999999999E-2</v>
      </c>
      <c r="F541" s="2">
        <f>ff_portfolios25!F541-ff_factors!$E541</f>
        <v>9.1468999999999995E-2</v>
      </c>
      <c r="G541" s="2">
        <f>ff_portfolios25!G541-ff_factors!$E541</f>
        <v>0.105611</v>
      </c>
      <c r="H541" s="2">
        <f>ff_portfolios25!H541-ff_factors!$E541</f>
        <v>9.632099999999999E-2</v>
      </c>
      <c r="I541" s="2">
        <f>ff_portfolios25!I541-ff_factors!$E541</f>
        <v>8.7762999999999994E-2</v>
      </c>
      <c r="J541" s="2">
        <f>ff_portfolios25!J541-ff_factors!$E541</f>
        <v>8.9169999999999999E-2</v>
      </c>
      <c r="K541" s="2">
        <f>ff_portfolios25!K541-ff_factors!$E541</f>
        <v>9.0945999999999999E-2</v>
      </c>
      <c r="L541" s="2">
        <f>ff_portfolios25!L541-ff_factors!$E541</f>
        <v>9.1697000000000001E-2</v>
      </c>
      <c r="M541" s="2">
        <f>ff_portfolios25!M541-ff_factors!$E541</f>
        <v>0.107847</v>
      </c>
      <c r="N541" s="2">
        <f>ff_portfolios25!N541-ff_factors!$E541</f>
        <v>5.4250999999999994E-2</v>
      </c>
      <c r="O541" s="2">
        <f>ff_portfolios25!O541-ff_factors!$E541</f>
        <v>9.0725E-2</v>
      </c>
      <c r="P541" s="2">
        <f>ff_portfolios25!P541-ff_factors!$E541</f>
        <v>8.3882999999999999E-2</v>
      </c>
      <c r="Q541" s="2">
        <f>ff_portfolios25!Q541-ff_factors!$E541</f>
        <v>7.868E-2</v>
      </c>
      <c r="R541" s="2">
        <f>ff_portfolios25!R541-ff_factors!$E541</f>
        <v>7.8754999999999992E-2</v>
      </c>
      <c r="S541" s="2">
        <f>ff_portfolios25!S541-ff_factors!$E541</f>
        <v>5.7410000000000003E-2</v>
      </c>
      <c r="T541" s="2">
        <f>ff_portfolios25!T541-ff_factors!$E541</f>
        <v>6.550099999999999E-2</v>
      </c>
      <c r="U541" s="2">
        <f>ff_portfolios25!U541-ff_factors!$E541</f>
        <v>7.1036000000000002E-2</v>
      </c>
      <c r="V541" s="2">
        <f>ff_portfolios25!V541-ff_factors!$E541</f>
        <v>9.0814999999999993E-2</v>
      </c>
      <c r="W541" s="2">
        <f>ff_portfolios25!W541-ff_factors!$E541</f>
        <v>9.1147999999999993E-2</v>
      </c>
      <c r="X541" s="2">
        <f>ff_portfolios25!X541-ff_factors!$E541</f>
        <v>3.5546999999999995E-2</v>
      </c>
      <c r="Y541" s="2">
        <f>ff_portfolios25!Y541-ff_factors!$E541</f>
        <v>6.8915999999999991E-2</v>
      </c>
      <c r="Z541" s="2">
        <f>ff_portfolios25!Z541-ff_factors!$E541</f>
        <v>5.2070000000000005E-2</v>
      </c>
      <c r="AA541" s="2">
        <f>ff_portfolios25!AA541-ff_factors!$E541</f>
        <v>7.3944999999999997E-2</v>
      </c>
      <c r="AB541" s="2">
        <f>ff_portfolios25!AB541-ff_factors!$E541</f>
        <v>7.1952000000000002E-2</v>
      </c>
    </row>
    <row r="542" spans="1:28" x14ac:dyDescent="0.2">
      <c r="A542">
        <v>19770131</v>
      </c>
      <c r="B542">
        <v>1977</v>
      </c>
      <c r="C542">
        <v>1</v>
      </c>
      <c r="D542" s="2">
        <f>ff_portfolios25!D542-ff_factors!$E542</f>
        <v>2.4841000000000002E-2</v>
      </c>
      <c r="E542" s="2">
        <f>ff_portfolios25!E542-ff_factors!$E542</f>
        <v>4.0690000000000004E-2</v>
      </c>
      <c r="F542" s="2">
        <f>ff_portfolios25!F542-ff_factors!$E542</f>
        <v>2.3075000000000002E-2</v>
      </c>
      <c r="G542" s="2">
        <f>ff_portfolios25!G542-ff_factors!$E542</f>
        <v>4.2581000000000001E-2</v>
      </c>
      <c r="H542" s="2">
        <f>ff_portfolios25!H542-ff_factors!$E542</f>
        <v>5.3995000000000001E-2</v>
      </c>
      <c r="I542" s="2">
        <f>ff_portfolios25!I542-ff_factors!$E542</f>
        <v>-6.4229999999999999E-3</v>
      </c>
      <c r="J542" s="2">
        <f>ff_portfolios25!J542-ff_factors!$E542</f>
        <v>1.8756999999999999E-2</v>
      </c>
      <c r="K542" s="2">
        <f>ff_portfolios25!K542-ff_factors!$E542</f>
        <v>-4.2529999999999998E-3</v>
      </c>
      <c r="L542" s="2">
        <f>ff_portfolios25!L542-ff_factors!$E542</f>
        <v>1.6868000000000001E-2</v>
      </c>
      <c r="M542" s="2">
        <f>ff_portfolios25!M542-ff_factors!$E542</f>
        <v>2.9428000000000003E-2</v>
      </c>
      <c r="N542" s="2">
        <f>ff_portfolios25!N542-ff_factors!$E542</f>
        <v>-2.6834E-2</v>
      </c>
      <c r="O542" s="2">
        <f>ff_portfolios25!O542-ff_factors!$E542</f>
        <v>-4.5760000000000002E-3</v>
      </c>
      <c r="P542" s="2">
        <f>ff_portfolios25!P542-ff_factors!$E542</f>
        <v>7.1089999999999999E-3</v>
      </c>
      <c r="Q542" s="2">
        <f>ff_portfolios25!Q542-ff_factors!$E542</f>
        <v>7.1250000000000003E-3</v>
      </c>
      <c r="R542" s="2">
        <f>ff_portfolios25!R542-ff_factors!$E542</f>
        <v>2.5770000000000003E-3</v>
      </c>
      <c r="S542" s="2">
        <f>ff_portfolios25!S542-ff_factors!$E542</f>
        <v>-4.7682000000000002E-2</v>
      </c>
      <c r="T542" s="2">
        <f>ff_portfolios25!T542-ff_factors!$E542</f>
        <v>-2.9815999999999999E-2</v>
      </c>
      <c r="U542" s="2">
        <f>ff_portfolios25!U542-ff_factors!$E542</f>
        <v>-2.9014999999999999E-2</v>
      </c>
      <c r="V542" s="2">
        <f>ff_portfolios25!V542-ff_factors!$E542</f>
        <v>-2.1440000000000001E-3</v>
      </c>
      <c r="W542" s="2">
        <f>ff_portfolios25!W542-ff_factors!$E542</f>
        <v>1.2404999999999999E-2</v>
      </c>
      <c r="X542" s="2">
        <f>ff_portfolios25!X542-ff_factors!$E542</f>
        <v>-8.1217000000000011E-2</v>
      </c>
      <c r="Y542" s="2">
        <f>ff_portfolios25!Y542-ff_factors!$E542</f>
        <v>-3.6958999999999999E-2</v>
      </c>
      <c r="Z542" s="2">
        <f>ff_portfolios25!Z542-ff_factors!$E542</f>
        <v>-1.3212000000000002E-2</v>
      </c>
      <c r="AA542" s="2">
        <f>ff_portfolios25!AA542-ff_factors!$E542</f>
        <v>-2.1339999999999998E-2</v>
      </c>
      <c r="AB542" s="2">
        <f>ff_portfolios25!AB542-ff_factors!$E542</f>
        <v>-5.1050000000000002E-3</v>
      </c>
    </row>
    <row r="543" spans="1:28" x14ac:dyDescent="0.2">
      <c r="A543">
        <v>19770228</v>
      </c>
      <c r="B543">
        <v>1977</v>
      </c>
      <c r="C543">
        <v>2</v>
      </c>
      <c r="D543" s="2">
        <f>ff_portfolios25!D543-ff_factors!$E543</f>
        <v>-8.2959999999999996E-3</v>
      </c>
      <c r="E543" s="2">
        <f>ff_portfolios25!E543-ff_factors!$E543</f>
        <v>-7.071E-3</v>
      </c>
      <c r="F543" s="2">
        <f>ff_portfolios25!F543-ff_factors!$E543</f>
        <v>-8.1639999999999994E-3</v>
      </c>
      <c r="G543" s="2">
        <f>ff_portfolios25!G543-ff_factors!$E543</f>
        <v>-7.6159999999999995E-3</v>
      </c>
      <c r="H543" s="2">
        <f>ff_portfolios25!H543-ff_factors!$E543</f>
        <v>7.040000000000002E-4</v>
      </c>
      <c r="I543" s="2">
        <f>ff_portfolios25!I543-ff_factors!$E543</f>
        <v>-2.0118999999999998E-2</v>
      </c>
      <c r="J543" s="2">
        <f>ff_portfolios25!J543-ff_factors!$E543</f>
        <v>-1.5082E-2</v>
      </c>
      <c r="K543" s="2">
        <f>ff_portfolios25!K543-ff_factors!$E543</f>
        <v>-7.4479999999999998E-3</v>
      </c>
      <c r="L543" s="2">
        <f>ff_portfolios25!L543-ff_factors!$E543</f>
        <v>-2.4039999999999999E-3</v>
      </c>
      <c r="M543" s="2">
        <f>ff_portfolios25!M543-ff_factors!$E543</f>
        <v>-1.9529000000000001E-2</v>
      </c>
      <c r="N543" s="2">
        <f>ff_portfolios25!N543-ff_factors!$E543</f>
        <v>-4.3395000000000003E-2</v>
      </c>
      <c r="O543" s="2">
        <f>ff_portfolios25!O543-ff_factors!$E543</f>
        <v>-1.4983999999999999E-2</v>
      </c>
      <c r="P543" s="2">
        <f>ff_portfolios25!P543-ff_factors!$E543</f>
        <v>-2.7039000000000001E-2</v>
      </c>
      <c r="Q543" s="2">
        <f>ff_portfolios25!Q543-ff_factors!$E543</f>
        <v>-1.4400000000000003E-4</v>
      </c>
      <c r="R543" s="2">
        <f>ff_portfolios25!R543-ff_factors!$E543</f>
        <v>-3.9119000000000001E-2</v>
      </c>
      <c r="S543" s="2">
        <f>ff_portfolios25!S543-ff_factors!$E543</f>
        <v>-3.3769E-2</v>
      </c>
      <c r="T543" s="2">
        <f>ff_portfolios25!T543-ff_factors!$E543</f>
        <v>-2.3456000000000001E-2</v>
      </c>
      <c r="U543" s="2">
        <f>ff_portfolios25!U543-ff_factors!$E543</f>
        <v>-2.3910000000000001E-2</v>
      </c>
      <c r="V543" s="2">
        <f>ff_portfolios25!V543-ff_factors!$E543</f>
        <v>-2.2588999999999998E-2</v>
      </c>
      <c r="W543" s="2">
        <f>ff_portfolios25!W543-ff_factors!$E543</f>
        <v>-2.5599E-2</v>
      </c>
      <c r="X543" s="2">
        <f>ff_portfolios25!X543-ff_factors!$E543</f>
        <v>-1.5970999999999999E-2</v>
      </c>
      <c r="Y543" s="2">
        <f>ff_portfolios25!Y543-ff_factors!$E543</f>
        <v>-3.6400000000000002E-2</v>
      </c>
      <c r="Z543" s="2">
        <f>ff_portfolios25!Z543-ff_factors!$E543</f>
        <v>-1.154E-2</v>
      </c>
      <c r="AA543" s="2">
        <f>ff_portfolios25!AA543-ff_factors!$E543</f>
        <v>-2.4309000000000001E-2</v>
      </c>
      <c r="AB543" s="2">
        <f>ff_portfolios25!AB543-ff_factors!$E543</f>
        <v>-1.2839E-2</v>
      </c>
    </row>
    <row r="544" spans="1:28" x14ac:dyDescent="0.2">
      <c r="A544">
        <v>19770331</v>
      </c>
      <c r="B544">
        <v>1977</v>
      </c>
      <c r="C544">
        <v>3</v>
      </c>
      <c r="D544" s="2">
        <f>ff_portfolios25!D544-ff_factors!$E544</f>
        <v>-3.0799999999999998E-3</v>
      </c>
      <c r="E544" s="2">
        <f>ff_portfolios25!E544-ff_factors!$E544</f>
        <v>-6.4700000000000001E-4</v>
      </c>
      <c r="F544" s="2">
        <f>ff_portfolios25!F544-ff_factors!$E544</f>
        <v>1.1063E-2</v>
      </c>
      <c r="G544" s="2">
        <f>ff_portfolios25!G544-ff_factors!$E544</f>
        <v>1.0705000000000001E-2</v>
      </c>
      <c r="H544" s="2">
        <f>ff_portfolios25!H544-ff_factors!$E544</f>
        <v>9.417E-3</v>
      </c>
      <c r="I544" s="2">
        <f>ff_portfolios25!I544-ff_factors!$E544</f>
        <v>1.0000000000000026E-5</v>
      </c>
      <c r="J544" s="2">
        <f>ff_portfolios25!J544-ff_factors!$E544</f>
        <v>-9.4009999999999996E-3</v>
      </c>
      <c r="K544" s="2">
        <f>ff_portfolios25!K544-ff_factors!$E544</f>
        <v>9.4580000000000011E-3</v>
      </c>
      <c r="L544" s="2">
        <f>ff_portfolios25!L544-ff_factors!$E544</f>
        <v>-7.1070000000000005E-3</v>
      </c>
      <c r="M544" s="2">
        <f>ff_portfolios25!M544-ff_factors!$E544</f>
        <v>-9.5770000000000004E-3</v>
      </c>
      <c r="N544" s="2">
        <f>ff_portfolios25!N544-ff_factors!$E544</f>
        <v>-4.5430000000000002E-3</v>
      </c>
      <c r="O544" s="2">
        <f>ff_portfolios25!O544-ff_factors!$E544</f>
        <v>1.0412000000000001E-2</v>
      </c>
      <c r="P544" s="2">
        <f>ff_portfolios25!P544-ff_factors!$E544</f>
        <v>-6.3300000000000006E-3</v>
      </c>
      <c r="Q544" s="2">
        <f>ff_portfolios25!Q544-ff_factors!$E544</f>
        <v>-1.3189999999999999E-3</v>
      </c>
      <c r="R544" s="2">
        <f>ff_portfolios25!R544-ff_factors!$E544</f>
        <v>-7.980000000000001E-4</v>
      </c>
      <c r="S544" s="2">
        <f>ff_portfolios25!S544-ff_factors!$E544</f>
        <v>-2.2420000000000002E-2</v>
      </c>
      <c r="T544" s="2">
        <f>ff_portfolios25!T544-ff_factors!$E544</f>
        <v>-8.7199999999999995E-4</v>
      </c>
      <c r="U544" s="2">
        <f>ff_portfolios25!U544-ff_factors!$E544</f>
        <v>4.4270000000000004E-3</v>
      </c>
      <c r="V544" s="2">
        <f>ff_portfolios25!V544-ff_factors!$E544</f>
        <v>1.8499999999999996E-3</v>
      </c>
      <c r="W544" s="2">
        <f>ff_portfolios25!W544-ff_factors!$E544</f>
        <v>4.5523000000000001E-2</v>
      </c>
      <c r="X544" s="2">
        <f>ff_portfolios25!X544-ff_factors!$E544</f>
        <v>-1.9759000000000002E-2</v>
      </c>
      <c r="Y544" s="2">
        <f>ff_portfolios25!Y544-ff_factors!$E544</f>
        <v>-2.2030000000000001E-2</v>
      </c>
      <c r="Z544" s="2">
        <f>ff_portfolios25!Z544-ff_factors!$E544</f>
        <v>-1.5970000000000002E-2</v>
      </c>
      <c r="AA544" s="2">
        <f>ff_portfolios25!AA544-ff_factors!$E544</f>
        <v>-1.2805E-2</v>
      </c>
      <c r="AB544" s="2">
        <f>ff_portfolios25!AB544-ff_factors!$E544</f>
        <v>-1.5860000000000002E-3</v>
      </c>
    </row>
    <row r="545" spans="1:28" x14ac:dyDescent="0.2">
      <c r="A545">
        <v>19770429</v>
      </c>
      <c r="B545">
        <v>1977</v>
      </c>
      <c r="C545">
        <v>4</v>
      </c>
      <c r="D545" s="2">
        <f>ff_portfolios25!D545-ff_factors!$E545</f>
        <v>8.7290000000000006E-3</v>
      </c>
      <c r="E545" s="2">
        <f>ff_portfolios25!E545-ff_factors!$E545</f>
        <v>-1.3359999999999999E-3</v>
      </c>
      <c r="F545" s="2">
        <f>ff_portfolios25!F545-ff_factors!$E545</f>
        <v>1.4354E-2</v>
      </c>
      <c r="G545" s="2">
        <f>ff_portfolios25!G545-ff_factors!$E545</f>
        <v>2.2764E-2</v>
      </c>
      <c r="H545" s="2">
        <f>ff_portfolios25!H545-ff_factors!$E545</f>
        <v>2.146E-2</v>
      </c>
      <c r="I545" s="2">
        <f>ff_portfolios25!I545-ff_factors!$E545</f>
        <v>7.9830000000000005E-3</v>
      </c>
      <c r="J545" s="2">
        <f>ff_portfolios25!J545-ff_factors!$E545</f>
        <v>1.0444E-2</v>
      </c>
      <c r="K545" s="2">
        <f>ff_portfolios25!K545-ff_factors!$E545</f>
        <v>8.2199999999999999E-3</v>
      </c>
      <c r="L545" s="2">
        <f>ff_portfolios25!L545-ff_factors!$E545</f>
        <v>1.9314999999999999E-2</v>
      </c>
      <c r="M545" s="2">
        <f>ff_portfolios25!M545-ff_factors!$E545</f>
        <v>2.4912999999999998E-2</v>
      </c>
      <c r="N545" s="2">
        <f>ff_portfolios25!N545-ff_factors!$E545</f>
        <v>9.9200000000000026E-4</v>
      </c>
      <c r="O545" s="2">
        <f>ff_portfolios25!O545-ff_factors!$E545</f>
        <v>4.3160000000000004E-3</v>
      </c>
      <c r="P545" s="2">
        <f>ff_portfolios25!P545-ff_factors!$E545</f>
        <v>1.5956999999999999E-2</v>
      </c>
      <c r="Q545" s="2">
        <f>ff_portfolios25!Q545-ff_factors!$E545</f>
        <v>2.2379E-2</v>
      </c>
      <c r="R545" s="2">
        <f>ff_portfolios25!R545-ff_factors!$E545</f>
        <v>1.8962999999999997E-2</v>
      </c>
      <c r="S545" s="2">
        <f>ff_portfolios25!S545-ff_factors!$E545</f>
        <v>-8.3979999999999992E-3</v>
      </c>
      <c r="T545" s="2">
        <f>ff_portfolios25!T545-ff_factors!$E545</f>
        <v>1.6638E-2</v>
      </c>
      <c r="U545" s="2">
        <f>ff_portfolios25!U545-ff_factors!$E545</f>
        <v>2.2194999999999999E-2</v>
      </c>
      <c r="V545" s="2">
        <f>ff_portfolios25!V545-ff_factors!$E545</f>
        <v>2.6955E-2</v>
      </c>
      <c r="W545" s="2">
        <f>ff_portfolios25!W545-ff_factors!$E545</f>
        <v>2.3434E-2</v>
      </c>
      <c r="X545" s="2">
        <f>ff_portfolios25!X545-ff_factors!$E545</f>
        <v>-2.5875000000000002E-2</v>
      </c>
      <c r="Y545" s="2">
        <f>ff_portfolios25!Y545-ff_factors!$E545</f>
        <v>1.7842E-2</v>
      </c>
      <c r="Z545" s="2">
        <f>ff_portfolios25!Z545-ff_factors!$E545</f>
        <v>1.0146000000000001E-2</v>
      </c>
      <c r="AA545" s="2">
        <f>ff_portfolios25!AA545-ff_factors!$E545</f>
        <v>3.6155E-2</v>
      </c>
      <c r="AB545" s="2">
        <f>ff_portfolios25!AB545-ff_factors!$E545</f>
        <v>5.6126000000000002E-2</v>
      </c>
    </row>
    <row r="546" spans="1:28" x14ac:dyDescent="0.2">
      <c r="A546">
        <v>19770531</v>
      </c>
      <c r="B546">
        <v>1977</v>
      </c>
      <c r="C546">
        <v>5</v>
      </c>
      <c r="D546" s="2">
        <f>ff_portfolios25!D546-ff_factors!$E546</f>
        <v>-2.1400000000000002E-2</v>
      </c>
      <c r="E546" s="2">
        <f>ff_portfolios25!E546-ff_factors!$E546</f>
        <v>-7.2350000000000001E-3</v>
      </c>
      <c r="F546" s="2">
        <f>ff_portfolios25!F546-ff_factors!$E546</f>
        <v>8.7299999999999964E-4</v>
      </c>
      <c r="G546" s="2">
        <f>ff_portfolios25!G546-ff_factors!$E546</f>
        <v>-2.6420000000000003E-3</v>
      </c>
      <c r="H546" s="2">
        <f>ff_portfolios25!H546-ff_factors!$E546</f>
        <v>9.3729999999999994E-3</v>
      </c>
      <c r="I546" s="2">
        <f>ff_portfolios25!I546-ff_factors!$E546</f>
        <v>5.1699999999999992E-3</v>
      </c>
      <c r="J546" s="2">
        <f>ff_portfolios25!J546-ff_factors!$E546</f>
        <v>-1.5458E-2</v>
      </c>
      <c r="K546" s="2">
        <f>ff_portfolios25!K546-ff_factors!$E546</f>
        <v>-1.0038999999999999E-2</v>
      </c>
      <c r="L546" s="2">
        <f>ff_portfolios25!L546-ff_factors!$E546</f>
        <v>6.5380000000000004E-3</v>
      </c>
      <c r="M546" s="2">
        <f>ff_portfolios25!M546-ff_factors!$E546</f>
        <v>-2.1512999999999997E-2</v>
      </c>
      <c r="N546" s="2">
        <f>ff_portfolios25!N546-ff_factors!$E546</f>
        <v>-1.2316000000000001E-2</v>
      </c>
      <c r="O546" s="2">
        <f>ff_portfolios25!O546-ff_factors!$E546</f>
        <v>-1.6720000000000003E-3</v>
      </c>
      <c r="P546" s="2">
        <f>ff_portfolios25!P546-ff_factors!$E546</f>
        <v>1.8349999999999998E-3</v>
      </c>
      <c r="Q546" s="2">
        <f>ff_portfolios25!Q546-ff_factors!$E546</f>
        <v>3.2940000000000001E-3</v>
      </c>
      <c r="R546" s="2">
        <f>ff_portfolios25!R546-ff_factors!$E546</f>
        <v>-7.6400000000000036E-4</v>
      </c>
      <c r="S546" s="2">
        <f>ff_portfolios25!S546-ff_factors!$E546</f>
        <v>-8.712000000000001E-3</v>
      </c>
      <c r="T546" s="2">
        <f>ff_portfolios25!T546-ff_factors!$E546</f>
        <v>-1.193E-2</v>
      </c>
      <c r="U546" s="2">
        <f>ff_portfolios25!U546-ff_factors!$E546</f>
        <v>-3.539E-3</v>
      </c>
      <c r="V546" s="2">
        <f>ff_portfolios25!V546-ff_factors!$E546</f>
        <v>-1.6414999999999999E-2</v>
      </c>
      <c r="W546" s="2">
        <f>ff_portfolios25!W546-ff_factors!$E546</f>
        <v>-1.6678999999999999E-2</v>
      </c>
      <c r="X546" s="2">
        <f>ff_portfolios25!X546-ff_factors!$E546</f>
        <v>-2.7657000000000001E-2</v>
      </c>
      <c r="Y546" s="2">
        <f>ff_portfolios25!Y546-ff_factors!$E546</f>
        <v>-1.1957000000000001E-2</v>
      </c>
      <c r="Z546" s="2">
        <f>ff_portfolios25!Z546-ff_factors!$E546</f>
        <v>3.065E-3</v>
      </c>
      <c r="AA546" s="2">
        <f>ff_portfolios25!AA546-ff_factors!$E546</f>
        <v>-2.3018999999999998E-2</v>
      </c>
      <c r="AB546" s="2">
        <f>ff_portfolios25!AB546-ff_factors!$E546</f>
        <v>-3.3831E-2</v>
      </c>
    </row>
    <row r="547" spans="1:28" x14ac:dyDescent="0.2">
      <c r="A547">
        <v>19770630</v>
      </c>
      <c r="B547">
        <v>1977</v>
      </c>
      <c r="C547">
        <v>6</v>
      </c>
      <c r="D547" s="2">
        <f>ff_portfolios25!D547-ff_factors!$E547</f>
        <v>5.4032999999999998E-2</v>
      </c>
      <c r="E547" s="2">
        <f>ff_portfolios25!E547-ff_factors!$E547</f>
        <v>6.2385999999999997E-2</v>
      </c>
      <c r="F547" s="2">
        <f>ff_portfolios25!F547-ff_factors!$E547</f>
        <v>6.6362999999999991E-2</v>
      </c>
      <c r="G547" s="2">
        <f>ff_portfolios25!G547-ff_factors!$E547</f>
        <v>5.2679000000000004E-2</v>
      </c>
      <c r="H547" s="2">
        <f>ff_portfolios25!H547-ff_factors!$E547</f>
        <v>6.8592E-2</v>
      </c>
      <c r="I547" s="2">
        <f>ff_portfolios25!I547-ff_factors!$E547</f>
        <v>8.2323999999999994E-2</v>
      </c>
      <c r="J547" s="2">
        <f>ff_portfolios25!J547-ff_factors!$E547</f>
        <v>5.6015999999999996E-2</v>
      </c>
      <c r="K547" s="2">
        <f>ff_portfolios25!K547-ff_factors!$E547</f>
        <v>5.9554999999999997E-2</v>
      </c>
      <c r="L547" s="2">
        <f>ff_portfolios25!L547-ff_factors!$E547</f>
        <v>5.6459999999999996E-2</v>
      </c>
      <c r="M547" s="2">
        <f>ff_portfolios25!M547-ff_factors!$E547</f>
        <v>8.1358E-2</v>
      </c>
      <c r="N547" s="2">
        <f>ff_portfolios25!N547-ff_factors!$E547</f>
        <v>8.438699999999999E-2</v>
      </c>
      <c r="O547" s="2">
        <f>ff_portfolios25!O547-ff_factors!$E547</f>
        <v>5.9284000000000003E-2</v>
      </c>
      <c r="P547" s="2">
        <f>ff_portfolios25!P547-ff_factors!$E547</f>
        <v>5.7339000000000001E-2</v>
      </c>
      <c r="Q547" s="2">
        <f>ff_portfolios25!Q547-ff_factors!$E547</f>
        <v>4.2134000000000005E-2</v>
      </c>
      <c r="R547" s="2">
        <f>ff_portfolios25!R547-ff_factors!$E547</f>
        <v>5.8835999999999999E-2</v>
      </c>
      <c r="S547" s="2">
        <f>ff_portfolios25!S547-ff_factors!$E547</f>
        <v>5.8907000000000001E-2</v>
      </c>
      <c r="T547" s="2">
        <f>ff_portfolios25!T547-ff_factors!$E547</f>
        <v>4.7248999999999999E-2</v>
      </c>
      <c r="U547" s="2">
        <f>ff_portfolios25!U547-ff_factors!$E547</f>
        <v>4.4430999999999998E-2</v>
      </c>
      <c r="V547" s="2">
        <f>ff_portfolios25!V547-ff_factors!$E547</f>
        <v>4.4131000000000004E-2</v>
      </c>
      <c r="W547" s="2">
        <f>ff_portfolios25!W547-ff_factors!$E547</f>
        <v>5.7772000000000004E-2</v>
      </c>
      <c r="X547" s="2">
        <f>ff_portfolios25!X547-ff_factors!$E547</f>
        <v>5.5968000000000004E-2</v>
      </c>
      <c r="Y547" s="2">
        <f>ff_portfolios25!Y547-ff_factors!$E547</f>
        <v>3.5594000000000001E-2</v>
      </c>
      <c r="Z547" s="2">
        <f>ff_portfolios25!Z547-ff_factors!$E547</f>
        <v>2.6467999999999998E-2</v>
      </c>
      <c r="AA547" s="2">
        <f>ff_portfolios25!AA547-ff_factors!$E547</f>
        <v>4.5689999999999995E-2</v>
      </c>
      <c r="AB547" s="2">
        <f>ff_portfolios25!AB547-ff_factors!$E547</f>
        <v>1.592E-2</v>
      </c>
    </row>
    <row r="548" spans="1:28" x14ac:dyDescent="0.2">
      <c r="A548">
        <v>19770729</v>
      </c>
      <c r="B548">
        <v>1977</v>
      </c>
      <c r="C548">
        <v>7</v>
      </c>
      <c r="D548" s="2">
        <f>ff_portfolios25!D548-ff_factors!$E548</f>
        <v>7.5459999999999998E-3</v>
      </c>
      <c r="E548" s="2">
        <f>ff_portfolios25!E548-ff_factors!$E548</f>
        <v>5.0379999999999999E-3</v>
      </c>
      <c r="F548" s="2">
        <f>ff_portfolios25!F548-ff_factors!$E548</f>
        <v>6.4099999999999999E-3</v>
      </c>
      <c r="G548" s="2">
        <f>ff_portfolios25!G548-ff_factors!$E548</f>
        <v>1.7780000000000001E-3</v>
      </c>
      <c r="H548" s="2">
        <f>ff_portfolios25!H548-ff_factors!$E548</f>
        <v>7.6420000000000004E-3</v>
      </c>
      <c r="I548" s="2">
        <f>ff_portfolios25!I548-ff_factors!$E548</f>
        <v>-1.7104999999999999E-2</v>
      </c>
      <c r="J548" s="2">
        <f>ff_portfolios25!J548-ff_factors!$E548</f>
        <v>-5.0349999999999995E-3</v>
      </c>
      <c r="K548" s="2">
        <f>ff_portfolios25!K548-ff_factors!$E548</f>
        <v>-1.0853999999999999E-2</v>
      </c>
      <c r="L548" s="2">
        <f>ff_portfolios25!L548-ff_factors!$E548</f>
        <v>4.6570000000000005E-3</v>
      </c>
      <c r="M548" s="2">
        <f>ff_portfolios25!M548-ff_factors!$E548</f>
        <v>-1.8389999999999999E-3</v>
      </c>
      <c r="N548" s="2">
        <f>ff_portfolios25!N548-ff_factors!$E548</f>
        <v>-3.8859999999999997E-3</v>
      </c>
      <c r="O548" s="2">
        <f>ff_portfolios25!O548-ff_factors!$E548</f>
        <v>-4.2649999999999997E-3</v>
      </c>
      <c r="P548" s="2">
        <f>ff_portfolios25!P548-ff_factors!$E548</f>
        <v>-1.5540999999999999E-2</v>
      </c>
      <c r="Q548" s="2">
        <f>ff_portfolios25!Q548-ff_factors!$E548</f>
        <v>-1.7475000000000001E-2</v>
      </c>
      <c r="R548" s="2">
        <f>ff_portfolios25!R548-ff_factors!$E548</f>
        <v>-1.0617999999999999E-2</v>
      </c>
      <c r="S548" s="2">
        <f>ff_portfolios25!S548-ff_factors!$E548</f>
        <v>-1.4629E-2</v>
      </c>
      <c r="T548" s="2">
        <f>ff_portfolios25!T548-ff_factors!$E548</f>
        <v>-3.5771000000000004E-2</v>
      </c>
      <c r="U548" s="2">
        <f>ff_portfolios25!U548-ff_factors!$E548</f>
        <v>-1.038E-2</v>
      </c>
      <c r="V548" s="2">
        <f>ff_portfolios25!V548-ff_factors!$E548</f>
        <v>-1.5248000000000001E-2</v>
      </c>
      <c r="W548" s="2">
        <f>ff_portfolios25!W548-ff_factors!$E548</f>
        <v>-4.7987000000000002E-2</v>
      </c>
      <c r="X548" s="2">
        <f>ff_portfolios25!X548-ff_factors!$E548</f>
        <v>-1.6163E-2</v>
      </c>
      <c r="Y548" s="2">
        <f>ff_portfolios25!Y548-ff_factors!$E548</f>
        <v>-3.1349000000000002E-2</v>
      </c>
      <c r="Z548" s="2">
        <f>ff_portfolios25!Z548-ff_factors!$E548</f>
        <v>-1.2868000000000001E-2</v>
      </c>
      <c r="AA548" s="2">
        <f>ff_portfolios25!AA548-ff_factors!$E548</f>
        <v>-4.6509999999999998E-3</v>
      </c>
      <c r="AB548" s="2">
        <f>ff_portfolios25!AB548-ff_factors!$E548</f>
        <v>-5.2930000000000005E-2</v>
      </c>
    </row>
    <row r="549" spans="1:28" x14ac:dyDescent="0.2">
      <c r="A549">
        <v>19770831</v>
      </c>
      <c r="B549">
        <v>1977</v>
      </c>
      <c r="C549">
        <v>8</v>
      </c>
      <c r="D549" s="2">
        <f>ff_portfolios25!D549-ff_factors!$E549</f>
        <v>5.8459999999999996E-3</v>
      </c>
      <c r="E549" s="2">
        <f>ff_portfolios25!E549-ff_factors!$E549</f>
        <v>-7.8399999999999997E-3</v>
      </c>
      <c r="F549" s="2">
        <f>ff_portfolios25!F549-ff_factors!$E549</f>
        <v>-8.5929999999999999E-3</v>
      </c>
      <c r="G549" s="2">
        <f>ff_portfolios25!G549-ff_factors!$E549</f>
        <v>-1.7698999999999999E-2</v>
      </c>
      <c r="H549" s="2">
        <f>ff_portfolios25!H549-ff_factors!$E549</f>
        <v>-2.1125000000000001E-2</v>
      </c>
      <c r="I549" s="2">
        <f>ff_portfolios25!I549-ff_factors!$E549</f>
        <v>1.7639999999999999E-3</v>
      </c>
      <c r="J549" s="2">
        <f>ff_portfolios25!J549-ff_factors!$E549</f>
        <v>-1.2507000000000001E-2</v>
      </c>
      <c r="K549" s="2">
        <f>ff_portfolios25!K549-ff_factors!$E549</f>
        <v>-1.9511000000000001E-2</v>
      </c>
      <c r="L549" s="2">
        <f>ff_portfolios25!L549-ff_factors!$E549</f>
        <v>-1.3672E-2</v>
      </c>
      <c r="M549" s="2">
        <f>ff_portfolios25!M549-ff_factors!$E549</f>
        <v>-1.8773999999999999E-2</v>
      </c>
      <c r="N549" s="2">
        <f>ff_portfolios25!N549-ff_factors!$E549</f>
        <v>1.4183999999999999E-2</v>
      </c>
      <c r="O549" s="2">
        <f>ff_portfolios25!O549-ff_factors!$E549</f>
        <v>-1.6728E-2</v>
      </c>
      <c r="P549" s="2">
        <f>ff_portfolios25!P549-ff_factors!$E549</f>
        <v>-1.2175999999999999E-2</v>
      </c>
      <c r="Q549" s="2">
        <f>ff_portfolios25!Q549-ff_factors!$E549</f>
        <v>-9.8440000000000003E-3</v>
      </c>
      <c r="R549" s="2">
        <f>ff_portfolios25!R549-ff_factors!$E549</f>
        <v>-1.8048999999999999E-2</v>
      </c>
      <c r="S549" s="2">
        <f>ff_portfolios25!S549-ff_factors!$E549</f>
        <v>-1.8681E-2</v>
      </c>
      <c r="T549" s="2">
        <f>ff_portfolios25!T549-ff_factors!$E549</f>
        <v>-1.5182999999999999E-2</v>
      </c>
      <c r="U549" s="2">
        <f>ff_portfolios25!U549-ff_factors!$E549</f>
        <v>-2.3845000000000002E-2</v>
      </c>
      <c r="V549" s="2">
        <f>ff_portfolios25!V549-ff_factors!$E549</f>
        <v>-2.5151E-2</v>
      </c>
      <c r="W549" s="2">
        <f>ff_portfolios25!W549-ff_factors!$E549</f>
        <v>-4.1953000000000004E-2</v>
      </c>
      <c r="X549" s="2">
        <f>ff_portfolios25!X549-ff_factors!$E549</f>
        <v>7.4930000000000005E-3</v>
      </c>
      <c r="Y549" s="2">
        <f>ff_portfolios25!Y549-ff_factors!$E549</f>
        <v>-3.9729E-2</v>
      </c>
      <c r="Z549" s="2">
        <f>ff_portfolios25!Z549-ff_factors!$E549</f>
        <v>-3.3398999999999998E-2</v>
      </c>
      <c r="AA549" s="2">
        <f>ff_portfolios25!AA549-ff_factors!$E549</f>
        <v>-5.2983000000000002E-2</v>
      </c>
      <c r="AB549" s="2">
        <f>ff_portfolios25!AB549-ff_factors!$E549</f>
        <v>-4.6443999999999999E-2</v>
      </c>
    </row>
    <row r="550" spans="1:28" x14ac:dyDescent="0.2">
      <c r="A550">
        <v>19770930</v>
      </c>
      <c r="B550">
        <v>1977</v>
      </c>
      <c r="C550">
        <v>9</v>
      </c>
      <c r="D550" s="2">
        <f>ff_portfolios25!D550-ff_factors!$E550</f>
        <v>1.8752999999999999E-2</v>
      </c>
      <c r="E550" s="2">
        <f>ff_portfolios25!E550-ff_factors!$E550</f>
        <v>1.8866000000000001E-2</v>
      </c>
      <c r="F550" s="2">
        <f>ff_portfolios25!F550-ff_factors!$E550</f>
        <v>4.2579999999999996E-3</v>
      </c>
      <c r="G550" s="2">
        <f>ff_portfolios25!G550-ff_factors!$E550</f>
        <v>1.4392E-2</v>
      </c>
      <c r="H550" s="2">
        <f>ff_portfolios25!H550-ff_factors!$E550</f>
        <v>9.3469999999999994E-3</v>
      </c>
      <c r="I550" s="2">
        <f>ff_portfolios25!I550-ff_factors!$E550</f>
        <v>8.7390000000000002E-3</v>
      </c>
      <c r="J550" s="2">
        <f>ff_portfolios25!J550-ff_factors!$E550</f>
        <v>5.5639999999999995E-3</v>
      </c>
      <c r="K550" s="2">
        <f>ff_portfolios25!K550-ff_factors!$E550</f>
        <v>1.3123000000000001E-2</v>
      </c>
      <c r="L550" s="2">
        <f>ff_portfolios25!L550-ff_factors!$E550</f>
        <v>-2.7079999999999999E-3</v>
      </c>
      <c r="M550" s="2">
        <f>ff_portfolios25!M550-ff_factors!$E550</f>
        <v>-1.8583000000000002E-2</v>
      </c>
      <c r="N550" s="2">
        <f>ff_portfolios25!N550-ff_factors!$E550</f>
        <v>1.6981999999999997E-2</v>
      </c>
      <c r="O550" s="2">
        <f>ff_portfolios25!O550-ff_factors!$E550</f>
        <v>1.0477999999999999E-2</v>
      </c>
      <c r="P550" s="2">
        <f>ff_portfolios25!P550-ff_factors!$E550</f>
        <v>7.3989999999999993E-3</v>
      </c>
      <c r="Q550" s="2">
        <f>ff_portfolios25!Q550-ff_factors!$E550</f>
        <v>-1.379E-3</v>
      </c>
      <c r="R550" s="2">
        <f>ff_portfolios25!R550-ff_factors!$E550</f>
        <v>-1.6519999999999998E-3</v>
      </c>
      <c r="S550" s="2">
        <f>ff_portfolios25!S550-ff_factors!$E550</f>
        <v>5.7660000000000003E-3</v>
      </c>
      <c r="T550" s="2">
        <f>ff_portfolios25!T550-ff_factors!$E550</f>
        <v>-3.4299999999999999E-3</v>
      </c>
      <c r="U550" s="2">
        <f>ff_portfolios25!U550-ff_factors!$E550</f>
        <v>3.1799999999999997E-3</v>
      </c>
      <c r="V550" s="2">
        <f>ff_portfolios25!V550-ff_factors!$E550</f>
        <v>5.2600000000000043E-4</v>
      </c>
      <c r="W550" s="2">
        <f>ff_portfolios25!W550-ff_factors!$E550</f>
        <v>-1.4762000000000001E-2</v>
      </c>
      <c r="X550" s="2">
        <f>ff_portfolios25!X550-ff_factors!$E550</f>
        <v>-1.2925000000000001E-2</v>
      </c>
      <c r="Y550" s="2">
        <f>ff_portfolios25!Y550-ff_factors!$E550</f>
        <v>-1.2446E-2</v>
      </c>
      <c r="Z550" s="2">
        <f>ff_portfolios25!Z550-ff_factors!$E550</f>
        <v>1.7743000000000002E-2</v>
      </c>
      <c r="AA550" s="2">
        <f>ff_portfolios25!AA550-ff_factors!$E550</f>
        <v>1.9200000000000033E-4</v>
      </c>
      <c r="AB550" s="2">
        <f>ff_portfolios25!AB550-ff_factors!$E550</f>
        <v>-5.4149999999999997E-3</v>
      </c>
    </row>
    <row r="551" spans="1:28" x14ac:dyDescent="0.2">
      <c r="A551">
        <v>19771031</v>
      </c>
      <c r="B551">
        <v>1977</v>
      </c>
      <c r="C551">
        <v>10</v>
      </c>
      <c r="D551" s="2">
        <f>ff_portfolios25!D551-ff_factors!$E551</f>
        <v>-5.0627999999999999E-2</v>
      </c>
      <c r="E551" s="2">
        <f>ff_portfolios25!E551-ff_factors!$E551</f>
        <v>-3.1383000000000001E-2</v>
      </c>
      <c r="F551" s="2">
        <f>ff_portfolios25!F551-ff_factors!$E551</f>
        <v>-2.6403999999999997E-2</v>
      </c>
      <c r="G551" s="2">
        <f>ff_portfolios25!G551-ff_factors!$E551</f>
        <v>-1.7363999999999997E-2</v>
      </c>
      <c r="H551" s="2">
        <f>ff_portfolios25!H551-ff_factors!$E551</f>
        <v>-2.6743000000000003E-2</v>
      </c>
      <c r="I551" s="2">
        <f>ff_portfolios25!I551-ff_factors!$E551</f>
        <v>-5.7430000000000002E-2</v>
      </c>
      <c r="J551" s="2">
        <f>ff_portfolios25!J551-ff_factors!$E551</f>
        <v>-3.0587999999999997E-2</v>
      </c>
      <c r="K551" s="2">
        <f>ff_portfolios25!K551-ff_factors!$E551</f>
        <v>-4.4562999999999998E-2</v>
      </c>
      <c r="L551" s="2">
        <f>ff_portfolios25!L551-ff_factors!$E551</f>
        <v>-3.0899999999999999E-3</v>
      </c>
      <c r="M551" s="2">
        <f>ff_portfolios25!M551-ff_factors!$E551</f>
        <v>-2.1081999999999997E-2</v>
      </c>
      <c r="N551" s="2">
        <f>ff_portfolios25!N551-ff_factors!$E551</f>
        <v>-3.9163000000000003E-2</v>
      </c>
      <c r="O551" s="2">
        <f>ff_portfolios25!O551-ff_factors!$E551</f>
        <v>-2.6049000000000003E-2</v>
      </c>
      <c r="P551" s="2">
        <f>ff_portfolios25!P551-ff_factors!$E551</f>
        <v>-2.9144999999999997E-2</v>
      </c>
      <c r="Q551" s="2">
        <f>ff_portfolios25!Q551-ff_factors!$E551</f>
        <v>-2.9615999999999996E-2</v>
      </c>
      <c r="R551" s="2">
        <f>ff_portfolios25!R551-ff_factors!$E551</f>
        <v>-3.0457999999999999E-2</v>
      </c>
      <c r="S551" s="2">
        <f>ff_portfolios25!S551-ff_factors!$E551</f>
        <v>-4.4722000000000005E-2</v>
      </c>
      <c r="T551" s="2">
        <f>ff_portfolios25!T551-ff_factors!$E551</f>
        <v>-3.5389999999999998E-2</v>
      </c>
      <c r="U551" s="2">
        <f>ff_portfolios25!U551-ff_factors!$E551</f>
        <v>-3.3926999999999999E-2</v>
      </c>
      <c r="V551" s="2">
        <f>ff_portfolios25!V551-ff_factors!$E551</f>
        <v>-4.4770999999999998E-2</v>
      </c>
      <c r="W551" s="2">
        <f>ff_portfolios25!W551-ff_factors!$E551</f>
        <v>-5.3697000000000002E-2</v>
      </c>
      <c r="X551" s="2">
        <f>ff_portfolios25!X551-ff_factors!$E551</f>
        <v>-4.8906000000000005E-2</v>
      </c>
      <c r="Y551" s="2">
        <f>ff_portfolios25!Y551-ff_factors!$E551</f>
        <v>-4.6158999999999999E-2</v>
      </c>
      <c r="Z551" s="2">
        <f>ff_portfolios25!Z551-ff_factors!$E551</f>
        <v>-5.5465E-2</v>
      </c>
      <c r="AA551" s="2">
        <f>ff_portfolios25!AA551-ff_factors!$E551</f>
        <v>-2.9455000000000002E-2</v>
      </c>
      <c r="AB551" s="2">
        <f>ff_portfolios25!AB551-ff_factors!$E551</f>
        <v>-4.0858999999999999E-2</v>
      </c>
    </row>
    <row r="552" spans="1:28" x14ac:dyDescent="0.2">
      <c r="A552">
        <v>19771130</v>
      </c>
      <c r="B552">
        <v>1977</v>
      </c>
      <c r="C552">
        <v>11</v>
      </c>
      <c r="D552" s="2">
        <f>ff_portfolios25!D552-ff_factors!$E552</f>
        <v>9.0089000000000002E-2</v>
      </c>
      <c r="E552" s="2">
        <f>ff_portfolios25!E552-ff_factors!$E552</f>
        <v>8.0915000000000001E-2</v>
      </c>
      <c r="F552" s="2">
        <f>ff_portfolios25!F552-ff_factors!$E552</f>
        <v>7.7549999999999994E-2</v>
      </c>
      <c r="G552" s="2">
        <f>ff_portfolios25!G552-ff_factors!$E552</f>
        <v>6.0682000000000007E-2</v>
      </c>
      <c r="H552" s="2">
        <f>ff_portfolios25!H552-ff_factors!$E552</f>
        <v>8.6238999999999996E-2</v>
      </c>
      <c r="I552" s="2">
        <f>ff_portfolios25!I552-ff_factors!$E552</f>
        <v>7.8765999999999989E-2</v>
      </c>
      <c r="J552" s="2">
        <f>ff_portfolios25!J552-ff_factors!$E552</f>
        <v>9.0038999999999994E-2</v>
      </c>
      <c r="K552" s="2">
        <f>ff_portfolios25!K552-ff_factors!$E552</f>
        <v>8.3395999999999998E-2</v>
      </c>
      <c r="L552" s="2">
        <f>ff_portfolios25!L552-ff_factors!$E552</f>
        <v>6.5476999999999994E-2</v>
      </c>
      <c r="M552" s="2">
        <f>ff_portfolios25!M552-ff_factors!$E552</f>
        <v>7.7614000000000002E-2</v>
      </c>
      <c r="N552" s="2">
        <f>ff_portfolios25!N552-ff_factors!$E552</f>
        <v>6.3293999999999989E-2</v>
      </c>
      <c r="O552" s="2">
        <f>ff_portfolios25!O552-ff_factors!$E552</f>
        <v>7.1007000000000001E-2</v>
      </c>
      <c r="P552" s="2">
        <f>ff_portfolios25!P552-ff_factors!$E552</f>
        <v>5.4810000000000005E-2</v>
      </c>
      <c r="Q552" s="2">
        <f>ff_portfolios25!Q552-ff_factors!$E552</f>
        <v>5.6480000000000002E-2</v>
      </c>
      <c r="R552" s="2">
        <f>ff_portfolios25!R552-ff_factors!$E552</f>
        <v>8.0861999999999989E-2</v>
      </c>
      <c r="S552" s="2">
        <f>ff_portfolios25!S552-ff_factors!$E552</f>
        <v>6.7807999999999993E-2</v>
      </c>
      <c r="T552" s="2">
        <f>ff_portfolios25!T552-ff_factors!$E552</f>
        <v>5.5438000000000001E-2</v>
      </c>
      <c r="U552" s="2">
        <f>ff_portfolios25!U552-ff_factors!$E552</f>
        <v>5.0042000000000003E-2</v>
      </c>
      <c r="V552" s="2">
        <f>ff_portfolios25!V552-ff_factors!$E552</f>
        <v>6.5831000000000001E-2</v>
      </c>
      <c r="W552" s="2">
        <f>ff_portfolios25!W552-ff_factors!$E552</f>
        <v>6.6663E-2</v>
      </c>
      <c r="X552" s="2">
        <f>ff_portfolios25!X552-ff_factors!$E552</f>
        <v>3.0349999999999999E-2</v>
      </c>
      <c r="Y552" s="2">
        <f>ff_portfolios25!Y552-ff_factors!$E552</f>
        <v>2.8069E-2</v>
      </c>
      <c r="Z552" s="2">
        <f>ff_portfolios25!Z552-ff_factors!$E552</f>
        <v>2.5315000000000001E-2</v>
      </c>
      <c r="AA552" s="2">
        <f>ff_portfolios25!AA552-ff_factors!$E552</f>
        <v>2.4132999999999998E-2</v>
      </c>
      <c r="AB552" s="2">
        <f>ff_portfolios25!AB552-ff_factors!$E552</f>
        <v>4.1905000000000005E-2</v>
      </c>
    </row>
    <row r="553" spans="1:28" x14ac:dyDescent="0.2">
      <c r="A553">
        <v>19771230</v>
      </c>
      <c r="B553">
        <v>1977</v>
      </c>
      <c r="C553">
        <v>12</v>
      </c>
      <c r="D553" s="2">
        <f>ff_portfolios25!D553-ff_factors!$E553</f>
        <v>4.3043999999999999E-2</v>
      </c>
      <c r="E553" s="2">
        <f>ff_portfolios25!E553-ff_factors!$E553</f>
        <v>3.0425000000000001E-2</v>
      </c>
      <c r="F553" s="2">
        <f>ff_portfolios25!F553-ff_factors!$E553</f>
        <v>2.1651000000000004E-2</v>
      </c>
      <c r="G553" s="2">
        <f>ff_portfolios25!G553-ff_factors!$E553</f>
        <v>2.1789000000000003E-2</v>
      </c>
      <c r="H553" s="2">
        <f>ff_portfolios25!H553-ff_factors!$E553</f>
        <v>1.2756999999999999E-2</v>
      </c>
      <c r="I553" s="2">
        <f>ff_portfolios25!I553-ff_factors!$E553</f>
        <v>2.5696000000000004E-2</v>
      </c>
      <c r="J553" s="2">
        <f>ff_portfolios25!J553-ff_factors!$E553</f>
        <v>1.4461E-2</v>
      </c>
      <c r="K553" s="2">
        <f>ff_portfolios25!K553-ff_factors!$E553</f>
        <v>-2.7000000000000114E-5</v>
      </c>
      <c r="L553" s="2">
        <f>ff_portfolios25!L553-ff_factors!$E553</f>
        <v>4.1799999999999997E-4</v>
      </c>
      <c r="M553" s="2">
        <f>ff_portfolios25!M553-ff_factors!$E553</f>
        <v>1.1371000000000001E-2</v>
      </c>
      <c r="N553" s="2">
        <f>ff_portfolios25!N553-ff_factors!$E553</f>
        <v>1.0426E-2</v>
      </c>
      <c r="O553" s="2">
        <f>ff_portfolios25!O553-ff_factors!$E553</f>
        <v>1.9430000000000003E-3</v>
      </c>
      <c r="P553" s="2">
        <f>ff_portfolios25!P553-ff_factors!$E553</f>
        <v>1.2835000000000001E-2</v>
      </c>
      <c r="Q553" s="2">
        <f>ff_portfolios25!Q553-ff_factors!$E553</f>
        <v>5.4210000000000005E-3</v>
      </c>
      <c r="R553" s="2">
        <f>ff_portfolios25!R553-ff_factors!$E553</f>
        <v>6.5050000000000004E-3</v>
      </c>
      <c r="S553" s="2">
        <f>ff_portfolios25!S553-ff_factors!$E553</f>
        <v>-4.5900000000000021E-4</v>
      </c>
      <c r="T553" s="2">
        <f>ff_portfolios25!T553-ff_factors!$E553</f>
        <v>3.3249999999999998E-3</v>
      </c>
      <c r="U553" s="2">
        <f>ff_portfolios25!U553-ff_factors!$E553</f>
        <v>1.0959999999999998E-3</v>
      </c>
      <c r="V553" s="2">
        <f>ff_portfolios25!V553-ff_factors!$E553</f>
        <v>-7.3949999999999997E-3</v>
      </c>
      <c r="W553" s="2">
        <f>ff_portfolios25!W553-ff_factors!$E553</f>
        <v>-1.0928999999999999E-2</v>
      </c>
      <c r="X553" s="2">
        <f>ff_portfolios25!X553-ff_factors!$E553</f>
        <v>-4.0140000000000002E-3</v>
      </c>
      <c r="Y553" s="2">
        <f>ff_portfolios25!Y553-ff_factors!$E553</f>
        <v>6.2439999999999996E-3</v>
      </c>
      <c r="Z553" s="2">
        <f>ff_portfolios25!Z553-ff_factors!$E553</f>
        <v>6.8330000000000005E-3</v>
      </c>
      <c r="AA553" s="2">
        <f>ff_portfolios25!AA553-ff_factors!$E553</f>
        <v>-1.0039999999999997E-3</v>
      </c>
      <c r="AB553" s="2">
        <f>ff_portfolios25!AB553-ff_factors!$E553</f>
        <v>8.5810000000000001E-3</v>
      </c>
    </row>
    <row r="554" spans="1:28" x14ac:dyDescent="0.2">
      <c r="A554">
        <v>19780131</v>
      </c>
      <c r="B554">
        <v>1978</v>
      </c>
      <c r="C554">
        <v>1</v>
      </c>
      <c r="D554" s="2">
        <f>ff_portfolios25!D554-ff_factors!$E554</f>
        <v>-1.6676E-2</v>
      </c>
      <c r="E554" s="2">
        <f>ff_portfolios25!E554-ff_factors!$E554</f>
        <v>-3.7686000000000004E-2</v>
      </c>
      <c r="F554" s="2">
        <f>ff_portfolios25!F554-ff_factors!$E554</f>
        <v>-1.8633E-2</v>
      </c>
      <c r="G554" s="2">
        <f>ff_portfolios25!G554-ff_factors!$E554</f>
        <v>-1.6205000000000001E-2</v>
      </c>
      <c r="H554" s="2">
        <f>ff_portfolios25!H554-ff_factors!$E554</f>
        <v>-2.5369999999999998E-3</v>
      </c>
      <c r="I554" s="2">
        <f>ff_portfolios25!I554-ff_factors!$E554</f>
        <v>-5.849E-2</v>
      </c>
      <c r="J554" s="2">
        <f>ff_portfolios25!J554-ff_factors!$E554</f>
        <v>-6.2129000000000004E-2</v>
      </c>
      <c r="K554" s="2">
        <f>ff_portfolios25!K554-ff_factors!$E554</f>
        <v>-3.0149000000000002E-2</v>
      </c>
      <c r="L554" s="2">
        <f>ff_portfolios25!L554-ff_factors!$E554</f>
        <v>-2.3411000000000001E-2</v>
      </c>
      <c r="M554" s="2">
        <f>ff_portfolios25!M554-ff_factors!$E554</f>
        <v>-2.9121000000000001E-2</v>
      </c>
      <c r="N554" s="2">
        <f>ff_portfolios25!N554-ff_factors!$E554</f>
        <v>-7.4176000000000006E-2</v>
      </c>
      <c r="O554" s="2">
        <f>ff_portfolios25!O554-ff_factors!$E554</f>
        <v>-5.7411000000000004E-2</v>
      </c>
      <c r="P554" s="2">
        <f>ff_portfolios25!P554-ff_factors!$E554</f>
        <v>-3.8198000000000003E-2</v>
      </c>
      <c r="Q554" s="2">
        <f>ff_portfolios25!Q554-ff_factors!$E554</f>
        <v>-3.9864000000000004E-2</v>
      </c>
      <c r="R554" s="2">
        <f>ff_portfolios25!R554-ff_factors!$E554</f>
        <v>-1.1168000000000001E-2</v>
      </c>
      <c r="S554" s="2">
        <f>ff_portfolios25!S554-ff_factors!$E554</f>
        <v>-6.5394999999999995E-2</v>
      </c>
      <c r="T554" s="2">
        <f>ff_portfolios25!T554-ff_factors!$E554</f>
        <v>-6.6984000000000002E-2</v>
      </c>
      <c r="U554" s="2">
        <f>ff_portfolios25!U554-ff_factors!$E554</f>
        <v>-6.2544000000000002E-2</v>
      </c>
      <c r="V554" s="2">
        <f>ff_portfolios25!V554-ff_factors!$E554</f>
        <v>-4.3702999999999999E-2</v>
      </c>
      <c r="W554" s="2">
        <f>ff_portfolios25!W554-ff_factors!$E554</f>
        <v>-2.1851000000000002E-2</v>
      </c>
      <c r="X554" s="2">
        <f>ff_portfolios25!X554-ff_factors!$E554</f>
        <v>-6.7099999999999993E-2</v>
      </c>
      <c r="Y554" s="2">
        <f>ff_portfolios25!Y554-ff_factors!$E554</f>
        <v>-7.7134999999999995E-2</v>
      </c>
      <c r="Z554" s="2">
        <f>ff_portfolios25!Z554-ff_factors!$E554</f>
        <v>-5.8848999999999999E-2</v>
      </c>
      <c r="AA554" s="2">
        <f>ff_portfolios25!AA554-ff_factors!$E554</f>
        <v>-5.4647000000000001E-2</v>
      </c>
      <c r="AB554" s="2">
        <f>ff_portfolios25!AB554-ff_factors!$E554</f>
        <v>-3.4202999999999997E-2</v>
      </c>
    </row>
    <row r="555" spans="1:28" x14ac:dyDescent="0.2">
      <c r="A555">
        <v>19780228</v>
      </c>
      <c r="B555">
        <v>1978</v>
      </c>
      <c r="C555">
        <v>2</v>
      </c>
      <c r="D555" s="2">
        <f>ff_portfolios25!D555-ff_factors!$E555</f>
        <v>2.8115000000000001E-2</v>
      </c>
      <c r="E555" s="2">
        <f>ff_portfolios25!E555-ff_factors!$E555</f>
        <v>2.6651000000000001E-2</v>
      </c>
      <c r="F555" s="2">
        <f>ff_portfolios25!F555-ff_factors!$E555</f>
        <v>3.4849999999999999E-2</v>
      </c>
      <c r="G555" s="2">
        <f>ff_portfolios25!G555-ff_factors!$E555</f>
        <v>2.8162E-2</v>
      </c>
      <c r="H555" s="2">
        <f>ff_portfolios25!H555-ff_factors!$E555</f>
        <v>3.0882E-2</v>
      </c>
      <c r="I555" s="2">
        <f>ff_portfolios25!I555-ff_factors!$E555</f>
        <v>1.2388E-2</v>
      </c>
      <c r="J555" s="2">
        <f>ff_portfolios25!J555-ff_factors!$E555</f>
        <v>1.1207000000000002E-2</v>
      </c>
      <c r="K555" s="2">
        <f>ff_portfolios25!K555-ff_factors!$E555</f>
        <v>5.3290000000000004E-3</v>
      </c>
      <c r="L555" s="2">
        <f>ff_portfolios25!L555-ff_factors!$E555</f>
        <v>1.8381999999999999E-2</v>
      </c>
      <c r="M555" s="2">
        <f>ff_portfolios25!M555-ff_factors!$E555</f>
        <v>8.830000000000001E-4</v>
      </c>
      <c r="N555" s="2">
        <f>ff_portfolios25!N555-ff_factors!$E555</f>
        <v>1.1429999999999999E-3</v>
      </c>
      <c r="O555" s="2">
        <f>ff_portfolios25!O555-ff_factors!$E555</f>
        <v>1.2220999999999999E-2</v>
      </c>
      <c r="P555" s="2">
        <f>ff_portfolios25!P555-ff_factors!$E555</f>
        <v>1.0670000000000002E-3</v>
      </c>
      <c r="Q555" s="2">
        <f>ff_portfolios25!Q555-ff_factors!$E555</f>
        <v>1.98E-3</v>
      </c>
      <c r="R555" s="2">
        <f>ff_portfolios25!R555-ff_factors!$E555</f>
        <v>7.3460000000000001E-3</v>
      </c>
      <c r="S555" s="2">
        <f>ff_portfolios25!S555-ff_factors!$E555</f>
        <v>-1.6989000000000001E-2</v>
      </c>
      <c r="T555" s="2">
        <f>ff_portfolios25!T555-ff_factors!$E555</f>
        <v>-1.0766999999999999E-2</v>
      </c>
      <c r="U555" s="2">
        <f>ff_portfolios25!U555-ff_factors!$E555</f>
        <v>-1.1647999999999999E-2</v>
      </c>
      <c r="V555" s="2">
        <f>ff_portfolios25!V555-ff_factors!$E555</f>
        <v>5.6860000000000001E-3</v>
      </c>
      <c r="W555" s="2">
        <f>ff_portfolios25!W555-ff_factors!$E555</f>
        <v>-2.7220999999999999E-2</v>
      </c>
      <c r="X555" s="2">
        <f>ff_portfolios25!X555-ff_factors!$E555</f>
        <v>-3.5334000000000004E-2</v>
      </c>
      <c r="Y555" s="2">
        <f>ff_portfolios25!Y555-ff_factors!$E555</f>
        <v>-1.9854999999999998E-2</v>
      </c>
      <c r="Z555" s="2">
        <f>ff_portfolios25!Z555-ff_factors!$E555</f>
        <v>1.9316E-2</v>
      </c>
      <c r="AA555" s="2">
        <f>ff_portfolios25!AA555-ff_factors!$E555</f>
        <v>-1.4433E-2</v>
      </c>
      <c r="AB555" s="2">
        <f>ff_portfolios25!AB555-ff_factors!$E555</f>
        <v>-4.0842000000000003E-2</v>
      </c>
    </row>
    <row r="556" spans="1:28" x14ac:dyDescent="0.2">
      <c r="A556">
        <v>19780331</v>
      </c>
      <c r="B556">
        <v>1978</v>
      </c>
      <c r="C556">
        <v>3</v>
      </c>
      <c r="D556" s="2">
        <f>ff_portfolios25!D556-ff_factors!$E556</f>
        <v>7.7885999999999997E-2</v>
      </c>
      <c r="E556" s="2">
        <f>ff_portfolios25!E556-ff_factors!$E556</f>
        <v>6.8169000000000007E-2</v>
      </c>
      <c r="F556" s="2">
        <f>ff_portfolios25!F556-ff_factors!$E556</f>
        <v>7.4490000000000001E-2</v>
      </c>
      <c r="G556" s="2">
        <f>ff_portfolios25!G556-ff_factors!$E556</f>
        <v>6.3191999999999998E-2</v>
      </c>
      <c r="H556" s="2">
        <f>ff_portfolios25!H556-ff_factors!$E556</f>
        <v>7.6754000000000003E-2</v>
      </c>
      <c r="I556" s="2">
        <f>ff_portfolios25!I556-ff_factors!$E556</f>
        <v>5.5625000000000001E-2</v>
      </c>
      <c r="J556" s="2">
        <f>ff_portfolios25!J556-ff_factors!$E556</f>
        <v>5.3911000000000001E-2</v>
      </c>
      <c r="K556" s="2">
        <f>ff_portfolios25!K556-ff_factors!$E556</f>
        <v>7.0196999999999996E-2</v>
      </c>
      <c r="L556" s="2">
        <f>ff_portfolios25!L556-ff_factors!$E556</f>
        <v>5.7796E-2</v>
      </c>
      <c r="M556" s="2">
        <f>ff_portfolios25!M556-ff_factors!$E556</f>
        <v>7.0856000000000002E-2</v>
      </c>
      <c r="N556" s="2">
        <f>ff_portfolios25!N556-ff_factors!$E556</f>
        <v>4.9758999999999998E-2</v>
      </c>
      <c r="O556" s="2">
        <f>ff_portfolios25!O556-ff_factors!$E556</f>
        <v>5.1947E-2</v>
      </c>
      <c r="P556" s="2">
        <f>ff_portfolios25!P556-ff_factors!$E556</f>
        <v>4.2632000000000003E-2</v>
      </c>
      <c r="Q556" s="2">
        <f>ff_portfolios25!Q556-ff_factors!$E556</f>
        <v>4.1833000000000002E-2</v>
      </c>
      <c r="R556" s="2">
        <f>ff_portfolios25!R556-ff_factors!$E556</f>
        <v>7.7455999999999997E-2</v>
      </c>
      <c r="S556" s="2">
        <f>ff_portfolios25!S556-ff_factors!$E556</f>
        <v>4.4415000000000003E-2</v>
      </c>
      <c r="T556" s="2">
        <f>ff_portfolios25!T556-ff_factors!$E556</f>
        <v>4.342E-2</v>
      </c>
      <c r="U556" s="2">
        <f>ff_portfolios25!U556-ff_factors!$E556</f>
        <v>4.3408000000000002E-2</v>
      </c>
      <c r="V556" s="2">
        <f>ff_portfolios25!V556-ff_factors!$E556</f>
        <v>3.9409E-2</v>
      </c>
      <c r="W556" s="2">
        <f>ff_portfolios25!W556-ff_factors!$E556</f>
        <v>4.3219E-2</v>
      </c>
      <c r="X556" s="2">
        <f>ff_portfolios25!X556-ff_factors!$E556</f>
        <v>6.2219999999999992E-3</v>
      </c>
      <c r="Y556" s="2">
        <f>ff_portfolios25!Y556-ff_factors!$E556</f>
        <v>3.4231999999999999E-2</v>
      </c>
      <c r="Z556" s="2">
        <f>ff_portfolios25!Z556-ff_factors!$E556</f>
        <v>2.4798000000000001E-2</v>
      </c>
      <c r="AA556" s="2">
        <f>ff_portfolios25!AA556-ff_factors!$E556</f>
        <v>2.3407000000000001E-2</v>
      </c>
      <c r="AB556" s="2">
        <f>ff_portfolios25!AB556-ff_factors!$E556</f>
        <v>2.8666999999999998E-2</v>
      </c>
    </row>
    <row r="557" spans="1:28" x14ac:dyDescent="0.2">
      <c r="A557">
        <v>19780428</v>
      </c>
      <c r="B557">
        <v>1978</v>
      </c>
      <c r="C557">
        <v>4</v>
      </c>
      <c r="D557" s="2">
        <f>ff_portfolios25!D557-ff_factors!$E557</f>
        <v>9.7160999999999997E-2</v>
      </c>
      <c r="E557" s="2">
        <f>ff_portfolios25!E557-ff_factors!$E557</f>
        <v>8.3642999999999995E-2</v>
      </c>
      <c r="F557" s="2">
        <f>ff_portfolios25!F557-ff_factors!$E557</f>
        <v>7.8136999999999998E-2</v>
      </c>
      <c r="G557" s="2">
        <f>ff_portfolios25!G557-ff_factors!$E557</f>
        <v>6.7069000000000004E-2</v>
      </c>
      <c r="H557" s="2">
        <f>ff_portfolios25!H557-ff_factors!$E557</f>
        <v>7.8730999999999995E-2</v>
      </c>
      <c r="I557" s="2">
        <f>ff_portfolios25!I557-ff_factors!$E557</f>
        <v>9.5395999999999995E-2</v>
      </c>
      <c r="J557" s="2">
        <f>ff_portfolios25!J557-ff_factors!$E557</f>
        <v>6.9290000000000004E-2</v>
      </c>
      <c r="K557" s="2">
        <f>ff_portfolios25!K557-ff_factors!$E557</f>
        <v>7.8348000000000001E-2</v>
      </c>
      <c r="L557" s="2">
        <f>ff_portfolios25!L557-ff_factors!$E557</f>
        <v>6.6698999999999994E-2</v>
      </c>
      <c r="M557" s="2">
        <f>ff_portfolios25!M557-ff_factors!$E557</f>
        <v>6.0155E-2</v>
      </c>
      <c r="N557" s="2">
        <f>ff_portfolios25!N557-ff_factors!$E557</f>
        <v>9.4682000000000002E-2</v>
      </c>
      <c r="O557" s="2">
        <f>ff_portfolios25!O557-ff_factors!$E557</f>
        <v>7.9346E-2</v>
      </c>
      <c r="P557" s="2">
        <f>ff_portfolios25!P557-ff_factors!$E557</f>
        <v>7.1788999999999992E-2</v>
      </c>
      <c r="Q557" s="2">
        <f>ff_portfolios25!Q557-ff_factors!$E557</f>
        <v>4.376E-2</v>
      </c>
      <c r="R557" s="2">
        <f>ff_portfolios25!R557-ff_factors!$E557</f>
        <v>6.1376E-2</v>
      </c>
      <c r="S557" s="2">
        <f>ff_portfolios25!S557-ff_factors!$E557</f>
        <v>8.0921999999999994E-2</v>
      </c>
      <c r="T557" s="2">
        <f>ff_portfolios25!T557-ff_factors!$E557</f>
        <v>6.7567000000000002E-2</v>
      </c>
      <c r="U557" s="2">
        <f>ff_portfolios25!U557-ff_factors!$E557</f>
        <v>4.7752999999999997E-2</v>
      </c>
      <c r="V557" s="2">
        <f>ff_portfolios25!V557-ff_factors!$E557</f>
        <v>5.0950999999999996E-2</v>
      </c>
      <c r="W557" s="2">
        <f>ff_portfolios25!W557-ff_factors!$E557</f>
        <v>8.0170999999999992E-2</v>
      </c>
      <c r="X557" s="2">
        <f>ff_portfolios25!X557-ff_factors!$E557</f>
        <v>0.113124</v>
      </c>
      <c r="Y557" s="2">
        <f>ff_portfolios25!Y557-ff_factors!$E557</f>
        <v>8.0436999999999995E-2</v>
      </c>
      <c r="Z557" s="2">
        <f>ff_portfolios25!Z557-ff_factors!$E557</f>
        <v>4.1298999999999995E-2</v>
      </c>
      <c r="AA557" s="2">
        <f>ff_portfolios25!AA557-ff_factors!$E557</f>
        <v>4.5328E-2</v>
      </c>
      <c r="AB557" s="2">
        <f>ff_portfolios25!AB557-ff_factors!$E557</f>
        <v>4.7375E-2</v>
      </c>
    </row>
    <row r="558" spans="1:28" x14ac:dyDescent="0.2">
      <c r="A558">
        <v>19780531</v>
      </c>
      <c r="B558">
        <v>1978</v>
      </c>
      <c r="C558">
        <v>5</v>
      </c>
      <c r="D558" s="2">
        <f>ff_portfolios25!D558-ff_factors!$E558</f>
        <v>7.9404000000000002E-2</v>
      </c>
      <c r="E558" s="2">
        <f>ff_portfolios25!E558-ff_factors!$E558</f>
        <v>5.7132000000000002E-2</v>
      </c>
      <c r="F558" s="2">
        <f>ff_portfolios25!F558-ff_factors!$E558</f>
        <v>8.372099999999999E-2</v>
      </c>
      <c r="G558" s="2">
        <f>ff_portfolios25!G558-ff_factors!$E558</f>
        <v>5.8466999999999998E-2</v>
      </c>
      <c r="H558" s="2">
        <f>ff_portfolios25!H558-ff_factors!$E558</f>
        <v>7.5634000000000007E-2</v>
      </c>
      <c r="I558" s="2">
        <f>ff_portfolios25!I558-ff_factors!$E558</f>
        <v>6.6031000000000006E-2</v>
      </c>
      <c r="J558" s="2">
        <f>ff_portfolios25!J558-ff_factors!$E558</f>
        <v>7.0060000000000011E-2</v>
      </c>
      <c r="K558" s="2">
        <f>ff_portfolios25!K558-ff_factors!$E558</f>
        <v>4.2992000000000002E-2</v>
      </c>
      <c r="L558" s="2">
        <f>ff_portfolios25!L558-ff_factors!$E558</f>
        <v>3.6590999999999999E-2</v>
      </c>
      <c r="M558" s="2">
        <f>ff_portfolios25!M558-ff_factors!$E558</f>
        <v>4.8899999999999999E-2</v>
      </c>
      <c r="N558" s="2">
        <f>ff_portfolios25!N558-ff_factors!$E558</f>
        <v>5.8367999999999996E-2</v>
      </c>
      <c r="O558" s="2">
        <f>ff_portfolios25!O558-ff_factors!$E558</f>
        <v>4.7865999999999999E-2</v>
      </c>
      <c r="P558" s="2">
        <f>ff_portfolios25!P558-ff_factors!$E558</f>
        <v>4.8242E-2</v>
      </c>
      <c r="Q558" s="2">
        <f>ff_portfolios25!Q558-ff_factors!$E558</f>
        <v>1.6574999999999999E-2</v>
      </c>
      <c r="R558" s="2">
        <f>ff_portfolios25!R558-ff_factors!$E558</f>
        <v>3.3876999999999997E-2</v>
      </c>
      <c r="S558" s="2">
        <f>ff_portfolios25!S558-ff_factors!$E558</f>
        <v>4.2076000000000002E-2</v>
      </c>
      <c r="T558" s="2">
        <f>ff_portfolios25!T558-ff_factors!$E558</f>
        <v>3.3822999999999999E-2</v>
      </c>
      <c r="U558" s="2">
        <f>ff_portfolios25!U558-ff_factors!$E558</f>
        <v>7.9769999999999997E-3</v>
      </c>
      <c r="V558" s="2">
        <f>ff_portfolios25!V558-ff_factors!$E558</f>
        <v>1.9182000000000001E-2</v>
      </c>
      <c r="W558" s="2">
        <f>ff_portfolios25!W558-ff_factors!$E558</f>
        <v>3.2428999999999999E-2</v>
      </c>
      <c r="X558" s="2">
        <f>ff_portfolios25!X558-ff_factors!$E558</f>
        <v>8.761999999999999E-3</v>
      </c>
      <c r="Y558" s="2">
        <f>ff_portfolios25!Y558-ff_factors!$E558</f>
        <v>8.5290000000000001E-3</v>
      </c>
      <c r="Z558" s="2">
        <f>ff_portfolios25!Z558-ff_factors!$E558</f>
        <v>-5.3400000000000001E-3</v>
      </c>
      <c r="AA558" s="2">
        <f>ff_portfolios25!AA558-ff_factors!$E558</f>
        <v>5.4079999999999996E-3</v>
      </c>
      <c r="AB558" s="2">
        <f>ff_portfolios25!AB558-ff_factors!$E558</f>
        <v>1.4745999999999999E-2</v>
      </c>
    </row>
    <row r="559" spans="1:28" x14ac:dyDescent="0.2">
      <c r="A559">
        <v>19780630</v>
      </c>
      <c r="B559">
        <v>1978</v>
      </c>
      <c r="C559">
        <v>6</v>
      </c>
      <c r="D559" s="2">
        <f>ff_portfolios25!D559-ff_factors!$E559</f>
        <v>2.3689999999999996E-3</v>
      </c>
      <c r="E559" s="2">
        <f>ff_portfolios25!E559-ff_factors!$E559</f>
        <v>3.7269999999999994E-3</v>
      </c>
      <c r="F559" s="2">
        <f>ff_portfolios25!F559-ff_factors!$E559</f>
        <v>-6.5760000000000002E-3</v>
      </c>
      <c r="G559" s="2">
        <f>ff_portfolios25!G559-ff_factors!$E559</f>
        <v>-3.3070000000000005E-3</v>
      </c>
      <c r="H559" s="2">
        <f>ff_portfolios25!H559-ff_factors!$E559</f>
        <v>-2.8040000000000005E-3</v>
      </c>
      <c r="I559" s="2">
        <f>ff_portfolios25!I559-ff_factors!$E559</f>
        <v>-1.7611000000000002E-2</v>
      </c>
      <c r="J559" s="2">
        <f>ff_portfolios25!J559-ff_factors!$E559</f>
        <v>-3.2686E-2</v>
      </c>
      <c r="K559" s="2">
        <f>ff_portfolios25!K559-ff_factors!$E559</f>
        <v>3.4799999999999935E-4</v>
      </c>
      <c r="L559" s="2">
        <f>ff_portfolios25!L559-ff_factors!$E559</f>
        <v>2.76E-2</v>
      </c>
      <c r="M559" s="2">
        <f>ff_portfolios25!M559-ff_factors!$E559</f>
        <v>-6.7299999999999999E-3</v>
      </c>
      <c r="N559" s="2">
        <f>ff_portfolios25!N559-ff_factors!$E559</f>
        <v>-1.3153000000000001E-2</v>
      </c>
      <c r="O559" s="2">
        <f>ff_portfolios25!O559-ff_factors!$E559</f>
        <v>-1.5015000000000001E-2</v>
      </c>
      <c r="P559" s="2">
        <f>ff_portfolios25!P559-ff_factors!$E559</f>
        <v>-1.0950000000000005E-3</v>
      </c>
      <c r="Q559" s="2">
        <f>ff_portfolios25!Q559-ff_factors!$E559</f>
        <v>3.703999999999999E-3</v>
      </c>
      <c r="R559" s="2">
        <f>ff_portfolios25!R559-ff_factors!$E559</f>
        <v>6.8909999999999996E-3</v>
      </c>
      <c r="S559" s="2">
        <f>ff_portfolios25!S559-ff_factors!$E559</f>
        <v>-1.6002000000000002E-2</v>
      </c>
      <c r="T559" s="2">
        <f>ff_portfolios25!T559-ff_factors!$E559</f>
        <v>-1.106E-2</v>
      </c>
      <c r="U559" s="2">
        <f>ff_portfolios25!U559-ff_factors!$E559</f>
        <v>-3.3430000000000005E-3</v>
      </c>
      <c r="V559" s="2">
        <f>ff_portfolios25!V559-ff_factors!$E559</f>
        <v>-3.6190000000000003E-3</v>
      </c>
      <c r="W559" s="2">
        <f>ff_portfolios25!W559-ff_factors!$E559</f>
        <v>-1.1762E-2</v>
      </c>
      <c r="X559" s="2">
        <f>ff_portfolios25!X559-ff_factors!$E559</f>
        <v>-1.7384E-2</v>
      </c>
      <c r="Y559" s="2">
        <f>ff_portfolios25!Y559-ff_factors!$E559</f>
        <v>-3.5722000000000004E-2</v>
      </c>
      <c r="Z559" s="2">
        <f>ff_portfolios25!Z559-ff_factors!$E559</f>
        <v>-2.5177999999999999E-2</v>
      </c>
      <c r="AA559" s="2">
        <f>ff_portfolios25!AA559-ff_factors!$E559</f>
        <v>-2.3373999999999999E-2</v>
      </c>
      <c r="AB559" s="2">
        <f>ff_portfolios25!AB559-ff_factors!$E559</f>
        <v>-1.3489000000000001E-2</v>
      </c>
    </row>
    <row r="560" spans="1:28" x14ac:dyDescent="0.2">
      <c r="A560">
        <v>19780731</v>
      </c>
      <c r="B560">
        <v>1978</v>
      </c>
      <c r="C560">
        <v>7</v>
      </c>
      <c r="D560" s="2">
        <f>ff_portfolios25!D560-ff_factors!$E560</f>
        <v>6.1369E-2</v>
      </c>
      <c r="E560" s="2">
        <f>ff_portfolios25!E560-ff_factors!$E560</f>
        <v>5.4078000000000001E-2</v>
      </c>
      <c r="F560" s="2">
        <f>ff_portfolios25!F560-ff_factors!$E560</f>
        <v>5.4287000000000002E-2</v>
      </c>
      <c r="G560" s="2">
        <f>ff_portfolios25!G560-ff_factors!$E560</f>
        <v>4.4387999999999997E-2</v>
      </c>
      <c r="H560" s="2">
        <f>ff_portfolios25!H560-ff_factors!$E560</f>
        <v>4.1574E-2</v>
      </c>
      <c r="I560" s="2">
        <f>ff_portfolios25!I560-ff_factors!$E560</f>
        <v>7.4174000000000004E-2</v>
      </c>
      <c r="J560" s="2">
        <f>ff_portfolios25!J560-ff_factors!$E560</f>
        <v>5.3207999999999998E-2</v>
      </c>
      <c r="K560" s="2">
        <f>ff_portfolios25!K560-ff_factors!$E560</f>
        <v>4.4250999999999999E-2</v>
      </c>
      <c r="L560" s="2">
        <f>ff_portfolios25!L560-ff_factors!$E560</f>
        <v>5.3970999999999998E-2</v>
      </c>
      <c r="M560" s="2">
        <f>ff_portfolios25!M560-ff_factors!$E560</f>
        <v>6.5585000000000004E-2</v>
      </c>
      <c r="N560" s="2">
        <f>ff_portfolios25!N560-ff_factors!$E560</f>
        <v>6.0425E-2</v>
      </c>
      <c r="O560" s="2">
        <f>ff_portfolios25!O560-ff_factors!$E560</f>
        <v>4.3047000000000002E-2</v>
      </c>
      <c r="P560" s="2">
        <f>ff_portfolios25!P560-ff_factors!$E560</f>
        <v>4.0177999999999998E-2</v>
      </c>
      <c r="Q560" s="2">
        <f>ff_portfolios25!Q560-ff_factors!$E560</f>
        <v>3.7109999999999997E-2</v>
      </c>
      <c r="R560" s="2">
        <f>ff_portfolios25!R560-ff_factors!$E560</f>
        <v>3.4069000000000002E-2</v>
      </c>
      <c r="S560" s="2">
        <f>ff_portfolios25!S560-ff_factors!$E560</f>
        <v>5.6674999999999996E-2</v>
      </c>
      <c r="T560" s="2">
        <f>ff_portfolios25!T560-ff_factors!$E560</f>
        <v>5.2268999999999996E-2</v>
      </c>
      <c r="U560" s="2">
        <f>ff_portfolios25!U560-ff_factors!$E560</f>
        <v>5.9805000000000004E-2</v>
      </c>
      <c r="V560" s="2">
        <f>ff_portfolios25!V560-ff_factors!$E560</f>
        <v>5.1556999999999999E-2</v>
      </c>
      <c r="W560" s="2">
        <f>ff_portfolios25!W560-ff_factors!$E560</f>
        <v>9.639700000000001E-2</v>
      </c>
      <c r="X560" s="2">
        <f>ff_portfolios25!X560-ff_factors!$E560</f>
        <v>6.8923000000000012E-2</v>
      </c>
      <c r="Y560" s="2">
        <f>ff_portfolios25!Y560-ff_factors!$E560</f>
        <v>4.2556999999999998E-2</v>
      </c>
      <c r="Z560" s="2">
        <f>ff_portfolios25!Z560-ff_factors!$E560</f>
        <v>3.0885999999999997E-2</v>
      </c>
      <c r="AA560" s="2">
        <f>ff_portfolios25!AA560-ff_factors!$E560</f>
        <v>3.8796999999999998E-2</v>
      </c>
      <c r="AB560" s="2">
        <f>ff_portfolios25!AB560-ff_factors!$E560</f>
        <v>4.2113999999999999E-2</v>
      </c>
    </row>
    <row r="561" spans="1:28" x14ac:dyDescent="0.2">
      <c r="A561">
        <v>19780831</v>
      </c>
      <c r="B561">
        <v>1978</v>
      </c>
      <c r="C561">
        <v>8</v>
      </c>
      <c r="D561" s="2">
        <f>ff_portfolios25!D561-ff_factors!$E561</f>
        <v>9.2519000000000004E-2</v>
      </c>
      <c r="E561" s="2">
        <f>ff_portfolios25!E561-ff_factors!$E561</f>
        <v>9.0150000000000008E-2</v>
      </c>
      <c r="F561" s="2">
        <f>ff_portfolios25!F561-ff_factors!$E561</f>
        <v>8.0390000000000003E-2</v>
      </c>
      <c r="G561" s="2">
        <f>ff_portfolios25!G561-ff_factors!$E561</f>
        <v>7.2485000000000008E-2</v>
      </c>
      <c r="H561" s="2">
        <f>ff_portfolios25!H561-ff_factors!$E561</f>
        <v>9.6672000000000008E-2</v>
      </c>
      <c r="I561" s="2">
        <f>ff_portfolios25!I561-ff_factors!$E561</f>
        <v>8.4719000000000003E-2</v>
      </c>
      <c r="J561" s="2">
        <f>ff_portfolios25!J561-ff_factors!$E561</f>
        <v>6.6137000000000001E-2</v>
      </c>
      <c r="K561" s="2">
        <f>ff_portfolios25!K561-ff_factors!$E561</f>
        <v>8.7852E-2</v>
      </c>
      <c r="L561" s="2">
        <f>ff_portfolios25!L561-ff_factors!$E561</f>
        <v>6.5601000000000007E-2</v>
      </c>
      <c r="M561" s="2">
        <f>ff_portfolios25!M561-ff_factors!$E561</f>
        <v>9.0588000000000002E-2</v>
      </c>
      <c r="N561" s="2">
        <f>ff_portfolios25!N561-ff_factors!$E561</f>
        <v>7.3965000000000003E-2</v>
      </c>
      <c r="O561" s="2">
        <f>ff_portfolios25!O561-ff_factors!$E561</f>
        <v>7.8700000000000006E-2</v>
      </c>
      <c r="P561" s="2">
        <f>ff_portfolios25!P561-ff_factors!$E561</f>
        <v>6.2070999999999994E-2</v>
      </c>
      <c r="Q561" s="2">
        <f>ff_portfolios25!Q561-ff_factors!$E561</f>
        <v>4.3144999999999996E-2</v>
      </c>
      <c r="R561" s="2">
        <f>ff_portfolios25!R561-ff_factors!$E561</f>
        <v>9.2132000000000006E-2</v>
      </c>
      <c r="S561" s="2">
        <f>ff_portfolios25!S561-ff_factors!$E561</f>
        <v>7.1654000000000009E-2</v>
      </c>
      <c r="T561" s="2">
        <f>ff_portfolios25!T561-ff_factors!$E561</f>
        <v>5.6568E-2</v>
      </c>
      <c r="U561" s="2">
        <f>ff_portfolios25!U561-ff_factors!$E561</f>
        <v>3.5501999999999999E-2</v>
      </c>
      <c r="V561" s="2">
        <f>ff_portfolios25!V561-ff_factors!$E561</f>
        <v>3.5740000000000001E-2</v>
      </c>
      <c r="W561" s="2">
        <f>ff_portfolios25!W561-ff_factors!$E561</f>
        <v>2.3084999999999998E-2</v>
      </c>
      <c r="X561" s="2">
        <f>ff_portfolios25!X561-ff_factors!$E561</f>
        <v>2.0215999999999998E-2</v>
      </c>
      <c r="Y561" s="2">
        <f>ff_portfolios25!Y561-ff_factors!$E561</f>
        <v>2.8234000000000002E-2</v>
      </c>
      <c r="Z561" s="2">
        <f>ff_portfolios25!Z561-ff_factors!$E561</f>
        <v>3.8387999999999999E-2</v>
      </c>
      <c r="AA561" s="2">
        <f>ff_portfolios25!AA561-ff_factors!$E561</f>
        <v>2.2616999999999998E-2</v>
      </c>
      <c r="AB561" s="2">
        <f>ff_portfolios25!AB561-ff_factors!$E561</f>
        <v>-3.833E-3</v>
      </c>
    </row>
    <row r="562" spans="1:28" x14ac:dyDescent="0.2">
      <c r="A562">
        <v>19780929</v>
      </c>
      <c r="B562">
        <v>1978</v>
      </c>
      <c r="C562">
        <v>9</v>
      </c>
      <c r="D562" s="2">
        <f>ff_portfolios25!D562-ff_factors!$E562</f>
        <v>-1.5952000000000001E-2</v>
      </c>
      <c r="E562" s="2">
        <f>ff_portfolios25!E562-ff_factors!$E562</f>
        <v>-5.0539999999999995E-3</v>
      </c>
      <c r="F562" s="2">
        <f>ff_portfolios25!F562-ff_factors!$E562</f>
        <v>-2.3256000000000002E-2</v>
      </c>
      <c r="G562" s="2">
        <f>ff_portfolios25!G562-ff_factors!$E562</f>
        <v>-7.8180000000000003E-3</v>
      </c>
      <c r="H562" s="2">
        <f>ff_portfolios25!H562-ff_factors!$E562</f>
        <v>-4.1209999999999997E-3</v>
      </c>
      <c r="I562" s="2">
        <f>ff_portfolios25!I562-ff_factors!$E562</f>
        <v>-2.4386000000000001E-2</v>
      </c>
      <c r="J562" s="2">
        <f>ff_portfolios25!J562-ff_factors!$E562</f>
        <v>-1.9397999999999999E-2</v>
      </c>
      <c r="K562" s="2">
        <f>ff_portfolios25!K562-ff_factors!$E562</f>
        <v>-2.23E-2</v>
      </c>
      <c r="L562" s="2">
        <f>ff_portfolios25!L562-ff_factors!$E562</f>
        <v>-1.372E-3</v>
      </c>
      <c r="M562" s="2">
        <f>ff_portfolios25!M562-ff_factors!$E562</f>
        <v>-2.3870000000000002E-2</v>
      </c>
      <c r="N562" s="2">
        <f>ff_portfolios25!N562-ff_factors!$E562</f>
        <v>-3.8065999999999996E-2</v>
      </c>
      <c r="O562" s="2">
        <f>ff_portfolios25!O562-ff_factors!$E562</f>
        <v>-1.3170999999999999E-2</v>
      </c>
      <c r="P562" s="2">
        <f>ff_portfolios25!P562-ff_factors!$E562</f>
        <v>-2.1283E-2</v>
      </c>
      <c r="Q562" s="2">
        <f>ff_portfolios25!Q562-ff_factors!$E562</f>
        <v>-9.1389999999999996E-3</v>
      </c>
      <c r="R562" s="2">
        <f>ff_portfolios25!R562-ff_factors!$E562</f>
        <v>-1.5307999999999999E-2</v>
      </c>
      <c r="S562" s="2">
        <f>ff_portfolios25!S562-ff_factors!$E562</f>
        <v>-3.9219999999999998E-2</v>
      </c>
      <c r="T562" s="2">
        <f>ff_portfolios25!T562-ff_factors!$E562</f>
        <v>-2.8813999999999999E-2</v>
      </c>
      <c r="U562" s="2">
        <f>ff_portfolios25!U562-ff_factors!$E562</f>
        <v>7.5000000000000414E-5</v>
      </c>
      <c r="V562" s="2">
        <f>ff_portfolios25!V562-ff_factors!$E562</f>
        <v>-6.2399999999999999E-3</v>
      </c>
      <c r="W562" s="2">
        <f>ff_portfolios25!W562-ff_factors!$E562</f>
        <v>-1.8221999999999999E-2</v>
      </c>
      <c r="X562" s="2">
        <f>ff_portfolios25!X562-ff_factors!$E562</f>
        <v>-3.8545999999999997E-2</v>
      </c>
      <c r="Y562" s="2">
        <f>ff_portfolios25!Y562-ff_factors!$E562</f>
        <v>-2.738E-3</v>
      </c>
      <c r="Z562" s="2">
        <f>ff_portfolios25!Z562-ff_factors!$E562</f>
        <v>1.2920999999999998E-2</v>
      </c>
      <c r="AA562" s="2">
        <f>ff_portfolios25!AA562-ff_factors!$E562</f>
        <v>-2.8539999999999998E-3</v>
      </c>
      <c r="AB562" s="2">
        <f>ff_portfolios25!AB562-ff_factors!$E562</f>
        <v>3.2070000000000006E-3</v>
      </c>
    </row>
    <row r="563" spans="1:28" x14ac:dyDescent="0.2">
      <c r="A563">
        <v>19781031</v>
      </c>
      <c r="B563">
        <v>1978</v>
      </c>
      <c r="C563">
        <v>10</v>
      </c>
      <c r="D563" s="2">
        <f>ff_portfolios25!D563-ff_factors!$E563</f>
        <v>-0.273895</v>
      </c>
      <c r="E563" s="2">
        <f>ff_portfolios25!E563-ff_factors!$E563</f>
        <v>-0.23974200000000001</v>
      </c>
      <c r="F563" s="2">
        <f>ff_portfolios25!F563-ff_factors!$E563</f>
        <v>-0.22533500000000001</v>
      </c>
      <c r="G563" s="2">
        <f>ff_portfolios25!G563-ff_factors!$E563</f>
        <v>-0.19184699999999999</v>
      </c>
      <c r="H563" s="2">
        <f>ff_portfolios25!H563-ff_factors!$E563</f>
        <v>-0.22114800000000001</v>
      </c>
      <c r="I563" s="2">
        <f>ff_portfolios25!I563-ff_factors!$E563</f>
        <v>-0.25440099999999999</v>
      </c>
      <c r="J563" s="2">
        <f>ff_portfolios25!J563-ff_factors!$E563</f>
        <v>-0.19430500000000001</v>
      </c>
      <c r="K563" s="2">
        <f>ff_portfolios25!K563-ff_factors!$E563</f>
        <v>-0.19100900000000001</v>
      </c>
      <c r="L563" s="2">
        <f>ff_portfolios25!L563-ff_factors!$E563</f>
        <v>-0.15540599999999999</v>
      </c>
      <c r="M563" s="2">
        <f>ff_portfolios25!M563-ff_factors!$E563</f>
        <v>-0.19925100000000001</v>
      </c>
      <c r="N563" s="2">
        <f>ff_portfolios25!N563-ff_factors!$E563</f>
        <v>-0.200487</v>
      </c>
      <c r="O563" s="2">
        <f>ff_portfolios25!O563-ff_factors!$E563</f>
        <v>-0.19581499999999999</v>
      </c>
      <c r="P563" s="2">
        <f>ff_portfolios25!P563-ff_factors!$E563</f>
        <v>-0.14240800000000001</v>
      </c>
      <c r="Q563" s="2">
        <f>ff_portfolios25!Q563-ff_factors!$E563</f>
        <v>-0.15112900000000001</v>
      </c>
      <c r="R563" s="2">
        <f>ff_portfolios25!R563-ff_factors!$E563</f>
        <v>-0.20535200000000001</v>
      </c>
      <c r="S563" s="2">
        <f>ff_portfolios25!S563-ff_factors!$E563</f>
        <v>-0.16425799999999999</v>
      </c>
      <c r="T563" s="2">
        <f>ff_portfolios25!T563-ff_factors!$E563</f>
        <v>-0.140629</v>
      </c>
      <c r="U563" s="2">
        <f>ff_portfolios25!U563-ff_factors!$E563</f>
        <v>-0.14181199999999999</v>
      </c>
      <c r="V563" s="2">
        <f>ff_portfolios25!V563-ff_factors!$E563</f>
        <v>-0.124434</v>
      </c>
      <c r="W563" s="2">
        <f>ff_portfolios25!W563-ff_factors!$E563</f>
        <v>-0.156606</v>
      </c>
      <c r="X563" s="2">
        <f>ff_portfolios25!X563-ff_factors!$E563</f>
        <v>-9.0088000000000001E-2</v>
      </c>
      <c r="Y563" s="2">
        <f>ff_portfolios25!Y563-ff_factors!$E563</f>
        <v>-0.10138800000000001</v>
      </c>
      <c r="Z563" s="2">
        <f>ff_portfolios25!Z563-ff_factors!$E563</f>
        <v>-7.7719999999999997E-2</v>
      </c>
      <c r="AA563" s="2">
        <f>ff_portfolios25!AA563-ff_factors!$E563</f>
        <v>-9.9110000000000004E-2</v>
      </c>
      <c r="AB563" s="2">
        <f>ff_portfolios25!AB563-ff_factors!$E563</f>
        <v>-0.128332</v>
      </c>
    </row>
    <row r="564" spans="1:28" x14ac:dyDescent="0.2">
      <c r="A564">
        <v>19781130</v>
      </c>
      <c r="B564">
        <v>1978</v>
      </c>
      <c r="C564">
        <v>11</v>
      </c>
      <c r="D564" s="2">
        <f>ff_portfolios25!D564-ff_factors!$E564</f>
        <v>7.9922999999999994E-2</v>
      </c>
      <c r="E564" s="2">
        <f>ff_portfolios25!E564-ff_factors!$E564</f>
        <v>6.7395999999999998E-2</v>
      </c>
      <c r="F564" s="2">
        <f>ff_portfolios25!F564-ff_factors!$E564</f>
        <v>5.9049999999999998E-2</v>
      </c>
      <c r="G564" s="2">
        <f>ff_portfolios25!G564-ff_factors!$E564</f>
        <v>3.6822000000000001E-2</v>
      </c>
      <c r="H564" s="2">
        <f>ff_portfolios25!H564-ff_factors!$E564</f>
        <v>3.6324000000000002E-2</v>
      </c>
      <c r="I564" s="2">
        <f>ff_portfolios25!I564-ff_factors!$E564</f>
        <v>0.10570399999999999</v>
      </c>
      <c r="J564" s="2">
        <f>ff_portfolios25!J564-ff_factors!$E564</f>
        <v>4.9050000000000003E-2</v>
      </c>
      <c r="K564" s="2">
        <f>ff_portfolios25!K564-ff_factors!$E564</f>
        <v>3.5421000000000001E-2</v>
      </c>
      <c r="L564" s="2">
        <f>ff_portfolios25!L564-ff_factors!$E564</f>
        <v>2.2332000000000001E-2</v>
      </c>
      <c r="M564" s="2">
        <f>ff_portfolios25!M564-ff_factors!$E564</f>
        <v>5.4539999999999998E-2</v>
      </c>
      <c r="N564" s="2">
        <f>ff_portfolios25!N564-ff_factors!$E564</f>
        <v>6.6213999999999995E-2</v>
      </c>
      <c r="O564" s="2">
        <f>ff_portfolios25!O564-ff_factors!$E564</f>
        <v>4.5560999999999997E-2</v>
      </c>
      <c r="P564" s="2">
        <f>ff_portfolios25!P564-ff_factors!$E564</f>
        <v>3.0283999999999998E-2</v>
      </c>
      <c r="Q564" s="2">
        <f>ff_portfolios25!Q564-ff_factors!$E564</f>
        <v>2.3847E-2</v>
      </c>
      <c r="R564" s="2">
        <f>ff_portfolios25!R564-ff_factors!$E564</f>
        <v>2.6112999999999997E-2</v>
      </c>
      <c r="S564" s="2">
        <f>ff_portfolios25!S564-ff_factors!$E564</f>
        <v>3.9295999999999998E-2</v>
      </c>
      <c r="T564" s="2">
        <f>ff_portfolios25!T564-ff_factors!$E564</f>
        <v>1.966E-2</v>
      </c>
      <c r="U564" s="2">
        <f>ff_portfolios25!U564-ff_factors!$E564</f>
        <v>2.5048000000000001E-2</v>
      </c>
      <c r="V564" s="2">
        <f>ff_portfolios25!V564-ff_factors!$E564</f>
        <v>1.217E-2</v>
      </c>
      <c r="W564" s="2">
        <f>ff_portfolios25!W564-ff_factors!$E564</f>
        <v>2.1042000000000002E-2</v>
      </c>
      <c r="X564" s="2">
        <f>ff_portfolios25!X564-ff_factors!$E564</f>
        <v>1.7967E-2</v>
      </c>
      <c r="Y564" s="2">
        <f>ff_portfolios25!Y564-ff_factors!$E564</f>
        <v>2.0917999999999999E-2</v>
      </c>
      <c r="Z564" s="2">
        <f>ff_portfolios25!Z564-ff_factors!$E564</f>
        <v>3.0188E-2</v>
      </c>
      <c r="AA564" s="2">
        <f>ff_portfolios25!AA564-ff_factors!$E564</f>
        <v>3.0306E-2</v>
      </c>
      <c r="AB564" s="2">
        <f>ff_portfolios25!AB564-ff_factors!$E564</f>
        <v>1.9505999999999999E-2</v>
      </c>
    </row>
    <row r="565" spans="1:28" x14ac:dyDescent="0.2">
      <c r="A565">
        <v>19781229</v>
      </c>
      <c r="B565">
        <v>1978</v>
      </c>
      <c r="C565">
        <v>12</v>
      </c>
      <c r="D565" s="2">
        <f>ff_portfolios25!D565-ff_factors!$E565</f>
        <v>2.7520999999999997E-2</v>
      </c>
      <c r="E565" s="2">
        <f>ff_portfolios25!E565-ff_factors!$E565</f>
        <v>2.4818E-2</v>
      </c>
      <c r="F565" s="2">
        <f>ff_portfolios25!F565-ff_factors!$E565</f>
        <v>1.7613000000000004E-2</v>
      </c>
      <c r="G565" s="2">
        <f>ff_portfolios25!G565-ff_factors!$E565</f>
        <v>1.4770000000000009E-3</v>
      </c>
      <c r="H565" s="2">
        <f>ff_portfolios25!H565-ff_factors!$E565</f>
        <v>-1.3749999999999995E-3</v>
      </c>
      <c r="I565" s="2">
        <f>ff_portfolios25!I565-ff_factors!$E565</f>
        <v>2.2067000000000003E-2</v>
      </c>
      <c r="J565" s="2">
        <f>ff_portfolios25!J565-ff_factors!$E565</f>
        <v>2.4836999999999998E-2</v>
      </c>
      <c r="K565" s="2">
        <f>ff_portfolios25!K565-ff_factors!$E565</f>
        <v>1.0662E-2</v>
      </c>
      <c r="L565" s="2">
        <f>ff_portfolios25!L565-ff_factors!$E565</f>
        <v>1.7201000000000001E-2</v>
      </c>
      <c r="M565" s="2">
        <f>ff_portfolios25!M565-ff_factors!$E565</f>
        <v>1.0646000000000001E-2</v>
      </c>
      <c r="N565" s="2">
        <f>ff_portfolios25!N565-ff_factors!$E565</f>
        <v>2.1373000000000003E-2</v>
      </c>
      <c r="O565" s="2">
        <f>ff_portfolios25!O565-ff_factors!$E565</f>
        <v>8.7760000000000008E-3</v>
      </c>
      <c r="P565" s="2">
        <f>ff_portfolios25!P565-ff_factors!$E565</f>
        <v>-3.0929999999999994E-3</v>
      </c>
      <c r="Q565" s="2">
        <f>ff_portfolios25!Q565-ff_factors!$E565</f>
        <v>6.6210000000000001E-3</v>
      </c>
      <c r="R565" s="2">
        <f>ff_portfolios25!R565-ff_factors!$E565</f>
        <v>2.4277E-2</v>
      </c>
      <c r="S565" s="2">
        <f>ff_portfolios25!S565-ff_factors!$E565</f>
        <v>3.0430000000000006E-3</v>
      </c>
      <c r="T565" s="2">
        <f>ff_portfolios25!T565-ff_factors!$E565</f>
        <v>7.9559999999999995E-3</v>
      </c>
      <c r="U565" s="2">
        <f>ff_portfolios25!U565-ff_factors!$E565</f>
        <v>4.5149999999999999E-3</v>
      </c>
      <c r="V565" s="2">
        <f>ff_portfolios25!V565-ff_factors!$E565</f>
        <v>8.4200000000000073E-4</v>
      </c>
      <c r="W565" s="2">
        <f>ff_portfolios25!W565-ff_factors!$E565</f>
        <v>-4.7929999999999995E-3</v>
      </c>
      <c r="X565" s="2">
        <f>ff_portfolios25!X565-ff_factors!$E565</f>
        <v>2.7437999999999997E-2</v>
      </c>
      <c r="Y565" s="2">
        <f>ff_portfolios25!Y565-ff_factors!$E565</f>
        <v>3.687000000000001E-3</v>
      </c>
      <c r="Z565" s="2">
        <f>ff_portfolios25!Z565-ff_factors!$E565</f>
        <v>-3.6379999999999997E-3</v>
      </c>
      <c r="AA565" s="2">
        <f>ff_portfolios25!AA565-ff_factors!$E565</f>
        <v>-6.9189999999999998E-3</v>
      </c>
      <c r="AB565" s="2">
        <f>ff_portfolios25!AB565-ff_factors!$E565</f>
        <v>-1.3988E-2</v>
      </c>
    </row>
    <row r="566" spans="1:28" x14ac:dyDescent="0.2">
      <c r="A566">
        <v>19790131</v>
      </c>
      <c r="B566">
        <v>1979</v>
      </c>
      <c r="C566">
        <v>1</v>
      </c>
      <c r="D566" s="2">
        <f>ff_portfolios25!D566-ff_factors!$E566</f>
        <v>9.1475000000000001E-2</v>
      </c>
      <c r="E566" s="2">
        <f>ff_portfolios25!E566-ff_factors!$E566</f>
        <v>9.2148999999999995E-2</v>
      </c>
      <c r="F566" s="2">
        <f>ff_portfolios25!F566-ff_factors!$E566</f>
        <v>7.8306000000000001E-2</v>
      </c>
      <c r="G566" s="2">
        <f>ff_portfolios25!G566-ff_factors!$E566</f>
        <v>9.6864000000000006E-2</v>
      </c>
      <c r="H566" s="2">
        <f>ff_portfolios25!H566-ff_factors!$E566</f>
        <v>0.11083800000000001</v>
      </c>
      <c r="I566" s="2">
        <f>ff_portfolios25!I566-ff_factors!$E566</f>
        <v>7.8262999999999999E-2</v>
      </c>
      <c r="J566" s="2">
        <f>ff_portfolios25!J566-ff_factors!$E566</f>
        <v>7.5865000000000002E-2</v>
      </c>
      <c r="K566" s="2">
        <f>ff_portfolios25!K566-ff_factors!$E566</f>
        <v>7.2620000000000004E-2</v>
      </c>
      <c r="L566" s="2">
        <f>ff_portfolios25!L566-ff_factors!$E566</f>
        <v>6.3948000000000005E-2</v>
      </c>
      <c r="M566" s="2">
        <f>ff_portfolios25!M566-ff_factors!$E566</f>
        <v>9.6215999999999996E-2</v>
      </c>
      <c r="N566" s="2">
        <f>ff_portfolios25!N566-ff_factors!$E566</f>
        <v>6.0524999999999995E-2</v>
      </c>
      <c r="O566" s="2">
        <f>ff_portfolios25!O566-ff_factors!$E566</f>
        <v>6.3646999999999995E-2</v>
      </c>
      <c r="P566" s="2">
        <f>ff_portfolios25!P566-ff_factors!$E566</f>
        <v>6.6643000000000008E-2</v>
      </c>
      <c r="Q566" s="2">
        <f>ff_portfolios25!Q566-ff_factors!$E566</f>
        <v>6.2960000000000002E-2</v>
      </c>
      <c r="R566" s="2">
        <f>ff_portfolios25!R566-ff_factors!$E566</f>
        <v>8.8748000000000007E-2</v>
      </c>
      <c r="S566" s="2">
        <f>ff_portfolios25!S566-ff_factors!$E566</f>
        <v>5.0679000000000002E-2</v>
      </c>
      <c r="T566" s="2">
        <f>ff_portfolios25!T566-ff_factors!$E566</f>
        <v>4.5877000000000001E-2</v>
      </c>
      <c r="U566" s="2">
        <f>ff_portfolios25!U566-ff_factors!$E566</f>
        <v>5.3276000000000004E-2</v>
      </c>
      <c r="V566" s="2">
        <f>ff_portfolios25!V566-ff_factors!$E566</f>
        <v>7.7648999999999996E-2</v>
      </c>
      <c r="W566" s="2">
        <f>ff_portfolios25!W566-ff_factors!$E566</f>
        <v>5.6448999999999999E-2</v>
      </c>
      <c r="X566" s="2">
        <f>ff_portfolios25!X566-ff_factors!$E566</f>
        <v>1.4629000000000001E-2</v>
      </c>
      <c r="Y566" s="2">
        <f>ff_portfolios25!Y566-ff_factors!$E566</f>
        <v>4.2450000000000002E-2</v>
      </c>
      <c r="Z566" s="2">
        <f>ff_portfolios25!Z566-ff_factors!$E566</f>
        <v>3.4332000000000001E-2</v>
      </c>
      <c r="AA566" s="2">
        <f>ff_portfolios25!AA566-ff_factors!$E566</f>
        <v>4.5749999999999999E-2</v>
      </c>
      <c r="AB566" s="2">
        <f>ff_portfolios25!AB566-ff_factors!$E566</f>
        <v>6.9413000000000002E-2</v>
      </c>
    </row>
    <row r="567" spans="1:28" x14ac:dyDescent="0.2">
      <c r="A567">
        <v>19790228</v>
      </c>
      <c r="B567">
        <v>1979</v>
      </c>
      <c r="C567">
        <v>2</v>
      </c>
      <c r="D567" s="2">
        <f>ff_portfolios25!D567-ff_factors!$E567</f>
        <v>-3.6422999999999997E-2</v>
      </c>
      <c r="E567" s="2">
        <f>ff_portfolios25!E567-ff_factors!$E567</f>
        <v>-4.2567000000000001E-2</v>
      </c>
      <c r="F567" s="2">
        <f>ff_portfolios25!F567-ff_factors!$E567</f>
        <v>-3.4728999999999996E-2</v>
      </c>
      <c r="G567" s="2">
        <f>ff_portfolios25!G567-ff_factors!$E567</f>
        <v>-3.4048999999999996E-2</v>
      </c>
      <c r="H567" s="2">
        <f>ff_portfolios25!H567-ff_factors!$E567</f>
        <v>-2.1531000000000002E-2</v>
      </c>
      <c r="I567" s="2">
        <f>ff_portfolios25!I567-ff_factors!$E567</f>
        <v>-3.7103999999999998E-2</v>
      </c>
      <c r="J567" s="2">
        <f>ff_portfolios25!J567-ff_factors!$E567</f>
        <v>-3.7862E-2</v>
      </c>
      <c r="K567" s="2">
        <f>ff_portfolios25!K567-ff_factors!$E567</f>
        <v>-3.6939E-2</v>
      </c>
      <c r="L567" s="2">
        <f>ff_portfolios25!L567-ff_factors!$E567</f>
        <v>-3.8088999999999998E-2</v>
      </c>
      <c r="M567" s="2">
        <f>ff_portfolios25!M567-ff_factors!$E567</f>
        <v>-3.1115E-2</v>
      </c>
      <c r="N567" s="2">
        <f>ff_portfolios25!N567-ff_factors!$E567</f>
        <v>-5.5355000000000001E-2</v>
      </c>
      <c r="O567" s="2">
        <f>ff_portfolios25!O567-ff_factors!$E567</f>
        <v>-2.6494E-2</v>
      </c>
      <c r="P567" s="2">
        <f>ff_portfolios25!P567-ff_factors!$E567</f>
        <v>-3.1736E-2</v>
      </c>
      <c r="Q567" s="2">
        <f>ff_portfolios25!Q567-ff_factors!$E567</f>
        <v>-2.1315000000000001E-2</v>
      </c>
      <c r="R567" s="2">
        <f>ff_portfolios25!R567-ff_factors!$E567</f>
        <v>-1.6088000000000002E-2</v>
      </c>
      <c r="S567" s="2">
        <f>ff_portfolios25!S567-ff_factors!$E567</f>
        <v>-5.0474999999999999E-2</v>
      </c>
      <c r="T567" s="2">
        <f>ff_portfolios25!T567-ff_factors!$E567</f>
        <v>-4.2748000000000001E-2</v>
      </c>
      <c r="U567" s="2">
        <f>ff_portfolios25!U567-ff_factors!$E567</f>
        <v>-4.0156999999999998E-2</v>
      </c>
      <c r="V567" s="2">
        <f>ff_portfolios25!V567-ff_factors!$E567</f>
        <v>-3.8142999999999996E-2</v>
      </c>
      <c r="W567" s="2">
        <f>ff_portfolios25!W567-ff_factors!$E567</f>
        <v>-5.1225E-2</v>
      </c>
      <c r="X567" s="2">
        <f>ff_portfolios25!X567-ff_factors!$E567</f>
        <v>-4.7296999999999999E-2</v>
      </c>
      <c r="Y567" s="2">
        <f>ff_portfolios25!Y567-ff_factors!$E567</f>
        <v>-3.0655000000000002E-2</v>
      </c>
      <c r="Z567" s="2">
        <f>ff_portfolios25!Z567-ff_factors!$E567</f>
        <v>-2.963E-2</v>
      </c>
      <c r="AA567" s="2">
        <f>ff_portfolios25!AA567-ff_factors!$E567</f>
        <v>-2.5651E-2</v>
      </c>
      <c r="AB567" s="2">
        <f>ff_portfolios25!AB567-ff_factors!$E567</f>
        <v>-3.7234999999999997E-2</v>
      </c>
    </row>
    <row r="568" spans="1:28" x14ac:dyDescent="0.2">
      <c r="A568">
        <v>19790330</v>
      </c>
      <c r="B568">
        <v>1979</v>
      </c>
      <c r="C568">
        <v>3</v>
      </c>
      <c r="D568" s="2">
        <f>ff_portfolios25!D568-ff_factors!$E568</f>
        <v>0.11213300000000001</v>
      </c>
      <c r="E568" s="2">
        <f>ff_portfolios25!E568-ff_factors!$E568</f>
        <v>8.7565000000000004E-2</v>
      </c>
      <c r="F568" s="2">
        <f>ff_portfolios25!F568-ff_factors!$E568</f>
        <v>7.1919000000000011E-2</v>
      </c>
      <c r="G568" s="2">
        <f>ff_portfolios25!G568-ff_factors!$E568</f>
        <v>6.3624E-2</v>
      </c>
      <c r="H568" s="2">
        <f>ff_portfolios25!H568-ff_factors!$E568</f>
        <v>7.653900000000001E-2</v>
      </c>
      <c r="I568" s="2">
        <f>ff_portfolios25!I568-ff_factors!$E568</f>
        <v>0.116368</v>
      </c>
      <c r="J568" s="2">
        <f>ff_portfolios25!J568-ff_factors!$E568</f>
        <v>8.039700000000001E-2</v>
      </c>
      <c r="K568" s="2">
        <f>ff_portfolios25!K568-ff_factors!$E568</f>
        <v>7.8007000000000007E-2</v>
      </c>
      <c r="L568" s="2">
        <f>ff_portfolios25!L568-ff_factors!$E568</f>
        <v>6.3856999999999997E-2</v>
      </c>
      <c r="M568" s="2">
        <f>ff_portfolios25!M568-ff_factors!$E568</f>
        <v>7.4769000000000002E-2</v>
      </c>
      <c r="N568" s="2">
        <f>ff_portfolios25!N568-ff_factors!$E568</f>
        <v>9.7908000000000009E-2</v>
      </c>
      <c r="O568" s="2">
        <f>ff_portfolios25!O568-ff_factors!$E568</f>
        <v>8.5178000000000004E-2</v>
      </c>
      <c r="P568" s="2">
        <f>ff_portfolios25!P568-ff_factors!$E568</f>
        <v>5.8875999999999998E-2</v>
      </c>
      <c r="Q568" s="2">
        <f>ff_portfolios25!Q568-ff_factors!$E568</f>
        <v>8.1703999999999999E-2</v>
      </c>
      <c r="R568" s="2">
        <f>ff_portfolios25!R568-ff_factors!$E568</f>
        <v>0.12126600000000001</v>
      </c>
      <c r="S568" s="2">
        <f>ff_portfolios25!S568-ff_factors!$E568</f>
        <v>6.7655000000000007E-2</v>
      </c>
      <c r="T568" s="2">
        <f>ff_portfolios25!T568-ff_factors!$E568</f>
        <v>7.0164000000000004E-2</v>
      </c>
      <c r="U568" s="2">
        <f>ff_portfolios25!U568-ff_factors!$E568</f>
        <v>6.3955999999999999E-2</v>
      </c>
      <c r="V568" s="2">
        <f>ff_portfolios25!V568-ff_factors!$E568</f>
        <v>6.8733000000000002E-2</v>
      </c>
      <c r="W568" s="2">
        <f>ff_portfolios25!W568-ff_factors!$E568</f>
        <v>9.0378E-2</v>
      </c>
      <c r="X568" s="2">
        <f>ff_portfolios25!X568-ff_factors!$E568</f>
        <v>4.1194999999999996E-2</v>
      </c>
      <c r="Y568" s="2">
        <f>ff_portfolios25!Y568-ff_factors!$E568</f>
        <v>5.4907999999999998E-2</v>
      </c>
      <c r="Z568" s="2">
        <f>ff_portfolios25!Z568-ff_factors!$E568</f>
        <v>4.0240999999999999E-2</v>
      </c>
      <c r="AA568" s="2">
        <f>ff_portfolios25!AA568-ff_factors!$E568</f>
        <v>5.3587999999999997E-2</v>
      </c>
      <c r="AB568" s="2">
        <f>ff_portfolios25!AB568-ff_factors!$E568</f>
        <v>5.6813000000000002E-2</v>
      </c>
    </row>
    <row r="569" spans="1:28" x14ac:dyDescent="0.2">
      <c r="A569">
        <v>19790430</v>
      </c>
      <c r="B569">
        <v>1979</v>
      </c>
      <c r="C569">
        <v>4</v>
      </c>
      <c r="D569" s="2">
        <f>ff_portfolios25!D569-ff_factors!$E569</f>
        <v>2.3569E-2</v>
      </c>
      <c r="E569" s="2">
        <f>ff_portfolios25!E569-ff_factors!$E569</f>
        <v>1.8977999999999998E-2</v>
      </c>
      <c r="F569" s="2">
        <f>ff_portfolios25!F569-ff_factors!$E569</f>
        <v>1.4397E-2</v>
      </c>
      <c r="G569" s="2">
        <f>ff_portfolios25!G569-ff_factors!$E569</f>
        <v>2.3199999999999998E-2</v>
      </c>
      <c r="H569" s="2">
        <f>ff_portfolios25!H569-ff_factors!$E569</f>
        <v>2.5987999999999997E-2</v>
      </c>
      <c r="I569" s="2">
        <f>ff_portfolios25!I569-ff_factors!$E569</f>
        <v>8.149E-3</v>
      </c>
      <c r="J569" s="2">
        <f>ff_portfolios25!J569-ff_factors!$E569</f>
        <v>2.1876E-2</v>
      </c>
      <c r="K569" s="2">
        <f>ff_portfolios25!K569-ff_factors!$E569</f>
        <v>1.6336E-2</v>
      </c>
      <c r="L569" s="2">
        <f>ff_portfolios25!L569-ff_factors!$E569</f>
        <v>2.1544999999999998E-2</v>
      </c>
      <c r="M569" s="2">
        <f>ff_portfolios25!M569-ff_factors!$E569</f>
        <v>1.2247000000000001E-2</v>
      </c>
      <c r="N569" s="2">
        <f>ff_portfolios25!N569-ff_factors!$E569</f>
        <v>7.3600000000000002E-3</v>
      </c>
      <c r="O569" s="2">
        <f>ff_portfolios25!O569-ff_factors!$E569</f>
        <v>4.4829999999999991E-3</v>
      </c>
      <c r="P569" s="2">
        <f>ff_portfolios25!P569-ff_factors!$E569</f>
        <v>1.3823999999999999E-2</v>
      </c>
      <c r="Q569" s="2">
        <f>ff_portfolios25!Q569-ff_factors!$E569</f>
        <v>1.1390000000000001E-2</v>
      </c>
      <c r="R569" s="2">
        <f>ff_portfolios25!R569-ff_factors!$E569</f>
        <v>3.1132E-2</v>
      </c>
      <c r="S569" s="2">
        <f>ff_portfolios25!S569-ff_factors!$E569</f>
        <v>1.1493E-2</v>
      </c>
      <c r="T569" s="2">
        <f>ff_portfolios25!T569-ff_factors!$E569</f>
        <v>9.7399999999999917E-4</v>
      </c>
      <c r="U569" s="2">
        <f>ff_portfolios25!U569-ff_factors!$E569</f>
        <v>4.6149999999999993E-3</v>
      </c>
      <c r="V569" s="2">
        <f>ff_portfolios25!V569-ff_factors!$E569</f>
        <v>-1.2529999999999998E-3</v>
      </c>
      <c r="W569" s="2">
        <f>ff_portfolios25!W569-ff_factors!$E569</f>
        <v>8.8710000000000004E-3</v>
      </c>
      <c r="X569" s="2">
        <f>ff_portfolios25!X569-ff_factors!$E569</f>
        <v>-8.1890000000000001E-3</v>
      </c>
      <c r="Y569" s="2">
        <f>ff_portfolios25!Y569-ff_factors!$E569</f>
        <v>-1.8570000000000001E-3</v>
      </c>
      <c r="Z569" s="2">
        <f>ff_portfolios25!Z569-ff_factors!$E569</f>
        <v>-1.0128999999999999E-2</v>
      </c>
      <c r="AA569" s="2">
        <f>ff_portfolios25!AA569-ff_factors!$E569</f>
        <v>6.5330000000000006E-3</v>
      </c>
      <c r="AB569" s="2">
        <f>ff_portfolios25!AB569-ff_factors!$E569</f>
        <v>-1.7413999999999999E-2</v>
      </c>
    </row>
    <row r="570" spans="1:28" x14ac:dyDescent="0.2">
      <c r="A570">
        <v>19790531</v>
      </c>
      <c r="B570">
        <v>1979</v>
      </c>
      <c r="C570">
        <v>5</v>
      </c>
      <c r="D570" s="2">
        <f>ff_portfolios25!D570-ff_factors!$E570</f>
        <v>-3.6146999999999999E-2</v>
      </c>
      <c r="E570" s="2">
        <f>ff_portfolios25!E570-ff_factors!$E570</f>
        <v>-1.5815000000000003E-2</v>
      </c>
      <c r="F570" s="2">
        <f>ff_portfolios25!F570-ff_factors!$E570</f>
        <v>-2.7163E-2</v>
      </c>
      <c r="G570" s="2">
        <f>ff_portfolios25!G570-ff_factors!$E570</f>
        <v>4.5262999999999998E-2</v>
      </c>
      <c r="H570" s="2">
        <f>ff_portfolios25!H570-ff_factors!$E570</f>
        <v>-1.9384999999999999E-2</v>
      </c>
      <c r="I570" s="2">
        <f>ff_portfolios25!I570-ff_factors!$E570</f>
        <v>-3.1538000000000004E-2</v>
      </c>
      <c r="J570" s="2">
        <f>ff_portfolios25!J570-ff_factors!$E570</f>
        <v>-2.4673E-2</v>
      </c>
      <c r="K570" s="2">
        <f>ff_portfolios25!K570-ff_factors!$E570</f>
        <v>-1.2818E-2</v>
      </c>
      <c r="L570" s="2">
        <f>ff_portfolios25!L570-ff_factors!$E570</f>
        <v>-1.0983E-2</v>
      </c>
      <c r="M570" s="2">
        <f>ff_portfolios25!M570-ff_factors!$E570</f>
        <v>-1.5413E-2</v>
      </c>
      <c r="N570" s="2">
        <f>ff_portfolios25!N570-ff_factors!$E570</f>
        <v>-4.4712999999999996E-2</v>
      </c>
      <c r="O570" s="2">
        <f>ff_portfolios25!O570-ff_factors!$E570</f>
        <v>-3.5382000000000004E-2</v>
      </c>
      <c r="P570" s="2">
        <f>ff_portfolios25!P570-ff_factors!$E570</f>
        <v>-1.3754000000000001E-2</v>
      </c>
      <c r="Q570" s="2">
        <f>ff_portfolios25!Q570-ff_factors!$E570</f>
        <v>-2.9100000000000003E-3</v>
      </c>
      <c r="R570" s="2">
        <f>ff_portfolios25!R570-ff_factors!$E570</f>
        <v>-2.9191000000000002E-2</v>
      </c>
      <c r="S570" s="2">
        <f>ff_portfolios25!S570-ff_factors!$E570</f>
        <v>-1.1062000000000001E-2</v>
      </c>
      <c r="T570" s="2">
        <f>ff_portfolios25!T570-ff_factors!$E570</f>
        <v>-2.3112000000000001E-2</v>
      </c>
      <c r="U570" s="2">
        <f>ff_portfolios25!U570-ff_factors!$E570</f>
        <v>-2.4579000000000004E-2</v>
      </c>
      <c r="V570" s="2">
        <f>ff_portfolios25!V570-ff_factors!$E570</f>
        <v>-1.8153000000000002E-2</v>
      </c>
      <c r="W570" s="2">
        <f>ff_portfolios25!W570-ff_factors!$E570</f>
        <v>-1.8381000000000002E-2</v>
      </c>
      <c r="X570" s="2">
        <f>ff_portfolios25!X570-ff_factors!$E570</f>
        <v>-2.946E-2</v>
      </c>
      <c r="Y570" s="2">
        <f>ff_portfolios25!Y570-ff_factors!$E570</f>
        <v>-1.6367E-2</v>
      </c>
      <c r="Z570" s="2">
        <f>ff_portfolios25!Z570-ff_factors!$E570</f>
        <v>-2.1596000000000001E-2</v>
      </c>
      <c r="AA570" s="2">
        <f>ff_portfolios25!AA570-ff_factors!$E570</f>
        <v>-2.6136E-2</v>
      </c>
      <c r="AB570" s="2">
        <f>ff_portfolios25!AB570-ff_factors!$E570</f>
        <v>-2.1548999999999999E-2</v>
      </c>
    </row>
    <row r="571" spans="1:28" x14ac:dyDescent="0.2">
      <c r="A571">
        <v>19790629</v>
      </c>
      <c r="B571">
        <v>1979</v>
      </c>
      <c r="C571">
        <v>6</v>
      </c>
      <c r="D571" s="2">
        <f>ff_portfolios25!D571-ff_factors!$E571</f>
        <v>5.2053000000000002E-2</v>
      </c>
      <c r="E571" s="2">
        <f>ff_portfolios25!E571-ff_factors!$E571</f>
        <v>4.8696000000000003E-2</v>
      </c>
      <c r="F571" s="2">
        <f>ff_portfolios25!F571-ff_factors!$E571</f>
        <v>4.2018E-2</v>
      </c>
      <c r="G571" s="2">
        <f>ff_portfolios25!G571-ff_factors!$E571</f>
        <v>3.9944999999999994E-2</v>
      </c>
      <c r="H571" s="2">
        <f>ff_portfolios25!H571-ff_factors!$E571</f>
        <v>4.5343999999999995E-2</v>
      </c>
      <c r="I571" s="2">
        <f>ff_portfolios25!I571-ff_factors!$E571</f>
        <v>6.6564999999999999E-2</v>
      </c>
      <c r="J571" s="2">
        <f>ff_portfolios25!J571-ff_factors!$E571</f>
        <v>4.9076999999999996E-2</v>
      </c>
      <c r="K571" s="2">
        <f>ff_portfolios25!K571-ff_factors!$E571</f>
        <v>3.1417E-2</v>
      </c>
      <c r="L571" s="2">
        <f>ff_portfolios25!L571-ff_factors!$E571</f>
        <v>4.8292000000000002E-2</v>
      </c>
      <c r="M571" s="2">
        <f>ff_portfolios25!M571-ff_factors!$E571</f>
        <v>7.9878000000000005E-2</v>
      </c>
      <c r="N571" s="2">
        <f>ff_portfolios25!N571-ff_factors!$E571</f>
        <v>2.8296999999999999E-2</v>
      </c>
      <c r="O571" s="2">
        <f>ff_portfolios25!O571-ff_factors!$E571</f>
        <v>4.0832999999999994E-2</v>
      </c>
      <c r="P571" s="2">
        <f>ff_portfolios25!P571-ff_factors!$E571</f>
        <v>4.9334000000000003E-2</v>
      </c>
      <c r="Q571" s="2">
        <f>ff_portfolios25!Q571-ff_factors!$E571</f>
        <v>5.5763000000000007E-2</v>
      </c>
      <c r="R571" s="2">
        <f>ff_portfolios25!R571-ff_factors!$E571</f>
        <v>6.0212000000000002E-2</v>
      </c>
      <c r="S571" s="2">
        <f>ff_portfolios25!S571-ff_factors!$E571</f>
        <v>4.4355000000000006E-2</v>
      </c>
      <c r="T571" s="2">
        <f>ff_portfolios25!T571-ff_factors!$E571</f>
        <v>6.3935000000000006E-2</v>
      </c>
      <c r="U571" s="2">
        <f>ff_portfolios25!U571-ff_factors!$E571</f>
        <v>5.9291999999999997E-2</v>
      </c>
      <c r="V571" s="2">
        <f>ff_portfolios25!V571-ff_factors!$E571</f>
        <v>6.636800000000001E-2</v>
      </c>
      <c r="W571" s="2">
        <f>ff_portfolios25!W571-ff_factors!$E571</f>
        <v>5.3870000000000001E-2</v>
      </c>
      <c r="X571" s="2">
        <f>ff_portfolios25!X571-ff_factors!$E571</f>
        <v>1.4232000000000002E-2</v>
      </c>
      <c r="Y571" s="2">
        <f>ff_portfolios25!Y571-ff_factors!$E571</f>
        <v>4.1182999999999997E-2</v>
      </c>
      <c r="Z571" s="2">
        <f>ff_portfolios25!Z571-ff_factors!$E571</f>
        <v>4.1005E-2</v>
      </c>
      <c r="AA571" s="2">
        <f>ff_portfolios25!AA571-ff_factors!$E571</f>
        <v>5.7363999999999998E-2</v>
      </c>
      <c r="AB571" s="2">
        <f>ff_portfolios25!AB571-ff_factors!$E571</f>
        <v>2.0305E-2</v>
      </c>
    </row>
    <row r="572" spans="1:28" x14ac:dyDescent="0.2">
      <c r="A572">
        <v>19790731</v>
      </c>
      <c r="B572">
        <v>1979</v>
      </c>
      <c r="C572">
        <v>7</v>
      </c>
      <c r="D572" s="2">
        <f>ff_portfolios25!D572-ff_factors!$E572</f>
        <v>1.5068E-2</v>
      </c>
      <c r="E572" s="2">
        <f>ff_portfolios25!E572-ff_factors!$E572</f>
        <v>2.1498999999999997E-2</v>
      </c>
      <c r="F572" s="2">
        <f>ff_portfolios25!F572-ff_factors!$E572</f>
        <v>1.5583999999999999E-2</v>
      </c>
      <c r="G572" s="2">
        <f>ff_portfolios25!G572-ff_factors!$E572</f>
        <v>2.4840000000000001E-2</v>
      </c>
      <c r="H572" s="2">
        <f>ff_portfolios25!H572-ff_factors!$E572</f>
        <v>1.3323E-2</v>
      </c>
      <c r="I572" s="2">
        <f>ff_portfolios25!I572-ff_factors!$E572</f>
        <v>1.2259000000000001E-2</v>
      </c>
      <c r="J572" s="2">
        <f>ff_portfolios25!J572-ff_factors!$E572</f>
        <v>1.6954999999999998E-2</v>
      </c>
      <c r="K572" s="2">
        <f>ff_portfolios25!K572-ff_factors!$E572</f>
        <v>2.6932000000000005E-2</v>
      </c>
      <c r="L572" s="2">
        <f>ff_portfolios25!L572-ff_factors!$E572</f>
        <v>4.1133000000000003E-2</v>
      </c>
      <c r="M572" s="2">
        <f>ff_portfolios25!M572-ff_factors!$E572</f>
        <v>2.862E-2</v>
      </c>
      <c r="N572" s="2">
        <f>ff_portfolios25!N572-ff_factors!$E572</f>
        <v>2.3684000000000004E-2</v>
      </c>
      <c r="O572" s="2">
        <f>ff_portfolios25!O572-ff_factors!$E572</f>
        <v>3.2351000000000005E-2</v>
      </c>
      <c r="P572" s="2">
        <f>ff_portfolios25!P572-ff_factors!$E572</f>
        <v>3.5154999999999999E-2</v>
      </c>
      <c r="Q572" s="2">
        <f>ff_portfolios25!Q572-ff_factors!$E572</f>
        <v>2.0103000000000003E-2</v>
      </c>
      <c r="R572" s="2">
        <f>ff_portfolios25!R572-ff_factors!$E572</f>
        <v>4.3207000000000002E-2</v>
      </c>
      <c r="S572" s="2">
        <f>ff_portfolios25!S572-ff_factors!$E572</f>
        <v>7.6430000000000005E-3</v>
      </c>
      <c r="T572" s="2">
        <f>ff_portfolios25!T572-ff_factors!$E572</f>
        <v>2.6639000000000003E-2</v>
      </c>
      <c r="U572" s="2">
        <f>ff_portfolios25!U572-ff_factors!$E572</f>
        <v>2.1830000000000002E-2</v>
      </c>
      <c r="V572" s="2">
        <f>ff_portfolios25!V572-ff_factors!$E572</f>
        <v>1.5439E-2</v>
      </c>
      <c r="W572" s="2">
        <f>ff_portfolios25!W572-ff_factors!$E572</f>
        <v>2.3666E-2</v>
      </c>
      <c r="X572" s="2">
        <f>ff_portfolios25!X572-ff_factors!$E572</f>
        <v>-1.2043E-2</v>
      </c>
      <c r="Y572" s="2">
        <f>ff_portfolios25!Y572-ff_factors!$E572</f>
        <v>9.023999999999999E-3</v>
      </c>
      <c r="Z572" s="2">
        <f>ff_portfolios25!Z572-ff_factors!$E572</f>
        <v>7.9659999999999991E-3</v>
      </c>
      <c r="AA572" s="2">
        <f>ff_portfolios25!AA572-ff_factors!$E572</f>
        <v>4.1759999999999992E-3</v>
      </c>
      <c r="AB572" s="2">
        <f>ff_portfolios25!AB572-ff_factors!$E572</f>
        <v>2.8969000000000002E-2</v>
      </c>
    </row>
    <row r="573" spans="1:28" x14ac:dyDescent="0.2">
      <c r="A573">
        <v>19790831</v>
      </c>
      <c r="B573">
        <v>1979</v>
      </c>
      <c r="C573">
        <v>8</v>
      </c>
      <c r="D573" s="2">
        <f>ff_portfolios25!D573-ff_factors!$E573</f>
        <v>8.1630000000000008E-2</v>
      </c>
      <c r="E573" s="2">
        <f>ff_portfolios25!E573-ff_factors!$E573</f>
        <v>8.2660999999999998E-2</v>
      </c>
      <c r="F573" s="2">
        <f>ff_portfolios25!F573-ff_factors!$E573</f>
        <v>5.6764999999999996E-2</v>
      </c>
      <c r="G573" s="2">
        <f>ff_portfolios25!G573-ff_factors!$E573</f>
        <v>6.1280000000000001E-2</v>
      </c>
      <c r="H573" s="2">
        <f>ff_portfolios25!H573-ff_factors!$E573</f>
        <v>7.3078000000000004E-2</v>
      </c>
      <c r="I573" s="2">
        <f>ff_portfolios25!I573-ff_factors!$E573</f>
        <v>7.7875E-2</v>
      </c>
      <c r="J573" s="2">
        <f>ff_portfolios25!J573-ff_factors!$E573</f>
        <v>7.8073000000000004E-2</v>
      </c>
      <c r="K573" s="2">
        <f>ff_portfolios25!K573-ff_factors!$E573</f>
        <v>6.6063999999999998E-2</v>
      </c>
      <c r="L573" s="2">
        <f>ff_portfolios25!L573-ff_factors!$E573</f>
        <v>5.688E-2</v>
      </c>
      <c r="M573" s="2">
        <f>ff_portfolios25!M573-ff_factors!$E573</f>
        <v>6.4823000000000006E-2</v>
      </c>
      <c r="N573" s="2">
        <f>ff_portfolios25!N573-ff_factors!$E573</f>
        <v>8.4877999999999995E-2</v>
      </c>
      <c r="O573" s="2">
        <f>ff_portfolios25!O573-ff_factors!$E573</f>
        <v>7.1640999999999996E-2</v>
      </c>
      <c r="P573" s="2">
        <f>ff_portfolios25!P573-ff_factors!$E573</f>
        <v>5.1036999999999999E-2</v>
      </c>
      <c r="Q573" s="2">
        <f>ff_portfolios25!Q573-ff_factors!$E573</f>
        <v>4.6460000000000001E-2</v>
      </c>
      <c r="R573" s="2">
        <f>ff_portfolios25!R573-ff_factors!$E573</f>
        <v>5.7652999999999996E-2</v>
      </c>
      <c r="S573" s="2">
        <f>ff_portfolios25!S573-ff_factors!$E573</f>
        <v>7.7949000000000004E-2</v>
      </c>
      <c r="T573" s="2">
        <f>ff_portfolios25!T573-ff_factors!$E573</f>
        <v>5.2783000000000004E-2</v>
      </c>
      <c r="U573" s="2">
        <f>ff_portfolios25!U573-ff_factors!$E573</f>
        <v>6.0179999999999997E-2</v>
      </c>
      <c r="V573" s="2">
        <f>ff_portfolios25!V573-ff_factors!$E573</f>
        <v>4.3187000000000003E-2</v>
      </c>
      <c r="W573" s="2">
        <f>ff_portfolios25!W573-ff_factors!$E573</f>
        <v>7.1021000000000001E-2</v>
      </c>
      <c r="X573" s="2">
        <f>ff_portfolios25!X573-ff_factors!$E573</f>
        <v>5.4600000000000003E-2</v>
      </c>
      <c r="Y573" s="2">
        <f>ff_portfolios25!Y573-ff_factors!$E573</f>
        <v>6.3777E-2</v>
      </c>
      <c r="Z573" s="2">
        <f>ff_portfolios25!Z573-ff_factors!$E573</f>
        <v>3.5797000000000002E-2</v>
      </c>
      <c r="AA573" s="2">
        <f>ff_portfolios25!AA573-ff_factors!$E573</f>
        <v>4.6109999999999998E-2</v>
      </c>
      <c r="AB573" s="2">
        <f>ff_portfolios25!AB573-ff_factors!$E573</f>
        <v>4.5339000000000004E-2</v>
      </c>
    </row>
    <row r="574" spans="1:28" x14ac:dyDescent="0.2">
      <c r="A574">
        <v>19790928</v>
      </c>
      <c r="B574">
        <v>1979</v>
      </c>
      <c r="C574">
        <v>9</v>
      </c>
      <c r="D574" s="2">
        <f>ff_portfolios25!D574-ff_factors!$E574</f>
        <v>-9.391E-3</v>
      </c>
      <c r="E574" s="2">
        <f>ff_portfolios25!E574-ff_factors!$E574</f>
        <v>-1.3372E-2</v>
      </c>
      <c r="F574" s="2">
        <f>ff_portfolios25!F574-ff_factors!$E574</f>
        <v>-2.4135999999999998E-2</v>
      </c>
      <c r="G574" s="2">
        <f>ff_portfolios25!G574-ff_factors!$E574</f>
        <v>-1.2563000000000001E-2</v>
      </c>
      <c r="H574" s="2">
        <f>ff_portfolios25!H574-ff_factors!$E574</f>
        <v>-1.8043E-2</v>
      </c>
      <c r="I574" s="2">
        <f>ff_portfolios25!I574-ff_factors!$E574</f>
        <v>-1.2199999999999997E-3</v>
      </c>
      <c r="J574" s="2">
        <f>ff_portfolios25!J574-ff_factors!$E574</f>
        <v>-1.6830000000000005E-3</v>
      </c>
      <c r="K574" s="2">
        <f>ff_portfolios25!K574-ff_factors!$E574</f>
        <v>-3.0300000000000001E-2</v>
      </c>
      <c r="L574" s="2">
        <f>ff_portfolios25!L574-ff_factors!$E574</f>
        <v>-2.4698999999999999E-2</v>
      </c>
      <c r="M574" s="2">
        <f>ff_portfolios25!M574-ff_factors!$E574</f>
        <v>-2.6303E-2</v>
      </c>
      <c r="N574" s="2">
        <f>ff_portfolios25!N574-ff_factors!$E574</f>
        <v>4.5140000000000007E-3</v>
      </c>
      <c r="O574" s="2">
        <f>ff_portfolios25!O574-ff_factors!$E574</f>
        <v>-9.0109999999999999E-3</v>
      </c>
      <c r="P574" s="2">
        <f>ff_portfolios25!P574-ff_factors!$E574</f>
        <v>-2.1303000000000002E-2</v>
      </c>
      <c r="Q574" s="2">
        <f>ff_portfolios25!Q574-ff_factors!$E574</f>
        <v>-3.9021E-2</v>
      </c>
      <c r="R574" s="2">
        <f>ff_portfolios25!R574-ff_factors!$E574</f>
        <v>-2.4282999999999999E-2</v>
      </c>
      <c r="S574" s="2">
        <f>ff_portfolios25!S574-ff_factors!$E574</f>
        <v>-1.2584999999999999E-2</v>
      </c>
      <c r="T574" s="2">
        <f>ff_portfolios25!T574-ff_factors!$E574</f>
        <v>-7.1580000000000003E-3</v>
      </c>
      <c r="U574" s="2">
        <f>ff_portfolios25!U574-ff_factors!$E574</f>
        <v>-9.4909999999999994E-3</v>
      </c>
      <c r="V574" s="2">
        <f>ff_portfolios25!V574-ff_factors!$E574</f>
        <v>-2.8200999999999997E-2</v>
      </c>
      <c r="W574" s="2">
        <f>ff_portfolios25!W574-ff_factors!$E574</f>
        <v>-2.5409000000000001E-2</v>
      </c>
      <c r="X574" s="2">
        <f>ff_portfolios25!X574-ff_factors!$E574</f>
        <v>-2.5946999999999998E-2</v>
      </c>
      <c r="Y574" s="2">
        <f>ff_portfolios25!Y574-ff_factors!$E574</f>
        <v>-3.759999999999996E-4</v>
      </c>
      <c r="Z574" s="2">
        <f>ff_portfolios25!Z574-ff_factors!$E574</f>
        <v>8.3859999999999994E-3</v>
      </c>
      <c r="AA574" s="2">
        <f>ff_portfolios25!AA574-ff_factors!$E574</f>
        <v>5.4000000000000228E-5</v>
      </c>
      <c r="AB574" s="2">
        <f>ff_portfolios25!AB574-ff_factors!$E574</f>
        <v>-3.385E-3</v>
      </c>
    </row>
    <row r="575" spans="1:28" x14ac:dyDescent="0.2">
      <c r="A575">
        <v>19791031</v>
      </c>
      <c r="B575">
        <v>1979</v>
      </c>
      <c r="C575">
        <v>10</v>
      </c>
      <c r="D575" s="2">
        <f>ff_portfolios25!D575-ff_factors!$E575</f>
        <v>-0.119093</v>
      </c>
      <c r="E575" s="2">
        <f>ff_portfolios25!E575-ff_factors!$E575</f>
        <v>-0.10766000000000001</v>
      </c>
      <c r="F575" s="2">
        <f>ff_portfolios25!F575-ff_factors!$E575</f>
        <v>-0.119884</v>
      </c>
      <c r="G575" s="2">
        <f>ff_portfolios25!G575-ff_factors!$E575</f>
        <v>-0.104092</v>
      </c>
      <c r="H575" s="2">
        <f>ff_portfolios25!H575-ff_factors!$E575</f>
        <v>-0.12393899999999999</v>
      </c>
      <c r="I575" s="2">
        <f>ff_portfolios25!I575-ff_factors!$E575</f>
        <v>-9.8068000000000002E-2</v>
      </c>
      <c r="J575" s="2">
        <f>ff_portfolios25!J575-ff_factors!$E575</f>
        <v>-0.113617</v>
      </c>
      <c r="K575" s="2">
        <f>ff_portfolios25!K575-ff_factors!$E575</f>
        <v>-0.12459000000000001</v>
      </c>
      <c r="L575" s="2">
        <f>ff_portfolios25!L575-ff_factors!$E575</f>
        <v>-0.12925799999999998</v>
      </c>
      <c r="M575" s="2">
        <f>ff_portfolios25!M575-ff_factors!$E575</f>
        <v>-0.123603</v>
      </c>
      <c r="N575" s="2">
        <f>ff_portfolios25!N575-ff_factors!$E575</f>
        <v>-9.0729000000000004E-2</v>
      </c>
      <c r="O575" s="2">
        <f>ff_portfolios25!O575-ff_factors!$E575</f>
        <v>-9.1511999999999996E-2</v>
      </c>
      <c r="P575" s="2">
        <f>ff_portfolios25!P575-ff_factors!$E575</f>
        <v>-0.112709</v>
      </c>
      <c r="Q575" s="2">
        <f>ff_portfolios25!Q575-ff_factors!$E575</f>
        <v>-8.2497000000000001E-2</v>
      </c>
      <c r="R575" s="2">
        <f>ff_portfolios25!R575-ff_factors!$E575</f>
        <v>-0.132215</v>
      </c>
      <c r="S575" s="2">
        <f>ff_portfolios25!S575-ff_factors!$E575</f>
        <v>-8.4580000000000002E-2</v>
      </c>
      <c r="T575" s="2">
        <f>ff_portfolios25!T575-ff_factors!$E575</f>
        <v>-8.4247000000000002E-2</v>
      </c>
      <c r="U575" s="2">
        <f>ff_portfolios25!U575-ff_factors!$E575</f>
        <v>-9.1358999999999996E-2</v>
      </c>
      <c r="V575" s="2">
        <f>ff_portfolios25!V575-ff_factors!$E575</f>
        <v>-0.10971</v>
      </c>
      <c r="W575" s="2">
        <f>ff_portfolios25!W575-ff_factors!$E575</f>
        <v>-0.114922</v>
      </c>
      <c r="X575" s="2">
        <f>ff_portfolios25!X575-ff_factors!$E575</f>
        <v>-7.1143999999999999E-2</v>
      </c>
      <c r="Y575" s="2">
        <f>ff_portfolios25!Y575-ff_factors!$E575</f>
        <v>-6.4978000000000008E-2</v>
      </c>
      <c r="Z575" s="2">
        <f>ff_portfolios25!Z575-ff_factors!$E575</f>
        <v>-6.4634999999999998E-2</v>
      </c>
      <c r="AA575" s="2">
        <f>ff_portfolios25!AA575-ff_factors!$E575</f>
        <v>-7.9766000000000004E-2</v>
      </c>
      <c r="AB575" s="2">
        <f>ff_portfolios25!AB575-ff_factors!$E575</f>
        <v>-8.0368999999999996E-2</v>
      </c>
    </row>
    <row r="576" spans="1:28" x14ac:dyDescent="0.2">
      <c r="A576">
        <v>19791130</v>
      </c>
      <c r="B576">
        <v>1979</v>
      </c>
      <c r="C576">
        <v>11</v>
      </c>
      <c r="D576" s="2">
        <f>ff_portfolios25!D576-ff_factors!$E576</f>
        <v>0.10045899999999999</v>
      </c>
      <c r="E576" s="2">
        <f>ff_portfolios25!E576-ff_factors!$E576</f>
        <v>7.5930999999999998E-2</v>
      </c>
      <c r="F576" s="2">
        <f>ff_portfolios25!F576-ff_factors!$E576</f>
        <v>5.3003000000000002E-2</v>
      </c>
      <c r="G576" s="2">
        <f>ff_portfolios25!G576-ff_factors!$E576</f>
        <v>4.1210999999999998E-2</v>
      </c>
      <c r="H576" s="2">
        <f>ff_portfolios25!H576-ff_factors!$E576</f>
        <v>5.4931000000000001E-2</v>
      </c>
      <c r="I576" s="2">
        <f>ff_portfolios25!I576-ff_factors!$E576</f>
        <v>0.10185899999999999</v>
      </c>
      <c r="J576" s="2">
        <f>ff_portfolios25!J576-ff_factors!$E576</f>
        <v>6.6575999999999996E-2</v>
      </c>
      <c r="K576" s="2">
        <f>ff_portfolios25!K576-ff_factors!$E576</f>
        <v>5.5002000000000002E-2</v>
      </c>
      <c r="L576" s="2">
        <f>ff_portfolios25!L576-ff_factors!$E576</f>
        <v>6.784599999999999E-2</v>
      </c>
      <c r="M576" s="2">
        <f>ff_portfolios25!M576-ff_factors!$E576</f>
        <v>6.4193E-2</v>
      </c>
      <c r="N576" s="2">
        <f>ff_portfolios25!N576-ff_factors!$E576</f>
        <v>0.10847999999999999</v>
      </c>
      <c r="O576" s="2">
        <f>ff_portfolios25!O576-ff_factors!$E576</f>
        <v>6.0890000000000007E-2</v>
      </c>
      <c r="P576" s="2">
        <f>ff_portfolios25!P576-ff_factors!$E576</f>
        <v>5.7439999999999998E-2</v>
      </c>
      <c r="Q576" s="2">
        <f>ff_portfolios25!Q576-ff_factors!$E576</f>
        <v>6.0387000000000003E-2</v>
      </c>
      <c r="R576" s="2">
        <f>ff_portfolios25!R576-ff_factors!$E576</f>
        <v>4.4018000000000002E-2</v>
      </c>
      <c r="S576" s="2">
        <f>ff_portfolios25!S576-ff_factors!$E576</f>
        <v>8.8794999999999999E-2</v>
      </c>
      <c r="T576" s="2">
        <f>ff_portfolios25!T576-ff_factors!$E576</f>
        <v>6.3943E-2</v>
      </c>
      <c r="U576" s="2">
        <f>ff_portfolios25!U576-ff_factors!$E576</f>
        <v>6.5783999999999995E-2</v>
      </c>
      <c r="V576" s="2">
        <f>ff_portfolios25!V576-ff_factors!$E576</f>
        <v>4.9869999999999998E-2</v>
      </c>
      <c r="W576" s="2">
        <f>ff_portfolios25!W576-ff_factors!$E576</f>
        <v>4.9436000000000001E-2</v>
      </c>
      <c r="X576" s="2">
        <f>ff_portfolios25!X576-ff_factors!$E576</f>
        <v>4.2432999999999998E-2</v>
      </c>
      <c r="Y576" s="2">
        <f>ff_portfolios25!Y576-ff_factors!$E576</f>
        <v>6.1393999999999997E-2</v>
      </c>
      <c r="Z576" s="2">
        <f>ff_portfolios25!Z576-ff_factors!$E576</f>
        <v>3.3640000000000003E-2</v>
      </c>
      <c r="AA576" s="2">
        <f>ff_portfolios25!AA576-ff_factors!$E576</f>
        <v>6.1827E-2</v>
      </c>
      <c r="AB576" s="2">
        <f>ff_portfolios25!AB576-ff_factors!$E576</f>
        <v>1.0799999999999872E-4</v>
      </c>
    </row>
    <row r="577" spans="1:28" x14ac:dyDescent="0.2">
      <c r="A577">
        <v>19791231</v>
      </c>
      <c r="B577">
        <v>1979</v>
      </c>
      <c r="C577">
        <v>12</v>
      </c>
      <c r="D577" s="2">
        <f>ff_portfolios25!D577-ff_factors!$E577</f>
        <v>0.10468200000000001</v>
      </c>
      <c r="E577" s="2">
        <f>ff_portfolios25!E577-ff_factors!$E577</f>
        <v>7.4582000000000009E-2</v>
      </c>
      <c r="F577" s="2">
        <f>ff_portfolios25!F577-ff_factors!$E577</f>
        <v>4.8887E-2</v>
      </c>
      <c r="G577" s="2">
        <f>ff_portfolios25!G577-ff_factors!$E577</f>
        <v>5.6304E-2</v>
      </c>
      <c r="H577" s="2">
        <f>ff_portfolios25!H577-ff_factors!$E577</f>
        <v>4.2391999999999999E-2</v>
      </c>
      <c r="I577" s="2">
        <f>ff_portfolios25!I577-ff_factors!$E577</f>
        <v>7.6659000000000005E-2</v>
      </c>
      <c r="J577" s="2">
        <f>ff_portfolios25!J577-ff_factors!$E577</f>
        <v>5.3021999999999993E-2</v>
      </c>
      <c r="K577" s="2">
        <f>ff_portfolios25!K577-ff_factors!$E577</f>
        <v>4.7653000000000001E-2</v>
      </c>
      <c r="L577" s="2">
        <f>ff_portfolios25!L577-ff_factors!$E577</f>
        <v>2.7381999999999997E-2</v>
      </c>
      <c r="M577" s="2">
        <f>ff_portfolios25!M577-ff_factors!$E577</f>
        <v>4.147E-2</v>
      </c>
      <c r="N577" s="2">
        <f>ff_portfolios25!N577-ff_factors!$E577</f>
        <v>4.5845999999999998E-2</v>
      </c>
      <c r="O577" s="2">
        <f>ff_portfolios25!O577-ff_factors!$E577</f>
        <v>2.2571000000000001E-2</v>
      </c>
      <c r="P577" s="2">
        <f>ff_portfolios25!P577-ff_factors!$E577</f>
        <v>1.8783000000000001E-2</v>
      </c>
      <c r="Q577" s="2">
        <f>ff_portfolios25!Q577-ff_factors!$E577</f>
        <v>1.0406E-2</v>
      </c>
      <c r="R577" s="2">
        <f>ff_portfolios25!R577-ff_factors!$E577</f>
        <v>6.9304000000000004E-2</v>
      </c>
      <c r="S577" s="2">
        <f>ff_portfolios25!S577-ff_factors!$E577</f>
        <v>3.6237999999999999E-2</v>
      </c>
      <c r="T577" s="2">
        <f>ff_portfolios25!T577-ff_factors!$E577</f>
        <v>3.1356000000000002E-2</v>
      </c>
      <c r="U577" s="2">
        <f>ff_portfolios25!U577-ff_factors!$E577</f>
        <v>1.2953000000000001E-2</v>
      </c>
      <c r="V577" s="2">
        <f>ff_portfolios25!V577-ff_factors!$E577</f>
        <v>1.1072E-2</v>
      </c>
      <c r="W577" s="2">
        <f>ff_portfolios25!W577-ff_factors!$E577</f>
        <v>3.3255E-2</v>
      </c>
      <c r="X577" s="2">
        <f>ff_portfolios25!X577-ff_factors!$E577</f>
        <v>7.842E-3</v>
      </c>
      <c r="Y577" s="2">
        <f>ff_portfolios25!Y577-ff_factors!$E577</f>
        <v>2.7485999999999997E-2</v>
      </c>
      <c r="Z577" s="2">
        <f>ff_portfolios25!Z577-ff_factors!$E577</f>
        <v>-9.9849999999999991E-3</v>
      </c>
      <c r="AA577" s="2">
        <f>ff_portfolios25!AA577-ff_factors!$E577</f>
        <v>-1.0579999999999999E-3</v>
      </c>
      <c r="AB577" s="2">
        <f>ff_portfolios25!AB577-ff_factors!$E577</f>
        <v>1.3198E-2</v>
      </c>
    </row>
    <row r="578" spans="1:28" x14ac:dyDescent="0.2">
      <c r="A578">
        <v>19800131</v>
      </c>
      <c r="B578">
        <v>1980</v>
      </c>
      <c r="C578">
        <v>1</v>
      </c>
      <c r="D578" s="2">
        <f>ff_portfolios25!D578-ff_factors!$E578</f>
        <v>0.121141</v>
      </c>
      <c r="E578" s="2">
        <f>ff_portfolios25!E578-ff_factors!$E578</f>
        <v>9.6159999999999995E-2</v>
      </c>
      <c r="F578" s="2">
        <f>ff_portfolios25!F578-ff_factors!$E578</f>
        <v>7.8600000000000003E-2</v>
      </c>
      <c r="G578" s="2">
        <f>ff_portfolios25!G578-ff_factors!$E578</f>
        <v>8.0679000000000001E-2</v>
      </c>
      <c r="H578" s="2">
        <f>ff_portfolios25!H578-ff_factors!$E578</f>
        <v>0.10127700000000001</v>
      </c>
      <c r="I578" s="2">
        <f>ff_portfolios25!I578-ff_factors!$E578</f>
        <v>6.1143999999999997E-2</v>
      </c>
      <c r="J578" s="2">
        <f>ff_portfolios25!J578-ff_factors!$E578</f>
        <v>6.8734999999999991E-2</v>
      </c>
      <c r="K578" s="2">
        <f>ff_portfolios25!K578-ff_factors!$E578</f>
        <v>5.3899000000000002E-2</v>
      </c>
      <c r="L578" s="2">
        <f>ff_portfolios25!L578-ff_factors!$E578</f>
        <v>3.8116999999999998E-2</v>
      </c>
      <c r="M578" s="2">
        <f>ff_portfolios25!M578-ff_factors!$E578</f>
        <v>8.3894999999999997E-2</v>
      </c>
      <c r="N578" s="2">
        <f>ff_portfolios25!N578-ff_factors!$E578</f>
        <v>4.4803000000000003E-2</v>
      </c>
      <c r="O578" s="2">
        <f>ff_portfolios25!O578-ff_factors!$E578</f>
        <v>5.9291000000000003E-2</v>
      </c>
      <c r="P578" s="2">
        <f>ff_portfolios25!P578-ff_factors!$E578</f>
        <v>6.2763999999999986E-2</v>
      </c>
      <c r="Q578" s="2">
        <f>ff_portfolios25!Q578-ff_factors!$E578</f>
        <v>5.3150999999999997E-2</v>
      </c>
      <c r="R578" s="2">
        <f>ff_portfolios25!R578-ff_factors!$E578</f>
        <v>8.1086999999999992E-2</v>
      </c>
      <c r="S578" s="2">
        <f>ff_portfolios25!S578-ff_factors!$E578</f>
        <v>6.8467E-2</v>
      </c>
      <c r="T578" s="2">
        <f>ff_portfolios25!T578-ff_factors!$E578</f>
        <v>6.1245000000000001E-2</v>
      </c>
      <c r="U578" s="2">
        <f>ff_portfolios25!U578-ff_factors!$E578</f>
        <v>5.8156999999999993E-2</v>
      </c>
      <c r="V578" s="2">
        <f>ff_portfolios25!V578-ff_factors!$E578</f>
        <v>1.6799999999999975E-4</v>
      </c>
      <c r="W578" s="2">
        <f>ff_portfolios25!W578-ff_factors!$E578</f>
        <v>7.1922000000000014E-2</v>
      </c>
      <c r="X578" s="2">
        <f>ff_portfolios25!X578-ff_factors!$E578</f>
        <v>2.5355999999999997E-2</v>
      </c>
      <c r="Y578" s="2">
        <f>ff_portfolios25!Y578-ff_factors!$E578</f>
        <v>6.500800000000001E-2</v>
      </c>
      <c r="Z578" s="2">
        <f>ff_portfolios25!Z578-ff_factors!$E578</f>
        <v>5.0210999999999999E-2</v>
      </c>
      <c r="AA578" s="2">
        <f>ff_portfolios25!AA578-ff_factors!$E578</f>
        <v>7.0196000000000008E-2</v>
      </c>
      <c r="AB578" s="2">
        <f>ff_portfolios25!AB578-ff_factors!$E578</f>
        <v>9.4286000000000009E-2</v>
      </c>
    </row>
    <row r="579" spans="1:28" x14ac:dyDescent="0.2">
      <c r="A579">
        <v>19800229</v>
      </c>
      <c r="B579">
        <v>1980</v>
      </c>
      <c r="C579">
        <v>2</v>
      </c>
      <c r="D579" s="2">
        <f>ff_portfolios25!D579-ff_factors!$E579</f>
        <v>-3.2630000000000003E-3</v>
      </c>
      <c r="E579" s="2">
        <f>ff_portfolios25!E579-ff_factors!$E579</f>
        <v>-1.3009E-2</v>
      </c>
      <c r="F579" s="2">
        <f>ff_portfolios25!F579-ff_factors!$E579</f>
        <v>-2.9083999999999999E-2</v>
      </c>
      <c r="G579" s="2">
        <f>ff_portfolios25!G579-ff_factors!$E579</f>
        <v>-3.0309000000000003E-2</v>
      </c>
      <c r="H579" s="2">
        <f>ff_portfolios25!H579-ff_factors!$E579</f>
        <v>-2.9038000000000001E-2</v>
      </c>
      <c r="I579" s="2">
        <f>ff_portfolios25!I579-ff_factors!$E579</f>
        <v>-2.2297999999999998E-2</v>
      </c>
      <c r="J579" s="2">
        <f>ff_portfolios25!J579-ff_factors!$E579</f>
        <v>-1.4761E-2</v>
      </c>
      <c r="K579" s="2">
        <f>ff_portfolios25!K579-ff_factors!$E579</f>
        <v>-3.6179000000000003E-2</v>
      </c>
      <c r="L579" s="2">
        <f>ff_portfolios25!L579-ff_factors!$E579</f>
        <v>-5.3962999999999997E-2</v>
      </c>
      <c r="M579" s="2">
        <f>ff_portfolios25!M579-ff_factors!$E579</f>
        <v>-1.9587E-2</v>
      </c>
      <c r="N579" s="2">
        <f>ff_portfolios25!N579-ff_factors!$E579</f>
        <v>-2.0959999999999999E-2</v>
      </c>
      <c r="O579" s="2">
        <f>ff_portfolios25!O579-ff_factors!$E579</f>
        <v>-4.2172999999999995E-2</v>
      </c>
      <c r="P579" s="2">
        <f>ff_portfolios25!P579-ff_factors!$E579</f>
        <v>-5.3171999999999997E-2</v>
      </c>
      <c r="Q579" s="2">
        <f>ff_portfolios25!Q579-ff_factors!$E579</f>
        <v>-5.1684999999999995E-2</v>
      </c>
      <c r="R579" s="2">
        <f>ff_portfolios25!R579-ff_factors!$E579</f>
        <v>-3.6181999999999999E-2</v>
      </c>
      <c r="S579" s="2">
        <f>ff_portfolios25!S579-ff_factors!$E579</f>
        <v>-3.4192E-2</v>
      </c>
      <c r="T579" s="2">
        <f>ff_portfolios25!T579-ff_factors!$E579</f>
        <v>-2.1247000000000002E-2</v>
      </c>
      <c r="U579" s="2">
        <f>ff_portfolios25!U579-ff_factors!$E579</f>
        <v>-3.9154000000000001E-2</v>
      </c>
      <c r="V579" s="2">
        <f>ff_portfolios25!V579-ff_factors!$E579</f>
        <v>-5.6876999999999997E-2</v>
      </c>
      <c r="W579" s="2">
        <f>ff_portfolios25!W579-ff_factors!$E579</f>
        <v>-2.4140999999999999E-2</v>
      </c>
      <c r="X579" s="2">
        <f>ff_portfolios25!X579-ff_factors!$E579</f>
        <v>-5.3810999999999998E-2</v>
      </c>
      <c r="Y579" s="2">
        <f>ff_portfolios25!Y579-ff_factors!$E579</f>
        <v>6.9499999999999944E-4</v>
      </c>
      <c r="Z579" s="2">
        <f>ff_portfolios25!Z579-ff_factors!$E579</f>
        <v>3.2542000000000001E-2</v>
      </c>
      <c r="AA579" s="2">
        <f>ff_portfolios25!AA579-ff_factors!$E579</f>
        <v>7.1819999999999991E-3</v>
      </c>
      <c r="AB579" s="2">
        <f>ff_portfolios25!AB579-ff_factors!$E579</f>
        <v>1.6002000000000002E-2</v>
      </c>
    </row>
    <row r="580" spans="1:28" x14ac:dyDescent="0.2">
      <c r="A580">
        <v>19800331</v>
      </c>
      <c r="B580">
        <v>1980</v>
      </c>
      <c r="C580">
        <v>3</v>
      </c>
      <c r="D580" s="2">
        <f>ff_portfolios25!D580-ff_factors!$E580</f>
        <v>-0.233153</v>
      </c>
      <c r="E580" s="2">
        <f>ff_portfolios25!E580-ff_factors!$E580</f>
        <v>-0.20640900000000001</v>
      </c>
      <c r="F580" s="2">
        <f>ff_portfolios25!F580-ff_factors!$E580</f>
        <v>-0.18502299999999999</v>
      </c>
      <c r="G580" s="2">
        <f>ff_portfolios25!G580-ff_factors!$E580</f>
        <v>-0.16749600000000001</v>
      </c>
      <c r="H580" s="2">
        <f>ff_portfolios25!H580-ff_factors!$E580</f>
        <v>-0.188309</v>
      </c>
      <c r="I580" s="2">
        <f>ff_portfolios25!I580-ff_factors!$E580</f>
        <v>-0.20443600000000001</v>
      </c>
      <c r="J580" s="2">
        <f>ff_portfolios25!J580-ff_factors!$E580</f>
        <v>-0.17588400000000001</v>
      </c>
      <c r="K580" s="2">
        <f>ff_portfolios25!K580-ff_factors!$E580</f>
        <v>-0.179787</v>
      </c>
      <c r="L580" s="2">
        <f>ff_portfolios25!L580-ff_factors!$E580</f>
        <v>-0.159191</v>
      </c>
      <c r="M580" s="2">
        <f>ff_portfolios25!M580-ff_factors!$E580</f>
        <v>-0.18717800000000001</v>
      </c>
      <c r="N580" s="2">
        <f>ff_portfolios25!N580-ff_factors!$E580</f>
        <v>-0.16985500000000001</v>
      </c>
      <c r="O580" s="2">
        <f>ff_portfolios25!O580-ff_factors!$E580</f>
        <v>-0.16314100000000001</v>
      </c>
      <c r="P580" s="2">
        <f>ff_portfolios25!P580-ff_factors!$E580</f>
        <v>-0.17505999999999999</v>
      </c>
      <c r="Q580" s="2">
        <f>ff_portfolios25!Q580-ff_factors!$E580</f>
        <v>-0.142652</v>
      </c>
      <c r="R580" s="2">
        <f>ff_portfolios25!R580-ff_factors!$E580</f>
        <v>-0.19974900000000001</v>
      </c>
      <c r="S580" s="2">
        <f>ff_portfolios25!S580-ff_factors!$E580</f>
        <v>-0.13256600000000002</v>
      </c>
      <c r="T580" s="2">
        <f>ff_portfolios25!T580-ff_factors!$E580</f>
        <v>-0.15493199999999999</v>
      </c>
      <c r="U580" s="2">
        <f>ff_portfolios25!U580-ff_factors!$E580</f>
        <v>-0.14308399999999999</v>
      </c>
      <c r="V580" s="2">
        <f>ff_portfolios25!V580-ff_factors!$E580</f>
        <v>-0.123262</v>
      </c>
      <c r="W580" s="2">
        <f>ff_portfolios25!W580-ff_factors!$E580</f>
        <v>-0.17985399999999999</v>
      </c>
      <c r="X580" s="2">
        <f>ff_portfolios25!X580-ff_factors!$E580</f>
        <v>-7.381299999999999E-2</v>
      </c>
      <c r="Y580" s="2">
        <f>ff_portfolios25!Y580-ff_factors!$E580</f>
        <v>-0.12441099999999999</v>
      </c>
      <c r="Z580" s="2">
        <f>ff_portfolios25!Z580-ff_factors!$E580</f>
        <v>-0.109732</v>
      </c>
      <c r="AA580" s="2">
        <f>ff_portfolios25!AA580-ff_factors!$E580</f>
        <v>-0.12497</v>
      </c>
      <c r="AB580" s="2">
        <f>ff_portfolios25!AB580-ff_factors!$E580</f>
        <v>-0.140961</v>
      </c>
    </row>
    <row r="581" spans="1:28" x14ac:dyDescent="0.2">
      <c r="A581">
        <v>19800430</v>
      </c>
      <c r="B581">
        <v>1980</v>
      </c>
      <c r="C581">
        <v>4</v>
      </c>
      <c r="D581" s="2">
        <f>ff_portfolios25!D581-ff_factors!$E581</f>
        <v>5.0180000000000002E-2</v>
      </c>
      <c r="E581" s="2">
        <f>ff_portfolios25!E581-ff_factors!$E581</f>
        <v>5.2640999999999993E-2</v>
      </c>
      <c r="F581" s="2">
        <f>ff_portfolios25!F581-ff_factors!$E581</f>
        <v>5.3941000000000003E-2</v>
      </c>
      <c r="G581" s="2">
        <f>ff_portfolios25!G581-ff_factors!$E581</f>
        <v>3.8547999999999999E-2</v>
      </c>
      <c r="H581" s="2">
        <f>ff_portfolios25!H581-ff_factors!$E581</f>
        <v>4.9100999999999999E-2</v>
      </c>
      <c r="I581" s="2">
        <f>ff_portfolios25!I581-ff_factors!$E581</f>
        <v>4.8863999999999998E-2</v>
      </c>
      <c r="J581" s="2">
        <f>ff_portfolios25!J581-ff_factors!$E581</f>
        <v>3.6579E-2</v>
      </c>
      <c r="K581" s="2">
        <f>ff_portfolios25!K581-ff_factors!$E581</f>
        <v>4.8769E-2</v>
      </c>
      <c r="L581" s="2">
        <f>ff_portfolios25!L581-ff_factors!$E581</f>
        <v>6.8389000000000005E-2</v>
      </c>
      <c r="M581" s="2">
        <f>ff_portfolios25!M581-ff_factors!$E581</f>
        <v>2.3198000000000003E-2</v>
      </c>
      <c r="N581" s="2">
        <f>ff_portfolios25!N581-ff_factors!$E581</f>
        <v>5.6592000000000003E-2</v>
      </c>
      <c r="O581" s="2">
        <f>ff_portfolios25!O581-ff_factors!$E581</f>
        <v>5.5597999999999995E-2</v>
      </c>
      <c r="P581" s="2">
        <f>ff_portfolios25!P581-ff_factors!$E581</f>
        <v>5.9852000000000002E-2</v>
      </c>
      <c r="Q581" s="2">
        <f>ff_portfolios25!Q581-ff_factors!$E581</f>
        <v>8.1708000000000003E-2</v>
      </c>
      <c r="R581" s="2">
        <f>ff_portfolios25!R581-ff_factors!$E581</f>
        <v>4.6588999999999998E-2</v>
      </c>
      <c r="S581" s="2">
        <f>ff_portfolios25!S581-ff_factors!$E581</f>
        <v>3.5535999999999998E-2</v>
      </c>
      <c r="T581" s="2">
        <f>ff_portfolios25!T581-ff_factors!$E581</f>
        <v>5.4365999999999998E-2</v>
      </c>
      <c r="U581" s="2">
        <f>ff_portfolios25!U581-ff_factors!$E581</f>
        <v>6.0829999999999995E-2</v>
      </c>
      <c r="V581" s="2">
        <f>ff_portfolios25!V581-ff_factors!$E581</f>
        <v>7.4936000000000003E-2</v>
      </c>
      <c r="W581" s="2">
        <f>ff_portfolios25!W581-ff_factors!$E581</f>
        <v>5.4371000000000003E-2</v>
      </c>
      <c r="X581" s="2">
        <f>ff_portfolios25!X581-ff_factors!$E581</f>
        <v>1.7080999999999999E-2</v>
      </c>
      <c r="Y581" s="2">
        <f>ff_portfolios25!Y581-ff_factors!$E581</f>
        <v>2.2481000000000001E-2</v>
      </c>
      <c r="Z581" s="2">
        <f>ff_portfolios25!Z581-ff_factors!$E581</f>
        <v>4.1869999999999997E-2</v>
      </c>
      <c r="AA581" s="2">
        <f>ff_portfolios25!AA581-ff_factors!$E581</f>
        <v>6.6172999999999996E-2</v>
      </c>
      <c r="AB581" s="2">
        <f>ff_portfolios25!AB581-ff_factors!$E581</f>
        <v>1.6031E-2</v>
      </c>
    </row>
    <row r="582" spans="1:28" x14ac:dyDescent="0.2">
      <c r="A582">
        <v>19800530</v>
      </c>
      <c r="B582">
        <v>1980</v>
      </c>
      <c r="C582">
        <v>5</v>
      </c>
      <c r="D582" s="2">
        <f>ff_portfolios25!D582-ff_factors!$E582</f>
        <v>6.2556E-2</v>
      </c>
      <c r="E582" s="2">
        <f>ff_portfolios25!E582-ff_factors!$E582</f>
        <v>5.5947999999999998E-2</v>
      </c>
      <c r="F582" s="2">
        <f>ff_portfolios25!F582-ff_factors!$E582</f>
        <v>6.0941000000000009E-2</v>
      </c>
      <c r="G582" s="2">
        <f>ff_portfolios25!G582-ff_factors!$E582</f>
        <v>5.7361000000000009E-2</v>
      </c>
      <c r="H582" s="2">
        <f>ff_portfolios25!H582-ff_factors!$E582</f>
        <v>6.8823000000000009E-2</v>
      </c>
      <c r="I582" s="2">
        <f>ff_portfolios25!I582-ff_factors!$E582</f>
        <v>8.3434000000000008E-2</v>
      </c>
      <c r="J582" s="2">
        <f>ff_portfolios25!J582-ff_factors!$E582</f>
        <v>9.5859E-2</v>
      </c>
      <c r="K582" s="2">
        <f>ff_portfolios25!K582-ff_factors!$E582</f>
        <v>6.163600000000001E-2</v>
      </c>
      <c r="L582" s="2">
        <f>ff_portfolios25!L582-ff_factors!$E582</f>
        <v>7.2445000000000009E-2</v>
      </c>
      <c r="M582" s="2">
        <f>ff_portfolios25!M582-ff_factors!$E582</f>
        <v>9.2936000000000005E-2</v>
      </c>
      <c r="N582" s="2">
        <f>ff_portfolios25!N582-ff_factors!$E582</f>
        <v>6.2966000000000008E-2</v>
      </c>
      <c r="O582" s="2">
        <f>ff_portfolios25!O582-ff_factors!$E582</f>
        <v>5.9933E-2</v>
      </c>
      <c r="P582" s="2">
        <f>ff_portfolios25!P582-ff_factors!$E582</f>
        <v>7.8825000000000006E-2</v>
      </c>
      <c r="Q582" s="2">
        <f>ff_portfolios25!Q582-ff_factors!$E582</f>
        <v>7.1728E-2</v>
      </c>
      <c r="R582" s="2">
        <f>ff_portfolios25!R582-ff_factors!$E582</f>
        <v>8.184000000000001E-2</v>
      </c>
      <c r="S582" s="2">
        <f>ff_portfolios25!S582-ff_factors!$E582</f>
        <v>6.8033999999999997E-2</v>
      </c>
      <c r="T582" s="2">
        <f>ff_portfolios25!T582-ff_factors!$E582</f>
        <v>6.9771E-2</v>
      </c>
      <c r="U582" s="2">
        <f>ff_portfolios25!U582-ff_factors!$E582</f>
        <v>8.7597000000000008E-2</v>
      </c>
      <c r="V582" s="2">
        <f>ff_portfolios25!V582-ff_factors!$E582</f>
        <v>6.3869000000000009E-2</v>
      </c>
      <c r="W582" s="2">
        <f>ff_portfolios25!W582-ff_factors!$E582</f>
        <v>8.2155000000000006E-2</v>
      </c>
      <c r="X582" s="2">
        <f>ff_portfolios25!X582-ff_factors!$E582</f>
        <v>4.1433999999999999E-2</v>
      </c>
      <c r="Y582" s="2">
        <f>ff_portfolios25!Y582-ff_factors!$E582</f>
        <v>4.3271000000000004E-2</v>
      </c>
      <c r="Z582" s="2">
        <f>ff_portfolios25!Z582-ff_factors!$E582</f>
        <v>4.4073000000000001E-2</v>
      </c>
      <c r="AA582" s="2">
        <f>ff_portfolios25!AA582-ff_factors!$E582</f>
        <v>3.3418000000000003E-2</v>
      </c>
      <c r="AB582" s="2">
        <f>ff_portfolios25!AB582-ff_factors!$E582</f>
        <v>5.3282999999999997E-2</v>
      </c>
    </row>
    <row r="583" spans="1:28" x14ac:dyDescent="0.2">
      <c r="A583">
        <v>19800630</v>
      </c>
      <c r="B583">
        <v>1980</v>
      </c>
      <c r="C583">
        <v>6</v>
      </c>
      <c r="D583" s="2">
        <f>ff_portfolios25!D583-ff_factors!$E583</f>
        <v>4.3519000000000002E-2</v>
      </c>
      <c r="E583" s="2">
        <f>ff_portfolios25!E583-ff_factors!$E583</f>
        <v>2.9569999999999999E-2</v>
      </c>
      <c r="F583" s="2">
        <f>ff_portfolios25!F583-ff_factors!$E583</f>
        <v>3.4200000000000001E-2</v>
      </c>
      <c r="G583" s="2">
        <f>ff_portfolios25!G583-ff_factors!$E583</f>
        <v>3.6922999999999997E-2</v>
      </c>
      <c r="H583" s="2">
        <f>ff_portfolios25!H583-ff_factors!$E583</f>
        <v>4.5887999999999998E-2</v>
      </c>
      <c r="I583" s="2">
        <f>ff_portfolios25!I583-ff_factors!$E583</f>
        <v>3.7235999999999998E-2</v>
      </c>
      <c r="J583" s="2">
        <f>ff_portfolios25!J583-ff_factors!$E583</f>
        <v>6.0754999999999997E-2</v>
      </c>
      <c r="K583" s="2">
        <f>ff_portfolios25!K583-ff_factors!$E583</f>
        <v>3.4534000000000002E-2</v>
      </c>
      <c r="L583" s="2">
        <f>ff_portfolios25!L583-ff_factors!$E583</f>
        <v>4.9589000000000001E-2</v>
      </c>
      <c r="M583" s="2">
        <f>ff_portfolios25!M583-ff_factors!$E583</f>
        <v>1.4700999999999999E-2</v>
      </c>
      <c r="N583" s="2">
        <f>ff_portfolios25!N583-ff_factors!$E583</f>
        <v>4.6678999999999998E-2</v>
      </c>
      <c r="O583" s="2">
        <f>ff_portfolios25!O583-ff_factors!$E583</f>
        <v>5.2167999999999999E-2</v>
      </c>
      <c r="P583" s="2">
        <f>ff_portfolios25!P583-ff_factors!$E583</f>
        <v>3.4093999999999999E-2</v>
      </c>
      <c r="Q583" s="2">
        <f>ff_portfolios25!Q583-ff_factors!$E583</f>
        <v>4.1191999999999999E-2</v>
      </c>
      <c r="R583" s="2">
        <f>ff_portfolios25!R583-ff_factors!$E583</f>
        <v>1.7707999999999998E-2</v>
      </c>
      <c r="S583" s="2">
        <f>ff_portfolios25!S583-ff_factors!$E583</f>
        <v>5.1218E-2</v>
      </c>
      <c r="T583" s="2">
        <f>ff_portfolios25!T583-ff_factors!$E583</f>
        <v>3.3283E-2</v>
      </c>
      <c r="U583" s="2">
        <f>ff_portfolios25!U583-ff_factors!$E583</f>
        <v>4.0769E-2</v>
      </c>
      <c r="V583" s="2">
        <f>ff_portfolios25!V583-ff_factors!$E583</f>
        <v>2.5658E-2</v>
      </c>
      <c r="W583" s="2">
        <f>ff_portfolios25!W583-ff_factors!$E583</f>
        <v>4.1847999999999996E-2</v>
      </c>
      <c r="X583" s="2">
        <f>ff_portfolios25!X583-ff_factors!$E583</f>
        <v>1.6371999999999998E-2</v>
      </c>
      <c r="Y583" s="2">
        <f>ff_portfolios25!Y583-ff_factors!$E583</f>
        <v>3.5616000000000002E-2</v>
      </c>
      <c r="Z583" s="2">
        <f>ff_portfolios25!Z583-ff_factors!$E583</f>
        <v>1.4225999999999999E-2</v>
      </c>
      <c r="AA583" s="2">
        <f>ff_portfolios25!AA583-ff_factors!$E583</f>
        <v>4.1028000000000002E-2</v>
      </c>
      <c r="AB583" s="2">
        <f>ff_portfolios25!AB583-ff_factors!$E583</f>
        <v>-3.6100000000000004E-3</v>
      </c>
    </row>
    <row r="584" spans="1:28" x14ac:dyDescent="0.2">
      <c r="A584">
        <v>19800731</v>
      </c>
      <c r="B584">
        <v>1980</v>
      </c>
      <c r="C584">
        <v>7</v>
      </c>
      <c r="D584" s="2">
        <f>ff_portfolios25!D584-ff_factors!$E584</f>
        <v>0.1168</v>
      </c>
      <c r="E584" s="2">
        <f>ff_portfolios25!E584-ff_factors!$E584</f>
        <v>0.12040100000000001</v>
      </c>
      <c r="F584" s="2">
        <f>ff_portfolios25!F584-ff_factors!$E584</f>
        <v>9.8140000000000005E-2</v>
      </c>
      <c r="G584" s="2">
        <f>ff_portfolios25!G584-ff_factors!$E584</f>
        <v>8.0360000000000001E-2</v>
      </c>
      <c r="H584" s="2">
        <f>ff_portfolios25!H584-ff_factors!$E584</f>
        <v>8.4870000000000001E-2</v>
      </c>
      <c r="I584" s="2">
        <f>ff_portfolios25!I584-ff_factors!$E584</f>
        <v>0.13867599999999999</v>
      </c>
      <c r="J584" s="2">
        <f>ff_portfolios25!J584-ff_factors!$E584</f>
        <v>0.108917</v>
      </c>
      <c r="K584" s="2">
        <f>ff_portfolios25!K584-ff_factors!$E584</f>
        <v>9.4227000000000005E-2</v>
      </c>
      <c r="L584" s="2">
        <f>ff_portfolios25!L584-ff_factors!$E584</f>
        <v>6.9801000000000002E-2</v>
      </c>
      <c r="M584" s="2">
        <f>ff_portfolios25!M584-ff_factors!$E584</f>
        <v>6.9814000000000001E-2</v>
      </c>
      <c r="N584" s="2">
        <f>ff_portfolios25!N584-ff_factors!$E584</f>
        <v>0.127028</v>
      </c>
      <c r="O584" s="2">
        <f>ff_portfolios25!O584-ff_factors!$E584</f>
        <v>7.6346999999999998E-2</v>
      </c>
      <c r="P584" s="2">
        <f>ff_portfolios25!P584-ff_factors!$E584</f>
        <v>8.9354000000000003E-2</v>
      </c>
      <c r="Q584" s="2">
        <f>ff_portfolios25!Q584-ff_factors!$E584</f>
        <v>4.9681000000000003E-2</v>
      </c>
      <c r="R584" s="2">
        <f>ff_portfolios25!R584-ff_factors!$E584</f>
        <v>6.4861000000000002E-2</v>
      </c>
      <c r="S584" s="2">
        <f>ff_portfolios25!S584-ff_factors!$E584</f>
        <v>0.105519</v>
      </c>
      <c r="T584" s="2">
        <f>ff_portfolios25!T584-ff_factors!$E584</f>
        <v>8.9862999999999998E-2</v>
      </c>
      <c r="U584" s="2">
        <f>ff_portfolios25!U584-ff_factors!$E584</f>
        <v>7.6089000000000004E-2</v>
      </c>
      <c r="V584" s="2">
        <f>ff_portfolios25!V584-ff_factors!$E584</f>
        <v>2.2624999999999999E-2</v>
      </c>
      <c r="W584" s="2">
        <f>ff_portfolios25!W584-ff_factors!$E584</f>
        <v>4.1916000000000002E-2</v>
      </c>
      <c r="X584" s="2">
        <f>ff_portfolios25!X584-ff_factors!$E584</f>
        <v>0.10657900000000001</v>
      </c>
      <c r="Y584" s="2">
        <f>ff_portfolios25!Y584-ff_factors!$E584</f>
        <v>5.3381999999999999E-2</v>
      </c>
      <c r="Z584" s="2">
        <f>ff_portfolios25!Z584-ff_factors!$E584</f>
        <v>2.5438000000000002E-2</v>
      </c>
      <c r="AA584" s="2">
        <f>ff_portfolios25!AA584-ff_factors!$E584</f>
        <v>2.9262000000000003E-2</v>
      </c>
      <c r="AB584" s="2">
        <f>ff_portfolios25!AB584-ff_factors!$E584</f>
        <v>4.6239000000000002E-2</v>
      </c>
    </row>
    <row r="585" spans="1:28" x14ac:dyDescent="0.2">
      <c r="A585">
        <v>19800829</v>
      </c>
      <c r="B585">
        <v>1980</v>
      </c>
      <c r="C585">
        <v>8</v>
      </c>
      <c r="D585" s="2">
        <f>ff_portfolios25!D585-ff_factors!$E585</f>
        <v>0.108111</v>
      </c>
      <c r="E585" s="2">
        <f>ff_portfolios25!E585-ff_factors!$E585</f>
        <v>8.2378999999999994E-2</v>
      </c>
      <c r="F585" s="2">
        <f>ff_portfolios25!F585-ff_factors!$E585</f>
        <v>6.7373000000000002E-2</v>
      </c>
      <c r="G585" s="2">
        <f>ff_portfolios25!G585-ff_factors!$E585</f>
        <v>6.2563999999999995E-2</v>
      </c>
      <c r="H585" s="2">
        <f>ff_portfolios25!H585-ff_factors!$E585</f>
        <v>4.5303999999999997E-2</v>
      </c>
      <c r="I585" s="2">
        <f>ff_portfolios25!I585-ff_factors!$E585</f>
        <v>7.6545000000000002E-2</v>
      </c>
      <c r="J585" s="2">
        <f>ff_portfolios25!J585-ff_factors!$E585</f>
        <v>6.781899999999999E-2</v>
      </c>
      <c r="K585" s="2">
        <f>ff_portfolios25!K585-ff_factors!$E585</f>
        <v>3.2631E-2</v>
      </c>
      <c r="L585" s="2">
        <f>ff_portfolios25!L585-ff_factors!$E585</f>
        <v>2.5092E-2</v>
      </c>
      <c r="M585" s="2">
        <f>ff_portfolios25!M585-ff_factors!$E585</f>
        <v>3.1203999999999999E-2</v>
      </c>
      <c r="N585" s="2">
        <f>ff_portfolios25!N585-ff_factors!$E585</f>
        <v>6.0940999999999995E-2</v>
      </c>
      <c r="O585" s="2">
        <f>ff_portfolios25!O585-ff_factors!$E585</f>
        <v>5.6905999999999998E-2</v>
      </c>
      <c r="P585" s="2">
        <f>ff_portfolios25!P585-ff_factors!$E585</f>
        <v>1.6188000000000001E-2</v>
      </c>
      <c r="Q585" s="2">
        <f>ff_portfolios25!Q585-ff_factors!$E585</f>
        <v>1.2468E-2</v>
      </c>
      <c r="R585" s="2">
        <f>ff_portfolios25!R585-ff_factors!$E585</f>
        <v>2.3010000000000001E-3</v>
      </c>
      <c r="S585" s="2">
        <f>ff_portfolios25!S585-ff_factors!$E585</f>
        <v>4.0225999999999998E-2</v>
      </c>
      <c r="T585" s="2">
        <f>ff_portfolios25!T585-ff_factors!$E585</f>
        <v>1.7547E-2</v>
      </c>
      <c r="U585" s="2">
        <f>ff_portfolios25!U585-ff_factors!$E585</f>
        <v>1.9217999999999999E-2</v>
      </c>
      <c r="V585" s="2">
        <f>ff_portfolios25!V585-ff_factors!$E585</f>
        <v>-5.9120000000000006E-3</v>
      </c>
      <c r="W585" s="2">
        <f>ff_portfolios25!W585-ff_factors!$E585</f>
        <v>-5.3200000000000035E-4</v>
      </c>
      <c r="X585" s="2">
        <f>ff_portfolios25!X585-ff_factors!$E585</f>
        <v>1.4142000000000002E-2</v>
      </c>
      <c r="Y585" s="2">
        <f>ff_portfolios25!Y585-ff_factors!$E585</f>
        <v>3.3549999999999995E-3</v>
      </c>
      <c r="Z585" s="2">
        <f>ff_portfolios25!Z585-ff_factors!$E585</f>
        <v>7.4960000000000001E-3</v>
      </c>
      <c r="AA585" s="2">
        <f>ff_portfolios25!AA585-ff_factors!$E585</f>
        <v>1.3322000000000001E-2</v>
      </c>
      <c r="AB585" s="2">
        <f>ff_portfolios25!AB585-ff_factors!$E585</f>
        <v>-6.2760000000000003E-3</v>
      </c>
    </row>
    <row r="586" spans="1:28" x14ac:dyDescent="0.2">
      <c r="A586">
        <v>19800930</v>
      </c>
      <c r="B586">
        <v>1980</v>
      </c>
      <c r="C586">
        <v>9</v>
      </c>
      <c r="D586" s="2">
        <f>ff_portfolios25!D586-ff_factors!$E586</f>
        <v>5.8521999999999998E-2</v>
      </c>
      <c r="E586" s="2">
        <f>ff_portfolios25!E586-ff_factors!$E586</f>
        <v>2.0886999999999999E-2</v>
      </c>
      <c r="F586" s="2">
        <f>ff_portfolios25!F586-ff_factors!$E586</f>
        <v>1.9916E-2</v>
      </c>
      <c r="G586" s="2">
        <f>ff_portfolios25!G586-ff_factors!$E586</f>
        <v>7.4199999999999995E-3</v>
      </c>
      <c r="H586" s="2">
        <f>ff_portfolios25!H586-ff_factors!$E586</f>
        <v>2.1783E-2</v>
      </c>
      <c r="I586" s="2">
        <f>ff_portfolios25!I586-ff_factors!$E586</f>
        <v>3.8344999999999997E-2</v>
      </c>
      <c r="J586" s="2">
        <f>ff_portfolios25!J586-ff_factors!$E586</f>
        <v>3.0138999999999999E-2</v>
      </c>
      <c r="K586" s="2">
        <f>ff_portfolios25!K586-ff_factors!$E586</f>
        <v>2.8913000000000001E-2</v>
      </c>
      <c r="L586" s="2">
        <f>ff_portfolios25!L586-ff_factors!$E586</f>
        <v>1.7580000000000009E-3</v>
      </c>
      <c r="M586" s="2">
        <f>ff_portfolios25!M586-ff_factors!$E586</f>
        <v>1.458000000000001E-3</v>
      </c>
      <c r="N586" s="2">
        <f>ff_portfolios25!N586-ff_factors!$E586</f>
        <v>5.0089000000000002E-2</v>
      </c>
      <c r="O586" s="2">
        <f>ff_portfolios25!O586-ff_factors!$E586</f>
        <v>1.5564999999999999E-2</v>
      </c>
      <c r="P586" s="2">
        <f>ff_portfolios25!P586-ff_factors!$E586</f>
        <v>2.2364999999999999E-2</v>
      </c>
      <c r="Q586" s="2">
        <f>ff_portfolios25!Q586-ff_factors!$E586</f>
        <v>6.1710000000000011E-3</v>
      </c>
      <c r="R586" s="2">
        <f>ff_portfolios25!R586-ff_factors!$E586</f>
        <v>-2.0472999999999998E-2</v>
      </c>
      <c r="S586" s="2">
        <f>ff_portfolios25!S586-ff_factors!$E586</f>
        <v>5.0055000000000002E-2</v>
      </c>
      <c r="T586" s="2">
        <f>ff_portfolios25!T586-ff_factors!$E586</f>
        <v>3.5268000000000001E-2</v>
      </c>
      <c r="U586" s="2">
        <f>ff_portfolios25!U586-ff_factors!$E586</f>
        <v>5.3249999999999999E-3</v>
      </c>
      <c r="V586" s="2">
        <f>ff_portfolios25!V586-ff_factors!$E586</f>
        <v>-2.379E-3</v>
      </c>
      <c r="W586" s="2">
        <f>ff_portfolios25!W586-ff_factors!$E586</f>
        <v>-5.0759999999999998E-3</v>
      </c>
      <c r="X586" s="2">
        <f>ff_portfolios25!X586-ff_factors!$E586</f>
        <v>2.3526000000000002E-2</v>
      </c>
      <c r="Y586" s="2">
        <f>ff_portfolios25!Y586-ff_factors!$E586</f>
        <v>5.1680000000000004E-2</v>
      </c>
      <c r="Z586" s="2">
        <f>ff_portfolios25!Z586-ff_factors!$E586</f>
        <v>2.7452999999999998E-2</v>
      </c>
      <c r="AA586" s="2">
        <f>ff_portfolios25!AA586-ff_factors!$E586</f>
        <v>-2.0083999999999998E-2</v>
      </c>
      <c r="AB586" s="2">
        <f>ff_portfolios25!AB586-ff_factors!$E586</f>
        <v>-6.5319999999999996E-3</v>
      </c>
    </row>
    <row r="587" spans="1:28" x14ac:dyDescent="0.2">
      <c r="A587">
        <v>19801031</v>
      </c>
      <c r="B587">
        <v>1980</v>
      </c>
      <c r="C587">
        <v>10</v>
      </c>
      <c r="D587" s="2">
        <f>ff_portfolios25!D587-ff_factors!$E587</f>
        <v>6.6776000000000002E-2</v>
      </c>
      <c r="E587" s="2">
        <f>ff_portfolios25!E587-ff_factors!$E587</f>
        <v>4.6120000000000001E-2</v>
      </c>
      <c r="F587" s="2">
        <f>ff_portfolios25!F587-ff_factors!$E587</f>
        <v>3.3362999999999997E-2</v>
      </c>
      <c r="G587" s="2">
        <f>ff_portfolios25!G587-ff_factors!$E587</f>
        <v>2.6277000000000002E-2</v>
      </c>
      <c r="H587" s="2">
        <f>ff_portfolios25!H587-ff_factors!$E587</f>
        <v>1.2371000000000002E-2</v>
      </c>
      <c r="I587" s="2">
        <f>ff_portfolios25!I587-ff_factors!$E587</f>
        <v>5.8013000000000002E-2</v>
      </c>
      <c r="J587" s="2">
        <f>ff_portfolios25!J587-ff_factors!$E587</f>
        <v>1.1094000000000001E-2</v>
      </c>
      <c r="K587" s="2">
        <f>ff_portfolios25!K587-ff_factors!$E587</f>
        <v>1.1149999999999997E-3</v>
      </c>
      <c r="L587" s="2">
        <f>ff_portfolios25!L587-ff_factors!$E587</f>
        <v>2.4148999999999997E-2</v>
      </c>
      <c r="M587" s="2">
        <f>ff_portfolios25!M587-ff_factors!$E587</f>
        <v>5.5600000000000094E-4</v>
      </c>
      <c r="N587" s="2">
        <f>ff_portfolios25!N587-ff_factors!$E587</f>
        <v>1.729E-2</v>
      </c>
      <c r="O587" s="2">
        <f>ff_portfolios25!O587-ff_factors!$E587</f>
        <v>1.4292000000000001E-2</v>
      </c>
      <c r="P587" s="2">
        <f>ff_portfolios25!P587-ff_factors!$E587</f>
        <v>2.1149000000000001E-2</v>
      </c>
      <c r="Q587" s="2">
        <f>ff_portfolios25!Q587-ff_factors!$E587</f>
        <v>4.386000000000001E-3</v>
      </c>
      <c r="R587" s="2">
        <f>ff_portfolios25!R587-ff_factors!$E587</f>
        <v>1.5099E-2</v>
      </c>
      <c r="S587" s="2">
        <f>ff_portfolios25!S587-ff_factors!$E587</f>
        <v>1.3553000000000001E-2</v>
      </c>
      <c r="T587" s="2">
        <f>ff_portfolios25!T587-ff_factors!$E587</f>
        <v>1.8723999999999998E-2</v>
      </c>
      <c r="U587" s="2">
        <f>ff_portfolios25!U587-ff_factors!$E587</f>
        <v>-1.813E-2</v>
      </c>
      <c r="V587" s="2">
        <f>ff_portfolios25!V587-ff_factors!$E587</f>
        <v>-2.3762999999999999E-2</v>
      </c>
      <c r="W587" s="2">
        <f>ff_portfolios25!W587-ff_factors!$E587</f>
        <v>-1.1058999999999999E-2</v>
      </c>
      <c r="X587" s="2">
        <f>ff_portfolios25!X587-ff_factors!$E587</f>
        <v>-3.8519999999999995E-3</v>
      </c>
      <c r="Y587" s="2">
        <f>ff_portfolios25!Y587-ff_factors!$E587</f>
        <v>3.1406999999999997E-2</v>
      </c>
      <c r="Z587" s="2">
        <f>ff_portfolios25!Z587-ff_factors!$E587</f>
        <v>4.1285999999999996E-2</v>
      </c>
      <c r="AA587" s="2">
        <f>ff_portfolios25!AA587-ff_factors!$E587</f>
        <v>-2.8206000000000002E-2</v>
      </c>
      <c r="AB587" s="2">
        <f>ff_portfolios25!AB587-ff_factors!$E587</f>
        <v>-2.8269999999999997E-3</v>
      </c>
    </row>
    <row r="588" spans="1:28" x14ac:dyDescent="0.2">
      <c r="A588">
        <v>19801128</v>
      </c>
      <c r="B588">
        <v>1980</v>
      </c>
      <c r="C588">
        <v>11</v>
      </c>
      <c r="D588" s="2">
        <f>ff_portfolios25!D588-ff_factors!$E588</f>
        <v>0.152333</v>
      </c>
      <c r="E588" s="2">
        <f>ff_portfolios25!E588-ff_factors!$E588</f>
        <v>5.2564E-2</v>
      </c>
      <c r="F588" s="2">
        <f>ff_portfolios25!F588-ff_factors!$E588</f>
        <v>5.1241000000000002E-2</v>
      </c>
      <c r="G588" s="2">
        <f>ff_portfolios25!G588-ff_factors!$E588</f>
        <v>-2.9179999999999996E-3</v>
      </c>
      <c r="H588" s="2">
        <f>ff_portfolios25!H588-ff_factors!$E588</f>
        <v>7.6280000000000011E-3</v>
      </c>
      <c r="I588" s="2">
        <f>ff_portfolios25!I588-ff_factors!$E588</f>
        <v>0.12648700000000002</v>
      </c>
      <c r="J588" s="2">
        <f>ff_portfolios25!J588-ff_factors!$E588</f>
        <v>6.4828999999999998E-2</v>
      </c>
      <c r="K588" s="2">
        <f>ff_portfolios25!K588-ff_factors!$E588</f>
        <v>3.3871999999999999E-2</v>
      </c>
      <c r="L588" s="2">
        <f>ff_portfolios25!L588-ff_factors!$E588</f>
        <v>5.6381000000000001E-2</v>
      </c>
      <c r="M588" s="2">
        <f>ff_portfolios25!M588-ff_factors!$E588</f>
        <v>2.3974000000000002E-2</v>
      </c>
      <c r="N588" s="2">
        <f>ff_portfolios25!N588-ff_factors!$E588</f>
        <v>0.106487</v>
      </c>
      <c r="O588" s="2">
        <f>ff_portfolios25!O588-ff_factors!$E588</f>
        <v>6.0704000000000008E-2</v>
      </c>
      <c r="P588" s="2">
        <f>ff_portfolios25!P588-ff_factors!$E588</f>
        <v>2.7903000000000004E-2</v>
      </c>
      <c r="Q588" s="2">
        <f>ff_portfolios25!Q588-ff_factors!$E588</f>
        <v>1.3636000000000001E-2</v>
      </c>
      <c r="R588" s="2">
        <f>ff_portfolios25!R588-ff_factors!$E588</f>
        <v>7.4560000000000026E-3</v>
      </c>
      <c r="S588" s="2">
        <f>ff_portfolios25!S588-ff_factors!$E588</f>
        <v>0.12287100000000001</v>
      </c>
      <c r="T588" s="2">
        <f>ff_portfolios25!T588-ff_factors!$E588</f>
        <v>0.133799</v>
      </c>
      <c r="U588" s="2">
        <f>ff_portfolios25!U588-ff_factors!$E588</f>
        <v>3.5716000000000005E-2</v>
      </c>
      <c r="V588" s="2">
        <f>ff_portfolios25!V588-ff_factors!$E588</f>
        <v>2.0501999999999999E-2</v>
      </c>
      <c r="W588" s="2">
        <f>ff_portfolios25!W588-ff_factors!$E588</f>
        <v>-3.1199999999999978E-4</v>
      </c>
      <c r="X588" s="2">
        <f>ff_portfolios25!X588-ff_factors!$E588</f>
        <v>9.6357999999999999E-2</v>
      </c>
      <c r="Y588" s="2">
        <f>ff_portfolios25!Y588-ff_factors!$E588</f>
        <v>0.135406</v>
      </c>
      <c r="Z588" s="2">
        <f>ff_portfolios25!Z588-ff_factors!$E588</f>
        <v>0.18273800000000001</v>
      </c>
      <c r="AA588" s="2">
        <f>ff_portfolios25!AA588-ff_factors!$E588</f>
        <v>4.0897000000000003E-2</v>
      </c>
      <c r="AB588" s="2">
        <f>ff_portfolios25!AB588-ff_factors!$E588</f>
        <v>2.9562000000000005E-2</v>
      </c>
    </row>
    <row r="589" spans="1:28" x14ac:dyDescent="0.2">
      <c r="A589">
        <v>19801231</v>
      </c>
      <c r="B589">
        <v>1980</v>
      </c>
      <c r="C589">
        <v>12</v>
      </c>
      <c r="D589" s="2">
        <f>ff_portfolios25!D589-ff_factors!$E589</f>
        <v>-7.6332999999999998E-2</v>
      </c>
      <c r="E589" s="2">
        <f>ff_portfolios25!E589-ff_factors!$E589</f>
        <v>-6.9245000000000001E-2</v>
      </c>
      <c r="F589" s="2">
        <f>ff_portfolios25!F589-ff_factors!$E589</f>
        <v>-4.8735000000000001E-2</v>
      </c>
      <c r="G589" s="2">
        <f>ff_portfolios25!G589-ff_factors!$E589</f>
        <v>-4.1521000000000002E-2</v>
      </c>
      <c r="H589" s="2">
        <f>ff_portfolios25!H589-ff_factors!$E589</f>
        <v>-4.7753999999999998E-2</v>
      </c>
      <c r="I589" s="2">
        <f>ff_portfolios25!I589-ff_factors!$E589</f>
        <v>-6.4959000000000003E-2</v>
      </c>
      <c r="J589" s="2">
        <f>ff_portfolios25!J589-ff_factors!$E589</f>
        <v>-3.6642000000000001E-2</v>
      </c>
      <c r="K589" s="2">
        <f>ff_portfolios25!K589-ff_factors!$E589</f>
        <v>-3.2587000000000005E-2</v>
      </c>
      <c r="L589" s="2">
        <f>ff_portfolios25!L589-ff_factors!$E589</f>
        <v>-2.7547000000000002E-2</v>
      </c>
      <c r="M589" s="2">
        <f>ff_portfolios25!M589-ff_factors!$E589</f>
        <v>-2.0720000000000002E-2</v>
      </c>
      <c r="N589" s="2">
        <f>ff_portfolios25!N589-ff_factors!$E589</f>
        <v>-5.1844000000000001E-2</v>
      </c>
      <c r="O589" s="2">
        <f>ff_portfolios25!O589-ff_factors!$E589</f>
        <v>-4.4388999999999998E-2</v>
      </c>
      <c r="P589" s="2">
        <f>ff_portfolios25!P589-ff_factors!$E589</f>
        <v>-1.8609000000000001E-2</v>
      </c>
      <c r="Q589" s="2">
        <f>ff_portfolios25!Q589-ff_factors!$E589</f>
        <v>-2.4594000000000001E-2</v>
      </c>
      <c r="R589" s="2">
        <f>ff_portfolios25!R589-ff_factors!$E589</f>
        <v>-1.6241000000000002E-2</v>
      </c>
      <c r="S589" s="2">
        <f>ff_portfolios25!S589-ff_factors!$E589</f>
        <v>-4.9321000000000004E-2</v>
      </c>
      <c r="T589" s="2">
        <f>ff_portfolios25!T589-ff_factors!$E589</f>
        <v>-5.9001999999999999E-2</v>
      </c>
      <c r="U589" s="2">
        <f>ff_portfolios25!U589-ff_factors!$E589</f>
        <v>-1.9882E-2</v>
      </c>
      <c r="V589" s="2">
        <f>ff_portfolios25!V589-ff_factors!$E589</f>
        <v>-7.5330000000000006E-3</v>
      </c>
      <c r="W589" s="2">
        <f>ff_portfolios25!W589-ff_factors!$E589</f>
        <v>-1.7260999999999999E-2</v>
      </c>
      <c r="X589" s="2">
        <f>ff_portfolios25!X589-ff_factors!$E589</f>
        <v>-1.2146000000000001E-2</v>
      </c>
      <c r="Y589" s="2">
        <f>ff_portfolios25!Y589-ff_factors!$E589</f>
        <v>-6.9470000000000004E-2</v>
      </c>
      <c r="Z589" s="2">
        <f>ff_portfolios25!Z589-ff_factors!$E589</f>
        <v>-7.2666000000000008E-2</v>
      </c>
      <c r="AA589" s="2">
        <f>ff_portfolios25!AA589-ff_factors!$E589</f>
        <v>-2.6632000000000003E-2</v>
      </c>
      <c r="AB589" s="2">
        <f>ff_portfolios25!AB589-ff_factors!$E589</f>
        <v>-1.5227000000000001E-2</v>
      </c>
    </row>
    <row r="590" spans="1:28" x14ac:dyDescent="0.2">
      <c r="A590">
        <v>19810130</v>
      </c>
      <c r="B590">
        <v>1981</v>
      </c>
      <c r="C590">
        <v>1</v>
      </c>
      <c r="D590" s="2">
        <f>ff_portfolios25!D590-ff_factors!$E590</f>
        <v>-5.5678999999999999E-2</v>
      </c>
      <c r="E590" s="2">
        <f>ff_portfolios25!E590-ff_factors!$E590</f>
        <v>-1.2598E-2</v>
      </c>
      <c r="F590" s="2">
        <f>ff_portfolios25!F590-ff_factors!$E590</f>
        <v>6.8229999999999992E-3</v>
      </c>
      <c r="G590" s="2">
        <f>ff_portfolios25!G590-ff_factors!$E590</f>
        <v>8.1670000000000006E-3</v>
      </c>
      <c r="H590" s="2">
        <f>ff_portfolios25!H590-ff_factors!$E590</f>
        <v>2.1911E-2</v>
      </c>
      <c r="I590" s="2">
        <f>ff_portfolios25!I590-ff_factors!$E590</f>
        <v>-5.9579E-2</v>
      </c>
      <c r="J590" s="2">
        <f>ff_portfolios25!J590-ff_factors!$E590</f>
        <v>-1.2411999999999999E-2</v>
      </c>
      <c r="K590" s="2">
        <f>ff_portfolios25!K590-ff_factors!$E590</f>
        <v>-9.4589999999999987E-3</v>
      </c>
      <c r="L590" s="2">
        <f>ff_portfolios25!L590-ff_factors!$E590</f>
        <v>6.5710000000000005E-3</v>
      </c>
      <c r="M590" s="2">
        <f>ff_portfolios25!M590-ff_factors!$E590</f>
        <v>2.3115999999999998E-2</v>
      </c>
      <c r="N590" s="2">
        <f>ff_portfolios25!N590-ff_factors!$E590</f>
        <v>-5.3842000000000001E-2</v>
      </c>
      <c r="O590" s="2">
        <f>ff_portfolios25!O590-ff_factors!$E590</f>
        <v>-2.6731999999999999E-2</v>
      </c>
      <c r="P590" s="2">
        <f>ff_portfolios25!P590-ff_factors!$E590</f>
        <v>-2.1762999999999998E-2</v>
      </c>
      <c r="Q590" s="2">
        <f>ff_portfolios25!Q590-ff_factors!$E590</f>
        <v>9.4540000000000006E-3</v>
      </c>
      <c r="R590" s="2">
        <f>ff_portfolios25!R590-ff_factors!$E590</f>
        <v>1.8711999999999999E-2</v>
      </c>
      <c r="S590" s="2">
        <f>ff_portfolios25!S590-ff_factors!$E590</f>
        <v>-7.7318999999999999E-2</v>
      </c>
      <c r="T590" s="2">
        <f>ff_portfolios25!T590-ff_factors!$E590</f>
        <v>-4.4317000000000002E-2</v>
      </c>
      <c r="U590" s="2">
        <f>ff_portfolios25!U590-ff_factors!$E590</f>
        <v>-1.6906999999999998E-2</v>
      </c>
      <c r="V590" s="2">
        <f>ff_portfolios25!V590-ff_factors!$E590</f>
        <v>-3.6429999999999995E-3</v>
      </c>
      <c r="W590" s="2">
        <f>ff_portfolios25!W590-ff_factors!$E590</f>
        <v>4.7240000000000008E-3</v>
      </c>
      <c r="X590" s="2">
        <f>ff_portfolios25!X590-ff_factors!$E590</f>
        <v>-7.1125999999999995E-2</v>
      </c>
      <c r="Y590" s="2">
        <f>ff_portfolios25!Y590-ff_factors!$E590</f>
        <v>-8.5457000000000005E-2</v>
      </c>
      <c r="Z590" s="2">
        <f>ff_portfolios25!Z590-ff_factors!$E590</f>
        <v>-7.6719000000000009E-2</v>
      </c>
      <c r="AA590" s="2">
        <f>ff_portfolios25!AA590-ff_factors!$E590</f>
        <v>-1.0995999999999999E-2</v>
      </c>
      <c r="AB590" s="2">
        <f>ff_portfolios25!AB590-ff_factors!$E590</f>
        <v>1.2306000000000001E-2</v>
      </c>
    </row>
    <row r="591" spans="1:28" x14ac:dyDescent="0.2">
      <c r="A591">
        <v>19810227</v>
      </c>
      <c r="B591">
        <v>1981</v>
      </c>
      <c r="C591">
        <v>2</v>
      </c>
      <c r="D591" s="2">
        <f>ff_portfolios25!D591-ff_factors!$E591</f>
        <v>-4.4110000000000003E-2</v>
      </c>
      <c r="E591" s="2">
        <f>ff_portfolios25!E591-ff_factors!$E591</f>
        <v>-9.9939999999999994E-3</v>
      </c>
      <c r="F591" s="2">
        <f>ff_portfolios25!F591-ff_factors!$E591</f>
        <v>-1.0530000000000001E-3</v>
      </c>
      <c r="G591" s="2">
        <f>ff_portfolios25!G591-ff_factors!$E591</f>
        <v>1.2045000000000002E-2</v>
      </c>
      <c r="H591" s="2">
        <f>ff_portfolios25!H591-ff_factors!$E591</f>
        <v>1.3884000000000002E-2</v>
      </c>
      <c r="I591" s="2">
        <f>ff_portfolios25!I591-ff_factors!$E591</f>
        <v>-1.5051999999999999E-2</v>
      </c>
      <c r="J591" s="2">
        <f>ff_portfolios25!J591-ff_factors!$E591</f>
        <v>4.3309999999999998E-3</v>
      </c>
      <c r="K591" s="2">
        <f>ff_portfolios25!K591-ff_factors!$E591</f>
        <v>1.9140999999999998E-2</v>
      </c>
      <c r="L591" s="2">
        <f>ff_portfolios25!L591-ff_factors!$E591</f>
        <v>2.4331999999999999E-2</v>
      </c>
      <c r="M591" s="2">
        <f>ff_portfolios25!M591-ff_factors!$E591</f>
        <v>2.7143E-2</v>
      </c>
      <c r="N591" s="2">
        <f>ff_portfolios25!N591-ff_factors!$E591</f>
        <v>1.2075000000000001E-2</v>
      </c>
      <c r="O591" s="2">
        <f>ff_portfolios25!O591-ff_factors!$E591</f>
        <v>1.3063E-2</v>
      </c>
      <c r="P591" s="2">
        <f>ff_portfolios25!P591-ff_factors!$E591</f>
        <v>2.7854999999999998E-2</v>
      </c>
      <c r="Q591" s="2">
        <f>ff_portfolios25!Q591-ff_factors!$E591</f>
        <v>-1.1361E-2</v>
      </c>
      <c r="R591" s="2">
        <f>ff_portfolios25!R591-ff_factors!$E591</f>
        <v>4.1980000000000003E-3</v>
      </c>
      <c r="S591" s="2">
        <f>ff_portfolios25!S591-ff_factors!$E591</f>
        <v>3.5820000000000001E-3</v>
      </c>
      <c r="T591" s="2">
        <f>ff_portfolios25!T591-ff_factors!$E591</f>
        <v>1.8501999999999998E-2</v>
      </c>
      <c r="U591" s="2">
        <f>ff_portfolios25!U591-ff_factors!$E591</f>
        <v>3.2249E-2</v>
      </c>
      <c r="V591" s="2">
        <f>ff_portfolios25!V591-ff_factors!$E591</f>
        <v>3.0280000000000012E-3</v>
      </c>
      <c r="W591" s="2">
        <f>ff_portfolios25!W591-ff_factors!$E591</f>
        <v>2.5930000000000002E-2</v>
      </c>
      <c r="X591" s="2">
        <f>ff_portfolios25!X591-ff_factors!$E591</f>
        <v>2.2087999999999997E-2</v>
      </c>
      <c r="Y591" s="2">
        <f>ff_portfolios25!Y591-ff_factors!$E591</f>
        <v>8.9929999999999993E-3</v>
      </c>
      <c r="Z591" s="2">
        <f>ff_portfolios25!Z591-ff_factors!$E591</f>
        <v>-1.7299999999999999E-2</v>
      </c>
      <c r="AA591" s="2">
        <f>ff_portfolios25!AA591-ff_factors!$E591</f>
        <v>1.9969000000000001E-2</v>
      </c>
      <c r="AB591" s="2">
        <f>ff_portfolios25!AB591-ff_factors!$E591</f>
        <v>-1.5432E-2</v>
      </c>
    </row>
    <row r="592" spans="1:28" x14ac:dyDescent="0.2">
      <c r="A592">
        <v>19810331</v>
      </c>
      <c r="B592">
        <v>1981</v>
      </c>
      <c r="C592">
        <v>3</v>
      </c>
      <c r="D592" s="2">
        <f>ff_portfolios25!D592-ff_factors!$E592</f>
        <v>6.0930999999999999E-2</v>
      </c>
      <c r="E592" s="2">
        <f>ff_portfolios25!E592-ff_factors!$E592</f>
        <v>8.2969000000000001E-2</v>
      </c>
      <c r="F592" s="2">
        <f>ff_portfolios25!F592-ff_factors!$E592</f>
        <v>7.3454000000000005E-2</v>
      </c>
      <c r="G592" s="2">
        <f>ff_portfolios25!G592-ff_factors!$E592</f>
        <v>7.9864000000000004E-2</v>
      </c>
      <c r="H592" s="2">
        <f>ff_portfolios25!H592-ff_factors!$E592</f>
        <v>6.1326000000000006E-2</v>
      </c>
      <c r="I592" s="2">
        <f>ff_portfolios25!I592-ff_factors!$E592</f>
        <v>6.7804000000000003E-2</v>
      </c>
      <c r="J592" s="2">
        <f>ff_portfolios25!J592-ff_factors!$E592</f>
        <v>6.9803000000000004E-2</v>
      </c>
      <c r="K592" s="2">
        <f>ff_portfolios25!K592-ff_factors!$E592</f>
        <v>7.0098999999999995E-2</v>
      </c>
      <c r="L592" s="2">
        <f>ff_portfolios25!L592-ff_factors!$E592</f>
        <v>6.4229999999999995E-2</v>
      </c>
      <c r="M592" s="2">
        <f>ff_portfolios25!M592-ff_factors!$E592</f>
        <v>6.3962000000000005E-2</v>
      </c>
      <c r="N592" s="2">
        <f>ff_portfolios25!N592-ff_factors!$E592</f>
        <v>6.4548999999999995E-2</v>
      </c>
      <c r="O592" s="2">
        <f>ff_portfolios25!O592-ff_factors!$E592</f>
        <v>6.5232999999999999E-2</v>
      </c>
      <c r="P592" s="2">
        <f>ff_portfolios25!P592-ff_factors!$E592</f>
        <v>6.2914999999999999E-2</v>
      </c>
      <c r="Q592" s="2">
        <f>ff_portfolios25!Q592-ff_factors!$E592</f>
        <v>7.9395000000000007E-2</v>
      </c>
      <c r="R592" s="2">
        <f>ff_portfolios25!R592-ff_factors!$E592</f>
        <v>5.8180999999999997E-2</v>
      </c>
      <c r="S592" s="2">
        <f>ff_portfolios25!S592-ff_factors!$E592</f>
        <v>7.6795000000000002E-2</v>
      </c>
      <c r="T592" s="2">
        <f>ff_portfolios25!T592-ff_factors!$E592</f>
        <v>5.1026000000000002E-2</v>
      </c>
      <c r="U592" s="2">
        <f>ff_portfolios25!U592-ff_factors!$E592</f>
        <v>7.8844999999999998E-2</v>
      </c>
      <c r="V592" s="2">
        <f>ff_portfolios25!V592-ff_factors!$E592</f>
        <v>5.9595999999999996E-2</v>
      </c>
      <c r="W592" s="2">
        <f>ff_portfolios25!W592-ff_factors!$E592</f>
        <v>6.4135999999999999E-2</v>
      </c>
      <c r="X592" s="2">
        <f>ff_portfolios25!X592-ff_factors!$E592</f>
        <v>1.7621000000000001E-2</v>
      </c>
      <c r="Y592" s="2">
        <f>ff_portfolios25!Y592-ff_factors!$E592</f>
        <v>1.9555999999999997E-2</v>
      </c>
      <c r="Z592" s="2">
        <f>ff_portfolios25!Z592-ff_factors!$E592</f>
        <v>-1.6317999999999999E-2</v>
      </c>
      <c r="AA592" s="2">
        <f>ff_portfolios25!AA592-ff_factors!$E592</f>
        <v>2.7784000000000003E-2</v>
      </c>
      <c r="AB592" s="2">
        <f>ff_portfolios25!AB592-ff_factors!$E592</f>
        <v>6.9755999999999999E-2</v>
      </c>
    </row>
    <row r="593" spans="1:28" x14ac:dyDescent="0.2">
      <c r="A593">
        <v>19810430</v>
      </c>
      <c r="B593">
        <v>1981</v>
      </c>
      <c r="C593">
        <v>4</v>
      </c>
      <c r="D593" s="2">
        <f>ff_portfolios25!D593-ff_factors!$E593</f>
        <v>1.9713999999999999E-2</v>
      </c>
      <c r="E593" s="2">
        <f>ff_portfolios25!E593-ff_factors!$E593</f>
        <v>3.6456000000000002E-2</v>
      </c>
      <c r="F593" s="2">
        <f>ff_portfolios25!F593-ff_factors!$E593</f>
        <v>2.5878000000000002E-2</v>
      </c>
      <c r="G593" s="2">
        <f>ff_portfolios25!G593-ff_factors!$E593</f>
        <v>3.6223000000000005E-2</v>
      </c>
      <c r="H593" s="2">
        <f>ff_portfolios25!H593-ff_factors!$E593</f>
        <v>4.4623999999999997E-2</v>
      </c>
      <c r="I593" s="2">
        <f>ff_portfolios25!I593-ff_factors!$E593</f>
        <v>5.3509999999999981E-3</v>
      </c>
      <c r="J593" s="2">
        <f>ff_portfolios25!J593-ff_factors!$E593</f>
        <v>2.5368999999999999E-2</v>
      </c>
      <c r="K593" s="2">
        <f>ff_portfolios25!K593-ff_factors!$E593</f>
        <v>2.6065000000000001E-2</v>
      </c>
      <c r="L593" s="2">
        <f>ff_portfolios25!L593-ff_factors!$E593</f>
        <v>2.6721999999999999E-2</v>
      </c>
      <c r="M593" s="2">
        <f>ff_portfolios25!M593-ff_factors!$E593</f>
        <v>2.7051000000000002E-2</v>
      </c>
      <c r="N593" s="2">
        <f>ff_portfolios25!N593-ff_factors!$E593</f>
        <v>1.0133E-2</v>
      </c>
      <c r="O593" s="2">
        <f>ff_portfolios25!O593-ff_factors!$E593</f>
        <v>2.3374999999999996E-2</v>
      </c>
      <c r="P593" s="2">
        <f>ff_portfolios25!P593-ff_factors!$E593</f>
        <v>4.359E-3</v>
      </c>
      <c r="Q593" s="2">
        <f>ff_portfolios25!Q593-ff_factors!$E593</f>
        <v>-1.0200000000000001E-3</v>
      </c>
      <c r="R593" s="2">
        <f>ff_portfolios25!R593-ff_factors!$E593</f>
        <v>2.9387E-2</v>
      </c>
      <c r="S593" s="2">
        <f>ff_portfolios25!S593-ff_factors!$E593</f>
        <v>-1.0527E-2</v>
      </c>
      <c r="T593" s="2">
        <f>ff_portfolios25!T593-ff_factors!$E593</f>
        <v>-1.8396000000000003E-2</v>
      </c>
      <c r="U593" s="2">
        <f>ff_portfolios25!U593-ff_factors!$E593</f>
        <v>-6.8370000000000002E-3</v>
      </c>
      <c r="V593" s="2">
        <f>ff_portfolios25!V593-ff_factors!$E593</f>
        <v>-8.1890000000000001E-3</v>
      </c>
      <c r="W593" s="2">
        <f>ff_portfolios25!W593-ff_factors!$E593</f>
        <v>6.121999999999999E-3</v>
      </c>
      <c r="X593" s="2">
        <f>ff_portfolios25!X593-ff_factors!$E593</f>
        <v>-3.7968000000000002E-2</v>
      </c>
      <c r="Y593" s="2">
        <f>ff_portfolios25!Y593-ff_factors!$E593</f>
        <v>-5.3809999999999997E-2</v>
      </c>
      <c r="Z593" s="2">
        <f>ff_portfolios25!Z593-ff_factors!$E593</f>
        <v>-4.0530999999999998E-2</v>
      </c>
      <c r="AA593" s="2">
        <f>ff_portfolios25!AA593-ff_factors!$E593</f>
        <v>1.1907999999999998E-2</v>
      </c>
      <c r="AB593" s="2">
        <f>ff_portfolios25!AB593-ff_factors!$E593</f>
        <v>-4.0434999999999999E-2</v>
      </c>
    </row>
    <row r="594" spans="1:28" x14ac:dyDescent="0.2">
      <c r="A594">
        <v>19810529</v>
      </c>
      <c r="B594">
        <v>1981</v>
      </c>
      <c r="C594">
        <v>5</v>
      </c>
      <c r="D594" s="2">
        <f>ff_portfolios25!D594-ff_factors!$E594</f>
        <v>3.8535E-2</v>
      </c>
      <c r="E594" s="2">
        <f>ff_portfolios25!E594-ff_factors!$E594</f>
        <v>3.8586999999999996E-2</v>
      </c>
      <c r="F594" s="2">
        <f>ff_portfolios25!F594-ff_factors!$E594</f>
        <v>3.2506999999999994E-2</v>
      </c>
      <c r="G594" s="2">
        <f>ff_portfolios25!G594-ff_factors!$E594</f>
        <v>1.5063E-2</v>
      </c>
      <c r="H594" s="2">
        <f>ff_portfolios25!H594-ff_factors!$E594</f>
        <v>1.5502999999999999E-2</v>
      </c>
      <c r="I594" s="2">
        <f>ff_portfolios25!I594-ff_factors!$E594</f>
        <v>5.0966999999999998E-2</v>
      </c>
      <c r="J594" s="2">
        <f>ff_portfolios25!J594-ff_factors!$E594</f>
        <v>1.1127999999999999E-2</v>
      </c>
      <c r="K594" s="2">
        <f>ff_portfolios25!K594-ff_factors!$E594</f>
        <v>1.4839000000000001E-2</v>
      </c>
      <c r="L594" s="2">
        <f>ff_portfolios25!L594-ff_factors!$E594</f>
        <v>-7.9819999999999995E-3</v>
      </c>
      <c r="M594" s="2">
        <f>ff_portfolios25!M594-ff_factors!$E594</f>
        <v>1.1734999999999999E-2</v>
      </c>
      <c r="N594" s="2">
        <f>ff_portfolios25!N594-ff_factors!$E594</f>
        <v>1.0231000000000001E-2</v>
      </c>
      <c r="O594" s="2">
        <f>ff_portfolios25!O594-ff_factors!$E594</f>
        <v>2.6686999999999999E-2</v>
      </c>
      <c r="P594" s="2">
        <f>ff_portfolios25!P594-ff_factors!$E594</f>
        <v>1.6626999999999999E-2</v>
      </c>
      <c r="Q594" s="2">
        <f>ff_portfolios25!Q594-ff_factors!$E594</f>
        <v>2.9239999999999995E-3</v>
      </c>
      <c r="R594" s="2">
        <f>ff_portfolios25!R594-ff_factors!$E594</f>
        <v>4.3997999999999995E-2</v>
      </c>
      <c r="S594" s="2">
        <f>ff_portfolios25!S594-ff_factors!$E594</f>
        <v>2.4674999999999999E-2</v>
      </c>
      <c r="T594" s="2">
        <f>ff_portfolios25!T594-ff_factors!$E594</f>
        <v>4.8839999999999995E-3</v>
      </c>
      <c r="U594" s="2">
        <f>ff_portfolios25!U594-ff_factors!$E594</f>
        <v>1.1127999999999999E-2</v>
      </c>
      <c r="V594" s="2">
        <f>ff_portfolios25!V594-ff_factors!$E594</f>
        <v>-6.0999999999999943E-4</v>
      </c>
      <c r="W594" s="2">
        <f>ff_portfolios25!W594-ff_factors!$E594</f>
        <v>2.1765999999999997E-2</v>
      </c>
      <c r="X594" s="2">
        <f>ff_portfolios25!X594-ff_factors!$E594</f>
        <v>4.8419999999999991E-3</v>
      </c>
      <c r="Y594" s="2">
        <f>ff_portfolios25!Y594-ff_factors!$E594</f>
        <v>-3.3120999999999998E-2</v>
      </c>
      <c r="Z594" s="2">
        <f>ff_portfolios25!Z594-ff_factors!$E594</f>
        <v>-3.2474000000000003E-2</v>
      </c>
      <c r="AA594" s="2">
        <f>ff_portfolios25!AA594-ff_factors!$E594</f>
        <v>2.4699000000000002E-2</v>
      </c>
      <c r="AB594" s="2">
        <f>ff_portfolios25!AB594-ff_factors!$E594</f>
        <v>-4.0759999999999998E-3</v>
      </c>
    </row>
    <row r="595" spans="1:28" x14ac:dyDescent="0.2">
      <c r="A595">
        <v>19810630</v>
      </c>
      <c r="B595">
        <v>1981</v>
      </c>
      <c r="C595">
        <v>6</v>
      </c>
      <c r="D595" s="2">
        <f>ff_portfolios25!D595-ff_factors!$E595</f>
        <v>-8.4936999999999999E-2</v>
      </c>
      <c r="E595" s="2">
        <f>ff_portfolios25!E595-ff_factors!$E595</f>
        <v>-1.7160000000000002E-2</v>
      </c>
      <c r="F595" s="2">
        <f>ff_portfolios25!F595-ff_factors!$E595</f>
        <v>-1.176E-3</v>
      </c>
      <c r="G595" s="2">
        <f>ff_portfolios25!G595-ff_factors!$E595</f>
        <v>1.3817000000000001E-2</v>
      </c>
      <c r="H595" s="2">
        <f>ff_portfolios25!H595-ff_factors!$E595</f>
        <v>-2.0899999999999998E-3</v>
      </c>
      <c r="I595" s="2">
        <f>ff_portfolios25!I595-ff_factors!$E595</f>
        <v>-8.3903999999999992E-2</v>
      </c>
      <c r="J595" s="2">
        <f>ff_portfolios25!J595-ff_factors!$E595</f>
        <v>-1.9050999999999998E-2</v>
      </c>
      <c r="K595" s="2">
        <f>ff_portfolios25!K595-ff_factors!$E595</f>
        <v>-1.9970000000000002E-2</v>
      </c>
      <c r="L595" s="2">
        <f>ff_portfolios25!L595-ff_factors!$E595</f>
        <v>-1.5047E-2</v>
      </c>
      <c r="M595" s="2">
        <f>ff_portfolios25!M595-ff_factors!$E595</f>
        <v>4.7350000000000014E-3</v>
      </c>
      <c r="N595" s="2">
        <f>ff_portfolios25!N595-ff_factors!$E595</f>
        <v>-6.4243999999999996E-2</v>
      </c>
      <c r="O595" s="2">
        <f>ff_portfolios25!O595-ff_factors!$E595</f>
        <v>-1.4803E-2</v>
      </c>
      <c r="P595" s="2">
        <f>ff_portfolios25!P595-ff_factors!$E595</f>
        <v>-1.7363E-2</v>
      </c>
      <c r="Q595" s="2">
        <f>ff_portfolios25!Q595-ff_factors!$E595</f>
        <v>8.1669999999999989E-3</v>
      </c>
      <c r="R595" s="2">
        <f>ff_portfolios25!R595-ff_factors!$E595</f>
        <v>-3.5813999999999999E-2</v>
      </c>
      <c r="S595" s="2">
        <f>ff_portfolios25!S595-ff_factors!$E595</f>
        <v>-6.5688999999999997E-2</v>
      </c>
      <c r="T595" s="2">
        <f>ff_portfolios25!T595-ff_factors!$E595</f>
        <v>-2.9930999999999999E-2</v>
      </c>
      <c r="U595" s="2">
        <f>ff_portfolios25!U595-ff_factors!$E595</f>
        <v>-7.2789999999999999E-3</v>
      </c>
      <c r="V595" s="2">
        <f>ff_portfolios25!V595-ff_factors!$E595</f>
        <v>1.3019000000000001E-2</v>
      </c>
      <c r="W595" s="2">
        <f>ff_portfolios25!W595-ff_factors!$E595</f>
        <v>-1.8415000000000001E-2</v>
      </c>
      <c r="X595" s="2">
        <f>ff_portfolios25!X595-ff_factors!$E595</f>
        <v>-5.7695999999999997E-2</v>
      </c>
      <c r="Y595" s="2">
        <f>ff_portfolios25!Y595-ff_factors!$E595</f>
        <v>-2.1069999999999995E-3</v>
      </c>
      <c r="Z595" s="2">
        <f>ff_portfolios25!Z595-ff_factors!$E595</f>
        <v>2.1335E-2</v>
      </c>
      <c r="AA595" s="2">
        <f>ff_portfolios25!AA595-ff_factors!$E595</f>
        <v>-1.9837E-2</v>
      </c>
      <c r="AB595" s="2">
        <f>ff_portfolios25!AB595-ff_factors!$E595</f>
        <v>-7.7219999999999997E-3</v>
      </c>
    </row>
    <row r="596" spans="1:28" x14ac:dyDescent="0.2">
      <c r="A596">
        <v>19810731</v>
      </c>
      <c r="B596">
        <v>1981</v>
      </c>
      <c r="C596">
        <v>7</v>
      </c>
      <c r="D596" s="2">
        <f>ff_portfolios25!D596-ff_factors!$E596</f>
        <v>-5.7145000000000001E-2</v>
      </c>
      <c r="E596" s="2">
        <f>ff_portfolios25!E596-ff_factors!$E596</f>
        <v>-4.6773000000000002E-2</v>
      </c>
      <c r="F596" s="2">
        <f>ff_portfolios25!F596-ff_factors!$E596</f>
        <v>-4.0152E-2</v>
      </c>
      <c r="G596" s="2">
        <f>ff_portfolios25!G596-ff_factors!$E596</f>
        <v>-3.4326000000000002E-2</v>
      </c>
      <c r="H596" s="2">
        <f>ff_portfolios25!H596-ff_factors!$E596</f>
        <v>-3.5267E-2</v>
      </c>
      <c r="I596" s="2">
        <f>ff_portfolios25!I596-ff_factors!$E596</f>
        <v>-3.7869E-2</v>
      </c>
      <c r="J596" s="2">
        <f>ff_portfolios25!J596-ff_factors!$E596</f>
        <v>-4.6990000000000004E-2</v>
      </c>
      <c r="K596" s="2">
        <f>ff_portfolios25!K596-ff_factors!$E596</f>
        <v>-1.8239999999999999E-2</v>
      </c>
      <c r="L596" s="2">
        <f>ff_portfolios25!L596-ff_factors!$E596</f>
        <v>-2.7722E-2</v>
      </c>
      <c r="M596" s="2">
        <f>ff_portfolios25!M596-ff_factors!$E596</f>
        <v>-3.2231000000000003E-2</v>
      </c>
      <c r="N596" s="2">
        <f>ff_portfolios25!N596-ff_factors!$E596</f>
        <v>-2.4327000000000001E-2</v>
      </c>
      <c r="O596" s="2">
        <f>ff_portfolios25!O596-ff_factors!$E596</f>
        <v>-3.3177999999999999E-2</v>
      </c>
      <c r="P596" s="2">
        <f>ff_portfolios25!P596-ff_factors!$E596</f>
        <v>-4.2088E-2</v>
      </c>
      <c r="Q596" s="2">
        <f>ff_portfolios25!Q596-ff_factors!$E596</f>
        <v>-4.2078999999999998E-2</v>
      </c>
      <c r="R596" s="2">
        <f>ff_portfolios25!R596-ff_factors!$E596</f>
        <v>-1.6050999999999999E-2</v>
      </c>
      <c r="S596" s="2">
        <f>ff_portfolios25!S596-ff_factors!$E596</f>
        <v>8.0370000000000007E-3</v>
      </c>
      <c r="T596" s="2">
        <f>ff_portfolios25!T596-ff_factors!$E596</f>
        <v>-2.2696000000000001E-2</v>
      </c>
      <c r="U596" s="2">
        <f>ff_portfolios25!U596-ff_factors!$E596</f>
        <v>-3.5827999999999999E-2</v>
      </c>
      <c r="V596" s="2">
        <f>ff_portfolios25!V596-ff_factors!$E596</f>
        <v>-3.8151999999999998E-2</v>
      </c>
      <c r="W596" s="2">
        <f>ff_portfolios25!W596-ff_factors!$E596</f>
        <v>-4.5442000000000003E-2</v>
      </c>
      <c r="X596" s="2">
        <f>ff_portfolios25!X596-ff_factors!$E596</f>
        <v>4.8789999999999997E-3</v>
      </c>
      <c r="Y596" s="2">
        <f>ff_portfolios25!Y596-ff_factors!$E596</f>
        <v>1.5664999999999998E-2</v>
      </c>
      <c r="Z596" s="2">
        <f>ff_portfolios25!Z596-ff_factors!$E596</f>
        <v>-3.3468999999999999E-2</v>
      </c>
      <c r="AA596" s="2">
        <f>ff_portfolios25!AA596-ff_factors!$E596</f>
        <v>-3.3408E-2</v>
      </c>
      <c r="AB596" s="2">
        <f>ff_portfolios25!AB596-ff_factors!$E596</f>
        <v>-6.3729999999999993E-3</v>
      </c>
    </row>
    <row r="597" spans="1:28" x14ac:dyDescent="0.2">
      <c r="A597">
        <v>19810831</v>
      </c>
      <c r="B597">
        <v>1981</v>
      </c>
      <c r="C597">
        <v>8</v>
      </c>
      <c r="D597" s="2">
        <f>ff_portfolios25!D597-ff_factors!$E597</f>
        <v>-0.14069200000000001</v>
      </c>
      <c r="E597" s="2">
        <f>ff_portfolios25!E597-ff_factors!$E597</f>
        <v>-9.8662E-2</v>
      </c>
      <c r="F597" s="2">
        <f>ff_portfolios25!F597-ff_factors!$E597</f>
        <v>-8.6126000000000008E-2</v>
      </c>
      <c r="G597" s="2">
        <f>ff_portfolios25!G597-ff_factors!$E597</f>
        <v>-6.9825999999999999E-2</v>
      </c>
      <c r="H597" s="2">
        <f>ff_portfolios25!H597-ff_factors!$E597</f>
        <v>-6.2489999999999997E-2</v>
      </c>
      <c r="I597" s="2">
        <f>ff_portfolios25!I597-ff_factors!$E597</f>
        <v>-0.116802</v>
      </c>
      <c r="J597" s="2">
        <f>ff_portfolios25!J597-ff_factors!$E597</f>
        <v>-9.3395000000000006E-2</v>
      </c>
      <c r="K597" s="2">
        <f>ff_portfolios25!K597-ff_factors!$E597</f>
        <v>-6.1523000000000001E-2</v>
      </c>
      <c r="L597" s="2">
        <f>ff_portfolios25!L597-ff_factors!$E597</f>
        <v>-6.4877000000000004E-2</v>
      </c>
      <c r="M597" s="2">
        <f>ff_portfolios25!M597-ff_factors!$E597</f>
        <v>-6.9008E-2</v>
      </c>
      <c r="N597" s="2">
        <f>ff_portfolios25!N597-ff_factors!$E597</f>
        <v>-9.8743000000000011E-2</v>
      </c>
      <c r="O597" s="2">
        <f>ff_portfolios25!O597-ff_factors!$E597</f>
        <v>-7.2988999999999998E-2</v>
      </c>
      <c r="P597" s="2">
        <f>ff_portfolios25!P597-ff_factors!$E597</f>
        <v>-6.7895999999999998E-2</v>
      </c>
      <c r="Q597" s="2">
        <f>ff_portfolios25!Q597-ff_factors!$E597</f>
        <v>-6.8947000000000008E-2</v>
      </c>
      <c r="R597" s="2">
        <f>ff_portfolios25!R597-ff_factors!$E597</f>
        <v>-4.6807999999999995E-2</v>
      </c>
      <c r="S597" s="2">
        <f>ff_portfolios25!S597-ff_factors!$E597</f>
        <v>-8.1407000000000007E-2</v>
      </c>
      <c r="T597" s="2">
        <f>ff_portfolios25!T597-ff_factors!$E597</f>
        <v>-7.4583999999999998E-2</v>
      </c>
      <c r="U597" s="2">
        <f>ff_portfolios25!U597-ff_factors!$E597</f>
        <v>-5.1159999999999997E-2</v>
      </c>
      <c r="V597" s="2">
        <f>ff_portfolios25!V597-ff_factors!$E597</f>
        <v>-6.5751000000000004E-2</v>
      </c>
      <c r="W597" s="2">
        <f>ff_portfolios25!W597-ff_factors!$E597</f>
        <v>-4.5075999999999998E-2</v>
      </c>
      <c r="X597" s="2">
        <f>ff_portfolios25!X597-ff_factors!$E597</f>
        <v>-7.4233000000000007E-2</v>
      </c>
      <c r="Y597" s="2">
        <f>ff_portfolios25!Y597-ff_factors!$E597</f>
        <v>-7.9802000000000012E-2</v>
      </c>
      <c r="Z597" s="2">
        <f>ff_portfolios25!Z597-ff_factors!$E597</f>
        <v>-6.9790000000000005E-2</v>
      </c>
      <c r="AA597" s="2">
        <f>ff_portfolios25!AA597-ff_factors!$E597</f>
        <v>-6.4877000000000004E-2</v>
      </c>
      <c r="AB597" s="2">
        <f>ff_portfolios25!AB597-ff_factors!$E597</f>
        <v>-1.6726999999999999E-2</v>
      </c>
    </row>
    <row r="598" spans="1:28" x14ac:dyDescent="0.2">
      <c r="A598">
        <v>19810930</v>
      </c>
      <c r="B598">
        <v>1981</v>
      </c>
      <c r="C598">
        <v>9</v>
      </c>
      <c r="D598" s="2">
        <f>ff_portfolios25!D598-ff_factors!$E598</f>
        <v>-0.14758599999999999</v>
      </c>
      <c r="E598" s="2">
        <f>ff_portfolios25!E598-ff_factors!$E598</f>
        <v>-9.6228999999999995E-2</v>
      </c>
      <c r="F598" s="2">
        <f>ff_portfolios25!F598-ff_factors!$E598</f>
        <v>-8.659E-2</v>
      </c>
      <c r="G598" s="2">
        <f>ff_portfolios25!G598-ff_factors!$E598</f>
        <v>-7.7091999999999994E-2</v>
      </c>
      <c r="H598" s="2">
        <f>ff_portfolios25!H598-ff_factors!$E598</f>
        <v>-7.5511999999999996E-2</v>
      </c>
      <c r="I598" s="2">
        <f>ff_portfolios25!I598-ff_factors!$E598</f>
        <v>-0.114671</v>
      </c>
      <c r="J598" s="2">
        <f>ff_portfolios25!J598-ff_factors!$E598</f>
        <v>-8.1345000000000001E-2</v>
      </c>
      <c r="K598" s="2">
        <f>ff_portfolios25!K598-ff_factors!$E598</f>
        <v>-7.6474999999999987E-2</v>
      </c>
      <c r="L598" s="2">
        <f>ff_portfolios25!L598-ff_factors!$E598</f>
        <v>-4.3735000000000003E-2</v>
      </c>
      <c r="M598" s="2">
        <f>ff_portfolios25!M598-ff_factors!$E598</f>
        <v>-6.7953E-2</v>
      </c>
      <c r="N598" s="2">
        <f>ff_portfolios25!N598-ff_factors!$E598</f>
        <v>-0.10552199999999999</v>
      </c>
      <c r="O598" s="2">
        <f>ff_portfolios25!O598-ff_factors!$E598</f>
        <v>-7.0784E-2</v>
      </c>
      <c r="P598" s="2">
        <f>ff_portfolios25!P598-ff_factors!$E598</f>
        <v>-7.2297E-2</v>
      </c>
      <c r="Q598" s="2">
        <f>ff_portfolios25!Q598-ff_factors!$E598</f>
        <v>-2.9349E-2</v>
      </c>
      <c r="R598" s="2">
        <f>ff_portfolios25!R598-ff_factors!$E598</f>
        <v>-5.1545000000000001E-2</v>
      </c>
      <c r="S598" s="2">
        <f>ff_portfolios25!S598-ff_factors!$E598</f>
        <v>-0.10542499999999999</v>
      </c>
      <c r="T598" s="2">
        <f>ff_portfolios25!T598-ff_factors!$E598</f>
        <v>-9.240799999999999E-2</v>
      </c>
      <c r="U598" s="2">
        <f>ff_portfolios25!U598-ff_factors!$E598</f>
        <v>-7.833699999999999E-2</v>
      </c>
      <c r="V598" s="2">
        <f>ff_portfolios25!V598-ff_factors!$E598</f>
        <v>-4.956E-2</v>
      </c>
      <c r="W598" s="2">
        <f>ff_portfolios25!W598-ff_factors!$E598</f>
        <v>-5.6017999999999998E-2</v>
      </c>
      <c r="X598" s="2">
        <f>ff_portfolios25!X598-ff_factors!$E598</f>
        <v>-7.6160999999999993E-2</v>
      </c>
      <c r="Y598" s="2">
        <f>ff_portfolios25!Y598-ff_factors!$E598</f>
        <v>-7.1897000000000003E-2</v>
      </c>
      <c r="Z598" s="2">
        <f>ff_portfolios25!Z598-ff_factors!$E598</f>
        <v>-7.1870000000000003E-2</v>
      </c>
      <c r="AA598" s="2">
        <f>ff_portfolios25!AA598-ff_factors!$E598</f>
        <v>-3.8048999999999999E-2</v>
      </c>
      <c r="AB598" s="2">
        <f>ff_portfolios25!AB598-ff_factors!$E598</f>
        <v>-7.6019999999999994E-3</v>
      </c>
    </row>
    <row r="599" spans="1:28" x14ac:dyDescent="0.2">
      <c r="A599">
        <v>19811030</v>
      </c>
      <c r="B599">
        <v>1981</v>
      </c>
      <c r="C599">
        <v>10</v>
      </c>
      <c r="D599" s="2">
        <f>ff_portfolios25!D599-ff_factors!$E599</f>
        <v>9.2202000000000006E-2</v>
      </c>
      <c r="E599" s="2">
        <f>ff_portfolios25!E599-ff_factors!$E599</f>
        <v>6.9222000000000006E-2</v>
      </c>
      <c r="F599" s="2">
        <f>ff_portfolios25!F599-ff_factors!$E599</f>
        <v>7.1780999999999998E-2</v>
      </c>
      <c r="G599" s="2">
        <f>ff_portfolios25!G599-ff_factors!$E599</f>
        <v>5.8012999999999995E-2</v>
      </c>
      <c r="H599" s="2">
        <f>ff_portfolios25!H599-ff_factors!$E599</f>
        <v>3.7391000000000001E-2</v>
      </c>
      <c r="I599" s="2">
        <f>ff_portfolios25!I599-ff_factors!$E599</f>
        <v>9.9344000000000002E-2</v>
      </c>
      <c r="J599" s="2">
        <f>ff_portfolios25!J599-ff_factors!$E599</f>
        <v>5.423E-2</v>
      </c>
      <c r="K599" s="2">
        <f>ff_portfolios25!K599-ff_factors!$E599</f>
        <v>5.6815000000000004E-2</v>
      </c>
      <c r="L599" s="2">
        <f>ff_portfolios25!L599-ff_factors!$E599</f>
        <v>6.3132999999999995E-2</v>
      </c>
      <c r="M599" s="2">
        <f>ff_portfolios25!M599-ff_factors!$E599</f>
        <v>4.8690999999999998E-2</v>
      </c>
      <c r="N599" s="2">
        <f>ff_portfolios25!N599-ff_factors!$E599</f>
        <v>9.7649E-2</v>
      </c>
      <c r="O599" s="2">
        <f>ff_portfolios25!O599-ff_factors!$E599</f>
        <v>3.8206999999999998E-2</v>
      </c>
      <c r="P599" s="2">
        <f>ff_portfolios25!P599-ff_factors!$E599</f>
        <v>6.0359999999999997E-2</v>
      </c>
      <c r="Q599" s="2">
        <f>ff_portfolios25!Q599-ff_factors!$E599</f>
        <v>3.8084E-2</v>
      </c>
      <c r="R599" s="2">
        <f>ff_portfolios25!R599-ff_factors!$E599</f>
        <v>3.1827000000000001E-2</v>
      </c>
      <c r="S599" s="2">
        <f>ff_portfolios25!S599-ff_factors!$E599</f>
        <v>9.0694999999999998E-2</v>
      </c>
      <c r="T599" s="2">
        <f>ff_portfolios25!T599-ff_factors!$E599</f>
        <v>6.2691999999999998E-2</v>
      </c>
      <c r="U599" s="2">
        <f>ff_portfolios25!U599-ff_factors!$E599</f>
        <v>3.8962999999999998E-2</v>
      </c>
      <c r="V599" s="2">
        <f>ff_portfolios25!V599-ff_factors!$E599</f>
        <v>2.9259E-2</v>
      </c>
      <c r="W599" s="2">
        <f>ff_portfolios25!W599-ff_factors!$E599</f>
        <v>2.4778000000000001E-2</v>
      </c>
      <c r="X599" s="2">
        <f>ff_portfolios25!X599-ff_factors!$E599</f>
        <v>6.6303000000000001E-2</v>
      </c>
      <c r="Y599" s="2">
        <f>ff_portfolios25!Y599-ff_factors!$E599</f>
        <v>6.447E-2</v>
      </c>
      <c r="Z599" s="2">
        <f>ff_portfolios25!Z599-ff_factors!$E599</f>
        <v>1.5606000000000002E-2</v>
      </c>
      <c r="AA599" s="2">
        <f>ff_portfolios25!AA599-ff_factors!$E599</f>
        <v>1.8469999999999997E-3</v>
      </c>
      <c r="AB599" s="2">
        <f>ff_portfolios25!AB599-ff_factors!$E599</f>
        <v>3.5969000000000001E-2</v>
      </c>
    </row>
    <row r="600" spans="1:28" x14ac:dyDescent="0.2">
      <c r="A600">
        <v>19811130</v>
      </c>
      <c r="B600">
        <v>1981</v>
      </c>
      <c r="C600">
        <v>11</v>
      </c>
      <c r="D600" s="2">
        <f>ff_portfolios25!D600-ff_factors!$E600</f>
        <v>-2.307E-2</v>
      </c>
      <c r="E600" s="2">
        <f>ff_portfolios25!E600-ff_factors!$E600</f>
        <v>1.2798000000000002E-2</v>
      </c>
      <c r="F600" s="2">
        <f>ff_portfolios25!F600-ff_factors!$E600</f>
        <v>2.9069999999999999E-2</v>
      </c>
      <c r="G600" s="2">
        <f>ff_portfolios25!G600-ff_factors!$E600</f>
        <v>1.5704000000000003E-2</v>
      </c>
      <c r="H600" s="2">
        <f>ff_portfolios25!H600-ff_factors!$E600</f>
        <v>3.0038000000000002E-2</v>
      </c>
      <c r="I600" s="2">
        <f>ff_portfolios25!I600-ff_factors!$E600</f>
        <v>3.9269999999999999E-3</v>
      </c>
      <c r="J600" s="2">
        <f>ff_portfolios25!J600-ff_factors!$E600</f>
        <v>4.5066999999999996E-2</v>
      </c>
      <c r="K600" s="2">
        <f>ff_portfolios25!K600-ff_factors!$E600</f>
        <v>3.5702999999999999E-2</v>
      </c>
      <c r="L600" s="2">
        <f>ff_portfolios25!L600-ff_factors!$E600</f>
        <v>4.9921E-2</v>
      </c>
      <c r="M600" s="2">
        <f>ff_portfolios25!M600-ff_factors!$E600</f>
        <v>4.5013999999999998E-2</v>
      </c>
      <c r="N600" s="2">
        <f>ff_portfolios25!N600-ff_factors!$E600</f>
        <v>-5.664999999999999E-3</v>
      </c>
      <c r="O600" s="2">
        <f>ff_portfolios25!O600-ff_factors!$E600</f>
        <v>1.6345999999999999E-2</v>
      </c>
      <c r="P600" s="2">
        <f>ff_portfolios25!P600-ff_factors!$E600</f>
        <v>3.2947999999999998E-2</v>
      </c>
      <c r="Q600" s="2">
        <f>ff_portfolios25!Q600-ff_factors!$E600</f>
        <v>1.7822999999999999E-2</v>
      </c>
      <c r="R600" s="2">
        <f>ff_portfolios25!R600-ff_factors!$E600</f>
        <v>4.2844E-2</v>
      </c>
      <c r="S600" s="2">
        <f>ff_portfolios25!S600-ff_factors!$E600</f>
        <v>2.5377999999999998E-2</v>
      </c>
      <c r="T600" s="2">
        <f>ff_portfolios25!T600-ff_factors!$E600</f>
        <v>3.6482000000000001E-2</v>
      </c>
      <c r="U600" s="2">
        <f>ff_portfolios25!U600-ff_factors!$E600</f>
        <v>1.5533E-2</v>
      </c>
      <c r="V600" s="2">
        <f>ff_portfolios25!V600-ff_factors!$E600</f>
        <v>6.1841999999999994E-2</v>
      </c>
      <c r="W600" s="2">
        <f>ff_portfolios25!W600-ff_factors!$E600</f>
        <v>3.6721999999999998E-2</v>
      </c>
      <c r="X600" s="2">
        <f>ff_portfolios25!X600-ff_factors!$E600</f>
        <v>2.5779999999999997E-2</v>
      </c>
      <c r="Y600" s="2">
        <f>ff_portfolios25!Y600-ff_factors!$E600</f>
        <v>4.6691999999999997E-2</v>
      </c>
      <c r="Z600" s="2">
        <f>ff_portfolios25!Z600-ff_factors!$E600</f>
        <v>4.2401000000000001E-2</v>
      </c>
      <c r="AA600" s="2">
        <f>ff_portfolios25!AA600-ff_factors!$E600</f>
        <v>3.1528E-2</v>
      </c>
      <c r="AB600" s="2">
        <f>ff_portfolios25!AB600-ff_factors!$E600</f>
        <v>2.6971000000000002E-2</v>
      </c>
    </row>
    <row r="601" spans="1:28" x14ac:dyDescent="0.2">
      <c r="A601">
        <v>19811231</v>
      </c>
      <c r="B601">
        <v>1981</v>
      </c>
      <c r="C601">
        <v>12</v>
      </c>
      <c r="D601" s="2">
        <f>ff_portfolios25!D601-ff_factors!$E601</f>
        <v>-4.9501999999999997E-2</v>
      </c>
      <c r="E601" s="2">
        <f>ff_portfolios25!E601-ff_factors!$E601</f>
        <v>-2.989E-2</v>
      </c>
      <c r="F601" s="2">
        <f>ff_portfolios25!F601-ff_factors!$E601</f>
        <v>-1.4522E-2</v>
      </c>
      <c r="G601" s="2">
        <f>ff_portfolios25!G601-ff_factors!$E601</f>
        <v>-1.3259999999999999E-2</v>
      </c>
      <c r="H601" s="2">
        <f>ff_portfolios25!H601-ff_factors!$E601</f>
        <v>-2.0025999999999999E-2</v>
      </c>
      <c r="I601" s="2">
        <f>ff_portfolios25!I601-ff_factors!$E601</f>
        <v>-2.5561E-2</v>
      </c>
      <c r="J601" s="2">
        <f>ff_portfolios25!J601-ff_factors!$E601</f>
        <v>-1.3311E-2</v>
      </c>
      <c r="K601" s="2">
        <f>ff_portfolios25!K601-ff_factors!$E601</f>
        <v>-2.8288999999999998E-2</v>
      </c>
      <c r="L601" s="2">
        <f>ff_portfolios25!L601-ff_factors!$E601</f>
        <v>-3.3068E-2</v>
      </c>
      <c r="M601" s="2">
        <f>ff_portfolios25!M601-ff_factors!$E601</f>
        <v>-2.4936E-2</v>
      </c>
      <c r="N601" s="2">
        <f>ff_portfolios25!N601-ff_factors!$E601</f>
        <v>-2.8605999999999999E-2</v>
      </c>
      <c r="O601" s="2">
        <f>ff_portfolios25!O601-ff_factors!$E601</f>
        <v>-2.8494999999999999E-2</v>
      </c>
      <c r="P601" s="2">
        <f>ff_portfolios25!P601-ff_factors!$E601</f>
        <v>-1.9161999999999998E-2</v>
      </c>
      <c r="Q601" s="2">
        <f>ff_portfolios25!Q601-ff_factors!$E601</f>
        <v>-2.0754000000000002E-2</v>
      </c>
      <c r="R601" s="2">
        <f>ff_portfolios25!R601-ff_factors!$E601</f>
        <v>-4.0108999999999999E-2</v>
      </c>
      <c r="S601" s="2">
        <f>ff_portfolios25!S601-ff_factors!$E601</f>
        <v>-4.1110000000000001E-2</v>
      </c>
      <c r="T601" s="2">
        <f>ff_portfolios25!T601-ff_factors!$E601</f>
        <v>-3.0587E-2</v>
      </c>
      <c r="U601" s="2">
        <f>ff_portfolios25!U601-ff_factors!$E601</f>
        <v>-2.3576E-2</v>
      </c>
      <c r="V601" s="2">
        <f>ff_portfolios25!V601-ff_factors!$E601</f>
        <v>-3.5268000000000001E-2</v>
      </c>
      <c r="W601" s="2">
        <f>ff_portfolios25!W601-ff_factors!$E601</f>
        <v>-3.2395999999999994E-2</v>
      </c>
      <c r="X601" s="2">
        <f>ff_portfolios25!X601-ff_factors!$E601</f>
        <v>-3.7964999999999999E-2</v>
      </c>
      <c r="Y601" s="2">
        <f>ff_portfolios25!Y601-ff_factors!$E601</f>
        <v>-4.2870999999999999E-2</v>
      </c>
      <c r="Z601" s="2">
        <f>ff_portfolios25!Z601-ff_factors!$E601</f>
        <v>-4.7031999999999997E-2</v>
      </c>
      <c r="AA601" s="2">
        <f>ff_portfolios25!AA601-ff_factors!$E601</f>
        <v>-2.7965E-2</v>
      </c>
      <c r="AB601" s="2">
        <f>ff_portfolios25!AB601-ff_factors!$E601</f>
        <v>-2.6644999999999999E-2</v>
      </c>
    </row>
    <row r="602" spans="1:28" x14ac:dyDescent="0.2">
      <c r="A602">
        <v>19820129</v>
      </c>
      <c r="B602">
        <v>1982</v>
      </c>
      <c r="C602">
        <v>1</v>
      </c>
      <c r="D602" s="2">
        <f>ff_portfolios25!D602-ff_factors!$E602</f>
        <v>-3.8766999999999996E-2</v>
      </c>
      <c r="E602" s="2">
        <f>ff_portfolios25!E602-ff_factors!$E602</f>
        <v>-1.3518000000000001E-2</v>
      </c>
      <c r="F602" s="2">
        <f>ff_portfolios25!F602-ff_factors!$E602</f>
        <v>-2.5061E-2</v>
      </c>
      <c r="G602" s="2">
        <f>ff_portfolios25!G602-ff_factors!$E602</f>
        <v>-2.2475000000000002E-2</v>
      </c>
      <c r="H602" s="2">
        <f>ff_portfolios25!H602-ff_factors!$E602</f>
        <v>-1.0591E-2</v>
      </c>
      <c r="I602" s="2">
        <f>ff_portfolios25!I602-ff_factors!$E602</f>
        <v>-6.3281000000000004E-2</v>
      </c>
      <c r="J602" s="2">
        <f>ff_portfolios25!J602-ff_factors!$E602</f>
        <v>-3.7309999999999996E-2</v>
      </c>
      <c r="K602" s="2">
        <f>ff_portfolios25!K602-ff_factors!$E602</f>
        <v>-5.0500000000000003E-2</v>
      </c>
      <c r="L602" s="2">
        <f>ff_portfolios25!L602-ff_factors!$E602</f>
        <v>-3.7491999999999998E-2</v>
      </c>
      <c r="M602" s="2">
        <f>ff_portfolios25!M602-ff_factors!$E602</f>
        <v>-5.5860000000000007E-3</v>
      </c>
      <c r="N602" s="2">
        <f>ff_portfolios25!N602-ff_factors!$E602</f>
        <v>-7.1114000000000011E-2</v>
      </c>
      <c r="O602" s="2">
        <f>ff_portfolios25!O602-ff_factors!$E602</f>
        <v>-4.0217999999999997E-2</v>
      </c>
      <c r="P602" s="2">
        <f>ff_portfolios25!P602-ff_factors!$E602</f>
        <v>-5.6675000000000003E-2</v>
      </c>
      <c r="Q602" s="2">
        <f>ff_portfolios25!Q602-ff_factors!$E602</f>
        <v>-3.0265E-2</v>
      </c>
      <c r="R602" s="2">
        <f>ff_portfolios25!R602-ff_factors!$E602</f>
        <v>6.2389999999999998E-3</v>
      </c>
      <c r="S602" s="2">
        <f>ff_portfolios25!S602-ff_factors!$E602</f>
        <v>-7.4076000000000003E-2</v>
      </c>
      <c r="T602" s="2">
        <f>ff_portfolios25!T602-ff_factors!$E602</f>
        <v>-5.1012000000000002E-2</v>
      </c>
      <c r="U602" s="2">
        <f>ff_portfolios25!U602-ff_factors!$E602</f>
        <v>-4.5131999999999999E-2</v>
      </c>
      <c r="V602" s="2">
        <f>ff_portfolios25!V602-ff_factors!$E602</f>
        <v>-2.2824999999999998E-2</v>
      </c>
      <c r="W602" s="2">
        <f>ff_portfolios25!W602-ff_factors!$E602</f>
        <v>-2.5062999999999998E-2</v>
      </c>
      <c r="X602" s="2">
        <f>ff_portfolios25!X602-ff_factors!$E602</f>
        <v>-1.0507000000000001E-2</v>
      </c>
      <c r="Y602" s="2">
        <f>ff_portfolios25!Y602-ff_factors!$E602</f>
        <v>-4.6524000000000003E-2</v>
      </c>
      <c r="Z602" s="2">
        <f>ff_portfolios25!Z602-ff_factors!$E602</f>
        <v>-3.3975999999999999E-2</v>
      </c>
      <c r="AA602" s="2">
        <f>ff_portfolios25!AA602-ff_factors!$E602</f>
        <v>-2.1566999999999999E-2</v>
      </c>
      <c r="AB602" s="2">
        <f>ff_portfolios25!AB602-ff_factors!$E602</f>
        <v>6.3280000000000003E-3</v>
      </c>
    </row>
    <row r="603" spans="1:28" x14ac:dyDescent="0.2">
      <c r="A603">
        <v>19820226</v>
      </c>
      <c r="B603">
        <v>1982</v>
      </c>
      <c r="C603">
        <v>2</v>
      </c>
      <c r="D603" s="2">
        <f>ff_portfolios25!D603-ff_factors!$E603</f>
        <v>-8.8049000000000002E-2</v>
      </c>
      <c r="E603" s="2">
        <f>ff_portfolios25!E603-ff_factors!$E603</f>
        <v>-5.0136E-2</v>
      </c>
      <c r="F603" s="2">
        <f>ff_portfolios25!F603-ff_factors!$E603</f>
        <v>-3.8615999999999998E-2</v>
      </c>
      <c r="G603" s="2">
        <f>ff_portfolios25!G603-ff_factors!$E603</f>
        <v>-3.6653999999999999E-2</v>
      </c>
      <c r="H603" s="2">
        <f>ff_portfolios25!H603-ff_factors!$E603</f>
        <v>-1.8258999999999997E-2</v>
      </c>
      <c r="I603" s="2">
        <f>ff_portfolios25!I603-ff_factors!$E603</f>
        <v>-8.2791000000000003E-2</v>
      </c>
      <c r="J603" s="2">
        <f>ff_portfolios25!J603-ff_factors!$E603</f>
        <v>-5.3310999999999997E-2</v>
      </c>
      <c r="K603" s="2">
        <f>ff_portfolios25!K603-ff_factors!$E603</f>
        <v>-5.1935000000000002E-2</v>
      </c>
      <c r="L603" s="2">
        <f>ff_portfolios25!L603-ff_factors!$E603</f>
        <v>-1.8928E-2</v>
      </c>
      <c r="M603" s="2">
        <f>ff_portfolios25!M603-ff_factors!$E603</f>
        <v>-1.4190999999999999E-2</v>
      </c>
      <c r="N603" s="2">
        <f>ff_portfolios25!N603-ff_factors!$E603</f>
        <v>-8.9843999999999993E-2</v>
      </c>
      <c r="O603" s="2">
        <f>ff_portfolios25!O603-ff_factors!$E603</f>
        <v>-3.3628999999999999E-2</v>
      </c>
      <c r="P603" s="2">
        <f>ff_portfolios25!P603-ff_factors!$E603</f>
        <v>-2.4086E-2</v>
      </c>
      <c r="Q603" s="2">
        <f>ff_portfolios25!Q603-ff_factors!$E603</f>
        <v>-4.045E-2</v>
      </c>
      <c r="R603" s="2">
        <f>ff_portfolios25!R603-ff_factors!$E603</f>
        <v>-4.7920000000000003E-3</v>
      </c>
      <c r="S603" s="2">
        <f>ff_portfolios25!S603-ff_factors!$E603</f>
        <v>-7.8136999999999998E-2</v>
      </c>
      <c r="T603" s="2">
        <f>ff_portfolios25!T603-ff_factors!$E603</f>
        <v>-7.4201000000000003E-2</v>
      </c>
      <c r="U603" s="2">
        <f>ff_portfolios25!U603-ff_factors!$E603</f>
        <v>-4.2365E-2</v>
      </c>
      <c r="V603" s="2">
        <f>ff_portfolios25!V603-ff_factors!$E603</f>
        <v>-1.0964E-2</v>
      </c>
      <c r="W603" s="2">
        <f>ff_portfolios25!W603-ff_factors!$E603</f>
        <v>-2.2259999999999997E-3</v>
      </c>
      <c r="X603" s="2">
        <f>ff_portfolios25!X603-ff_factors!$E603</f>
        <v>-8.3432999999999993E-2</v>
      </c>
      <c r="Y603" s="2">
        <f>ff_portfolios25!Y603-ff_factors!$E603</f>
        <v>-8.2850999999999994E-2</v>
      </c>
      <c r="Z603" s="2">
        <f>ff_portfolios25!Z603-ff_factors!$E603</f>
        <v>-3.5671999999999995E-2</v>
      </c>
      <c r="AA603" s="2">
        <f>ff_portfolios25!AA603-ff_factors!$E603</f>
        <v>-2.1044E-2</v>
      </c>
      <c r="AB603" s="2">
        <f>ff_portfolios25!AB603-ff_factors!$E603</f>
        <v>-4.8396000000000002E-2</v>
      </c>
    </row>
    <row r="604" spans="1:28" x14ac:dyDescent="0.2">
      <c r="A604">
        <v>19820331</v>
      </c>
      <c r="B604">
        <v>1982</v>
      </c>
      <c r="C604">
        <v>3</v>
      </c>
      <c r="D604" s="2">
        <f>ff_portfolios25!D604-ff_factors!$E604</f>
        <v>-2.9278999999999999E-2</v>
      </c>
      <c r="E604" s="2">
        <f>ff_portfolios25!E604-ff_factors!$E604</f>
        <v>-1.3465999999999999E-2</v>
      </c>
      <c r="F604" s="2">
        <f>ff_portfolios25!F604-ff_factors!$E604</f>
        <v>-2.1975000000000001E-2</v>
      </c>
      <c r="G604" s="2">
        <f>ff_portfolios25!G604-ff_factors!$E604</f>
        <v>-1.2663000000000001E-2</v>
      </c>
      <c r="H604" s="2">
        <f>ff_portfolios25!H604-ff_factors!$E604</f>
        <v>-8.5369999999999994E-3</v>
      </c>
      <c r="I604" s="2">
        <f>ff_portfolios25!I604-ff_factors!$E604</f>
        <v>-4.6719999999999998E-2</v>
      </c>
      <c r="J604" s="2">
        <f>ff_portfolios25!J604-ff_factors!$E604</f>
        <v>-9.3130000000000001E-3</v>
      </c>
      <c r="K604" s="2">
        <f>ff_portfolios25!K604-ff_factors!$E604</f>
        <v>-2.1548999999999999E-2</v>
      </c>
      <c r="L604" s="2">
        <f>ff_portfolios25!L604-ff_factors!$E604</f>
        <v>7.6610000000000011E-3</v>
      </c>
      <c r="M604" s="2">
        <f>ff_portfolios25!M604-ff_factors!$E604</f>
        <v>8.7190000000000011E-3</v>
      </c>
      <c r="N604" s="2">
        <f>ff_portfolios25!N604-ff_factors!$E604</f>
        <v>-3.3211999999999998E-2</v>
      </c>
      <c r="O604" s="2">
        <f>ff_portfolios25!O604-ff_factors!$E604</f>
        <v>-1.1538E-2</v>
      </c>
      <c r="P604" s="2">
        <f>ff_portfolios25!P604-ff_factors!$E604</f>
        <v>3.1110000000000009E-3</v>
      </c>
      <c r="Q604" s="2">
        <f>ff_portfolios25!Q604-ff_factors!$E604</f>
        <v>-1.3328E-2</v>
      </c>
      <c r="R604" s="2">
        <f>ff_portfolios25!R604-ff_factors!$E604</f>
        <v>1.8719E-2</v>
      </c>
      <c r="S604" s="2">
        <f>ff_portfolios25!S604-ff_factors!$E604</f>
        <v>-4.0107000000000004E-2</v>
      </c>
      <c r="T604" s="2">
        <f>ff_portfolios25!T604-ff_factors!$E604</f>
        <v>-2.4426999999999997E-2</v>
      </c>
      <c r="U604" s="2">
        <f>ff_portfolios25!U604-ff_factors!$E604</f>
        <v>-1.2404E-2</v>
      </c>
      <c r="V604" s="2">
        <f>ff_portfolios25!V604-ff_factors!$E604</f>
        <v>-8.5789999999999998E-3</v>
      </c>
      <c r="W604" s="2">
        <f>ff_portfolios25!W604-ff_factors!$E604</f>
        <v>7.1400000000000109E-4</v>
      </c>
      <c r="X604" s="2">
        <f>ff_portfolios25!X604-ff_factors!$E604</f>
        <v>-4.4756000000000004E-2</v>
      </c>
      <c r="Y604" s="2">
        <f>ff_portfolios25!Y604-ff_factors!$E604</f>
        <v>-5.3920000000000001E-3</v>
      </c>
      <c r="Z604" s="2">
        <f>ff_portfolios25!Z604-ff_factors!$E604</f>
        <v>-2.4577999999999999E-2</v>
      </c>
      <c r="AA604" s="2">
        <f>ff_portfolios25!AA604-ff_factors!$E604</f>
        <v>1.7010000000000001E-2</v>
      </c>
      <c r="AB604" s="2">
        <f>ff_portfolios25!AB604-ff_factors!$E604</f>
        <v>1.056E-2</v>
      </c>
    </row>
    <row r="605" spans="1:28" x14ac:dyDescent="0.2">
      <c r="A605">
        <v>19820430</v>
      </c>
      <c r="B605">
        <v>1982</v>
      </c>
      <c r="C605">
        <v>4</v>
      </c>
      <c r="D605" s="2">
        <f>ff_portfolios25!D605-ff_factors!$E605</f>
        <v>5.3559000000000002E-2</v>
      </c>
      <c r="E605" s="2">
        <f>ff_portfolios25!E605-ff_factors!$E605</f>
        <v>5.1240000000000001E-2</v>
      </c>
      <c r="F605" s="2">
        <f>ff_portfolios25!F605-ff_factors!$E605</f>
        <v>3.8993E-2</v>
      </c>
      <c r="G605" s="2">
        <f>ff_portfolios25!G605-ff_factors!$E605</f>
        <v>3.9070000000000001E-2</v>
      </c>
      <c r="H605" s="2">
        <f>ff_portfolios25!H605-ff_factors!$E605</f>
        <v>3.3906000000000006E-2</v>
      </c>
      <c r="I605" s="2">
        <f>ff_portfolios25!I605-ff_factors!$E605</f>
        <v>5.5755000000000006E-2</v>
      </c>
      <c r="J605" s="2">
        <f>ff_portfolios25!J605-ff_factors!$E605</f>
        <v>5.8125000000000003E-2</v>
      </c>
      <c r="K605" s="2">
        <f>ff_portfolios25!K605-ff_factors!$E605</f>
        <v>4.5509000000000001E-2</v>
      </c>
      <c r="L605" s="2">
        <f>ff_portfolios25!L605-ff_factors!$E605</f>
        <v>3.2645E-2</v>
      </c>
      <c r="M605" s="2">
        <f>ff_portfolios25!M605-ff_factors!$E605</f>
        <v>3.0659000000000006E-2</v>
      </c>
      <c r="N605" s="2">
        <f>ff_portfolios25!N605-ff_factors!$E605</f>
        <v>5.1702000000000005E-2</v>
      </c>
      <c r="O605" s="2">
        <f>ff_portfolios25!O605-ff_factors!$E605</f>
        <v>4.6338000000000004E-2</v>
      </c>
      <c r="P605" s="2">
        <f>ff_portfolios25!P605-ff_factors!$E605</f>
        <v>3.3822000000000005E-2</v>
      </c>
      <c r="Q605" s="2">
        <f>ff_portfolios25!Q605-ff_factors!$E605</f>
        <v>3.8788000000000003E-2</v>
      </c>
      <c r="R605" s="2">
        <f>ff_portfolios25!R605-ff_factors!$E605</f>
        <v>3.7146000000000005E-2</v>
      </c>
      <c r="S605" s="2">
        <f>ff_portfolios25!S605-ff_factors!$E605</f>
        <v>4.9385000000000005E-2</v>
      </c>
      <c r="T605" s="2">
        <f>ff_portfolios25!T605-ff_factors!$E605</f>
        <v>3.8537000000000002E-2</v>
      </c>
      <c r="U605" s="2">
        <f>ff_portfolios25!U605-ff_factors!$E605</f>
        <v>3.3745000000000004E-2</v>
      </c>
      <c r="V605" s="2">
        <f>ff_portfolios25!V605-ff_factors!$E605</f>
        <v>2.6713000000000001E-2</v>
      </c>
      <c r="W605" s="2">
        <f>ff_portfolios25!W605-ff_factors!$E605</f>
        <v>3.8931E-2</v>
      </c>
      <c r="X605" s="2">
        <f>ff_portfolios25!X605-ff_factors!$E605</f>
        <v>5.5092999999999996E-2</v>
      </c>
      <c r="Y605" s="2">
        <f>ff_portfolios25!Y605-ff_factors!$E605</f>
        <v>2.7977000000000002E-2</v>
      </c>
      <c r="Z605" s="2">
        <f>ff_portfolios25!Z605-ff_factors!$E605</f>
        <v>1.5814000000000002E-2</v>
      </c>
      <c r="AA605" s="2">
        <f>ff_portfolios25!AA605-ff_factors!$E605</f>
        <v>2.3041000000000006E-2</v>
      </c>
      <c r="AB605" s="2">
        <f>ff_portfolios25!AB605-ff_factors!$E605</f>
        <v>-5.8369999999999993E-3</v>
      </c>
    </row>
    <row r="606" spans="1:28" x14ac:dyDescent="0.2">
      <c r="A606">
        <v>19820528</v>
      </c>
      <c r="B606">
        <v>1982</v>
      </c>
      <c r="C606">
        <v>5</v>
      </c>
      <c r="D606" s="2">
        <f>ff_portfolios25!D606-ff_factors!$E606</f>
        <v>-4.2196999999999998E-2</v>
      </c>
      <c r="E606" s="2">
        <f>ff_portfolios25!E606-ff_factors!$E606</f>
        <v>-2.7319999999999997E-2</v>
      </c>
      <c r="F606" s="2">
        <f>ff_portfolios25!F606-ff_factors!$E606</f>
        <v>-1.0518E-2</v>
      </c>
      <c r="G606" s="2">
        <f>ff_portfolios25!G606-ff_factors!$E606</f>
        <v>-1.9153E-2</v>
      </c>
      <c r="H606" s="2">
        <f>ff_portfolios25!H606-ff_factors!$E606</f>
        <v>-1.7683000000000001E-2</v>
      </c>
      <c r="I606" s="2">
        <f>ff_portfolios25!I606-ff_factors!$E606</f>
        <v>-5.0172000000000001E-2</v>
      </c>
      <c r="J606" s="2">
        <f>ff_portfolios25!J606-ff_factors!$E606</f>
        <v>-5.0487999999999998E-2</v>
      </c>
      <c r="K606" s="2">
        <f>ff_portfolios25!K606-ff_factors!$E606</f>
        <v>-3.7385000000000002E-2</v>
      </c>
      <c r="L606" s="2">
        <f>ff_portfolios25!L606-ff_factors!$E606</f>
        <v>-2.9831999999999997E-2</v>
      </c>
      <c r="M606" s="2">
        <f>ff_portfolios25!M606-ff_factors!$E606</f>
        <v>-3.0470999999999998E-2</v>
      </c>
      <c r="N606" s="2">
        <f>ff_portfolios25!N606-ff_factors!$E606</f>
        <v>-4.6130999999999998E-2</v>
      </c>
      <c r="O606" s="2">
        <f>ff_portfolios25!O606-ff_factors!$E606</f>
        <v>-3.1378999999999997E-2</v>
      </c>
      <c r="P606" s="2">
        <f>ff_portfolios25!P606-ff_factors!$E606</f>
        <v>-4.3388999999999997E-2</v>
      </c>
      <c r="Q606" s="2">
        <f>ff_portfolios25!Q606-ff_factors!$E606</f>
        <v>-2.3094E-2</v>
      </c>
      <c r="R606" s="2">
        <f>ff_portfolios25!R606-ff_factors!$E606</f>
        <v>-2.2102999999999998E-2</v>
      </c>
      <c r="S606" s="2">
        <f>ff_portfolios25!S606-ff_factors!$E606</f>
        <v>-5.8541999999999997E-2</v>
      </c>
      <c r="T606" s="2">
        <f>ff_portfolios25!T606-ff_factors!$E606</f>
        <v>-5.4137999999999999E-2</v>
      </c>
      <c r="U606" s="2">
        <f>ff_portfolios25!U606-ff_factors!$E606</f>
        <v>-4.7518999999999999E-2</v>
      </c>
      <c r="V606" s="2">
        <f>ff_portfolios25!V606-ff_factors!$E606</f>
        <v>-5.1893000000000002E-2</v>
      </c>
      <c r="W606" s="2">
        <f>ff_portfolios25!W606-ff_factors!$E606</f>
        <v>-3.8362E-2</v>
      </c>
      <c r="X606" s="2">
        <f>ff_portfolios25!X606-ff_factors!$E606</f>
        <v>-5.0852000000000001E-2</v>
      </c>
      <c r="Y606" s="2">
        <f>ff_portfolios25!Y606-ff_factors!$E606</f>
        <v>-2.8310000000000002E-2</v>
      </c>
      <c r="Z606" s="2">
        <f>ff_portfolios25!Z606-ff_factors!$E606</f>
        <v>-2.9192000000000003E-2</v>
      </c>
      <c r="AA606" s="2">
        <f>ff_portfolios25!AA606-ff_factors!$E606</f>
        <v>-4.002E-2</v>
      </c>
      <c r="AB606" s="2">
        <f>ff_portfolios25!AB606-ff_factors!$E606</f>
        <v>-2.3179999999999999E-2</v>
      </c>
    </row>
    <row r="607" spans="1:28" x14ac:dyDescent="0.2">
      <c r="A607">
        <v>19820630</v>
      </c>
      <c r="B607">
        <v>1982</v>
      </c>
      <c r="C607">
        <v>6</v>
      </c>
      <c r="D607" s="2">
        <f>ff_portfolios25!D607-ff_factors!$E607</f>
        <v>-5.3970999999999998E-2</v>
      </c>
      <c r="E607" s="2">
        <f>ff_portfolios25!E607-ff_factors!$E607</f>
        <v>-3.9831999999999999E-2</v>
      </c>
      <c r="F607" s="2">
        <f>ff_portfolios25!F607-ff_factors!$E607</f>
        <v>-3.5345000000000001E-2</v>
      </c>
      <c r="G607" s="2">
        <f>ff_portfolios25!G607-ff_factors!$E607</f>
        <v>-2.1513999999999998E-2</v>
      </c>
      <c r="H607" s="2">
        <f>ff_portfolios25!H607-ff_factors!$E607</f>
        <v>-2.2129999999999997E-2</v>
      </c>
      <c r="I607" s="2">
        <f>ff_portfolios25!I607-ff_factors!$E607</f>
        <v>-5.1324999999999996E-2</v>
      </c>
      <c r="J607" s="2">
        <f>ff_portfolios25!J607-ff_factors!$E607</f>
        <v>-2.2889E-2</v>
      </c>
      <c r="K607" s="2">
        <f>ff_portfolios25!K607-ff_factors!$E607</f>
        <v>-2.4660000000000001E-2</v>
      </c>
      <c r="L607" s="2">
        <f>ff_portfolios25!L607-ff_factors!$E607</f>
        <v>-1.4852999999999998E-2</v>
      </c>
      <c r="M607" s="2">
        <f>ff_portfolios25!M607-ff_factors!$E607</f>
        <v>-2.2454999999999999E-2</v>
      </c>
      <c r="N607" s="2">
        <f>ff_portfolios25!N607-ff_factors!$E607</f>
        <v>-5.0622999999999994E-2</v>
      </c>
      <c r="O607" s="2">
        <f>ff_portfolios25!O607-ff_factors!$E607</f>
        <v>-1.5380999999999999E-2</v>
      </c>
      <c r="P607" s="2">
        <f>ff_portfolios25!P607-ff_factors!$E607</f>
        <v>-1.4536E-2</v>
      </c>
      <c r="Q607" s="2">
        <f>ff_portfolios25!Q607-ff_factors!$E607</f>
        <v>-3.0807000000000001E-2</v>
      </c>
      <c r="R607" s="2">
        <f>ff_portfolios25!R607-ff_factors!$E607</f>
        <v>-2.8666999999999998E-2</v>
      </c>
      <c r="S607" s="2">
        <f>ff_portfolios25!S607-ff_factors!$E607</f>
        <v>-5.4413999999999997E-2</v>
      </c>
      <c r="T607" s="2">
        <f>ff_portfolios25!T607-ff_factors!$E607</f>
        <v>-4.0668999999999997E-2</v>
      </c>
      <c r="U607" s="2">
        <f>ff_portfolios25!U607-ff_factors!$E607</f>
        <v>-1.7316999999999999E-2</v>
      </c>
      <c r="V607" s="2">
        <f>ff_portfolios25!V607-ff_factors!$E607</f>
        <v>-2.2296999999999997E-2</v>
      </c>
      <c r="W607" s="2">
        <f>ff_portfolios25!W607-ff_factors!$E607</f>
        <v>-4.5489999999999992E-3</v>
      </c>
      <c r="X607" s="2">
        <f>ff_portfolios25!X607-ff_factors!$E607</f>
        <v>-3.8119E-2</v>
      </c>
      <c r="Y607" s="2">
        <f>ff_portfolios25!Y607-ff_factors!$E607</f>
        <v>-2.0379000000000001E-2</v>
      </c>
      <c r="Z607" s="2">
        <f>ff_portfolios25!Z607-ff_factors!$E607</f>
        <v>-1.5823E-2</v>
      </c>
      <c r="AA607" s="2">
        <f>ff_portfolios25!AA607-ff_factors!$E607</f>
        <v>-2.7982E-2</v>
      </c>
      <c r="AB607" s="2">
        <f>ff_portfolios25!AB607-ff_factors!$E607</f>
        <v>-3.8374999999999999E-2</v>
      </c>
    </row>
    <row r="608" spans="1:28" x14ac:dyDescent="0.2">
      <c r="A608">
        <v>19820730</v>
      </c>
      <c r="B608">
        <v>1982</v>
      </c>
      <c r="C608">
        <v>7</v>
      </c>
      <c r="D608" s="2">
        <f>ff_portfolios25!D608-ff_factors!$E608</f>
        <v>-4.8691000000000005E-2</v>
      </c>
      <c r="E608" s="2">
        <f>ff_portfolios25!E608-ff_factors!$E608</f>
        <v>-3.5436000000000002E-2</v>
      </c>
      <c r="F608" s="2">
        <f>ff_portfolios25!F608-ff_factors!$E608</f>
        <v>-7.3220000000000004E-3</v>
      </c>
      <c r="G608" s="2">
        <f>ff_portfolios25!G608-ff_factors!$E608</f>
        <v>-1.8185E-2</v>
      </c>
      <c r="H608" s="2">
        <f>ff_portfolios25!H608-ff_factors!$E608</f>
        <v>-1.4746E-2</v>
      </c>
      <c r="I608" s="2">
        <f>ff_portfolios25!I608-ff_factors!$E608</f>
        <v>-4.3333000000000003E-2</v>
      </c>
      <c r="J608" s="2">
        <f>ff_portfolios25!J608-ff_factors!$E608</f>
        <v>2.475999999999999E-3</v>
      </c>
      <c r="K608" s="2">
        <f>ff_portfolios25!K608-ff_factors!$E608</f>
        <v>-1.4157000000000001E-2</v>
      </c>
      <c r="L608" s="2">
        <f>ff_portfolios25!L608-ff_factors!$E608</f>
        <v>-1.2467000000000001E-2</v>
      </c>
      <c r="M608" s="2">
        <f>ff_portfolios25!M608-ff_factors!$E608</f>
        <v>-2.1135000000000001E-2</v>
      </c>
      <c r="N608" s="2">
        <f>ff_portfolios25!N608-ff_factors!$E608</f>
        <v>-2.9002E-2</v>
      </c>
      <c r="O608" s="2">
        <f>ff_portfolios25!O608-ff_factors!$E608</f>
        <v>-1.5786000000000001E-2</v>
      </c>
      <c r="P608" s="2">
        <f>ff_portfolios25!P608-ff_factors!$E608</f>
        <v>-3.4035000000000003E-2</v>
      </c>
      <c r="Q608" s="2">
        <f>ff_portfolios25!Q608-ff_factors!$E608</f>
        <v>-4.4702000000000006E-2</v>
      </c>
      <c r="R608" s="2">
        <f>ff_portfolios25!R608-ff_factors!$E608</f>
        <v>-2.5332E-2</v>
      </c>
      <c r="S608" s="2">
        <f>ff_portfolios25!S608-ff_factors!$E608</f>
        <v>-2.4256E-2</v>
      </c>
      <c r="T608" s="2">
        <f>ff_portfolios25!T608-ff_factors!$E608</f>
        <v>-5.1245000000000006E-2</v>
      </c>
      <c r="U608" s="2">
        <f>ff_portfolios25!U608-ff_factors!$E608</f>
        <v>-3.9813000000000001E-2</v>
      </c>
      <c r="V608" s="2">
        <f>ff_portfolios25!V608-ff_factors!$E608</f>
        <v>-4.3897000000000005E-2</v>
      </c>
      <c r="W608" s="2">
        <f>ff_portfolios25!W608-ff_factors!$E608</f>
        <v>-3.8608999999999997E-2</v>
      </c>
      <c r="X608" s="2">
        <f>ff_portfolios25!X608-ff_factors!$E608</f>
        <v>-4.1410000000000006E-3</v>
      </c>
      <c r="Y608" s="2">
        <f>ff_portfolios25!Y608-ff_factors!$E608</f>
        <v>-4.8163000000000004E-2</v>
      </c>
      <c r="Z608" s="2">
        <f>ff_portfolios25!Z608-ff_factors!$E608</f>
        <v>-5.4870000000000002E-2</v>
      </c>
      <c r="AA608" s="2">
        <f>ff_portfolios25!AA608-ff_factors!$E608</f>
        <v>-3.0419000000000002E-2</v>
      </c>
      <c r="AB608" s="2">
        <f>ff_portfolios25!AB608-ff_factors!$E608</f>
        <v>-2.8792999999999999E-2</v>
      </c>
    </row>
    <row r="609" spans="1:28" x14ac:dyDescent="0.2">
      <c r="A609">
        <v>19820831</v>
      </c>
      <c r="B609">
        <v>1982</v>
      </c>
      <c r="C609">
        <v>8</v>
      </c>
      <c r="D609" s="2">
        <f>ff_portfolios25!D609-ff_factors!$E609</f>
        <v>4.1270999999999995E-2</v>
      </c>
      <c r="E609" s="2">
        <f>ff_portfolios25!E609-ff_factors!$E609</f>
        <v>6.3478000000000007E-2</v>
      </c>
      <c r="F609" s="2">
        <f>ff_portfolios25!F609-ff_factors!$E609</f>
        <v>6.0373000000000003E-2</v>
      </c>
      <c r="G609" s="2">
        <f>ff_portfolios25!G609-ff_factors!$E609</f>
        <v>4.3520999999999997E-2</v>
      </c>
      <c r="H609" s="2">
        <f>ff_portfolios25!H609-ff_factors!$E609</f>
        <v>4.8878999999999999E-2</v>
      </c>
      <c r="I609" s="2">
        <f>ff_portfolios25!I609-ff_factors!$E609</f>
        <v>7.141900000000001E-2</v>
      </c>
      <c r="J609" s="2">
        <f>ff_portfolios25!J609-ff_factors!$E609</f>
        <v>7.7396000000000006E-2</v>
      </c>
      <c r="K609" s="2">
        <f>ff_portfolios25!K609-ff_factors!$E609</f>
        <v>9.2137999999999998E-2</v>
      </c>
      <c r="L609" s="2">
        <f>ff_portfolios25!L609-ff_factors!$E609</f>
        <v>7.1933999999999998E-2</v>
      </c>
      <c r="M609" s="2">
        <f>ff_portfolios25!M609-ff_factors!$E609</f>
        <v>7.6753000000000002E-2</v>
      </c>
      <c r="N609" s="2">
        <f>ff_portfolios25!N609-ff_factors!$E609</f>
        <v>0.100774</v>
      </c>
      <c r="O609" s="2">
        <f>ff_portfolios25!O609-ff_factors!$E609</f>
        <v>0.105005</v>
      </c>
      <c r="P609" s="2">
        <f>ff_portfolios25!P609-ff_factors!$E609</f>
        <v>0.107944</v>
      </c>
      <c r="Q609" s="2">
        <f>ff_portfolios25!Q609-ff_factors!$E609</f>
        <v>0.10620400000000001</v>
      </c>
      <c r="R609" s="2">
        <f>ff_portfolios25!R609-ff_factors!$E609</f>
        <v>9.9968000000000001E-2</v>
      </c>
      <c r="S609" s="2">
        <f>ff_portfolios25!S609-ff_factors!$E609</f>
        <v>0.11334000000000001</v>
      </c>
      <c r="T609" s="2">
        <f>ff_portfolios25!T609-ff_factors!$E609</f>
        <v>0.120892</v>
      </c>
      <c r="U609" s="2">
        <f>ff_portfolios25!U609-ff_factors!$E609</f>
        <v>9.7916000000000003E-2</v>
      </c>
      <c r="V609" s="2">
        <f>ff_portfolios25!V609-ff_factors!$E609</f>
        <v>0.11751300000000001</v>
      </c>
      <c r="W609" s="2">
        <f>ff_portfolios25!W609-ff_factors!$E609</f>
        <v>0.132489</v>
      </c>
      <c r="X609" s="2">
        <f>ff_portfolios25!X609-ff_factors!$E609</f>
        <v>0.104824</v>
      </c>
      <c r="Y609" s="2">
        <f>ff_portfolios25!Y609-ff_factors!$E609</f>
        <v>0.110861</v>
      </c>
      <c r="Z609" s="2">
        <f>ff_portfolios25!Z609-ff_factors!$E609</f>
        <v>0.12245900000000001</v>
      </c>
      <c r="AA609" s="2">
        <f>ff_portfolios25!AA609-ff_factors!$E609</f>
        <v>0.13015699999999999</v>
      </c>
      <c r="AB609" s="2">
        <f>ff_portfolios25!AB609-ff_factors!$E609</f>
        <v>0.117024</v>
      </c>
    </row>
    <row r="610" spans="1:28" x14ac:dyDescent="0.2">
      <c r="A610">
        <v>19820930</v>
      </c>
      <c r="B610">
        <v>1982</v>
      </c>
      <c r="C610">
        <v>9</v>
      </c>
      <c r="D610" s="2">
        <f>ff_portfolios25!D610-ff_factors!$E610</f>
        <v>1.7121000000000001E-2</v>
      </c>
      <c r="E610" s="2">
        <f>ff_portfolios25!E610-ff_factors!$E610</f>
        <v>2.051E-2</v>
      </c>
      <c r="F610" s="2">
        <f>ff_portfolios25!F610-ff_factors!$E610</f>
        <v>5.1861999999999998E-2</v>
      </c>
      <c r="G610" s="2">
        <f>ff_portfolios25!G610-ff_factors!$E610</f>
        <v>3.3536999999999997E-2</v>
      </c>
      <c r="H610" s="2">
        <f>ff_portfolios25!H610-ff_factors!$E610</f>
        <v>3.8436999999999999E-2</v>
      </c>
      <c r="I610" s="2">
        <f>ff_portfolios25!I610-ff_factors!$E610</f>
        <v>2.1493999999999999E-2</v>
      </c>
      <c r="J610" s="2">
        <f>ff_portfolios25!J610-ff_factors!$E610</f>
        <v>1.8456E-2</v>
      </c>
      <c r="K610" s="2">
        <f>ff_portfolios25!K610-ff_factors!$E610</f>
        <v>4.5053000000000003E-2</v>
      </c>
      <c r="L610" s="2">
        <f>ff_portfolios25!L610-ff_factors!$E610</f>
        <v>5.0535999999999998E-2</v>
      </c>
      <c r="M610" s="2">
        <f>ff_portfolios25!M610-ff_factors!$E610</f>
        <v>5.2599E-2</v>
      </c>
      <c r="N610" s="2">
        <f>ff_portfolios25!N610-ff_factors!$E610</f>
        <v>2.6555999999999996E-2</v>
      </c>
      <c r="O610" s="2">
        <f>ff_portfolios25!O610-ff_factors!$E610</f>
        <v>5.0354000000000003E-2</v>
      </c>
      <c r="P610" s="2">
        <f>ff_portfolios25!P610-ff_factors!$E610</f>
        <v>3.8224000000000001E-2</v>
      </c>
      <c r="Q610" s="2">
        <f>ff_portfolios25!Q610-ff_factors!$E610</f>
        <v>3.5594000000000001E-2</v>
      </c>
      <c r="R610" s="2">
        <f>ff_portfolios25!R610-ff_factors!$E610</f>
        <v>1.7458999999999999E-2</v>
      </c>
      <c r="S610" s="2">
        <f>ff_portfolios25!S610-ff_factors!$E610</f>
        <v>2.2272E-2</v>
      </c>
      <c r="T610" s="2">
        <f>ff_portfolios25!T610-ff_factors!$E610</f>
        <v>1.6913000000000001E-2</v>
      </c>
      <c r="U610" s="2">
        <f>ff_portfolios25!U610-ff_factors!$E610</f>
        <v>7.1489999999999998E-2</v>
      </c>
      <c r="V610" s="2">
        <f>ff_portfolios25!V610-ff_factors!$E610</f>
        <v>2.2022E-2</v>
      </c>
      <c r="W610" s="2">
        <f>ff_portfolios25!W610-ff_factors!$E610</f>
        <v>-5.3770000000000007E-3</v>
      </c>
      <c r="X610" s="2">
        <f>ff_portfolios25!X610-ff_factors!$E610</f>
        <v>1.1667E-2</v>
      </c>
      <c r="Y610" s="2">
        <f>ff_portfolios25!Y610-ff_factors!$E610</f>
        <v>1.5303000000000001E-2</v>
      </c>
      <c r="Z610" s="2">
        <f>ff_portfolios25!Z610-ff_factors!$E610</f>
        <v>6.8209999999999989E-3</v>
      </c>
      <c r="AA610" s="2">
        <f>ff_portfolios25!AA610-ff_factors!$E610</f>
        <v>-6.4159999999999998E-3</v>
      </c>
      <c r="AB610" s="2">
        <f>ff_portfolios25!AB610-ff_factors!$E610</f>
        <v>-3.4780000000000002E-3</v>
      </c>
    </row>
    <row r="611" spans="1:28" x14ac:dyDescent="0.2">
      <c r="A611">
        <v>19821029</v>
      </c>
      <c r="B611">
        <v>1982</v>
      </c>
      <c r="C611">
        <v>10</v>
      </c>
      <c r="D611" s="2">
        <f>ff_portfolios25!D611-ff_factors!$E611</f>
        <v>0.171096</v>
      </c>
      <c r="E611" s="2">
        <f>ff_portfolios25!E611-ff_factors!$E611</f>
        <v>0.12974200000000002</v>
      </c>
      <c r="F611" s="2">
        <f>ff_portfolios25!F611-ff_factors!$E611</f>
        <v>0.12792300000000001</v>
      </c>
      <c r="G611" s="2">
        <f>ff_portfolios25!G611-ff_factors!$E611</f>
        <v>0.12000399999999999</v>
      </c>
      <c r="H611" s="2">
        <f>ff_portfolios25!H611-ff_factors!$E611</f>
        <v>0.110529</v>
      </c>
      <c r="I611" s="2">
        <f>ff_portfolios25!I611-ff_factors!$E611</f>
        <v>0.16615000000000002</v>
      </c>
      <c r="J611" s="2">
        <f>ff_portfolios25!J611-ff_factors!$E611</f>
        <v>0.119438</v>
      </c>
      <c r="K611" s="2">
        <f>ff_portfolios25!K611-ff_factors!$E611</f>
        <v>0.128389</v>
      </c>
      <c r="L611" s="2">
        <f>ff_portfolios25!L611-ff_factors!$E611</f>
        <v>9.4643999999999992E-2</v>
      </c>
      <c r="M611" s="2">
        <f>ff_portfolios25!M611-ff_factors!$E611</f>
        <v>0.10792599999999999</v>
      </c>
      <c r="N611" s="2">
        <f>ff_portfolios25!N611-ff_factors!$E611</f>
        <v>0.14560400000000001</v>
      </c>
      <c r="O611" s="2">
        <f>ff_portfolios25!O611-ff_factors!$E611</f>
        <v>0.13005900000000001</v>
      </c>
      <c r="P611" s="2">
        <f>ff_portfolios25!P611-ff_factors!$E611</f>
        <v>0.11967499999999999</v>
      </c>
      <c r="Q611" s="2">
        <f>ff_portfolios25!Q611-ff_factors!$E611</f>
        <v>0.12682600000000002</v>
      </c>
      <c r="R611" s="2">
        <f>ff_portfolios25!R611-ff_factors!$E611</f>
        <v>0.12550900000000001</v>
      </c>
      <c r="S611" s="2">
        <f>ff_portfolios25!S611-ff_factors!$E611</f>
        <v>0.14979100000000001</v>
      </c>
      <c r="T611" s="2">
        <f>ff_portfolios25!T611-ff_factors!$E611</f>
        <v>0.143068</v>
      </c>
      <c r="U611" s="2">
        <f>ff_portfolios25!U611-ff_factors!$E611</f>
        <v>0.118158</v>
      </c>
      <c r="V611" s="2">
        <f>ff_portfolios25!V611-ff_factors!$E611</f>
        <v>0.120437</v>
      </c>
      <c r="W611" s="2">
        <f>ff_portfolios25!W611-ff_factors!$E611</f>
        <v>0.12243</v>
      </c>
      <c r="X611" s="2">
        <f>ff_portfolios25!X611-ff_factors!$E611</f>
        <v>0.109335</v>
      </c>
      <c r="Y611" s="2">
        <f>ff_portfolios25!Y611-ff_factors!$E611</f>
        <v>0.106794</v>
      </c>
      <c r="Z611" s="2">
        <f>ff_portfolios25!Z611-ff_factors!$E611</f>
        <v>9.7965999999999998E-2</v>
      </c>
      <c r="AA611" s="2">
        <f>ff_portfolios25!AA611-ff_factors!$E611</f>
        <v>0.10718699999999999</v>
      </c>
      <c r="AB611" s="2">
        <f>ff_portfolios25!AB611-ff_factors!$E611</f>
        <v>5.3571000000000001E-2</v>
      </c>
    </row>
    <row r="612" spans="1:28" x14ac:dyDescent="0.2">
      <c r="A612">
        <v>19821130</v>
      </c>
      <c r="B612">
        <v>1982</v>
      </c>
      <c r="C612">
        <v>11</v>
      </c>
      <c r="D612" s="2">
        <f>ff_portfolios25!D612-ff_factors!$E612</f>
        <v>8.4107000000000001E-2</v>
      </c>
      <c r="E612" s="2">
        <f>ff_portfolios25!E612-ff_factors!$E612</f>
        <v>9.7756999999999997E-2</v>
      </c>
      <c r="F612" s="2">
        <f>ff_portfolios25!F612-ff_factors!$E612</f>
        <v>0.10978400000000001</v>
      </c>
      <c r="G612" s="2">
        <f>ff_portfolios25!G612-ff_factors!$E612</f>
        <v>9.8871000000000001E-2</v>
      </c>
      <c r="H612" s="2">
        <f>ff_portfolios25!H612-ff_factors!$E612</f>
        <v>9.8100999999999994E-2</v>
      </c>
      <c r="I612" s="2">
        <f>ff_portfolios25!I612-ff_factors!$E612</f>
        <v>9.1092000000000006E-2</v>
      </c>
      <c r="J612" s="2">
        <f>ff_portfolios25!J612-ff_factors!$E612</f>
        <v>8.2475999999999994E-2</v>
      </c>
      <c r="K612" s="2">
        <f>ff_portfolios25!K612-ff_factors!$E612</f>
        <v>7.4157000000000001E-2</v>
      </c>
      <c r="L612" s="2">
        <f>ff_portfolios25!L612-ff_factors!$E612</f>
        <v>7.1948999999999999E-2</v>
      </c>
      <c r="M612" s="2">
        <f>ff_portfolios25!M612-ff_factors!$E612</f>
        <v>7.9379000000000005E-2</v>
      </c>
      <c r="N612" s="2">
        <f>ff_portfolios25!N612-ff_factors!$E612</f>
        <v>9.8873000000000003E-2</v>
      </c>
      <c r="O612" s="2">
        <f>ff_portfolios25!O612-ff_factors!$E612</f>
        <v>8.0101000000000006E-2</v>
      </c>
      <c r="P612" s="2">
        <f>ff_portfolios25!P612-ff_factors!$E612</f>
        <v>5.7933999999999999E-2</v>
      </c>
      <c r="Q612" s="2">
        <f>ff_portfolios25!Q612-ff_factors!$E612</f>
        <v>5.1951999999999998E-2</v>
      </c>
      <c r="R612" s="2">
        <f>ff_portfolios25!R612-ff_factors!$E612</f>
        <v>7.5744000000000006E-2</v>
      </c>
      <c r="S612" s="2">
        <f>ff_portfolios25!S612-ff_factors!$E612</f>
        <v>6.7019999999999996E-2</v>
      </c>
      <c r="T612" s="2">
        <f>ff_portfolios25!T612-ff_factors!$E612</f>
        <v>6.3530000000000003E-2</v>
      </c>
      <c r="U612" s="2">
        <f>ff_portfolios25!U612-ff_factors!$E612</f>
        <v>3.8033999999999998E-2</v>
      </c>
      <c r="V612" s="2">
        <f>ff_portfolios25!V612-ff_factors!$E612</f>
        <v>4.7745000000000003E-2</v>
      </c>
      <c r="W612" s="2">
        <f>ff_portfolios25!W612-ff_factors!$E612</f>
        <v>6.6673999999999997E-2</v>
      </c>
      <c r="X612" s="2">
        <f>ff_portfolios25!X612-ff_factors!$E612</f>
        <v>6.6005999999999995E-2</v>
      </c>
      <c r="Y612" s="2">
        <f>ff_portfolios25!Y612-ff_factors!$E612</f>
        <v>3.3265999999999997E-2</v>
      </c>
      <c r="Z612" s="2">
        <f>ff_portfolios25!Z612-ff_factors!$E612</f>
        <v>6.2939999999999992E-3</v>
      </c>
      <c r="AA612" s="2">
        <f>ff_portfolios25!AA612-ff_factors!$E612</f>
        <v>2.3326E-2</v>
      </c>
      <c r="AB612" s="2">
        <f>ff_portfolios25!AB612-ff_factors!$E612</f>
        <v>1.0446E-2</v>
      </c>
    </row>
    <row r="613" spans="1:28" x14ac:dyDescent="0.2">
      <c r="A613">
        <v>19821231</v>
      </c>
      <c r="B613">
        <v>1982</v>
      </c>
      <c r="C613">
        <v>12</v>
      </c>
      <c r="D613" s="2">
        <f>ff_portfolios25!D613-ff_factors!$E613</f>
        <v>1.8893E-2</v>
      </c>
      <c r="E613" s="2">
        <f>ff_portfolios25!E613-ff_factors!$E613</f>
        <v>1.6218999999999997E-2</v>
      </c>
      <c r="F613" s="2">
        <f>ff_portfolios25!F613-ff_factors!$E613</f>
        <v>1.2777E-2</v>
      </c>
      <c r="G613" s="2">
        <f>ff_portfolios25!G613-ff_factors!$E613</f>
        <v>1.6853E-2</v>
      </c>
      <c r="H613" s="2">
        <f>ff_portfolios25!H613-ff_factors!$E613</f>
        <v>1.7488999999999998E-2</v>
      </c>
      <c r="I613" s="2">
        <f>ff_portfolios25!I613-ff_factors!$E613</f>
        <v>-1.0408000000000001E-2</v>
      </c>
      <c r="J613" s="2">
        <f>ff_portfolios25!J613-ff_factors!$E613</f>
        <v>1.8747999999999997E-2</v>
      </c>
      <c r="K613" s="2">
        <f>ff_portfolios25!K613-ff_factors!$E613</f>
        <v>3.954E-3</v>
      </c>
      <c r="L613" s="2">
        <f>ff_portfolios25!L613-ff_factors!$E613</f>
        <v>-1.9880000000000002E-3</v>
      </c>
      <c r="M613" s="2">
        <f>ff_portfolios25!M613-ff_factors!$E613</f>
        <v>2.4280000000000005E-3</v>
      </c>
      <c r="N613" s="2">
        <f>ff_portfolios25!N613-ff_factors!$E613</f>
        <v>-5.8400000000000032E-4</v>
      </c>
      <c r="O613" s="2">
        <f>ff_portfolios25!O613-ff_factors!$E613</f>
        <v>-1.8470000000000006E-3</v>
      </c>
      <c r="P613" s="2">
        <f>ff_portfolios25!P613-ff_factors!$E613</f>
        <v>-1.3031000000000001E-2</v>
      </c>
      <c r="Q613" s="2">
        <f>ff_portfolios25!Q613-ff_factors!$E613</f>
        <v>-5.4260000000000003E-3</v>
      </c>
      <c r="R613" s="2">
        <f>ff_portfolios25!R613-ff_factors!$E613</f>
        <v>1.9250999999999997E-2</v>
      </c>
      <c r="S613" s="2">
        <f>ff_portfolios25!S613-ff_factors!$E613</f>
        <v>1.2249999999999995E-3</v>
      </c>
      <c r="T613" s="2">
        <f>ff_portfolios25!T613-ff_factors!$E613</f>
        <v>-5.3150000000000003E-3</v>
      </c>
      <c r="U613" s="2">
        <f>ff_portfolios25!U613-ff_factors!$E613</f>
        <v>1.7977999999999997E-2</v>
      </c>
      <c r="V613" s="2">
        <f>ff_portfolios25!V613-ff_factors!$E613</f>
        <v>-4.3759999999999997E-3</v>
      </c>
      <c r="W613" s="2">
        <f>ff_portfolios25!W613-ff_factors!$E613</f>
        <v>1.9753E-2</v>
      </c>
      <c r="X613" s="2">
        <f>ff_portfolios25!X613-ff_factors!$E613</f>
        <v>1.6841999999999999E-2</v>
      </c>
      <c r="Y613" s="2">
        <f>ff_portfolios25!Y613-ff_factors!$E613</f>
        <v>-6.8149999999999999E-3</v>
      </c>
      <c r="Z613" s="2">
        <f>ff_portfolios25!Z613-ff_factors!$E613</f>
        <v>4.7769999999999991E-3</v>
      </c>
      <c r="AA613" s="2">
        <f>ff_portfolios25!AA613-ff_factors!$E613</f>
        <v>-2.8060000000000003E-3</v>
      </c>
      <c r="AB613" s="2">
        <f>ff_portfolios25!AB613-ff_factors!$E613</f>
        <v>5.2537E-2</v>
      </c>
    </row>
    <row r="614" spans="1:28" x14ac:dyDescent="0.2">
      <c r="A614">
        <v>19830131</v>
      </c>
      <c r="B614">
        <v>1983</v>
      </c>
      <c r="C614">
        <v>1</v>
      </c>
      <c r="D614" s="2">
        <f>ff_portfolios25!D614-ff_factors!$E614</f>
        <v>0.12861</v>
      </c>
      <c r="E614" s="2">
        <f>ff_portfolios25!E614-ff_factors!$E614</f>
        <v>7.7948999999999991E-2</v>
      </c>
      <c r="F614" s="2">
        <f>ff_portfolios25!F614-ff_factors!$E614</f>
        <v>8.1866999999999995E-2</v>
      </c>
      <c r="G614" s="2">
        <f>ff_portfolios25!G614-ff_factors!$E614</f>
        <v>8.3843000000000001E-2</v>
      </c>
      <c r="H614" s="2">
        <f>ff_portfolios25!H614-ff_factors!$E614</f>
        <v>6.4408999999999994E-2</v>
      </c>
      <c r="I614" s="2">
        <f>ff_portfolios25!I614-ff_factors!$E614</f>
        <v>7.2371999999999992E-2</v>
      </c>
      <c r="J614" s="2">
        <f>ff_portfolios25!J614-ff_factors!$E614</f>
        <v>7.6003000000000001E-2</v>
      </c>
      <c r="K614" s="2">
        <f>ff_portfolios25!K614-ff_factors!$E614</f>
        <v>2.8496999999999998E-2</v>
      </c>
      <c r="L614" s="2">
        <f>ff_portfolios25!L614-ff_factors!$E614</f>
        <v>4.0888999999999995E-2</v>
      </c>
      <c r="M614" s="2">
        <f>ff_portfolios25!M614-ff_factors!$E614</f>
        <v>4.1029999999999997E-2</v>
      </c>
      <c r="N614" s="2">
        <f>ff_portfolios25!N614-ff_factors!$E614</f>
        <v>5.6843999999999992E-2</v>
      </c>
      <c r="O614" s="2">
        <f>ff_portfolios25!O614-ff_factors!$E614</f>
        <v>2.2551999999999999E-2</v>
      </c>
      <c r="P614" s="2">
        <f>ff_portfolios25!P614-ff_factors!$E614</f>
        <v>3.4390000000000004E-2</v>
      </c>
      <c r="Q614" s="2">
        <f>ff_portfolios25!Q614-ff_factors!$E614</f>
        <v>2.4112999999999999E-2</v>
      </c>
      <c r="R614" s="2">
        <f>ff_portfolios25!R614-ff_factors!$E614</f>
        <v>3.3004000000000006E-2</v>
      </c>
      <c r="S614" s="2">
        <f>ff_portfolios25!S614-ff_factors!$E614</f>
        <v>4.4092000000000006E-2</v>
      </c>
      <c r="T614" s="2">
        <f>ff_portfolios25!T614-ff_factors!$E614</f>
        <v>2.7420999999999997E-2</v>
      </c>
      <c r="U614" s="2">
        <f>ff_portfolios25!U614-ff_factors!$E614</f>
        <v>2.1010999999999998E-2</v>
      </c>
      <c r="V614" s="2">
        <f>ff_portfolios25!V614-ff_factors!$E614</f>
        <v>1.7883E-2</v>
      </c>
      <c r="W614" s="2">
        <f>ff_portfolios25!W614-ff_factors!$E614</f>
        <v>1.3905000000000001E-2</v>
      </c>
      <c r="X614" s="2">
        <f>ff_portfolios25!X614-ff_factors!$E614</f>
        <v>1.4144E-2</v>
      </c>
      <c r="Y614" s="2">
        <f>ff_portfolios25!Y614-ff_factors!$E614</f>
        <v>2.3968E-2</v>
      </c>
      <c r="Z614" s="2">
        <f>ff_portfolios25!Z614-ff_factors!$E614</f>
        <v>3.0826000000000003E-2</v>
      </c>
      <c r="AA614" s="2">
        <f>ff_portfolios25!AA614-ff_factors!$E614</f>
        <v>5.3995000000000001E-2</v>
      </c>
      <c r="AB614" s="2">
        <f>ff_portfolios25!AB614-ff_factors!$E614</f>
        <v>2.0754999999999999E-2</v>
      </c>
    </row>
    <row r="615" spans="1:28" x14ac:dyDescent="0.2">
      <c r="A615">
        <v>19830228</v>
      </c>
      <c r="B615">
        <v>1983</v>
      </c>
      <c r="C615">
        <v>2</v>
      </c>
      <c r="D615" s="2">
        <f>ff_portfolios25!D615-ff_factors!$E615</f>
        <v>2.5648000000000001E-2</v>
      </c>
      <c r="E615" s="2">
        <f>ff_portfolios25!E615-ff_factors!$E615</f>
        <v>3.9836000000000003E-2</v>
      </c>
      <c r="F615" s="2">
        <f>ff_portfolios25!F615-ff_factors!$E615</f>
        <v>7.4574000000000001E-2</v>
      </c>
      <c r="G615" s="2">
        <f>ff_portfolios25!G615-ff_factors!$E615</f>
        <v>6.8857000000000002E-2</v>
      </c>
      <c r="H615" s="2">
        <f>ff_portfolios25!H615-ff_factors!$E615</f>
        <v>8.3209000000000005E-2</v>
      </c>
      <c r="I615" s="2">
        <f>ff_portfolios25!I615-ff_factors!$E615</f>
        <v>4.5309000000000002E-2</v>
      </c>
      <c r="J615" s="2">
        <f>ff_portfolios25!J615-ff_factors!$E615</f>
        <v>4.3356000000000006E-2</v>
      </c>
      <c r="K615" s="2">
        <f>ff_portfolios25!K615-ff_factors!$E615</f>
        <v>7.3078000000000004E-2</v>
      </c>
      <c r="L615" s="2">
        <f>ff_portfolios25!L615-ff_factors!$E615</f>
        <v>5.1693000000000003E-2</v>
      </c>
      <c r="M615" s="2">
        <f>ff_portfolios25!M615-ff_factors!$E615</f>
        <v>4.7073000000000004E-2</v>
      </c>
      <c r="N615" s="2">
        <f>ff_portfolios25!N615-ff_factors!$E615</f>
        <v>4.5967000000000001E-2</v>
      </c>
      <c r="O615" s="2">
        <f>ff_portfolios25!O615-ff_factors!$E615</f>
        <v>4.2587E-2</v>
      </c>
      <c r="P615" s="2">
        <f>ff_portfolios25!P615-ff_factors!$E615</f>
        <v>4.6620000000000002E-2</v>
      </c>
      <c r="Q615" s="2">
        <f>ff_portfolios25!Q615-ff_factors!$E615</f>
        <v>3.8284000000000006E-2</v>
      </c>
      <c r="R615" s="2">
        <f>ff_portfolios25!R615-ff_factors!$E615</f>
        <v>4.4999000000000004E-2</v>
      </c>
      <c r="S615" s="2">
        <f>ff_portfolios25!S615-ff_factors!$E615</f>
        <v>4.2385000000000006E-2</v>
      </c>
      <c r="T615" s="2">
        <f>ff_portfolios25!T615-ff_factors!$E615</f>
        <v>2.2814999999999998E-2</v>
      </c>
      <c r="U615" s="2">
        <f>ff_portfolios25!U615-ff_factors!$E615</f>
        <v>2.0043999999999999E-2</v>
      </c>
      <c r="V615" s="2">
        <f>ff_portfolios25!V615-ff_factors!$E615</f>
        <v>2.6970999999999998E-2</v>
      </c>
      <c r="W615" s="2">
        <f>ff_portfolios25!W615-ff_factors!$E615</f>
        <v>3.8574000000000004E-2</v>
      </c>
      <c r="X615" s="2">
        <f>ff_portfolios25!X615-ff_factors!$E615</f>
        <v>1.7731999999999998E-2</v>
      </c>
      <c r="Y615" s="2">
        <f>ff_portfolios25!Y615-ff_factors!$E615</f>
        <v>3.2657000000000005E-2</v>
      </c>
      <c r="Z615" s="2">
        <f>ff_portfolios25!Z615-ff_factors!$E615</f>
        <v>2.5467E-2</v>
      </c>
      <c r="AA615" s="2">
        <f>ff_portfolios25!AA615-ff_factors!$E615</f>
        <v>5.1240000000000009E-3</v>
      </c>
      <c r="AB615" s="2">
        <f>ff_portfolios25!AB615-ff_factors!$E615</f>
        <v>1.7850999999999999E-2</v>
      </c>
    </row>
    <row r="616" spans="1:28" x14ac:dyDescent="0.2">
      <c r="A616">
        <v>19830331</v>
      </c>
      <c r="B616">
        <v>1983</v>
      </c>
      <c r="C616">
        <v>3</v>
      </c>
      <c r="D616" s="2">
        <f>ff_portfolios25!D616-ff_factors!$E616</f>
        <v>2.1597999999999999E-2</v>
      </c>
      <c r="E616" s="2">
        <f>ff_portfolios25!E616-ff_factors!$E616</f>
        <v>5.0770999999999997E-2</v>
      </c>
      <c r="F616" s="2">
        <f>ff_portfolios25!F616-ff_factors!$E616</f>
        <v>5.9845999999999996E-2</v>
      </c>
      <c r="G616" s="2">
        <f>ff_portfolios25!G616-ff_factors!$E616</f>
        <v>3.8908999999999999E-2</v>
      </c>
      <c r="H616" s="2">
        <f>ff_portfolios25!H616-ff_factors!$E616</f>
        <v>6.9414000000000003E-2</v>
      </c>
      <c r="I616" s="2">
        <f>ff_portfolios25!I616-ff_factors!$E616</f>
        <v>1.2986000000000001E-2</v>
      </c>
      <c r="J616" s="2">
        <f>ff_portfolios25!J616-ff_factors!$E616</f>
        <v>3.0950999999999999E-2</v>
      </c>
      <c r="K616" s="2">
        <f>ff_portfolios25!K616-ff_factors!$E616</f>
        <v>5.9838000000000002E-2</v>
      </c>
      <c r="L616" s="2">
        <f>ff_portfolios25!L616-ff_factors!$E616</f>
        <v>6.4742999999999995E-2</v>
      </c>
      <c r="M616" s="2">
        <f>ff_portfolios25!M616-ff_factors!$E616</f>
        <v>4.2227000000000001E-2</v>
      </c>
      <c r="N616" s="2">
        <f>ff_portfolios25!N616-ff_factors!$E616</f>
        <v>1.4707999999999999E-2</v>
      </c>
      <c r="O616" s="2">
        <f>ff_portfolios25!O616-ff_factors!$E616</f>
        <v>5.8452000000000004E-2</v>
      </c>
      <c r="P616" s="2">
        <f>ff_portfolios25!P616-ff_factors!$E616</f>
        <v>4.2937999999999997E-2</v>
      </c>
      <c r="Q616" s="2">
        <f>ff_portfolios25!Q616-ff_factors!$E616</f>
        <v>7.1580000000000005E-2</v>
      </c>
      <c r="R616" s="2">
        <f>ff_portfolios25!R616-ff_factors!$E616</f>
        <v>4.0655999999999998E-2</v>
      </c>
      <c r="S616" s="2">
        <f>ff_portfolios25!S616-ff_factors!$E616</f>
        <v>2.1600000000000005E-4</v>
      </c>
      <c r="T616" s="2">
        <f>ff_portfolios25!T616-ff_factors!$E616</f>
        <v>2.0298E-2</v>
      </c>
      <c r="U616" s="2">
        <f>ff_portfolios25!U616-ff_factors!$E616</f>
        <v>4.0009000000000003E-2</v>
      </c>
      <c r="V616" s="2">
        <f>ff_portfolios25!V616-ff_factors!$E616</f>
        <v>4.9112000000000003E-2</v>
      </c>
      <c r="W616" s="2">
        <f>ff_portfolios25!W616-ff_factors!$E616</f>
        <v>4.5137999999999998E-2</v>
      </c>
      <c r="X616" s="2">
        <f>ff_portfolios25!X616-ff_factors!$E616</f>
        <v>2.6811000000000001E-2</v>
      </c>
      <c r="Y616" s="2">
        <f>ff_portfolios25!Y616-ff_factors!$E616</f>
        <v>2.0073000000000001E-2</v>
      </c>
      <c r="Z616" s="2">
        <f>ff_portfolios25!Z616-ff_factors!$E616</f>
        <v>3.5159000000000003E-2</v>
      </c>
      <c r="AA616" s="2">
        <f>ff_portfolios25!AA616-ff_factors!$E616</f>
        <v>2.8362999999999999E-2</v>
      </c>
      <c r="AB616" s="2">
        <f>ff_portfolios25!AB616-ff_factors!$E616</f>
        <v>1.2021E-2</v>
      </c>
    </row>
    <row r="617" spans="1:28" x14ac:dyDescent="0.2">
      <c r="A617">
        <v>19830429</v>
      </c>
      <c r="B617">
        <v>1983</v>
      </c>
      <c r="C617">
        <v>4</v>
      </c>
      <c r="D617" s="2">
        <f>ff_portfolios25!D617-ff_factors!$E617</f>
        <v>6.6483E-2</v>
      </c>
      <c r="E617" s="2">
        <f>ff_portfolios25!E617-ff_factors!$E617</f>
        <v>6.6991000000000009E-2</v>
      </c>
      <c r="F617" s="2">
        <f>ff_portfolios25!F617-ff_factors!$E617</f>
        <v>7.9475000000000004E-2</v>
      </c>
      <c r="G617" s="2">
        <f>ff_portfolios25!G617-ff_factors!$E617</f>
        <v>8.832000000000001E-2</v>
      </c>
      <c r="H617" s="2">
        <f>ff_portfolios25!H617-ff_factors!$E617</f>
        <v>8.2913000000000001E-2</v>
      </c>
      <c r="I617" s="2">
        <f>ff_portfolios25!I617-ff_factors!$E617</f>
        <v>7.2289000000000006E-2</v>
      </c>
      <c r="J617" s="2">
        <f>ff_portfolios25!J617-ff_factors!$E617</f>
        <v>7.6194999999999999E-2</v>
      </c>
      <c r="K617" s="2">
        <f>ff_portfolios25!K617-ff_factors!$E617</f>
        <v>8.1583000000000003E-2</v>
      </c>
      <c r="L617" s="2">
        <f>ff_portfolios25!L617-ff_factors!$E617</f>
        <v>7.1045000000000011E-2</v>
      </c>
      <c r="M617" s="2">
        <f>ff_portfolios25!M617-ff_factors!$E617</f>
        <v>7.1101999999999999E-2</v>
      </c>
      <c r="N617" s="2">
        <f>ff_portfolios25!N617-ff_factors!$E617</f>
        <v>5.9129999999999995E-2</v>
      </c>
      <c r="O617" s="2">
        <f>ff_portfolios25!O617-ff_factors!$E617</f>
        <v>6.6245999999999999E-2</v>
      </c>
      <c r="P617" s="2">
        <f>ff_portfolios25!P617-ff_factors!$E617</f>
        <v>6.5495999999999999E-2</v>
      </c>
      <c r="Q617" s="2">
        <f>ff_portfolios25!Q617-ff_factors!$E617</f>
        <v>5.7172999999999995E-2</v>
      </c>
      <c r="R617" s="2">
        <f>ff_portfolios25!R617-ff_factors!$E617</f>
        <v>5.8389000000000003E-2</v>
      </c>
      <c r="S617" s="2">
        <f>ff_portfolios25!S617-ff_factors!$E617</f>
        <v>4.3365000000000001E-2</v>
      </c>
      <c r="T617" s="2">
        <f>ff_portfolios25!T617-ff_factors!$E617</f>
        <v>5.0307999999999999E-2</v>
      </c>
      <c r="U617" s="2">
        <f>ff_portfolios25!U617-ff_factors!$E617</f>
        <v>6.8909999999999999E-2</v>
      </c>
      <c r="V617" s="2">
        <f>ff_portfolios25!V617-ff_factors!$E617</f>
        <v>6.2634000000000009E-2</v>
      </c>
      <c r="W617" s="2">
        <f>ff_portfolios25!W617-ff_factors!$E617</f>
        <v>5.5167000000000001E-2</v>
      </c>
      <c r="X617" s="2">
        <f>ff_portfolios25!X617-ff_factors!$E617</f>
        <v>5.9111000000000004E-2</v>
      </c>
      <c r="Y617" s="2">
        <f>ff_portfolios25!Y617-ff_factors!$E617</f>
        <v>5.3288999999999996E-2</v>
      </c>
      <c r="Z617" s="2">
        <f>ff_portfolios25!Z617-ff_factors!$E617</f>
        <v>8.0583000000000002E-2</v>
      </c>
      <c r="AA617" s="2">
        <f>ff_portfolios25!AA617-ff_factors!$E617</f>
        <v>8.3165000000000003E-2</v>
      </c>
      <c r="AB617" s="2">
        <f>ff_portfolios25!AB617-ff_factors!$E617</f>
        <v>6.5251000000000003E-2</v>
      </c>
    </row>
    <row r="618" spans="1:28" x14ac:dyDescent="0.2">
      <c r="A618">
        <v>19830531</v>
      </c>
      <c r="B618">
        <v>1983</v>
      </c>
      <c r="C618">
        <v>5</v>
      </c>
      <c r="D618" s="2">
        <f>ff_portfolios25!D618-ff_factors!$E618</f>
        <v>0.112733</v>
      </c>
      <c r="E618" s="2">
        <f>ff_portfolios25!E618-ff_factors!$E618</f>
        <v>9.6017999999999992E-2</v>
      </c>
      <c r="F618" s="2">
        <f>ff_portfolios25!F618-ff_factors!$E618</f>
        <v>7.7175999999999995E-2</v>
      </c>
      <c r="G618" s="2">
        <f>ff_portfolios25!G618-ff_factors!$E618</f>
        <v>7.8505999999999992E-2</v>
      </c>
      <c r="H618" s="2">
        <f>ff_portfolios25!H618-ff_factors!$E618</f>
        <v>7.2153999999999996E-2</v>
      </c>
      <c r="I618" s="2">
        <f>ff_portfolios25!I618-ff_factors!$E618</f>
        <v>4.7975000000000004E-2</v>
      </c>
      <c r="J618" s="2">
        <f>ff_portfolios25!J618-ff_factors!$E618</f>
        <v>5.7510999999999993E-2</v>
      </c>
      <c r="K618" s="2">
        <f>ff_portfolios25!K618-ff_factors!$E618</f>
        <v>4.5207999999999998E-2</v>
      </c>
      <c r="L618" s="2">
        <f>ff_portfolios25!L618-ff_factors!$E618</f>
        <v>2.6330999999999997E-2</v>
      </c>
      <c r="M618" s="2">
        <f>ff_portfolios25!M618-ff_factors!$E618</f>
        <v>4.6568999999999999E-2</v>
      </c>
      <c r="N618" s="2">
        <f>ff_portfolios25!N618-ff_factors!$E618</f>
        <v>5.0481999999999999E-2</v>
      </c>
      <c r="O618" s="2">
        <f>ff_portfolios25!O618-ff_factors!$E618</f>
        <v>4.6459E-2</v>
      </c>
      <c r="P618" s="2">
        <f>ff_portfolios25!P618-ff_factors!$E618</f>
        <v>1.7954999999999999E-2</v>
      </c>
      <c r="Q618" s="2">
        <f>ff_portfolios25!Q618-ff_factors!$E618</f>
        <v>1.4865E-2</v>
      </c>
      <c r="R618" s="2">
        <f>ff_portfolios25!R618-ff_factors!$E618</f>
        <v>6.7910000000000002E-3</v>
      </c>
      <c r="S618" s="2">
        <f>ff_portfolios25!S618-ff_factors!$E618</f>
        <v>4.0124000000000007E-2</v>
      </c>
      <c r="T618" s="2">
        <f>ff_portfolios25!T618-ff_factors!$E618</f>
        <v>4.8111000000000001E-2</v>
      </c>
      <c r="U618" s="2">
        <f>ff_portfolios25!U618-ff_factors!$E618</f>
        <v>4.0661000000000003E-2</v>
      </c>
      <c r="V618" s="2">
        <f>ff_portfolios25!V618-ff_factors!$E618</f>
        <v>1.1803999999999999E-2</v>
      </c>
      <c r="W618" s="2">
        <f>ff_portfolios25!W618-ff_factors!$E618</f>
        <v>3.5139999999999998E-3</v>
      </c>
      <c r="X618" s="2">
        <f>ff_portfolios25!X618-ff_factors!$E618</f>
        <v>-1.7099E-2</v>
      </c>
      <c r="Y618" s="2">
        <f>ff_portfolios25!Y618-ff_factors!$E618</f>
        <v>-2.8319E-2</v>
      </c>
      <c r="Z618" s="2">
        <f>ff_portfolios25!Z618-ff_factors!$E618</f>
        <v>-1.1599E-2</v>
      </c>
      <c r="AA618" s="2">
        <f>ff_portfolios25!AA618-ff_factors!$E618</f>
        <v>-2.3035E-2</v>
      </c>
      <c r="AB618" s="2">
        <f>ff_portfolios25!AB618-ff_factors!$E618</f>
        <v>4.7880000000000006E-3</v>
      </c>
    </row>
    <row r="619" spans="1:28" x14ac:dyDescent="0.2">
      <c r="A619">
        <v>19830630</v>
      </c>
      <c r="B619">
        <v>1983</v>
      </c>
      <c r="C619">
        <v>6</v>
      </c>
      <c r="D619" s="2">
        <f>ff_portfolios25!D619-ff_factors!$E619</f>
        <v>3.4602000000000001E-2</v>
      </c>
      <c r="E619" s="2">
        <f>ff_portfolios25!E619-ff_factors!$E619</f>
        <v>6.1776999999999999E-2</v>
      </c>
      <c r="F619" s="2">
        <f>ff_portfolios25!F619-ff_factors!$E619</f>
        <v>3.1408999999999999E-2</v>
      </c>
      <c r="G619" s="2">
        <f>ff_portfolios25!G619-ff_factors!$E619</f>
        <v>2.2081E-2</v>
      </c>
      <c r="H619" s="2">
        <f>ff_portfolios25!H619-ff_factors!$E619</f>
        <v>3.6195000000000005E-2</v>
      </c>
      <c r="I619" s="2">
        <f>ff_portfolios25!I619-ff_factors!$E619</f>
        <v>6.1924000000000007E-2</v>
      </c>
      <c r="J619" s="2">
        <f>ff_portfolios25!J619-ff_factors!$E619</f>
        <v>4.6610000000000006E-2</v>
      </c>
      <c r="K619" s="2">
        <f>ff_portfolios25!K619-ff_factors!$E619</f>
        <v>7.8429999999999993E-3</v>
      </c>
      <c r="L619" s="2">
        <f>ff_portfolios25!L619-ff_factors!$E619</f>
        <v>1.9982999999999997E-2</v>
      </c>
      <c r="M619" s="2">
        <f>ff_portfolios25!M619-ff_factors!$E619</f>
        <v>3.2050000000000002E-2</v>
      </c>
      <c r="N619" s="2">
        <f>ff_portfolios25!N619-ff_factors!$E619</f>
        <v>4.0738000000000003E-2</v>
      </c>
      <c r="O619" s="2">
        <f>ff_portfolios25!O619-ff_factors!$E619</f>
        <v>4.7989000000000004E-2</v>
      </c>
      <c r="P619" s="2">
        <f>ff_portfolios25!P619-ff_factors!$E619</f>
        <v>4.1565000000000005E-2</v>
      </c>
      <c r="Q619" s="2">
        <f>ff_portfolios25!Q619-ff_factors!$E619</f>
        <v>6.8720000000000005E-3</v>
      </c>
      <c r="R619" s="2">
        <f>ff_portfolios25!R619-ff_factors!$E619</f>
        <v>9.1760000000000001E-3</v>
      </c>
      <c r="S619" s="2">
        <f>ff_portfolios25!S619-ff_factors!$E619</f>
        <v>5.7935E-2</v>
      </c>
      <c r="T619" s="2">
        <f>ff_portfolios25!T619-ff_factors!$E619</f>
        <v>4.0612000000000002E-2</v>
      </c>
      <c r="U619" s="2">
        <f>ff_portfolios25!U619-ff_factors!$E619</f>
        <v>3.4704000000000006E-2</v>
      </c>
      <c r="V619" s="2">
        <f>ff_portfolios25!V619-ff_factors!$E619</f>
        <v>-2.0230000000000001E-2</v>
      </c>
      <c r="W619" s="2">
        <f>ff_portfolios25!W619-ff_factors!$E619</f>
        <v>1.2066E-2</v>
      </c>
      <c r="X619" s="2">
        <f>ff_portfolios25!X619-ff_factors!$E619</f>
        <v>5.2320999999999999E-2</v>
      </c>
      <c r="Y619" s="2">
        <f>ff_portfolios25!Y619-ff_factors!$E619</f>
        <v>4.6550000000000001E-2</v>
      </c>
      <c r="Z619" s="2">
        <f>ff_portfolios25!Z619-ff_factors!$E619</f>
        <v>2.1262E-2</v>
      </c>
      <c r="AA619" s="2">
        <f>ff_portfolios25!AA619-ff_factors!$E619</f>
        <v>9.9600000000000001E-3</v>
      </c>
      <c r="AB619" s="2">
        <f>ff_portfolios25!AB619-ff_factors!$E619</f>
        <v>-1.6800000000000061E-4</v>
      </c>
    </row>
    <row r="620" spans="1:28" x14ac:dyDescent="0.2">
      <c r="A620">
        <v>19830729</v>
      </c>
      <c r="B620">
        <v>1983</v>
      </c>
      <c r="C620">
        <v>7</v>
      </c>
      <c r="D620" s="2">
        <f>ff_portfolios25!D620-ff_factors!$E620</f>
        <v>-6.8562999999999999E-2</v>
      </c>
      <c r="E620" s="2">
        <f>ff_portfolios25!E620-ff_factors!$E620</f>
        <v>-2.9673000000000001E-2</v>
      </c>
      <c r="F620" s="2">
        <f>ff_portfolios25!F620-ff_factors!$E620</f>
        <v>-1.7156000000000001E-2</v>
      </c>
      <c r="G620" s="2">
        <f>ff_portfolios25!G620-ff_factors!$E620</f>
        <v>8.4700000000000053E-4</v>
      </c>
      <c r="H620" s="2">
        <f>ff_portfolios25!H620-ff_factors!$E620</f>
        <v>-1.2000000000000725E-5</v>
      </c>
      <c r="I620" s="2">
        <f>ff_portfolios25!I620-ff_factors!$E620</f>
        <v>-7.9625000000000001E-2</v>
      </c>
      <c r="J620" s="2">
        <f>ff_portfolios25!J620-ff_factors!$E620</f>
        <v>-5.2881999999999998E-2</v>
      </c>
      <c r="K620" s="2">
        <f>ff_portfolios25!K620-ff_factors!$E620</f>
        <v>-1.5854E-2</v>
      </c>
      <c r="L620" s="2">
        <f>ff_portfolios25!L620-ff_factors!$E620</f>
        <v>9.2169999999999995E-3</v>
      </c>
      <c r="M620" s="2">
        <f>ff_portfolios25!M620-ff_factors!$E620</f>
        <v>2.1729999999999996E-3</v>
      </c>
      <c r="N620" s="2">
        <f>ff_portfolios25!N620-ff_factors!$E620</f>
        <v>-7.0012000000000005E-2</v>
      </c>
      <c r="O620" s="2">
        <f>ff_portfolios25!O620-ff_factors!$E620</f>
        <v>-3.8022E-2</v>
      </c>
      <c r="P620" s="2">
        <f>ff_portfolios25!P620-ff_factors!$E620</f>
        <v>1.9436999999999999E-2</v>
      </c>
      <c r="Q620" s="2">
        <f>ff_portfolios25!Q620-ff_factors!$E620</f>
        <v>2.3599999999999993E-3</v>
      </c>
      <c r="R620" s="2">
        <f>ff_portfolios25!R620-ff_factors!$E620</f>
        <v>-7.8800000000000051E-4</v>
      </c>
      <c r="S620" s="2">
        <f>ff_portfolios25!S620-ff_factors!$E620</f>
        <v>-5.0297999999999995E-2</v>
      </c>
      <c r="T620" s="2">
        <f>ff_portfolios25!T620-ff_factors!$E620</f>
        <v>-4.4549000000000005E-2</v>
      </c>
      <c r="U620" s="2">
        <f>ff_portfolios25!U620-ff_factors!$E620</f>
        <v>-5.4414000000000004E-2</v>
      </c>
      <c r="V620" s="2">
        <f>ff_portfolios25!V620-ff_factors!$E620</f>
        <v>-1.5672999999999999E-2</v>
      </c>
      <c r="W620" s="2">
        <f>ff_portfolios25!W620-ff_factors!$E620</f>
        <v>-1.3098E-2</v>
      </c>
      <c r="X620" s="2">
        <f>ff_portfolios25!X620-ff_factors!$E620</f>
        <v>-5.5816000000000004E-2</v>
      </c>
      <c r="Y620" s="2">
        <f>ff_portfolios25!Y620-ff_factors!$E620</f>
        <v>-6.6571000000000005E-2</v>
      </c>
      <c r="Z620" s="2">
        <f>ff_portfolios25!Z620-ff_factors!$E620</f>
        <v>-3.9016999999999996E-2</v>
      </c>
      <c r="AA620" s="2">
        <f>ff_portfolios25!AA620-ff_factors!$E620</f>
        <v>-1.3031000000000001E-2</v>
      </c>
      <c r="AB620" s="2">
        <f>ff_portfolios25!AB620-ff_factors!$E620</f>
        <v>-2.9101000000000002E-2</v>
      </c>
    </row>
    <row r="621" spans="1:28" x14ac:dyDescent="0.2">
      <c r="A621">
        <v>19830831</v>
      </c>
      <c r="B621">
        <v>1983</v>
      </c>
      <c r="C621">
        <v>8</v>
      </c>
      <c r="D621" s="2">
        <f>ff_portfolios25!D621-ff_factors!$E621</f>
        <v>-6.7935999999999996E-2</v>
      </c>
      <c r="E621" s="2">
        <f>ff_portfolios25!E621-ff_factors!$E621</f>
        <v>-4.7116999999999999E-2</v>
      </c>
      <c r="F621" s="2">
        <f>ff_portfolios25!F621-ff_factors!$E621</f>
        <v>-3.066E-2</v>
      </c>
      <c r="G621" s="2">
        <f>ff_portfolios25!G621-ff_factors!$E621</f>
        <v>-4.3632000000000004E-2</v>
      </c>
      <c r="H621" s="2">
        <f>ff_portfolios25!H621-ff_factors!$E621</f>
        <v>-1.9025E-2</v>
      </c>
      <c r="I621" s="2">
        <f>ff_portfolios25!I621-ff_factors!$E621</f>
        <v>-6.1484000000000004E-2</v>
      </c>
      <c r="J621" s="2">
        <f>ff_portfolios25!J621-ff_factors!$E621</f>
        <v>-4.1204000000000005E-2</v>
      </c>
      <c r="K621" s="2">
        <f>ff_portfolios25!K621-ff_factors!$E621</f>
        <v>-3.5792999999999998E-2</v>
      </c>
      <c r="L621" s="2">
        <f>ff_portfolios25!L621-ff_factors!$E621</f>
        <v>-1.8533999999999998E-2</v>
      </c>
      <c r="M621" s="2">
        <f>ff_portfolios25!M621-ff_factors!$E621</f>
        <v>-1.2600000000000024E-4</v>
      </c>
      <c r="N621" s="2">
        <f>ff_portfolios25!N621-ff_factors!$E621</f>
        <v>-4.5207000000000004E-2</v>
      </c>
      <c r="O621" s="2">
        <f>ff_portfolios25!O621-ff_factors!$E621</f>
        <v>-5.0942000000000001E-2</v>
      </c>
      <c r="P621" s="2">
        <f>ff_portfolios25!P621-ff_factors!$E621</f>
        <v>-2.2637999999999998E-2</v>
      </c>
      <c r="Q621" s="2">
        <f>ff_portfolios25!Q621-ff_factors!$E621</f>
        <v>-1.6181000000000001E-2</v>
      </c>
      <c r="R621" s="2">
        <f>ff_portfolios25!R621-ff_factors!$E621</f>
        <v>1.9293000000000001E-2</v>
      </c>
      <c r="S621" s="2">
        <f>ff_portfolios25!S621-ff_factors!$E621</f>
        <v>-3.6680999999999998E-2</v>
      </c>
      <c r="T621" s="2">
        <f>ff_portfolios25!T621-ff_factors!$E621</f>
        <v>-2.4749999999999998E-2</v>
      </c>
      <c r="U621" s="2">
        <f>ff_portfolios25!U621-ff_factors!$E621</f>
        <v>-8.09E-3</v>
      </c>
      <c r="V621" s="2">
        <f>ff_portfolios25!V621-ff_factors!$E621</f>
        <v>2.0241000000000002E-2</v>
      </c>
      <c r="W621" s="2">
        <f>ff_portfolios25!W621-ff_factors!$E621</f>
        <v>2.9287000000000004E-2</v>
      </c>
      <c r="X621" s="2">
        <f>ff_portfolios25!X621-ff_factors!$E621</f>
        <v>-1.4192E-2</v>
      </c>
      <c r="Y621" s="2">
        <f>ff_portfolios25!Y621-ff_factors!$E621</f>
        <v>-1.1456000000000001E-2</v>
      </c>
      <c r="Z621" s="2">
        <f>ff_portfolios25!Z621-ff_factors!$E621</f>
        <v>-6.117E-3</v>
      </c>
      <c r="AA621" s="2">
        <f>ff_portfolios25!AA621-ff_factors!$E621</f>
        <v>3.6949999999999997E-2</v>
      </c>
      <c r="AB621" s="2">
        <f>ff_portfolios25!AB621-ff_factors!$E621</f>
        <v>5.8597000000000003E-2</v>
      </c>
    </row>
    <row r="622" spans="1:28" x14ac:dyDescent="0.2">
      <c r="A622">
        <v>19830930</v>
      </c>
      <c r="B622">
        <v>1983</v>
      </c>
      <c r="C622">
        <v>9</v>
      </c>
      <c r="D622" s="2">
        <f>ff_portfolios25!D622-ff_factors!$E622</f>
        <v>-3.8556E-2</v>
      </c>
      <c r="E622" s="2">
        <f>ff_portfolios25!E622-ff_factors!$E622</f>
        <v>-5.5469999999999998E-3</v>
      </c>
      <c r="F622" s="2">
        <f>ff_portfolios25!F622-ff_factors!$E622</f>
        <v>-6.5299999999999993E-4</v>
      </c>
      <c r="G622" s="2">
        <f>ff_portfolios25!G622-ff_factors!$E622</f>
        <v>7.2249999999999997E-3</v>
      </c>
      <c r="H622" s="2">
        <f>ff_portfolios25!H622-ff_factors!$E622</f>
        <v>8.7899999999999992E-3</v>
      </c>
      <c r="I622" s="2">
        <f>ff_portfolios25!I622-ff_factors!$E622</f>
        <v>3.7200000000000002E-3</v>
      </c>
      <c r="J622" s="2">
        <f>ff_portfolios25!J622-ff_factors!$E622</f>
        <v>6.28E-3</v>
      </c>
      <c r="K622" s="2">
        <f>ff_portfolios25!K622-ff_factors!$E622</f>
        <v>3.2052999999999998E-2</v>
      </c>
      <c r="L622" s="2">
        <f>ff_portfolios25!L622-ff_factors!$E622</f>
        <v>4.0793999999999997E-2</v>
      </c>
      <c r="M622" s="2">
        <f>ff_portfolios25!M622-ff_factors!$E622</f>
        <v>2.8816999999999999E-2</v>
      </c>
      <c r="N622" s="2">
        <f>ff_portfolios25!N622-ff_factors!$E622</f>
        <v>1.0694000000000002E-2</v>
      </c>
      <c r="O622" s="2">
        <f>ff_portfolios25!O622-ff_factors!$E622</f>
        <v>3.3405999999999998E-2</v>
      </c>
      <c r="P622" s="2">
        <f>ff_portfolios25!P622-ff_factors!$E622</f>
        <v>2.0986000000000001E-2</v>
      </c>
      <c r="Q622" s="2">
        <f>ff_portfolios25!Q622-ff_factors!$E622</f>
        <v>4.1852E-2</v>
      </c>
      <c r="R622" s="2">
        <f>ff_portfolios25!R622-ff_factors!$E622</f>
        <v>6.0109000000000003E-2</v>
      </c>
      <c r="S622" s="2">
        <f>ff_portfolios25!S622-ff_factors!$E622</f>
        <v>2.8194E-2</v>
      </c>
      <c r="T622" s="2">
        <f>ff_portfolios25!T622-ff_factors!$E622</f>
        <v>1.1365E-2</v>
      </c>
      <c r="U622" s="2">
        <f>ff_portfolios25!U622-ff_factors!$E622</f>
        <v>2.2110000000000001E-2</v>
      </c>
      <c r="V622" s="2">
        <f>ff_portfolios25!V622-ff_factors!$E622</f>
        <v>1.9095000000000001E-2</v>
      </c>
      <c r="W622" s="2">
        <f>ff_portfolios25!W622-ff_factors!$E622</f>
        <v>7.4069999999999995E-3</v>
      </c>
      <c r="X622" s="2">
        <f>ff_portfolios25!X622-ff_factors!$E622</f>
        <v>2.111E-2</v>
      </c>
      <c r="Y622" s="2">
        <f>ff_portfolios25!Y622-ff_factors!$E622</f>
        <v>1.2383999999999999E-2</v>
      </c>
      <c r="Z622" s="2">
        <f>ff_portfolios25!Z622-ff_factors!$E622</f>
        <v>1.2330000000000001E-2</v>
      </c>
      <c r="AA622" s="2">
        <f>ff_portfolios25!AA622-ff_factors!$E622</f>
        <v>-1.8794000000000002E-2</v>
      </c>
      <c r="AB622" s="2">
        <f>ff_portfolios25!AB622-ff_factors!$E622</f>
        <v>-2.5560000000000001E-3</v>
      </c>
    </row>
    <row r="623" spans="1:28" x14ac:dyDescent="0.2">
      <c r="A623">
        <v>19831031</v>
      </c>
      <c r="B623">
        <v>1983</v>
      </c>
      <c r="C623">
        <v>10</v>
      </c>
      <c r="D623" s="2">
        <f>ff_portfolios25!D623-ff_factors!$E623</f>
        <v>-0.11262899999999999</v>
      </c>
      <c r="E623" s="2">
        <f>ff_portfolios25!E623-ff_factors!$E623</f>
        <v>-7.0092000000000002E-2</v>
      </c>
      <c r="F623" s="2">
        <f>ff_portfolios25!F623-ff_factors!$E623</f>
        <v>-5.7465000000000002E-2</v>
      </c>
      <c r="G623" s="2">
        <f>ff_portfolios25!G623-ff_factors!$E623</f>
        <v>-4.3799000000000005E-2</v>
      </c>
      <c r="H623" s="2">
        <f>ff_portfolios25!H623-ff_factors!$E623</f>
        <v>-3.6867000000000004E-2</v>
      </c>
      <c r="I623" s="2">
        <f>ff_portfolios25!I623-ff_factors!$E623</f>
        <v>-0.10945199999999999</v>
      </c>
      <c r="J623" s="2">
        <f>ff_portfolios25!J623-ff_factors!$E623</f>
        <v>-8.0752999999999991E-2</v>
      </c>
      <c r="K623" s="2">
        <f>ff_portfolios25!K623-ff_factors!$E623</f>
        <v>-4.8492E-2</v>
      </c>
      <c r="L623" s="2">
        <f>ff_portfolios25!L623-ff_factors!$E623</f>
        <v>-2.5257999999999999E-2</v>
      </c>
      <c r="M623" s="2">
        <f>ff_portfolios25!M623-ff_factors!$E623</f>
        <v>-3.8301000000000002E-2</v>
      </c>
      <c r="N623" s="2">
        <f>ff_portfolios25!N623-ff_factors!$E623</f>
        <v>-9.0549999999999992E-2</v>
      </c>
      <c r="O623" s="2">
        <f>ff_portfolios25!O623-ff_factors!$E623</f>
        <v>-5.3627000000000001E-2</v>
      </c>
      <c r="P623" s="2">
        <f>ff_portfolios25!P623-ff_factors!$E623</f>
        <v>-3.5900000000000001E-2</v>
      </c>
      <c r="Q623" s="2">
        <f>ff_portfolios25!Q623-ff_factors!$E623</f>
        <v>-1.4452E-2</v>
      </c>
      <c r="R623" s="2">
        <f>ff_portfolios25!R623-ff_factors!$E623</f>
        <v>-2.4782999999999999E-2</v>
      </c>
      <c r="S623" s="2">
        <f>ff_portfolios25!S623-ff_factors!$E623</f>
        <v>-7.8595999999999999E-2</v>
      </c>
      <c r="T623" s="2">
        <f>ff_portfolios25!T623-ff_factors!$E623</f>
        <v>-3.5424000000000004E-2</v>
      </c>
      <c r="U623" s="2">
        <f>ff_portfolios25!U623-ff_factors!$E623</f>
        <v>-2.6478999999999999E-2</v>
      </c>
      <c r="V623" s="2">
        <f>ff_portfolios25!V623-ff_factors!$E623</f>
        <v>-2.4889999999999999E-2</v>
      </c>
      <c r="W623" s="2">
        <f>ff_portfolios25!W623-ff_factors!$E623</f>
        <v>-1.1766E-2</v>
      </c>
      <c r="X623" s="2">
        <f>ff_portfolios25!X623-ff_factors!$E623</f>
        <v>-3.2522000000000002E-2</v>
      </c>
      <c r="Y623" s="2">
        <f>ff_portfolios25!Y623-ff_factors!$E623</f>
        <v>-3.0355999999999998E-2</v>
      </c>
      <c r="Z623" s="2">
        <f>ff_portfolios25!Z623-ff_factors!$E623</f>
        <v>-8.2419999999999993E-3</v>
      </c>
      <c r="AA623" s="2">
        <f>ff_portfolios25!AA623-ff_factors!$E623</f>
        <v>-9.3120000000000008E-3</v>
      </c>
      <c r="AB623" s="2">
        <f>ff_portfolios25!AB623-ff_factors!$E623</f>
        <v>-1.4336999999999999E-2</v>
      </c>
    </row>
    <row r="624" spans="1:28" x14ac:dyDescent="0.2">
      <c r="A624">
        <v>19831130</v>
      </c>
      <c r="B624">
        <v>1983</v>
      </c>
      <c r="C624">
        <v>11</v>
      </c>
      <c r="D624" s="2">
        <f>ff_portfolios25!D624-ff_factors!$E624</f>
        <v>2.9457999999999998E-2</v>
      </c>
      <c r="E624" s="2">
        <f>ff_portfolios25!E624-ff_factors!$E624</f>
        <v>2.9555999999999999E-2</v>
      </c>
      <c r="F624" s="2">
        <f>ff_portfolios25!F624-ff_factors!$E624</f>
        <v>2.7230999999999998E-2</v>
      </c>
      <c r="G624" s="2">
        <f>ff_portfolios25!G624-ff_factors!$E624</f>
        <v>2.0735E-2</v>
      </c>
      <c r="H624" s="2">
        <f>ff_portfolios25!H624-ff_factors!$E624</f>
        <v>3.6893000000000002E-2</v>
      </c>
      <c r="I624" s="2">
        <f>ff_portfolios25!I624-ff_factors!$E624</f>
        <v>5.0660999999999998E-2</v>
      </c>
      <c r="J624" s="2">
        <f>ff_portfolios25!J624-ff_factors!$E624</f>
        <v>4.4946E-2</v>
      </c>
      <c r="K624" s="2">
        <f>ff_portfolios25!K624-ff_factors!$E624</f>
        <v>4.0752999999999998E-2</v>
      </c>
      <c r="L624" s="2">
        <f>ff_portfolios25!L624-ff_factors!$E624</f>
        <v>4.5386000000000003E-2</v>
      </c>
      <c r="M624" s="2">
        <f>ff_portfolios25!M624-ff_factors!$E624</f>
        <v>4.1035000000000002E-2</v>
      </c>
      <c r="N624" s="2">
        <f>ff_portfolios25!N624-ff_factors!$E624</f>
        <v>5.4932000000000002E-2</v>
      </c>
      <c r="O624" s="2">
        <f>ff_portfolios25!O624-ff_factors!$E624</f>
        <v>3.6831000000000003E-2</v>
      </c>
      <c r="P624" s="2">
        <f>ff_portfolios25!P624-ff_factors!$E624</f>
        <v>3.9338999999999999E-2</v>
      </c>
      <c r="Q624" s="2">
        <f>ff_portfolios25!Q624-ff_factors!$E624</f>
        <v>3.4090000000000002E-2</v>
      </c>
      <c r="R624" s="2">
        <f>ff_portfolios25!R624-ff_factors!$E624</f>
        <v>3.2486000000000001E-2</v>
      </c>
      <c r="S624" s="2">
        <f>ff_portfolios25!S624-ff_factors!$E624</f>
        <v>5.0216999999999998E-2</v>
      </c>
      <c r="T624" s="2">
        <f>ff_portfolios25!T624-ff_factors!$E624</f>
        <v>2.0267E-2</v>
      </c>
      <c r="U624" s="2">
        <f>ff_portfolios25!U624-ff_factors!$E624</f>
        <v>3.8155000000000001E-2</v>
      </c>
      <c r="V624" s="2">
        <f>ff_portfolios25!V624-ff_factors!$E624</f>
        <v>4.1514000000000002E-2</v>
      </c>
      <c r="W624" s="2">
        <f>ff_portfolios25!W624-ff_factors!$E624</f>
        <v>3.0993E-2</v>
      </c>
      <c r="X624" s="2">
        <f>ff_portfolios25!X624-ff_factors!$E624</f>
        <v>4.9740000000000001E-3</v>
      </c>
      <c r="Y624" s="2">
        <f>ff_portfolios25!Y624-ff_factors!$E624</f>
        <v>2.2471000000000001E-2</v>
      </c>
      <c r="Z624" s="2">
        <f>ff_portfolios25!Z624-ff_factors!$E624</f>
        <v>2.1000000000000001E-2</v>
      </c>
      <c r="AA624" s="2">
        <f>ff_portfolios25!AA624-ff_factors!$E624</f>
        <v>8.7680000000000015E-3</v>
      </c>
      <c r="AB624" s="2">
        <f>ff_portfolios25!AB624-ff_factors!$E624</f>
        <v>-7.9100000000000004E-4</v>
      </c>
    </row>
    <row r="625" spans="1:28" x14ac:dyDescent="0.2">
      <c r="A625">
        <v>19831230</v>
      </c>
      <c r="B625">
        <v>1983</v>
      </c>
      <c r="C625">
        <v>12</v>
      </c>
      <c r="D625" s="2">
        <f>ff_portfolios25!D625-ff_factors!$E625</f>
        <v>-5.9298000000000003E-2</v>
      </c>
      <c r="E625" s="2">
        <f>ff_portfolios25!E625-ff_factors!$E625</f>
        <v>-2.0199000000000002E-2</v>
      </c>
      <c r="F625" s="2">
        <f>ff_portfolios25!F625-ff_factors!$E625</f>
        <v>-1.3797E-2</v>
      </c>
      <c r="G625" s="2">
        <f>ff_portfolios25!G625-ff_factors!$E625</f>
        <v>-1.0484E-2</v>
      </c>
      <c r="H625" s="2">
        <f>ff_portfolios25!H625-ff_factors!$E625</f>
        <v>9.900000000000013E-5</v>
      </c>
      <c r="I625" s="2">
        <f>ff_portfolios25!I625-ff_factors!$E625</f>
        <v>-3.8232000000000002E-2</v>
      </c>
      <c r="J625" s="2">
        <f>ff_portfolios25!J625-ff_factors!$E625</f>
        <v>-1.917E-2</v>
      </c>
      <c r="K625" s="2">
        <f>ff_portfolios25!K625-ff_factors!$E625</f>
        <v>-6.5520000000000005E-3</v>
      </c>
      <c r="L625" s="2">
        <f>ff_portfolios25!L625-ff_factors!$E625</f>
        <v>-8.3630000000000006E-3</v>
      </c>
      <c r="M625" s="2">
        <f>ff_portfolios25!M625-ff_factors!$E625</f>
        <v>-7.1970000000000003E-3</v>
      </c>
      <c r="N625" s="2">
        <f>ff_portfolios25!N625-ff_factors!$E625</f>
        <v>-3.909E-2</v>
      </c>
      <c r="O625" s="2">
        <f>ff_portfolios25!O625-ff_factors!$E625</f>
        <v>-1.9460999999999999E-2</v>
      </c>
      <c r="P625" s="2">
        <f>ff_portfolios25!P625-ff_factors!$E625</f>
        <v>-8.8739999999999999E-3</v>
      </c>
      <c r="Q625" s="2">
        <f>ff_portfolios25!Q625-ff_factors!$E625</f>
        <v>-1.7894E-2</v>
      </c>
      <c r="R625" s="2">
        <f>ff_portfolios25!R625-ff_factors!$E625</f>
        <v>5.4119999999999993E-3</v>
      </c>
      <c r="S625" s="2">
        <f>ff_portfolios25!S625-ff_factors!$E625</f>
        <v>-4.2027000000000002E-2</v>
      </c>
      <c r="T625" s="2">
        <f>ff_portfolios25!T625-ff_factors!$E625</f>
        <v>-1.2692999999999999E-2</v>
      </c>
      <c r="U625" s="2">
        <f>ff_portfolios25!U625-ff_factors!$E625</f>
        <v>-3.5306999999999998E-2</v>
      </c>
      <c r="V625" s="2">
        <f>ff_portfolios25!V625-ff_factors!$E625</f>
        <v>-2.4763E-2</v>
      </c>
      <c r="W625" s="2">
        <f>ff_portfolios25!W625-ff_factors!$E625</f>
        <v>-1.2661E-2</v>
      </c>
      <c r="X625" s="2">
        <f>ff_portfolios25!X625-ff_factors!$E625</f>
        <v>-7.7210000000000004E-3</v>
      </c>
      <c r="Y625" s="2">
        <f>ff_portfolios25!Y625-ff_factors!$E625</f>
        <v>-5.5339999999999999E-3</v>
      </c>
      <c r="Z625" s="2">
        <f>ff_portfolios25!Z625-ff_factors!$E625</f>
        <v>-3.0929000000000002E-2</v>
      </c>
      <c r="AA625" s="2">
        <f>ff_portfolios25!AA625-ff_factors!$E625</f>
        <v>-1.5678999999999998E-2</v>
      </c>
      <c r="AB625" s="2">
        <f>ff_portfolios25!AB625-ff_factors!$E625</f>
        <v>-1.8910000000000003E-3</v>
      </c>
    </row>
    <row r="626" spans="1:28" x14ac:dyDescent="0.2">
      <c r="A626">
        <v>19840131</v>
      </c>
      <c r="B626">
        <v>1984</v>
      </c>
      <c r="C626">
        <v>1</v>
      </c>
      <c r="D626" s="2">
        <f>ff_portfolios25!D626-ff_factors!$E626</f>
        <v>-2.7715999999999998E-2</v>
      </c>
      <c r="E626" s="2">
        <f>ff_portfolios25!E626-ff_factors!$E626</f>
        <v>-1.6334000000000001E-2</v>
      </c>
      <c r="F626" s="2">
        <f>ff_portfolios25!F626-ff_factors!$E626</f>
        <v>-8.3409999999999995E-3</v>
      </c>
      <c r="G626" s="2">
        <f>ff_portfolios25!G626-ff_factors!$E626</f>
        <v>4.6660000000000009E-3</v>
      </c>
      <c r="H626" s="2">
        <f>ff_portfolios25!H626-ff_factors!$E626</f>
        <v>2.4043999999999999E-2</v>
      </c>
      <c r="I626" s="2">
        <f>ff_portfolios25!I626-ff_factors!$E626</f>
        <v>-7.0751999999999995E-2</v>
      </c>
      <c r="J626" s="2">
        <f>ff_portfolios25!J626-ff_factors!$E626</f>
        <v>-2.1454999999999998E-2</v>
      </c>
      <c r="K626" s="2">
        <f>ff_portfolios25!K626-ff_factors!$E626</f>
        <v>-1.1286000000000001E-2</v>
      </c>
      <c r="L626" s="2">
        <f>ff_portfolios25!L626-ff_factors!$E626</f>
        <v>-5.0950000000000006E-3</v>
      </c>
      <c r="M626" s="2">
        <f>ff_portfolios25!M626-ff_factors!$E626</f>
        <v>2.9239999999999999E-2</v>
      </c>
      <c r="N626" s="2">
        <f>ff_portfolios25!N626-ff_factors!$E626</f>
        <v>-7.7554999999999999E-2</v>
      </c>
      <c r="O626" s="2">
        <f>ff_portfolios25!O626-ff_factors!$E626</f>
        <v>-5.3802000000000003E-2</v>
      </c>
      <c r="P626" s="2">
        <f>ff_portfolios25!P626-ff_factors!$E626</f>
        <v>-3.1348000000000001E-2</v>
      </c>
      <c r="Q626" s="2">
        <f>ff_portfolios25!Q626-ff_factors!$E626</f>
        <v>-3.9240000000000004E-3</v>
      </c>
      <c r="R626" s="2">
        <f>ff_portfolios25!R626-ff_factors!$E626</f>
        <v>-9.2350000000000002E-3</v>
      </c>
      <c r="S626" s="2">
        <f>ff_portfolios25!S626-ff_factors!$E626</f>
        <v>-8.4041999999999992E-2</v>
      </c>
      <c r="T626" s="2">
        <f>ff_portfolios25!T626-ff_factors!$E626</f>
        <v>-4.2391999999999999E-2</v>
      </c>
      <c r="U626" s="2">
        <f>ff_portfolios25!U626-ff_factors!$E626</f>
        <v>-2.2301000000000001E-2</v>
      </c>
      <c r="V626" s="2">
        <f>ff_portfolios25!V626-ff_factors!$E626</f>
        <v>-1.1324000000000001E-2</v>
      </c>
      <c r="W626" s="2">
        <f>ff_portfolios25!W626-ff_factors!$E626</f>
        <v>-2.967E-3</v>
      </c>
      <c r="X626" s="2">
        <f>ff_portfolios25!X626-ff_factors!$E626</f>
        <v>-6.4526E-2</v>
      </c>
      <c r="Y626" s="2">
        <f>ff_portfolios25!Y626-ff_factors!$E626</f>
        <v>-1.4974000000000001E-2</v>
      </c>
      <c r="Z626" s="2">
        <f>ff_portfolios25!Z626-ff_factors!$E626</f>
        <v>2.9109999999999995E-3</v>
      </c>
      <c r="AA626" s="2">
        <f>ff_portfolios25!AA626-ff_factors!$E626</f>
        <v>9.4769999999999993E-3</v>
      </c>
      <c r="AB626" s="2">
        <f>ff_portfolios25!AB626-ff_factors!$E626</f>
        <v>6.2188E-2</v>
      </c>
    </row>
    <row r="627" spans="1:28" x14ac:dyDescent="0.2">
      <c r="A627">
        <v>19840229</v>
      </c>
      <c r="B627">
        <v>1984</v>
      </c>
      <c r="C627">
        <v>2</v>
      </c>
      <c r="D627" s="2">
        <f>ff_portfolios25!D627-ff_factors!$E627</f>
        <v>-8.2121E-2</v>
      </c>
      <c r="E627" s="2">
        <f>ff_portfolios25!E627-ff_factors!$E627</f>
        <v>-7.5888999999999998E-2</v>
      </c>
      <c r="F627" s="2">
        <f>ff_portfolios25!F627-ff_factors!$E627</f>
        <v>-6.0256000000000004E-2</v>
      </c>
      <c r="G627" s="2">
        <f>ff_portfolios25!G627-ff_factors!$E627</f>
        <v>-4.9582000000000001E-2</v>
      </c>
      <c r="H627" s="2">
        <f>ff_portfolios25!H627-ff_factors!$E627</f>
        <v>-5.2990000000000002E-2</v>
      </c>
      <c r="I627" s="2">
        <f>ff_portfolios25!I627-ff_factors!$E627</f>
        <v>-7.8948999999999991E-2</v>
      </c>
      <c r="J627" s="2">
        <f>ff_portfolios25!J627-ff_factors!$E627</f>
        <v>-6.7135E-2</v>
      </c>
      <c r="K627" s="2">
        <f>ff_portfolios25!K627-ff_factors!$E627</f>
        <v>-4.5765E-2</v>
      </c>
      <c r="L627" s="2">
        <f>ff_portfolios25!L627-ff_factors!$E627</f>
        <v>-3.9179000000000005E-2</v>
      </c>
      <c r="M627" s="2">
        <f>ff_portfolios25!M627-ff_factors!$E627</f>
        <v>-4.6051000000000002E-2</v>
      </c>
      <c r="N627" s="2">
        <f>ff_portfolios25!N627-ff_factors!$E627</f>
        <v>-7.5012999999999996E-2</v>
      </c>
      <c r="O627" s="2">
        <f>ff_portfolios25!O627-ff_factors!$E627</f>
        <v>-7.8478999999999993E-2</v>
      </c>
      <c r="P627" s="2">
        <f>ff_portfolios25!P627-ff_factors!$E627</f>
        <v>-5.4063E-2</v>
      </c>
      <c r="Q627" s="2">
        <f>ff_portfolios25!Q627-ff_factors!$E627</f>
        <v>-5.3777999999999999E-2</v>
      </c>
      <c r="R627" s="2">
        <f>ff_portfolios25!R627-ff_factors!$E627</f>
        <v>-3.0468000000000002E-2</v>
      </c>
      <c r="S627" s="2">
        <f>ff_portfolios25!S627-ff_factors!$E627</f>
        <v>-6.3982999999999998E-2</v>
      </c>
      <c r="T627" s="2">
        <f>ff_portfolios25!T627-ff_factors!$E627</f>
        <v>-6.4549999999999996E-2</v>
      </c>
      <c r="U627" s="2">
        <f>ff_portfolios25!U627-ff_factors!$E627</f>
        <v>-6.2246000000000003E-2</v>
      </c>
      <c r="V627" s="2">
        <f>ff_portfolios25!V627-ff_factors!$E627</f>
        <v>-3.9123999999999999E-2</v>
      </c>
      <c r="W627" s="2">
        <f>ff_portfolios25!W627-ff_factors!$E627</f>
        <v>-5.4089999999999999E-2</v>
      </c>
      <c r="X627" s="2">
        <f>ff_portfolios25!X627-ff_factors!$E627</f>
        <v>-4.4777000000000004E-2</v>
      </c>
      <c r="Y627" s="2">
        <f>ff_portfolios25!Y627-ff_factors!$E627</f>
        <v>-6.7089999999999997E-2</v>
      </c>
      <c r="Z627" s="2">
        <f>ff_portfolios25!Z627-ff_factors!$E627</f>
        <v>-5.1336E-2</v>
      </c>
      <c r="AA627" s="2">
        <f>ff_portfolios25!AA627-ff_factors!$E627</f>
        <v>-2.9413000000000002E-2</v>
      </c>
      <c r="AB627" s="2">
        <f>ff_portfolios25!AB627-ff_factors!$E627</f>
        <v>-3.1100000000000051E-4</v>
      </c>
    </row>
    <row r="628" spans="1:28" x14ac:dyDescent="0.2">
      <c r="A628">
        <v>19840330</v>
      </c>
      <c r="B628">
        <v>1984</v>
      </c>
      <c r="C628">
        <v>3</v>
      </c>
      <c r="D628" s="2">
        <f>ff_portfolios25!D628-ff_factors!$E628</f>
        <v>-1.8197999999999999E-2</v>
      </c>
      <c r="E628" s="2">
        <f>ff_portfolios25!E628-ff_factors!$E628</f>
        <v>7.0979999999999993E-3</v>
      </c>
      <c r="F628" s="2">
        <f>ff_portfolios25!F628-ff_factors!$E628</f>
        <v>-1.503E-3</v>
      </c>
      <c r="G628" s="2">
        <f>ff_portfolios25!G628-ff_factors!$E628</f>
        <v>8.8360000000000001E-3</v>
      </c>
      <c r="H628" s="2">
        <f>ff_portfolios25!H628-ff_factors!$E628</f>
        <v>1.4093999999999999E-2</v>
      </c>
      <c r="I628" s="2">
        <f>ff_portfolios25!I628-ff_factors!$E628</f>
        <v>-1.0092E-2</v>
      </c>
      <c r="J628" s="2">
        <f>ff_portfolios25!J628-ff_factors!$E628</f>
        <v>5.7460000000000002E-3</v>
      </c>
      <c r="K628" s="2">
        <f>ff_portfolios25!K628-ff_factors!$E628</f>
        <v>2.1949999999999999E-3</v>
      </c>
      <c r="L628" s="2">
        <f>ff_portfolios25!L628-ff_factors!$E628</f>
        <v>4.9670000000000001E-3</v>
      </c>
      <c r="M628" s="2">
        <f>ff_portfolios25!M628-ff_factors!$E628</f>
        <v>1.2205999999999998E-2</v>
      </c>
      <c r="N628" s="2">
        <f>ff_portfolios25!N628-ff_factors!$E628</f>
        <v>-1.0750000000000004E-3</v>
      </c>
      <c r="O628" s="2">
        <f>ff_portfolios25!O628-ff_factors!$E628</f>
        <v>7.2579999999999997E-3</v>
      </c>
      <c r="P628" s="2">
        <f>ff_portfolios25!P628-ff_factors!$E628</f>
        <v>1.5869999999999999E-2</v>
      </c>
      <c r="Q628" s="2">
        <f>ff_portfolios25!Q628-ff_factors!$E628</f>
        <v>6.2619999999999993E-3</v>
      </c>
      <c r="R628" s="2">
        <f>ff_portfolios25!R628-ff_factors!$E628</f>
        <v>2.6301999999999999E-2</v>
      </c>
      <c r="S628" s="2">
        <f>ff_portfolios25!S628-ff_factors!$E628</f>
        <v>-1.5240000000000002E-3</v>
      </c>
      <c r="T628" s="2">
        <f>ff_portfolios25!T628-ff_factors!$E628</f>
        <v>6.4300000000000034E-4</v>
      </c>
      <c r="U628" s="2">
        <f>ff_portfolios25!U628-ff_factors!$E628</f>
        <v>1.7384E-2</v>
      </c>
      <c r="V628" s="2">
        <f>ff_portfolios25!V628-ff_factors!$E628</f>
        <v>8.0579999999999992E-3</v>
      </c>
      <c r="W628" s="2">
        <f>ff_portfolios25!W628-ff_factors!$E628</f>
        <v>3.5133999999999999E-2</v>
      </c>
      <c r="X628" s="2">
        <f>ff_portfolios25!X628-ff_factors!$E628</f>
        <v>1.0599000000000001E-2</v>
      </c>
      <c r="Y628" s="2">
        <f>ff_portfolios25!Y628-ff_factors!$E628</f>
        <v>2.2204999999999999E-2</v>
      </c>
      <c r="Z628" s="2">
        <f>ff_portfolios25!Z628-ff_factors!$E628</f>
        <v>-6.6709999999999998E-3</v>
      </c>
      <c r="AA628" s="2">
        <f>ff_portfolios25!AA628-ff_factors!$E628</f>
        <v>1.1223E-2</v>
      </c>
      <c r="AB628" s="2">
        <f>ff_portfolios25!AB628-ff_factors!$E628</f>
        <v>-2.1857999999999999E-2</v>
      </c>
    </row>
    <row r="629" spans="1:28" x14ac:dyDescent="0.2">
      <c r="A629">
        <v>19840430</v>
      </c>
      <c r="B629">
        <v>1984</v>
      </c>
      <c r="C629">
        <v>4</v>
      </c>
      <c r="D629" s="2">
        <f>ff_portfolios25!D629-ff_factors!$E629</f>
        <v>-4.8671000000000006E-2</v>
      </c>
      <c r="E629" s="2">
        <f>ff_portfolios25!E629-ff_factors!$E629</f>
        <v>-2.6241E-2</v>
      </c>
      <c r="F629" s="2">
        <f>ff_portfolios25!F629-ff_factors!$E629</f>
        <v>-1.5264E-2</v>
      </c>
      <c r="G629" s="2">
        <f>ff_portfolios25!G629-ff_factors!$E629</f>
        <v>-8.1779999999999995E-3</v>
      </c>
      <c r="H629" s="2">
        <f>ff_portfolios25!H629-ff_factors!$E629</f>
        <v>-1.7627E-2</v>
      </c>
      <c r="I629" s="2">
        <f>ff_portfolios25!I629-ff_factors!$E629</f>
        <v>-2.0938999999999999E-2</v>
      </c>
      <c r="J629" s="2">
        <f>ff_portfolios25!J629-ff_factors!$E629</f>
        <v>6.5800000000000008E-3</v>
      </c>
      <c r="K629" s="2">
        <f>ff_portfolios25!K629-ff_factors!$E629</f>
        <v>-1.6029999999999994E-3</v>
      </c>
      <c r="L629" s="2">
        <f>ff_portfolios25!L629-ff_factors!$E629</f>
        <v>-6.6669999999999993E-3</v>
      </c>
      <c r="M629" s="2">
        <f>ff_portfolios25!M629-ff_factors!$E629</f>
        <v>-1.9653999999999998E-2</v>
      </c>
      <c r="N629" s="2">
        <f>ff_portfolios25!N629-ff_factors!$E629</f>
        <v>-8.1399999999999997E-3</v>
      </c>
      <c r="O629" s="2">
        <f>ff_portfolios25!O629-ff_factors!$E629</f>
        <v>2.9049999999999996E-3</v>
      </c>
      <c r="P629" s="2">
        <f>ff_portfolios25!P629-ff_factors!$E629</f>
        <v>-8.8599999999999998E-3</v>
      </c>
      <c r="Q629" s="2">
        <f>ff_portfolios25!Q629-ff_factors!$E629</f>
        <v>-2.0232E-2</v>
      </c>
      <c r="R629" s="2">
        <f>ff_portfolios25!R629-ff_factors!$E629</f>
        <v>-6.5349999999999991E-3</v>
      </c>
      <c r="S629" s="2">
        <f>ff_portfolios25!S629-ff_factors!$E629</f>
        <v>-2.1292999999999999E-2</v>
      </c>
      <c r="T629" s="2">
        <f>ff_portfolios25!T629-ff_factors!$E629</f>
        <v>-1.3528999999999999E-2</v>
      </c>
      <c r="U629" s="2">
        <f>ff_portfolios25!U629-ff_factors!$E629</f>
        <v>-1.376E-2</v>
      </c>
      <c r="V629" s="2">
        <f>ff_portfolios25!V629-ff_factors!$E629</f>
        <v>-3.3434999999999999E-2</v>
      </c>
      <c r="W629" s="2">
        <f>ff_portfolios25!W629-ff_factors!$E629</f>
        <v>-2.6542E-2</v>
      </c>
      <c r="X629" s="2">
        <f>ff_portfolios25!X629-ff_factors!$E629</f>
        <v>6.1710000000000011E-3</v>
      </c>
      <c r="Y629" s="2">
        <f>ff_portfolios25!Y629-ff_factors!$E629</f>
        <v>-1.2062E-2</v>
      </c>
      <c r="Z629" s="2">
        <f>ff_portfolios25!Z629-ff_factors!$E629</f>
        <v>5.0790000000000002E-3</v>
      </c>
      <c r="AA629" s="2">
        <f>ff_portfolios25!AA629-ff_factors!$E629</f>
        <v>7.6550000000000021E-3</v>
      </c>
      <c r="AB629" s="2">
        <f>ff_portfolios25!AB629-ff_factors!$E629</f>
        <v>1.6164999999999999E-2</v>
      </c>
    </row>
    <row r="630" spans="1:28" x14ac:dyDescent="0.2">
      <c r="A630">
        <v>19840531</v>
      </c>
      <c r="B630">
        <v>1984</v>
      </c>
      <c r="C630">
        <v>5</v>
      </c>
      <c r="D630" s="2">
        <f>ff_portfolios25!D630-ff_factors!$E630</f>
        <v>-6.9655999999999996E-2</v>
      </c>
      <c r="E630" s="2">
        <f>ff_portfolios25!E630-ff_factors!$E630</f>
        <v>-5.5154000000000002E-2</v>
      </c>
      <c r="F630" s="2">
        <f>ff_portfolios25!F630-ff_factors!$E630</f>
        <v>-5.6895000000000001E-2</v>
      </c>
      <c r="G630" s="2">
        <f>ff_portfolios25!G630-ff_factors!$E630</f>
        <v>-4.2494999999999998E-2</v>
      </c>
      <c r="H630" s="2">
        <f>ff_portfolios25!H630-ff_factors!$E630</f>
        <v>-4.3796000000000002E-2</v>
      </c>
      <c r="I630" s="2">
        <f>ff_portfolios25!I630-ff_factors!$E630</f>
        <v>-6.8829000000000001E-2</v>
      </c>
      <c r="J630" s="2">
        <f>ff_portfolios25!J630-ff_factors!$E630</f>
        <v>-5.7142999999999999E-2</v>
      </c>
      <c r="K630" s="2">
        <f>ff_portfolios25!K630-ff_factors!$E630</f>
        <v>-5.7831E-2</v>
      </c>
      <c r="L630" s="2">
        <f>ff_portfolios25!L630-ff_factors!$E630</f>
        <v>-4.786E-2</v>
      </c>
      <c r="M630" s="2">
        <f>ff_portfolios25!M630-ff_factors!$E630</f>
        <v>-4.9057000000000003E-2</v>
      </c>
      <c r="N630" s="2">
        <f>ff_portfolios25!N630-ff_factors!$E630</f>
        <v>-6.6639000000000004E-2</v>
      </c>
      <c r="O630" s="2">
        <f>ff_portfolios25!O630-ff_factors!$E630</f>
        <v>-6.3602999999999993E-2</v>
      </c>
      <c r="P630" s="2">
        <f>ff_portfolios25!P630-ff_factors!$E630</f>
        <v>-6.4101999999999992E-2</v>
      </c>
      <c r="Q630" s="2">
        <f>ff_portfolios25!Q630-ff_factors!$E630</f>
        <v>-4.8240999999999999E-2</v>
      </c>
      <c r="R630" s="2">
        <f>ff_portfolios25!R630-ff_factors!$E630</f>
        <v>-7.2648000000000004E-2</v>
      </c>
      <c r="S630" s="2">
        <f>ff_portfolios25!S630-ff_factors!$E630</f>
        <v>-4.7316999999999998E-2</v>
      </c>
      <c r="T630" s="2">
        <f>ff_portfolios25!T630-ff_factors!$E630</f>
        <v>-4.7143999999999998E-2</v>
      </c>
      <c r="U630" s="2">
        <f>ff_portfolios25!U630-ff_factors!$E630</f>
        <v>-5.9375999999999998E-2</v>
      </c>
      <c r="V630" s="2">
        <f>ff_portfolios25!V630-ff_factors!$E630</f>
        <v>-6.0756000000000004E-2</v>
      </c>
      <c r="W630" s="2">
        <f>ff_portfolios25!W630-ff_factors!$E630</f>
        <v>-8.3274000000000001E-2</v>
      </c>
      <c r="X630" s="2">
        <f>ff_portfolios25!X630-ff_factors!$E630</f>
        <v>-5.9846000000000003E-2</v>
      </c>
      <c r="Y630" s="2">
        <f>ff_portfolios25!Y630-ff_factors!$E630</f>
        <v>-4.1256000000000001E-2</v>
      </c>
      <c r="Z630" s="2">
        <f>ff_portfolios25!Z630-ff_factors!$E630</f>
        <v>-6.9793999999999995E-2</v>
      </c>
      <c r="AA630" s="2">
        <f>ff_portfolios25!AA630-ff_factors!$E630</f>
        <v>-4.9187000000000002E-2</v>
      </c>
      <c r="AB630" s="2">
        <f>ff_portfolios25!AB630-ff_factors!$E630</f>
        <v>-6.8345000000000003E-2</v>
      </c>
    </row>
    <row r="631" spans="1:28" x14ac:dyDescent="0.2">
      <c r="A631">
        <v>19840629</v>
      </c>
      <c r="B631">
        <v>1984</v>
      </c>
      <c r="C631">
        <v>6</v>
      </c>
      <c r="D631" s="2">
        <f>ff_portfolios25!D631-ff_factors!$E631</f>
        <v>3.1850000000000003E-3</v>
      </c>
      <c r="E631" s="2">
        <f>ff_portfolios25!E631-ff_factors!$E631</f>
        <v>2.6558999999999999E-2</v>
      </c>
      <c r="F631" s="2">
        <f>ff_portfolios25!F631-ff_factors!$E631</f>
        <v>1.4251E-2</v>
      </c>
      <c r="G631" s="2">
        <f>ff_portfolios25!G631-ff_factors!$E631</f>
        <v>8.317999999999999E-3</v>
      </c>
      <c r="H631" s="2">
        <f>ff_portfolios25!H631-ff_factors!$E631</f>
        <v>5.5890000000000002E-3</v>
      </c>
      <c r="I631" s="2">
        <f>ff_portfolios25!I631-ff_factors!$E631</f>
        <v>3.2308999999999997E-2</v>
      </c>
      <c r="J631" s="2">
        <f>ff_portfolios25!J631-ff_factors!$E631</f>
        <v>3.9426000000000003E-2</v>
      </c>
      <c r="K631" s="2">
        <f>ff_portfolios25!K631-ff_factors!$E631</f>
        <v>1.1606000000000002E-2</v>
      </c>
      <c r="L631" s="2">
        <f>ff_portfolios25!L631-ff_factors!$E631</f>
        <v>2.0367E-2</v>
      </c>
      <c r="M631" s="2">
        <f>ff_portfolios25!M631-ff_factors!$E631</f>
        <v>3.7700000000000008E-3</v>
      </c>
      <c r="N631" s="2">
        <f>ff_portfolios25!N631-ff_factors!$E631</f>
        <v>5.6730999999999997E-2</v>
      </c>
      <c r="O631" s="2">
        <f>ff_portfolios25!O631-ff_factors!$E631</f>
        <v>4.2575000000000002E-2</v>
      </c>
      <c r="P631" s="2">
        <f>ff_portfolios25!P631-ff_factors!$E631</f>
        <v>2.216000000000001E-3</v>
      </c>
      <c r="Q631" s="2">
        <f>ff_portfolios25!Q631-ff_factors!$E631</f>
        <v>8.1619999999999991E-3</v>
      </c>
      <c r="R631" s="2">
        <f>ff_portfolios25!R631-ff_factors!$E631</f>
        <v>-1.2907999999999999E-2</v>
      </c>
      <c r="S631" s="2">
        <f>ff_portfolios25!S631-ff_factors!$E631</f>
        <v>5.2332999999999998E-2</v>
      </c>
      <c r="T631" s="2">
        <f>ff_portfolios25!T631-ff_factors!$E631</f>
        <v>3.8038000000000002E-2</v>
      </c>
      <c r="U631" s="2">
        <f>ff_portfolios25!U631-ff_factors!$E631</f>
        <v>1.0346999999999999E-2</v>
      </c>
      <c r="V631" s="2">
        <f>ff_portfolios25!V631-ff_factors!$E631</f>
        <v>1.1970000000000001E-2</v>
      </c>
      <c r="W631" s="2">
        <f>ff_portfolios25!W631-ff_factors!$E631</f>
        <v>1.7971000000000001E-2</v>
      </c>
      <c r="X631" s="2">
        <f>ff_portfolios25!X631-ff_factors!$E631</f>
        <v>2.7285999999999998E-2</v>
      </c>
      <c r="Y631" s="2">
        <f>ff_portfolios25!Y631-ff_factors!$E631</f>
        <v>4.6155000000000002E-2</v>
      </c>
      <c r="Z631" s="2">
        <f>ff_portfolios25!Z631-ff_factors!$E631</f>
        <v>1.3271999999999999E-2</v>
      </c>
      <c r="AA631" s="2">
        <f>ff_portfolios25!AA631-ff_factors!$E631</f>
        <v>-1.9505999999999999E-2</v>
      </c>
      <c r="AB631" s="2">
        <f>ff_portfolios25!AB631-ff_factors!$E631</f>
        <v>4.5902999999999999E-2</v>
      </c>
    </row>
    <row r="632" spans="1:28" x14ac:dyDescent="0.2">
      <c r="A632">
        <v>19840731</v>
      </c>
      <c r="B632">
        <v>1984</v>
      </c>
      <c r="C632">
        <v>7</v>
      </c>
      <c r="D632" s="2">
        <f>ff_portfolios25!D632-ff_factors!$E632</f>
        <v>-8.0385999999999999E-2</v>
      </c>
      <c r="E632" s="2">
        <f>ff_portfolios25!E632-ff_factors!$E632</f>
        <v>-6.0290999999999997E-2</v>
      </c>
      <c r="F632" s="2">
        <f>ff_portfolios25!F632-ff_factors!$E632</f>
        <v>-5.2325999999999998E-2</v>
      </c>
      <c r="G632" s="2">
        <f>ff_portfolios25!G632-ff_factors!$E632</f>
        <v>-2.6841999999999998E-2</v>
      </c>
      <c r="H632" s="2">
        <f>ff_portfolios25!H632-ff_factors!$E632</f>
        <v>-2.9783000000000004E-2</v>
      </c>
      <c r="I632" s="2">
        <f>ff_portfolios25!I632-ff_factors!$E632</f>
        <v>-6.1608999999999997E-2</v>
      </c>
      <c r="J632" s="2">
        <f>ff_portfolios25!J632-ff_factors!$E632</f>
        <v>-6.4452000000000009E-2</v>
      </c>
      <c r="K632" s="2">
        <f>ff_portfolios25!K632-ff_factors!$E632</f>
        <v>-2.2124999999999999E-2</v>
      </c>
      <c r="L632" s="2">
        <f>ff_portfolios25!L632-ff_factors!$E632</f>
        <v>-4.6878999999999997E-2</v>
      </c>
      <c r="M632" s="2">
        <f>ff_portfolios25!M632-ff_factors!$E632</f>
        <v>-4.4962000000000002E-2</v>
      </c>
      <c r="N632" s="2">
        <f>ff_portfolios25!N632-ff_factors!$E632</f>
        <v>-4.4858999999999996E-2</v>
      </c>
      <c r="O632" s="2">
        <f>ff_portfolios25!O632-ff_factors!$E632</f>
        <v>-4.0953999999999997E-2</v>
      </c>
      <c r="P632" s="2">
        <f>ff_portfolios25!P632-ff_factors!$E632</f>
        <v>-3.7523000000000001E-2</v>
      </c>
      <c r="Q632" s="2">
        <f>ff_portfolios25!Q632-ff_factors!$E632</f>
        <v>-3.8434000000000003E-2</v>
      </c>
      <c r="R632" s="2">
        <f>ff_portfolios25!R632-ff_factors!$E632</f>
        <v>-1.8154E-2</v>
      </c>
      <c r="S632" s="2">
        <f>ff_portfolios25!S632-ff_factors!$E632</f>
        <v>-4.3673999999999998E-2</v>
      </c>
      <c r="T632" s="2">
        <f>ff_portfolios25!T632-ff_factors!$E632</f>
        <v>-5.8795E-2</v>
      </c>
      <c r="U632" s="2">
        <f>ff_portfolios25!U632-ff_factors!$E632</f>
        <v>-3.3321999999999997E-2</v>
      </c>
      <c r="V632" s="2">
        <f>ff_portfolios25!V632-ff_factors!$E632</f>
        <v>-5.4238000000000001E-2</v>
      </c>
      <c r="W632" s="2">
        <f>ff_portfolios25!W632-ff_factors!$E632</f>
        <v>-1.3135000000000001E-2</v>
      </c>
      <c r="X632" s="2">
        <f>ff_portfolios25!X632-ff_factors!$E632</f>
        <v>-5.0900000000000008E-3</v>
      </c>
      <c r="Y632" s="2">
        <f>ff_portfolios25!Y632-ff_factors!$E632</f>
        <v>-2.257E-2</v>
      </c>
      <c r="Z632" s="2">
        <f>ff_portfolios25!Z632-ff_factors!$E632</f>
        <v>-7.196000000000001E-3</v>
      </c>
      <c r="AA632" s="2">
        <f>ff_portfolios25!AA632-ff_factors!$E632</f>
        <v>-4.0447999999999998E-2</v>
      </c>
      <c r="AB632" s="2">
        <f>ff_portfolios25!AB632-ff_factors!$E632</f>
        <v>-3.1477999999999999E-2</v>
      </c>
    </row>
    <row r="633" spans="1:28" x14ac:dyDescent="0.2">
      <c r="A633">
        <v>19840831</v>
      </c>
      <c r="B633">
        <v>1984</v>
      </c>
      <c r="C633">
        <v>8</v>
      </c>
      <c r="D633" s="2">
        <f>ff_portfolios25!D633-ff_factors!$E633</f>
        <v>0.10692599999999999</v>
      </c>
      <c r="E633" s="2">
        <f>ff_portfolios25!E633-ff_factors!$E633</f>
        <v>0.108143</v>
      </c>
      <c r="F633" s="2">
        <f>ff_portfolios25!F633-ff_factors!$E633</f>
        <v>7.7954999999999997E-2</v>
      </c>
      <c r="G633" s="2">
        <f>ff_portfolios25!G633-ff_factors!$E633</f>
        <v>6.3795999999999992E-2</v>
      </c>
      <c r="H633" s="2">
        <f>ff_portfolios25!H633-ff_factors!$E633</f>
        <v>7.8170000000000003E-2</v>
      </c>
      <c r="I633" s="2">
        <f>ff_portfolios25!I633-ff_factors!$E633</f>
        <v>0.149586</v>
      </c>
      <c r="J633" s="2">
        <f>ff_portfolios25!J633-ff_factors!$E633</f>
        <v>9.7207000000000002E-2</v>
      </c>
      <c r="K633" s="2">
        <f>ff_portfolios25!K633-ff_factors!$E633</f>
        <v>9.0717999999999993E-2</v>
      </c>
      <c r="L633" s="2">
        <f>ff_portfolios25!L633-ff_factors!$E633</f>
        <v>8.5892999999999997E-2</v>
      </c>
      <c r="M633" s="2">
        <f>ff_portfolios25!M633-ff_factors!$E633</f>
        <v>9.4792000000000001E-2</v>
      </c>
      <c r="N633" s="2">
        <f>ff_portfolios25!N633-ff_factors!$E633</f>
        <v>0.14575299999999999</v>
      </c>
      <c r="O633" s="2">
        <f>ff_portfolios25!O633-ff_factors!$E633</f>
        <v>0.12284799999999998</v>
      </c>
      <c r="P633" s="2">
        <f>ff_portfolios25!P633-ff_factors!$E633</f>
        <v>9.8362999999999992E-2</v>
      </c>
      <c r="Q633" s="2">
        <f>ff_portfolios25!Q633-ff_factors!$E633</f>
        <v>0.112313</v>
      </c>
      <c r="R633" s="2">
        <f>ff_portfolios25!R633-ff_factors!$E633</f>
        <v>8.5857000000000003E-2</v>
      </c>
      <c r="S633" s="2">
        <f>ff_portfolios25!S633-ff_factors!$E633</f>
        <v>0.11996499999999999</v>
      </c>
      <c r="T633" s="2">
        <f>ff_portfolios25!T633-ff_factors!$E633</f>
        <v>0.126059</v>
      </c>
      <c r="U633" s="2">
        <f>ff_portfolios25!U633-ff_factors!$E633</f>
        <v>0.115954</v>
      </c>
      <c r="V633" s="2">
        <f>ff_portfolios25!V633-ff_factors!$E633</f>
        <v>0.104184</v>
      </c>
      <c r="W633" s="2">
        <f>ff_portfolios25!W633-ff_factors!$E633</f>
        <v>9.1493999999999992E-2</v>
      </c>
      <c r="X633" s="2">
        <f>ff_portfolios25!X633-ff_factors!$E633</f>
        <v>9.9390999999999993E-2</v>
      </c>
      <c r="Y633" s="2">
        <f>ff_portfolios25!Y633-ff_factors!$E633</f>
        <v>9.3420000000000003E-2</v>
      </c>
      <c r="Z633" s="2">
        <f>ff_portfolios25!Z633-ff_factors!$E633</f>
        <v>9.6828999999999998E-2</v>
      </c>
      <c r="AA633" s="2">
        <f>ff_portfolios25!AA633-ff_factors!$E633</f>
        <v>0.10578</v>
      </c>
      <c r="AB633" s="2">
        <f>ff_portfolios25!AB633-ff_factors!$E633</f>
        <v>0.116703</v>
      </c>
    </row>
    <row r="634" spans="1:28" x14ac:dyDescent="0.2">
      <c r="A634">
        <v>19840928</v>
      </c>
      <c r="B634">
        <v>1984</v>
      </c>
      <c r="C634">
        <v>9</v>
      </c>
      <c r="D634" s="2">
        <f>ff_portfolios25!D634-ff_factors!$E634</f>
        <v>-3.4689999999999999E-2</v>
      </c>
      <c r="E634" s="2">
        <f>ff_portfolios25!E634-ff_factors!$E634</f>
        <v>-2.3606000000000002E-2</v>
      </c>
      <c r="F634" s="2">
        <f>ff_portfolios25!F634-ff_factors!$E634</f>
        <v>-2.6179999999999997E-3</v>
      </c>
      <c r="G634" s="2">
        <f>ff_portfolios25!G634-ff_factors!$E634</f>
        <v>4.241E-3</v>
      </c>
      <c r="H634" s="2">
        <f>ff_portfolios25!H634-ff_factors!$E634</f>
        <v>1.5428000000000001E-2</v>
      </c>
      <c r="I634" s="2">
        <f>ff_portfolios25!I634-ff_factors!$E634</f>
        <v>-6.3178999999999999E-2</v>
      </c>
      <c r="J634" s="2">
        <f>ff_portfolios25!J634-ff_factors!$E634</f>
        <v>-6.0200000000000002E-3</v>
      </c>
      <c r="K634" s="2">
        <f>ff_portfolios25!K634-ff_factors!$E634</f>
        <v>1.1377000000000002E-2</v>
      </c>
      <c r="L634" s="2">
        <f>ff_portfolios25!L634-ff_factors!$E634</f>
        <v>6.5900000000000004E-3</v>
      </c>
      <c r="M634" s="2">
        <f>ff_portfolios25!M634-ff_factors!$E634</f>
        <v>2.3633999999999999E-2</v>
      </c>
      <c r="N634" s="2">
        <f>ff_portfolios25!N634-ff_factors!$E634</f>
        <v>-4.9185000000000006E-2</v>
      </c>
      <c r="O634" s="2">
        <f>ff_portfolios25!O634-ff_factors!$E634</f>
        <v>9.392000000000001E-3</v>
      </c>
      <c r="P634" s="2">
        <f>ff_portfolios25!P634-ff_factors!$E634</f>
        <v>9.3190000000000009E-3</v>
      </c>
      <c r="Q634" s="2">
        <f>ff_portfolios25!Q634-ff_factors!$E634</f>
        <v>1.4159000000000001E-2</v>
      </c>
      <c r="R634" s="2">
        <f>ff_portfolios25!R634-ff_factors!$E634</f>
        <v>2.5678999999999997E-2</v>
      </c>
      <c r="S634" s="2">
        <f>ff_portfolios25!S634-ff_factors!$E634</f>
        <v>-2.3322000000000002E-2</v>
      </c>
      <c r="T634" s="2">
        <f>ff_portfolios25!T634-ff_factors!$E634</f>
        <v>-2.4340000000000001E-2</v>
      </c>
      <c r="U634" s="2">
        <f>ff_portfolios25!U634-ff_factors!$E634</f>
        <v>-2.0070000000000001E-3</v>
      </c>
      <c r="V634" s="2">
        <f>ff_portfolios25!V634-ff_factors!$E634</f>
        <v>5.8960000000000002E-3</v>
      </c>
      <c r="W634" s="2">
        <f>ff_portfolios25!W634-ff_factors!$E634</f>
        <v>3.6133999999999999E-2</v>
      </c>
      <c r="X634" s="2">
        <f>ff_portfolios25!X634-ff_factors!$E634</f>
        <v>-3.6389000000000005E-2</v>
      </c>
      <c r="Y634" s="2">
        <f>ff_portfolios25!Y634-ff_factors!$E634</f>
        <v>-2.5465000000000002E-2</v>
      </c>
      <c r="Z634" s="2">
        <f>ff_portfolios25!Z634-ff_factors!$E634</f>
        <v>-1.2732E-2</v>
      </c>
      <c r="AA634" s="2">
        <f>ff_portfolios25!AA634-ff_factors!$E634</f>
        <v>1.0603000000000001E-2</v>
      </c>
      <c r="AB634" s="2">
        <f>ff_portfolios25!AB634-ff_factors!$E634</f>
        <v>2.3839000000000003E-2</v>
      </c>
    </row>
    <row r="635" spans="1:28" x14ac:dyDescent="0.2">
      <c r="A635">
        <v>19841031</v>
      </c>
      <c r="B635">
        <v>1984</v>
      </c>
      <c r="C635">
        <v>10</v>
      </c>
      <c r="D635" s="2">
        <f>ff_portfolios25!D635-ff_factors!$E635</f>
        <v>-4.8226000000000005E-2</v>
      </c>
      <c r="E635" s="2">
        <f>ff_portfolios25!E635-ff_factors!$E635</f>
        <v>-2.3259000000000002E-2</v>
      </c>
      <c r="F635" s="2">
        <f>ff_portfolios25!F635-ff_factors!$E635</f>
        <v>-3.0968000000000002E-2</v>
      </c>
      <c r="G635" s="2">
        <f>ff_portfolios25!G635-ff_factors!$E635</f>
        <v>-2.5695000000000003E-2</v>
      </c>
      <c r="H635" s="2">
        <f>ff_portfolios25!H635-ff_factors!$E635</f>
        <v>-2.2851E-2</v>
      </c>
      <c r="I635" s="2">
        <f>ff_portfolios25!I635-ff_factors!$E635</f>
        <v>-4.0406999999999998E-2</v>
      </c>
      <c r="J635" s="2">
        <f>ff_portfolios25!J635-ff_factors!$E635</f>
        <v>-2.7210999999999999E-2</v>
      </c>
      <c r="K635" s="2">
        <f>ff_portfolios25!K635-ff_factors!$E635</f>
        <v>-1.2363000000000001E-2</v>
      </c>
      <c r="L635" s="2">
        <f>ff_portfolios25!L635-ff_factors!$E635</f>
        <v>-9.1600000000000015E-4</v>
      </c>
      <c r="M635" s="2">
        <f>ff_portfolios25!M635-ff_factors!$E635</f>
        <v>-4.9999999999997963E-6</v>
      </c>
      <c r="N635" s="2">
        <f>ff_portfolios25!N635-ff_factors!$E635</f>
        <v>-2.7437000000000003E-2</v>
      </c>
      <c r="O635" s="2">
        <f>ff_portfolios25!O635-ff_factors!$E635</f>
        <v>-1.6031E-2</v>
      </c>
      <c r="P635" s="2">
        <f>ff_portfolios25!P635-ff_factors!$E635</f>
        <v>5.984999999999999E-3</v>
      </c>
      <c r="Q635" s="2">
        <f>ff_portfolios25!Q635-ff_factors!$E635</f>
        <v>-2.8074000000000002E-2</v>
      </c>
      <c r="R635" s="2">
        <f>ff_portfolios25!R635-ff_factors!$E635</f>
        <v>4.921E-3</v>
      </c>
      <c r="S635" s="2">
        <f>ff_portfolios25!S635-ff_factors!$E635</f>
        <v>-1.4319999999999999E-2</v>
      </c>
      <c r="T635" s="2">
        <f>ff_portfolios25!T635-ff_factors!$E635</f>
        <v>-1.0149E-2</v>
      </c>
      <c r="U635" s="2">
        <f>ff_portfolios25!U635-ff_factors!$E635</f>
        <v>-3.0860000000000002E-3</v>
      </c>
      <c r="V635" s="2">
        <f>ff_portfolios25!V635-ff_factors!$E635</f>
        <v>-8.0020000000000004E-3</v>
      </c>
      <c r="W635" s="2">
        <f>ff_portfolios25!W635-ff_factors!$E635</f>
        <v>6.9039999999999987E-3</v>
      </c>
      <c r="X635" s="2">
        <f>ff_portfolios25!X635-ff_factors!$E635</f>
        <v>-1.2010000000000007E-3</v>
      </c>
      <c r="Y635" s="2">
        <f>ff_portfolios25!Y635-ff_factors!$E635</f>
        <v>1.8554000000000001E-2</v>
      </c>
      <c r="Z635" s="2">
        <f>ff_portfolios25!Z635-ff_factors!$E635</f>
        <v>5.2309999999999995E-3</v>
      </c>
      <c r="AA635" s="2">
        <f>ff_portfolios25!AA635-ff_factors!$E635</f>
        <v>-1.6676E-2</v>
      </c>
      <c r="AB635" s="2">
        <f>ff_portfolios25!AB635-ff_factors!$E635</f>
        <v>-2.5842999999999998E-2</v>
      </c>
    </row>
    <row r="636" spans="1:28" x14ac:dyDescent="0.2">
      <c r="A636">
        <v>19841130</v>
      </c>
      <c r="B636">
        <v>1984</v>
      </c>
      <c r="C636">
        <v>11</v>
      </c>
      <c r="D636" s="2">
        <f>ff_portfolios25!D636-ff_factors!$E636</f>
        <v>-6.5130999999999994E-2</v>
      </c>
      <c r="E636" s="2">
        <f>ff_portfolios25!E636-ff_factors!$E636</f>
        <v>-4.6524000000000003E-2</v>
      </c>
      <c r="F636" s="2">
        <f>ff_portfolios25!F636-ff_factors!$E636</f>
        <v>-1.985E-2</v>
      </c>
      <c r="G636" s="2">
        <f>ff_portfolios25!G636-ff_factors!$E636</f>
        <v>-2.3213000000000001E-2</v>
      </c>
      <c r="H636" s="2">
        <f>ff_portfolios25!H636-ff_factors!$E636</f>
        <v>-1.6622000000000001E-2</v>
      </c>
      <c r="I636" s="2">
        <f>ff_portfolios25!I636-ff_factors!$E636</f>
        <v>-6.5556000000000003E-2</v>
      </c>
      <c r="J636" s="2">
        <f>ff_portfolios25!J636-ff_factors!$E636</f>
        <v>-2.8643000000000002E-2</v>
      </c>
      <c r="K636" s="2">
        <f>ff_portfolios25!K636-ff_factors!$E636</f>
        <v>-1.1141999999999999E-2</v>
      </c>
      <c r="L636" s="2">
        <f>ff_portfolios25!L636-ff_factors!$E636</f>
        <v>-6.8599999999999998E-3</v>
      </c>
      <c r="M636" s="2">
        <f>ff_portfolios25!M636-ff_factors!$E636</f>
        <v>5.1569999999999993E-3</v>
      </c>
      <c r="N636" s="2">
        <f>ff_portfolios25!N636-ff_factors!$E636</f>
        <v>-4.8612000000000002E-2</v>
      </c>
      <c r="O636" s="2">
        <f>ff_portfolios25!O636-ff_factors!$E636</f>
        <v>-9.2200000000000008E-4</v>
      </c>
      <c r="P636" s="2">
        <f>ff_portfolios25!P636-ff_factors!$E636</f>
        <v>6.0559999999999998E-3</v>
      </c>
      <c r="Q636" s="2">
        <f>ff_portfolios25!Q636-ff_factors!$E636</f>
        <v>5.5070000000000006E-3</v>
      </c>
      <c r="R636" s="2">
        <f>ff_portfolios25!R636-ff_factors!$E636</f>
        <v>1.1439999999999999E-2</v>
      </c>
      <c r="S636" s="2">
        <f>ff_portfolios25!S636-ff_factors!$E636</f>
        <v>-4.2369000000000004E-2</v>
      </c>
      <c r="T636" s="2">
        <f>ff_portfolios25!T636-ff_factors!$E636</f>
        <v>-1.2473E-2</v>
      </c>
      <c r="U636" s="2">
        <f>ff_portfolios25!U636-ff_factors!$E636</f>
        <v>-1.7306999999999999E-2</v>
      </c>
      <c r="V636" s="2">
        <f>ff_portfolios25!V636-ff_factors!$E636</f>
        <v>-1.5459999999999996E-3</v>
      </c>
      <c r="W636" s="2">
        <f>ff_portfolios25!W636-ff_factors!$E636</f>
        <v>1.3013E-2</v>
      </c>
      <c r="X636" s="2">
        <f>ff_portfolios25!X636-ff_factors!$E636</f>
        <v>-3.1911000000000002E-2</v>
      </c>
      <c r="Y636" s="2">
        <f>ff_portfolios25!Y636-ff_factors!$E636</f>
        <v>-1.7004999999999999E-2</v>
      </c>
      <c r="Z636" s="2">
        <f>ff_portfolios25!Z636-ff_factors!$E636</f>
        <v>-2.5427999999999999E-2</v>
      </c>
      <c r="AA636" s="2">
        <f>ff_portfolios25!AA636-ff_factors!$E636</f>
        <v>-1.3186E-2</v>
      </c>
      <c r="AB636" s="2">
        <f>ff_portfolios25!AB636-ff_factors!$E636</f>
        <v>7.0319999999999992E-3</v>
      </c>
    </row>
    <row r="637" spans="1:28" x14ac:dyDescent="0.2">
      <c r="A637">
        <v>19841231</v>
      </c>
      <c r="B637">
        <v>1984</v>
      </c>
      <c r="C637">
        <v>12</v>
      </c>
      <c r="D637" s="2">
        <f>ff_portfolios25!D637-ff_factors!$E637</f>
        <v>-5.4600000000000048E-4</v>
      </c>
      <c r="E637" s="2">
        <f>ff_portfolios25!E637-ff_factors!$E637</f>
        <v>1.0089999999999995E-3</v>
      </c>
      <c r="F637" s="2">
        <f>ff_portfolios25!F637-ff_factors!$E637</f>
        <v>2.6189999999999989E-3</v>
      </c>
      <c r="G637" s="2">
        <f>ff_portfolios25!G637-ff_factors!$E637</f>
        <v>-1.4710000000000001E-3</v>
      </c>
      <c r="H637" s="2">
        <f>ff_portfolios25!H637-ff_factors!$E637</f>
        <v>1.1879999999999998E-3</v>
      </c>
      <c r="I637" s="2">
        <f>ff_portfolios25!I637-ff_factors!$E637</f>
        <v>1.3629000000000002E-2</v>
      </c>
      <c r="J637" s="2">
        <f>ff_portfolios25!J637-ff_factors!$E637</f>
        <v>1.6227999999999999E-2</v>
      </c>
      <c r="K637" s="2">
        <f>ff_portfolios25!K637-ff_factors!$E637</f>
        <v>1.0315000000000001E-2</v>
      </c>
      <c r="L637" s="2">
        <f>ff_portfolios25!L637-ff_factors!$E637</f>
        <v>1.8949000000000001E-2</v>
      </c>
      <c r="M637" s="2">
        <f>ff_portfolios25!M637-ff_factors!$E637</f>
        <v>1.9266999999999999E-2</v>
      </c>
      <c r="N637" s="2">
        <f>ff_portfolios25!N637-ff_factors!$E637</f>
        <v>3.8204999999999996E-2</v>
      </c>
      <c r="O637" s="2">
        <f>ff_portfolios25!O637-ff_factors!$E637</f>
        <v>2.9277000000000001E-2</v>
      </c>
      <c r="P637" s="2">
        <f>ff_portfolios25!P637-ff_factors!$E637</f>
        <v>2.2719999999999988E-3</v>
      </c>
      <c r="Q637" s="2">
        <f>ff_portfolios25!Q637-ff_factors!$E637</f>
        <v>1.0114999999999999E-2</v>
      </c>
      <c r="R637" s="2">
        <f>ff_portfolios25!R637-ff_factors!$E637</f>
        <v>1.5168000000000001E-2</v>
      </c>
      <c r="S637" s="2">
        <f>ff_portfolios25!S637-ff_factors!$E637</f>
        <v>2.6647000000000001E-2</v>
      </c>
      <c r="T637" s="2">
        <f>ff_portfolios25!T637-ff_factors!$E637</f>
        <v>1.2865999999999999E-2</v>
      </c>
      <c r="U637" s="2">
        <f>ff_portfolios25!U637-ff_factors!$E637</f>
        <v>1.5877000000000002E-2</v>
      </c>
      <c r="V637" s="2">
        <f>ff_portfolios25!V637-ff_factors!$E637</f>
        <v>2.2785E-2</v>
      </c>
      <c r="W637" s="2">
        <f>ff_portfolios25!W637-ff_factors!$E637</f>
        <v>2.8913999999999999E-2</v>
      </c>
      <c r="X637" s="2">
        <f>ff_portfolios25!X637-ff_factors!$E637</f>
        <v>1.9432999999999999E-2</v>
      </c>
      <c r="Y637" s="2">
        <f>ff_portfolios25!Y637-ff_factors!$E637</f>
        <v>1.7299000000000002E-2</v>
      </c>
      <c r="Z637" s="2">
        <f>ff_portfolios25!Z637-ff_factors!$E637</f>
        <v>2.2674E-2</v>
      </c>
      <c r="AA637" s="2">
        <f>ff_portfolios25!AA637-ff_factors!$E637</f>
        <v>2.477E-2</v>
      </c>
      <c r="AB637" s="2">
        <f>ff_portfolios25!AB637-ff_factors!$E637</f>
        <v>5.7619999999999989E-3</v>
      </c>
    </row>
    <row r="638" spans="1:28" x14ac:dyDescent="0.2">
      <c r="A638">
        <v>19850131</v>
      </c>
      <c r="B638">
        <v>1985</v>
      </c>
      <c r="C638">
        <v>1</v>
      </c>
      <c r="D638" s="2">
        <f>ff_portfolios25!D638-ff_factors!$E638</f>
        <v>0.15438399999999999</v>
      </c>
      <c r="E638" s="2">
        <f>ff_portfolios25!E638-ff_factors!$E638</f>
        <v>0.13778599999999999</v>
      </c>
      <c r="F638" s="2">
        <f>ff_portfolios25!F638-ff_factors!$E638</f>
        <v>9.9502999999999994E-2</v>
      </c>
      <c r="G638" s="2">
        <f>ff_portfolios25!G638-ff_factors!$E638</f>
        <v>9.4814999999999997E-2</v>
      </c>
      <c r="H638" s="2">
        <f>ff_portfolios25!H638-ff_factors!$E638</f>
        <v>7.8369999999999995E-2</v>
      </c>
      <c r="I638" s="2">
        <f>ff_portfolios25!I638-ff_factors!$E638</f>
        <v>0.15522</v>
      </c>
      <c r="J638" s="2">
        <f>ff_portfolios25!J638-ff_factors!$E638</f>
        <v>0.12409100000000001</v>
      </c>
      <c r="K638" s="2">
        <f>ff_portfolios25!K638-ff_factors!$E638</f>
        <v>8.3257999999999999E-2</v>
      </c>
      <c r="L638" s="2">
        <f>ff_portfolios25!L638-ff_factors!$E638</f>
        <v>9.3112E-2</v>
      </c>
      <c r="M638" s="2">
        <f>ff_portfolios25!M638-ff_factors!$E638</f>
        <v>8.0642999999999992E-2</v>
      </c>
      <c r="N638" s="2">
        <f>ff_portfolios25!N638-ff_factors!$E638</f>
        <v>0.13114899999999999</v>
      </c>
      <c r="O638" s="2">
        <f>ff_portfolios25!O638-ff_factors!$E638</f>
        <v>9.6299999999999997E-2</v>
      </c>
      <c r="P638" s="2">
        <f>ff_portfolios25!P638-ff_factors!$E638</f>
        <v>9.1020999999999991E-2</v>
      </c>
      <c r="Q638" s="2">
        <f>ff_portfolios25!Q638-ff_factors!$E638</f>
        <v>8.1758999999999998E-2</v>
      </c>
      <c r="R638" s="2">
        <f>ff_portfolios25!R638-ff_factors!$E638</f>
        <v>7.2882999999999989E-2</v>
      </c>
      <c r="S638" s="2">
        <f>ff_portfolios25!S638-ff_factors!$E638</f>
        <v>0.11572399999999999</v>
      </c>
      <c r="T638" s="2">
        <f>ff_portfolios25!T638-ff_factors!$E638</f>
        <v>0.12215199999999998</v>
      </c>
      <c r="U638" s="2">
        <f>ff_portfolios25!U638-ff_factors!$E638</f>
        <v>7.7774999999999997E-2</v>
      </c>
      <c r="V638" s="2">
        <f>ff_portfolios25!V638-ff_factors!$E638</f>
        <v>7.5025999999999995E-2</v>
      </c>
      <c r="W638" s="2">
        <f>ff_portfolios25!W638-ff_factors!$E638</f>
        <v>5.7525E-2</v>
      </c>
      <c r="X638" s="2">
        <f>ff_portfolios25!X638-ff_factors!$E638</f>
        <v>8.8869999999999991E-2</v>
      </c>
      <c r="Y638" s="2">
        <f>ff_portfolios25!Y638-ff_factors!$E638</f>
        <v>7.3072999999999999E-2</v>
      </c>
      <c r="Z638" s="2">
        <f>ff_portfolios25!Z638-ff_factors!$E638</f>
        <v>7.0268999999999998E-2</v>
      </c>
      <c r="AA638" s="2">
        <f>ff_portfolios25!AA638-ff_factors!$E638</f>
        <v>6.1528000000000006E-2</v>
      </c>
      <c r="AB638" s="2">
        <f>ff_portfolios25!AB638-ff_factors!$E638</f>
        <v>3.6324000000000002E-2</v>
      </c>
    </row>
    <row r="639" spans="1:28" x14ac:dyDescent="0.2">
      <c r="A639">
        <v>19850228</v>
      </c>
      <c r="B639">
        <v>1985</v>
      </c>
      <c r="C639">
        <v>2</v>
      </c>
      <c r="D639" s="2">
        <f>ff_portfolios25!D639-ff_factors!$E639</f>
        <v>3.0869000000000001E-2</v>
      </c>
      <c r="E639" s="2">
        <f>ff_portfolios25!E639-ff_factors!$E639</f>
        <v>4.4599E-2</v>
      </c>
      <c r="F639" s="2">
        <f>ff_portfolios25!F639-ff_factors!$E639</f>
        <v>2.8463000000000002E-2</v>
      </c>
      <c r="G639" s="2">
        <f>ff_portfolios25!G639-ff_factors!$E639</f>
        <v>2.1673000000000001E-2</v>
      </c>
      <c r="H639" s="2">
        <f>ff_portfolios25!H639-ff_factors!$E639</f>
        <v>3.1528E-2</v>
      </c>
      <c r="I639" s="2">
        <f>ff_portfolios25!I639-ff_factors!$E639</f>
        <v>2.2187000000000002E-2</v>
      </c>
      <c r="J639" s="2">
        <f>ff_portfolios25!J639-ff_factors!$E639</f>
        <v>2.5683999999999998E-2</v>
      </c>
      <c r="K639" s="2">
        <f>ff_portfolios25!K639-ff_factors!$E639</f>
        <v>2.0973000000000002E-2</v>
      </c>
      <c r="L639" s="2">
        <f>ff_portfolios25!L639-ff_factors!$E639</f>
        <v>1.3329000000000001E-2</v>
      </c>
      <c r="M639" s="2">
        <f>ff_portfolios25!M639-ff_factors!$E639</f>
        <v>3.5960000000000002E-3</v>
      </c>
      <c r="N639" s="2">
        <f>ff_portfolios25!N639-ff_factors!$E639</f>
        <v>1.5587E-2</v>
      </c>
      <c r="O639" s="2">
        <f>ff_portfolios25!O639-ff_factors!$E639</f>
        <v>3.4339999999999996E-3</v>
      </c>
      <c r="P639" s="2">
        <f>ff_portfolios25!P639-ff_factors!$E639</f>
        <v>8.7330000000000012E-3</v>
      </c>
      <c r="Q639" s="2">
        <f>ff_portfolios25!Q639-ff_factors!$E639</f>
        <v>1.0876E-2</v>
      </c>
      <c r="R639" s="2">
        <f>ff_portfolios25!R639-ff_factors!$E639</f>
        <v>-1.1934E-2</v>
      </c>
      <c r="S639" s="2">
        <f>ff_portfolios25!S639-ff_factors!$E639</f>
        <v>2.1395000000000001E-2</v>
      </c>
      <c r="T639" s="2">
        <f>ff_portfolios25!T639-ff_factors!$E639</f>
        <v>-1.6690999999999998E-2</v>
      </c>
      <c r="U639" s="2">
        <f>ff_portfolios25!U639-ff_factors!$E639</f>
        <v>1.4229000000000002E-2</v>
      </c>
      <c r="V639" s="2">
        <f>ff_portfolios25!V639-ff_factors!$E639</f>
        <v>1.9473000000000001E-2</v>
      </c>
      <c r="W639" s="2">
        <f>ff_portfolios25!W639-ff_factors!$E639</f>
        <v>5.9190000000000006E-3</v>
      </c>
      <c r="X639" s="2">
        <f>ff_portfolios25!X639-ff_factors!$E639</f>
        <v>-3.9480000000000001E-3</v>
      </c>
      <c r="Y639" s="2">
        <f>ff_portfolios25!Y639-ff_factors!$E639</f>
        <v>2.0973000000000002E-2</v>
      </c>
      <c r="Z639" s="2">
        <f>ff_portfolios25!Z639-ff_factors!$E639</f>
        <v>1.0865E-2</v>
      </c>
      <c r="AA639" s="2">
        <f>ff_portfolios25!AA639-ff_factors!$E639</f>
        <v>1.9526000000000002E-2</v>
      </c>
      <c r="AB639" s="2">
        <f>ff_portfolios25!AB639-ff_factors!$E639</f>
        <v>2.1363E-2</v>
      </c>
    </row>
    <row r="640" spans="1:28" x14ac:dyDescent="0.2">
      <c r="A640">
        <v>19850329</v>
      </c>
      <c r="B640">
        <v>1985</v>
      </c>
      <c r="C640">
        <v>3</v>
      </c>
      <c r="D640" s="2">
        <f>ff_portfolios25!D640-ff_factors!$E640</f>
        <v>-3.2488999999999997E-2</v>
      </c>
      <c r="E640" s="2">
        <f>ff_portfolios25!E640-ff_factors!$E640</f>
        <v>-3.6005999999999996E-2</v>
      </c>
      <c r="F640" s="2">
        <f>ff_portfolios25!F640-ff_factors!$E640</f>
        <v>-2.1516E-2</v>
      </c>
      <c r="G640" s="2">
        <f>ff_portfolios25!G640-ff_factors!$E640</f>
        <v>-1.8738000000000001E-2</v>
      </c>
      <c r="H640" s="2">
        <f>ff_portfolios25!H640-ff_factors!$E640</f>
        <v>-8.7779999999999993E-3</v>
      </c>
      <c r="I640" s="2">
        <f>ff_portfolios25!I640-ff_factors!$E640</f>
        <v>-5.4563E-2</v>
      </c>
      <c r="J640" s="2">
        <f>ff_portfolios25!J640-ff_factors!$E640</f>
        <v>-4.1332999999999995E-2</v>
      </c>
      <c r="K640" s="2">
        <f>ff_portfolios25!K640-ff_factors!$E640</f>
        <v>-1.3226999999999999E-2</v>
      </c>
      <c r="L640" s="2">
        <f>ff_portfolios25!L640-ff_factors!$E640</f>
        <v>-2.5999999999999999E-3</v>
      </c>
      <c r="M640" s="2">
        <f>ff_portfolios25!M640-ff_factors!$E640</f>
        <v>2.4702999999999999E-2</v>
      </c>
      <c r="N640" s="2">
        <f>ff_portfolios25!N640-ff_factors!$E640</f>
        <v>-4.9429999999999995E-2</v>
      </c>
      <c r="O640" s="2">
        <f>ff_portfolios25!O640-ff_factors!$E640</f>
        <v>-1.8575999999999999E-2</v>
      </c>
      <c r="P640" s="2">
        <f>ff_portfolios25!P640-ff_factors!$E640</f>
        <v>-2.6547000000000001E-2</v>
      </c>
      <c r="Q640" s="2">
        <f>ff_portfolios25!Q640-ff_factors!$E640</f>
        <v>4.9070000000000008E-3</v>
      </c>
      <c r="R640" s="2">
        <f>ff_portfolios25!R640-ff_factors!$E640</f>
        <v>3.1145000000000003E-2</v>
      </c>
      <c r="S640" s="2">
        <f>ff_portfolios25!S640-ff_factors!$E640</f>
        <v>-3.3264999999999996E-2</v>
      </c>
      <c r="T640" s="2">
        <f>ff_portfolios25!T640-ff_factors!$E640</f>
        <v>-3.0114999999999999E-2</v>
      </c>
      <c r="U640" s="2">
        <f>ff_portfolios25!U640-ff_factors!$E640</f>
        <v>-5.1630000000000001E-3</v>
      </c>
      <c r="V640" s="2">
        <f>ff_portfolios25!V640-ff_factors!$E640</f>
        <v>3.3820000000000005E-3</v>
      </c>
      <c r="W640" s="2">
        <f>ff_portfolios25!W640-ff_factors!$E640</f>
        <v>3.6829000000000001E-2</v>
      </c>
      <c r="X640" s="2">
        <f>ff_portfolios25!X640-ff_factors!$E640</f>
        <v>-2.1781999999999999E-2</v>
      </c>
      <c r="Y640" s="2">
        <f>ff_portfolios25!Y640-ff_factors!$E640</f>
        <v>4.2040000000000003E-3</v>
      </c>
      <c r="Z640" s="2">
        <f>ff_portfolios25!Z640-ff_factors!$E640</f>
        <v>-1.2060999999999999E-2</v>
      </c>
      <c r="AA640" s="2">
        <f>ff_portfolios25!AA640-ff_factors!$E640</f>
        <v>6.2519999999999997E-3</v>
      </c>
      <c r="AB640" s="2">
        <f>ff_portfolios25!AB640-ff_factors!$E640</f>
        <v>9.2920000000000016E-3</v>
      </c>
    </row>
    <row r="641" spans="1:28" x14ac:dyDescent="0.2">
      <c r="A641">
        <v>19850430</v>
      </c>
      <c r="B641">
        <v>1985</v>
      </c>
      <c r="C641">
        <v>4</v>
      </c>
      <c r="D641" s="2">
        <f>ff_portfolios25!D641-ff_factors!$E641</f>
        <v>-2.9359999999999997E-2</v>
      </c>
      <c r="E641" s="2">
        <f>ff_portfolios25!E641-ff_factors!$E641</f>
        <v>-2.5155999999999998E-2</v>
      </c>
      <c r="F641" s="2">
        <f>ff_portfolios25!F641-ff_factors!$E641</f>
        <v>-5.2560000000000003E-3</v>
      </c>
      <c r="G641" s="2">
        <f>ff_portfolios25!G641-ff_factors!$E641</f>
        <v>-3.4189999999999997E-3</v>
      </c>
      <c r="H641" s="2">
        <f>ff_portfolios25!H641-ff_factors!$E641</f>
        <v>-4.45E-3</v>
      </c>
      <c r="I641" s="2">
        <f>ff_portfolios25!I641-ff_factors!$E641</f>
        <v>-3.9621999999999997E-2</v>
      </c>
      <c r="J641" s="2">
        <f>ff_portfolios25!J641-ff_factors!$E641</f>
        <v>-2.0077999999999999E-2</v>
      </c>
      <c r="K641" s="2">
        <f>ff_portfolios25!K641-ff_factors!$E641</f>
        <v>-1.0689000000000001E-2</v>
      </c>
      <c r="L641" s="2">
        <f>ff_portfolios25!L641-ff_factors!$E641</f>
        <v>1.9501999999999999E-2</v>
      </c>
      <c r="M641" s="2">
        <f>ff_portfolios25!M641-ff_factors!$E641</f>
        <v>2.6200000000000008E-4</v>
      </c>
      <c r="N641" s="2">
        <f>ff_portfolios25!N641-ff_factors!$E641</f>
        <v>-1.9508999999999999E-2</v>
      </c>
      <c r="O641" s="2">
        <f>ff_portfolios25!O641-ff_factors!$E641</f>
        <v>-2.0178000000000001E-2</v>
      </c>
      <c r="P641" s="2">
        <f>ff_portfolios25!P641-ff_factors!$E641</f>
        <v>-1.1157E-2</v>
      </c>
      <c r="Q641" s="2">
        <f>ff_portfolios25!Q641-ff_factors!$E641</f>
        <v>1.8918999999999998E-2</v>
      </c>
      <c r="R641" s="2">
        <f>ff_portfolios25!R641-ff_factors!$E641</f>
        <v>7.8410000000000007E-3</v>
      </c>
      <c r="S641" s="2">
        <f>ff_portfolios25!S641-ff_factors!$E641</f>
        <v>-2.0018000000000001E-2</v>
      </c>
      <c r="T641" s="2">
        <f>ff_portfolios25!T641-ff_factors!$E641</f>
        <v>-4.0153999999999995E-2</v>
      </c>
      <c r="U641" s="2">
        <f>ff_portfolios25!U641-ff_factors!$E641</f>
        <v>-2.032E-3</v>
      </c>
      <c r="V641" s="2">
        <f>ff_portfolios25!V641-ff_factors!$E641</f>
        <v>7.6999999999999985E-4</v>
      </c>
      <c r="W641" s="2">
        <f>ff_portfolios25!W641-ff_factors!$E641</f>
        <v>3.4260000000000002E-3</v>
      </c>
      <c r="X641" s="2">
        <f>ff_portfolios25!X641-ff_factors!$E641</f>
        <v>-2.4025999999999999E-2</v>
      </c>
      <c r="Y641" s="2">
        <f>ff_portfolios25!Y641-ff_factors!$E641</f>
        <v>-3.1259000000000002E-2</v>
      </c>
      <c r="Z641" s="2">
        <f>ff_portfolios25!Z641-ff_factors!$E641</f>
        <v>-2.1111999999999999E-2</v>
      </c>
      <c r="AA641" s="2">
        <f>ff_portfolios25!AA641-ff_factors!$E641</f>
        <v>6.1930000000000006E-3</v>
      </c>
      <c r="AB641" s="2">
        <f>ff_portfolios25!AB641-ff_factors!$E641</f>
        <v>2.3128999999999997E-2</v>
      </c>
    </row>
    <row r="642" spans="1:28" x14ac:dyDescent="0.2">
      <c r="A642">
        <v>19850531</v>
      </c>
      <c r="B642">
        <v>1985</v>
      </c>
      <c r="C642">
        <v>5</v>
      </c>
      <c r="D642" s="2">
        <f>ff_portfolios25!D642-ff_factors!$E642</f>
        <v>1.8598000000000003E-2</v>
      </c>
      <c r="E642" s="2">
        <f>ff_portfolios25!E642-ff_factors!$E642</f>
        <v>3.2815999999999998E-2</v>
      </c>
      <c r="F642" s="2">
        <f>ff_portfolios25!F642-ff_factors!$E642</f>
        <v>3.1279000000000001E-2</v>
      </c>
      <c r="G642" s="2">
        <f>ff_portfolios25!G642-ff_factors!$E642</f>
        <v>2.0325000000000003E-2</v>
      </c>
      <c r="H642" s="2">
        <f>ff_portfolios25!H642-ff_factors!$E642</f>
        <v>4.4570000000000009E-3</v>
      </c>
      <c r="I642" s="2">
        <f>ff_portfolios25!I642-ff_factors!$E642</f>
        <v>3.4318000000000001E-2</v>
      </c>
      <c r="J642" s="2">
        <f>ff_portfolios25!J642-ff_factors!$E642</f>
        <v>3.4722999999999997E-2</v>
      </c>
      <c r="K642" s="2">
        <f>ff_portfolios25!K642-ff_factors!$E642</f>
        <v>2.4627999999999997E-2</v>
      </c>
      <c r="L642" s="2">
        <f>ff_portfolios25!L642-ff_factors!$E642</f>
        <v>4.9359E-2</v>
      </c>
      <c r="M642" s="2">
        <f>ff_portfolios25!M642-ff_factors!$E642</f>
        <v>2.2721999999999999E-2</v>
      </c>
      <c r="N642" s="2">
        <f>ff_portfolios25!N642-ff_factors!$E642</f>
        <v>5.568E-2</v>
      </c>
      <c r="O642" s="2">
        <f>ff_portfolios25!O642-ff_factors!$E642</f>
        <v>4.8493999999999995E-2</v>
      </c>
      <c r="P642" s="2">
        <f>ff_portfolios25!P642-ff_factors!$E642</f>
        <v>2.4483999999999999E-2</v>
      </c>
      <c r="Q642" s="2">
        <f>ff_portfolios25!Q642-ff_factors!$E642</f>
        <v>4.1371999999999999E-2</v>
      </c>
      <c r="R642" s="2">
        <f>ff_portfolios25!R642-ff_factors!$E642</f>
        <v>3.5373999999999996E-2</v>
      </c>
      <c r="S642" s="2">
        <f>ff_portfolios25!S642-ff_factors!$E642</f>
        <v>6.0630999999999997E-2</v>
      </c>
      <c r="T642" s="2">
        <f>ff_portfolios25!T642-ff_factors!$E642</f>
        <v>5.0665999999999996E-2</v>
      </c>
      <c r="U642" s="2">
        <f>ff_portfolios25!U642-ff_factors!$E642</f>
        <v>4.9813999999999997E-2</v>
      </c>
      <c r="V642" s="2">
        <f>ff_portfolios25!V642-ff_factors!$E642</f>
        <v>3.7841E-2</v>
      </c>
      <c r="W642" s="2">
        <f>ff_portfolios25!W642-ff_factors!$E642</f>
        <v>5.8394999999999996E-2</v>
      </c>
      <c r="X642" s="2">
        <f>ff_portfolios25!X642-ff_factors!$E642</f>
        <v>5.0397999999999998E-2</v>
      </c>
      <c r="Y642" s="2">
        <f>ff_portfolios25!Y642-ff_factors!$E642</f>
        <v>6.8555000000000005E-2</v>
      </c>
      <c r="Z642" s="2">
        <f>ff_portfolios25!Z642-ff_factors!$E642</f>
        <v>8.2274E-2</v>
      </c>
      <c r="AA642" s="2">
        <f>ff_portfolios25!AA642-ff_factors!$E642</f>
        <v>4.7274999999999998E-2</v>
      </c>
      <c r="AB642" s="2">
        <f>ff_portfolios25!AB642-ff_factors!$E642</f>
        <v>3.9305E-2</v>
      </c>
    </row>
    <row r="643" spans="1:28" x14ac:dyDescent="0.2">
      <c r="A643">
        <v>19850628</v>
      </c>
      <c r="B643">
        <v>1985</v>
      </c>
      <c r="C643">
        <v>6</v>
      </c>
      <c r="D643" s="2">
        <f>ff_portfolios25!D643-ff_factors!$E643</f>
        <v>3.8100000000000026E-4</v>
      </c>
      <c r="E643" s="2">
        <f>ff_portfolios25!E643-ff_factors!$E643</f>
        <v>-1.1999999999999945E-4</v>
      </c>
      <c r="F643" s="2">
        <f>ff_portfolios25!F643-ff_factors!$E643</f>
        <v>2.5400000000000006E-3</v>
      </c>
      <c r="G643" s="2">
        <f>ff_portfolios25!G643-ff_factors!$E643</f>
        <v>8.3140000000000002E-3</v>
      </c>
      <c r="H643" s="2">
        <f>ff_portfolios25!H643-ff_factors!$E643</f>
        <v>4.0079000000000004E-2</v>
      </c>
      <c r="I643" s="2">
        <f>ff_portfolios25!I643-ff_factors!$E643</f>
        <v>1.8990000000000005E-3</v>
      </c>
      <c r="J643" s="2">
        <f>ff_portfolios25!J643-ff_factors!$E643</f>
        <v>1.7488999999999998E-2</v>
      </c>
      <c r="K643" s="2">
        <f>ff_portfolios25!K643-ff_factors!$E643</f>
        <v>1.8547000000000001E-2</v>
      </c>
      <c r="L643" s="2">
        <f>ff_portfolios25!L643-ff_factors!$E643</f>
        <v>2.5808999999999999E-2</v>
      </c>
      <c r="M643" s="2">
        <f>ff_portfolios25!M643-ff_factors!$E643</f>
        <v>2.9347999999999999E-2</v>
      </c>
      <c r="N643" s="2">
        <f>ff_portfolios25!N643-ff_factors!$E643</f>
        <v>2.0062000000000003E-2</v>
      </c>
      <c r="O643" s="2">
        <f>ff_portfolios25!O643-ff_factors!$E643</f>
        <v>1.3019999999999999E-2</v>
      </c>
      <c r="P643" s="2">
        <f>ff_portfolios25!P643-ff_factors!$E643</f>
        <v>3.7675E-2</v>
      </c>
      <c r="Q643" s="2">
        <f>ff_portfolios25!Q643-ff_factors!$E643</f>
        <v>2.0816000000000001E-2</v>
      </c>
      <c r="R643" s="2">
        <f>ff_portfolios25!R643-ff_factors!$E643</f>
        <v>2.8125000000000004E-2</v>
      </c>
      <c r="S643" s="2">
        <f>ff_portfolios25!S643-ff_factors!$E643</f>
        <v>1.4359000000000002E-2</v>
      </c>
      <c r="T643" s="2">
        <f>ff_portfolios25!T643-ff_factors!$E643</f>
        <v>1.2211000000000001E-2</v>
      </c>
      <c r="U643" s="2">
        <f>ff_portfolios25!U643-ff_factors!$E643</f>
        <v>1.7134999999999997E-2</v>
      </c>
      <c r="V643" s="2">
        <f>ff_portfolios25!V643-ff_factors!$E643</f>
        <v>3.0138000000000005E-2</v>
      </c>
      <c r="W643" s="2">
        <f>ff_portfolios25!W643-ff_factors!$E643</f>
        <v>3.4920000000000003E-3</v>
      </c>
      <c r="X643" s="2">
        <f>ff_portfolios25!X643-ff_factors!$E643</f>
        <v>1.2190000000000005E-3</v>
      </c>
      <c r="Y643" s="2">
        <f>ff_portfolios25!Y643-ff_factors!$E643</f>
        <v>2.3334000000000001E-2</v>
      </c>
      <c r="Z643" s="2">
        <f>ff_portfolios25!Z643-ff_factors!$E643</f>
        <v>9.0469999999999995E-3</v>
      </c>
      <c r="AA643" s="2">
        <f>ff_portfolios25!AA643-ff_factors!$E643</f>
        <v>-2.5049999999999998E-3</v>
      </c>
      <c r="AB643" s="2">
        <f>ff_portfolios25!AB643-ff_factors!$E643</f>
        <v>1.7783E-2</v>
      </c>
    </row>
    <row r="644" spans="1:28" x14ac:dyDescent="0.2">
      <c r="A644">
        <v>19850731</v>
      </c>
      <c r="B644">
        <v>1985</v>
      </c>
      <c r="C644">
        <v>7</v>
      </c>
      <c r="D644" s="2">
        <f>ff_portfolios25!D644-ff_factors!$E644</f>
        <v>1.7805999999999999E-2</v>
      </c>
      <c r="E644" s="2">
        <f>ff_portfolios25!E644-ff_factors!$E644</f>
        <v>2.6324999999999998E-2</v>
      </c>
      <c r="F644" s="2">
        <f>ff_portfolios25!F644-ff_factors!$E644</f>
        <v>1.6569E-2</v>
      </c>
      <c r="G644" s="2">
        <f>ff_portfolios25!G644-ff_factors!$E644</f>
        <v>9.4069999999999987E-3</v>
      </c>
      <c r="H644" s="2">
        <f>ff_portfolios25!H644-ff_factors!$E644</f>
        <v>1.6826000000000001E-2</v>
      </c>
      <c r="I644" s="2">
        <f>ff_portfolios25!I644-ff_factors!$E644</f>
        <v>2.5726999999999996E-2</v>
      </c>
      <c r="J644" s="2">
        <f>ff_portfolios25!J644-ff_factors!$E644</f>
        <v>2.8872999999999999E-2</v>
      </c>
      <c r="K644" s="2">
        <f>ff_portfolios25!K644-ff_factors!$E644</f>
        <v>4.4543000000000006E-2</v>
      </c>
      <c r="L644" s="2">
        <f>ff_portfolios25!L644-ff_factors!$E644</f>
        <v>-7.744E-3</v>
      </c>
      <c r="M644" s="2">
        <f>ff_portfolios25!M644-ff_factors!$E644</f>
        <v>-2.4619999999999998E-3</v>
      </c>
      <c r="N644" s="2">
        <f>ff_portfolios25!N644-ff_factors!$E644</f>
        <v>6.0570000000000008E-3</v>
      </c>
      <c r="O644" s="2">
        <f>ff_portfolios25!O644-ff_factors!$E644</f>
        <v>1.9873999999999999E-2</v>
      </c>
      <c r="P644" s="2">
        <f>ff_portfolios25!P644-ff_factors!$E644</f>
        <v>8.1700000000000002E-3</v>
      </c>
      <c r="Q644" s="2">
        <f>ff_portfolios25!Q644-ff_factors!$E644</f>
        <v>3.5640000000000003E-3</v>
      </c>
      <c r="R644" s="2">
        <f>ff_portfolios25!R644-ff_factors!$E644</f>
        <v>1.3364999999999998E-2</v>
      </c>
      <c r="S644" s="2">
        <f>ff_portfolios25!S644-ff_factors!$E644</f>
        <v>-1.0995E-2</v>
      </c>
      <c r="T644" s="2">
        <f>ff_portfolios25!T644-ff_factors!$E644</f>
        <v>-2.235E-3</v>
      </c>
      <c r="U644" s="2">
        <f>ff_portfolios25!U644-ff_factors!$E644</f>
        <v>5.2629999999999994E-3</v>
      </c>
      <c r="V644" s="2">
        <f>ff_portfolios25!V644-ff_factors!$E644</f>
        <v>-2.7251000000000001E-2</v>
      </c>
      <c r="W644" s="2">
        <f>ff_portfolios25!W644-ff_factors!$E644</f>
        <v>8.6500000000000032E-4</v>
      </c>
      <c r="X644" s="2">
        <f>ff_portfolios25!X644-ff_factors!$E644</f>
        <v>-6.5299999999999993E-4</v>
      </c>
      <c r="Y644" s="2">
        <f>ff_portfolios25!Y644-ff_factors!$E644</f>
        <v>-9.8189999999999996E-3</v>
      </c>
      <c r="Z644" s="2">
        <f>ff_portfolios25!Z644-ff_factors!$E644</f>
        <v>-2.5797E-2</v>
      </c>
      <c r="AA644" s="2">
        <f>ff_portfolios25!AA644-ff_factors!$E644</f>
        <v>-2.1204999999999998E-2</v>
      </c>
      <c r="AB644" s="2">
        <f>ff_portfolios25!AB644-ff_factors!$E644</f>
        <v>-2.9839000000000001E-2</v>
      </c>
    </row>
    <row r="645" spans="1:28" x14ac:dyDescent="0.2">
      <c r="A645">
        <v>19850830</v>
      </c>
      <c r="B645">
        <v>1985</v>
      </c>
      <c r="C645">
        <v>8</v>
      </c>
      <c r="D645" s="2">
        <f>ff_portfolios25!D645-ff_factors!$E645</f>
        <v>-2.1495E-2</v>
      </c>
      <c r="E645" s="2">
        <f>ff_portfolios25!E645-ff_factors!$E645</f>
        <v>-1.7316999999999999E-2</v>
      </c>
      <c r="F645" s="2">
        <f>ff_portfolios25!F645-ff_factors!$E645</f>
        <v>-1.1483E-2</v>
      </c>
      <c r="G645" s="2">
        <f>ff_portfolios25!G645-ff_factors!$E645</f>
        <v>-3.2879999999999997E-3</v>
      </c>
      <c r="H645" s="2">
        <f>ff_portfolios25!H645-ff_factors!$E645</f>
        <v>-1.6566999999999998E-2</v>
      </c>
      <c r="I645" s="2">
        <f>ff_portfolios25!I645-ff_factors!$E645</f>
        <v>-2.5795999999999999E-2</v>
      </c>
      <c r="J645" s="2">
        <f>ff_portfolios25!J645-ff_factors!$E645</f>
        <v>-1.5051999999999999E-2</v>
      </c>
      <c r="K645" s="2">
        <f>ff_portfolios25!K645-ff_factors!$E645</f>
        <v>2.2290000000000001E-3</v>
      </c>
      <c r="L645" s="2">
        <f>ff_portfolios25!L645-ff_factors!$E645</f>
        <v>-2.2579999999999996E-3</v>
      </c>
      <c r="M645" s="2">
        <f>ff_portfolios25!M645-ff_factors!$E645</f>
        <v>-3.1039999999999996E-3</v>
      </c>
      <c r="N645" s="2">
        <f>ff_portfolios25!N645-ff_factors!$E645</f>
        <v>-3.0217000000000001E-2</v>
      </c>
      <c r="O645" s="2">
        <f>ff_portfolios25!O645-ff_factors!$E645</f>
        <v>-1.1397999999999998E-2</v>
      </c>
      <c r="P645" s="2">
        <f>ff_portfolios25!P645-ff_factors!$E645</f>
        <v>-7.5739999999999991E-3</v>
      </c>
      <c r="Q645" s="2">
        <f>ff_portfolios25!Q645-ff_factors!$E645</f>
        <v>-9.9819999999999996E-3</v>
      </c>
      <c r="R645" s="2">
        <f>ff_portfolios25!R645-ff_factors!$E645</f>
        <v>-2.6879999999999999E-3</v>
      </c>
      <c r="S645" s="2">
        <f>ff_portfolios25!S645-ff_factors!$E645</f>
        <v>-2.2651999999999999E-2</v>
      </c>
      <c r="T645" s="2">
        <f>ff_portfolios25!T645-ff_factors!$E645</f>
        <v>-8.6730000000000002E-3</v>
      </c>
      <c r="U645" s="2">
        <f>ff_portfolios25!U645-ff_factors!$E645</f>
        <v>5.5729999999999998E-3</v>
      </c>
      <c r="V645" s="2">
        <f>ff_portfolios25!V645-ff_factors!$E645</f>
        <v>-8.1560000000000001E-3</v>
      </c>
      <c r="W645" s="2">
        <f>ff_portfolios25!W645-ff_factors!$E645</f>
        <v>-2.9309999999999996E-3</v>
      </c>
      <c r="X645" s="2">
        <f>ff_portfolios25!X645-ff_factors!$E645</f>
        <v>-2.3647000000000001E-2</v>
      </c>
      <c r="Y645" s="2">
        <f>ff_portfolios25!Y645-ff_factors!$E645</f>
        <v>-5.2719999999999998E-3</v>
      </c>
      <c r="Z645" s="2">
        <f>ff_portfolios25!Z645-ff_factors!$E645</f>
        <v>-1.0721999999999999E-2</v>
      </c>
      <c r="AA645" s="2">
        <f>ff_portfolios25!AA645-ff_factors!$E645</f>
        <v>-1.549E-3</v>
      </c>
      <c r="AB645" s="2">
        <f>ff_portfolios25!AB645-ff_factors!$E645</f>
        <v>2.4480000000000005E-3</v>
      </c>
    </row>
    <row r="646" spans="1:28" x14ac:dyDescent="0.2">
      <c r="A646">
        <v>19850930</v>
      </c>
      <c r="B646">
        <v>1985</v>
      </c>
      <c r="C646">
        <v>9</v>
      </c>
      <c r="D646" s="2">
        <f>ff_portfolios25!D646-ff_factors!$E646</f>
        <v>-8.6550000000000002E-2</v>
      </c>
      <c r="E646" s="2">
        <f>ff_portfolios25!E646-ff_factors!$E646</f>
        <v>-6.3923000000000008E-2</v>
      </c>
      <c r="F646" s="2">
        <f>ff_portfolios25!F646-ff_factors!$E646</f>
        <v>-5.5014E-2</v>
      </c>
      <c r="G646" s="2">
        <f>ff_portfolios25!G646-ff_factors!$E646</f>
        <v>-4.4918E-2</v>
      </c>
      <c r="H646" s="2">
        <f>ff_portfolios25!H646-ff_factors!$E646</f>
        <v>-4.6582999999999999E-2</v>
      </c>
      <c r="I646" s="2">
        <f>ff_portfolios25!I646-ff_factors!$E646</f>
        <v>-8.1437000000000009E-2</v>
      </c>
      <c r="J646" s="2">
        <f>ff_portfolios25!J646-ff_factors!$E646</f>
        <v>-6.7726999999999996E-2</v>
      </c>
      <c r="K646" s="2">
        <f>ff_portfolios25!K646-ff_factors!$E646</f>
        <v>-3.9010999999999997E-2</v>
      </c>
      <c r="L646" s="2">
        <f>ff_portfolios25!L646-ff_factors!$E646</f>
        <v>-4.2955E-2</v>
      </c>
      <c r="M646" s="2">
        <f>ff_portfolios25!M646-ff_factors!$E646</f>
        <v>-6.1081999999999997E-2</v>
      </c>
      <c r="N646" s="2">
        <f>ff_portfolios25!N646-ff_factors!$E646</f>
        <v>-7.4667000000000011E-2</v>
      </c>
      <c r="O646" s="2">
        <f>ff_portfolios25!O646-ff_factors!$E646</f>
        <v>-4.8804E-2</v>
      </c>
      <c r="P646" s="2">
        <f>ff_portfolios25!P646-ff_factors!$E646</f>
        <v>-3.8571999999999995E-2</v>
      </c>
      <c r="Q646" s="2">
        <f>ff_portfolios25!Q646-ff_factors!$E646</f>
        <v>-4.3993999999999998E-2</v>
      </c>
      <c r="R646" s="2">
        <f>ff_portfolios25!R646-ff_factors!$E646</f>
        <v>-3.5489E-2</v>
      </c>
      <c r="S646" s="2">
        <f>ff_portfolios25!S646-ff_factors!$E646</f>
        <v>-5.5828999999999997E-2</v>
      </c>
      <c r="T646" s="2">
        <f>ff_portfolios25!T646-ff_factors!$E646</f>
        <v>-4.6696000000000001E-2</v>
      </c>
      <c r="U646" s="2">
        <f>ff_portfolios25!U646-ff_factors!$E646</f>
        <v>-5.3742999999999999E-2</v>
      </c>
      <c r="V646" s="2">
        <f>ff_portfolios25!V646-ff_factors!$E646</f>
        <v>-6.9535E-2</v>
      </c>
      <c r="W646" s="2">
        <f>ff_portfolios25!W646-ff_factors!$E646</f>
        <v>-5.5011999999999998E-2</v>
      </c>
      <c r="X646" s="2">
        <f>ff_portfolios25!X646-ff_factors!$E646</f>
        <v>-4.2497E-2</v>
      </c>
      <c r="Y646" s="2">
        <f>ff_portfolios25!Y646-ff_factors!$E646</f>
        <v>-3.0481000000000001E-2</v>
      </c>
      <c r="Z646" s="2">
        <f>ff_portfolios25!Z646-ff_factors!$E646</f>
        <v>-2.4155999999999997E-2</v>
      </c>
      <c r="AA646" s="2">
        <f>ff_portfolios25!AA646-ff_factors!$E646</f>
        <v>-3.8713999999999998E-2</v>
      </c>
      <c r="AB646" s="2">
        <f>ff_portfolios25!AB646-ff_factors!$E646</f>
        <v>-4.6214999999999999E-2</v>
      </c>
    </row>
    <row r="647" spans="1:28" x14ac:dyDescent="0.2">
      <c r="A647">
        <v>19851031</v>
      </c>
      <c r="B647">
        <v>1985</v>
      </c>
      <c r="C647">
        <v>10</v>
      </c>
      <c r="D647" s="2">
        <f>ff_portfolios25!D647-ff_factors!$E647</f>
        <v>2.6400000000000035E-4</v>
      </c>
      <c r="E647" s="2">
        <f>ff_portfolios25!E647-ff_factors!$E647</f>
        <v>1.1023000000000002E-2</v>
      </c>
      <c r="F647" s="2">
        <f>ff_portfolios25!F647-ff_factors!$E647</f>
        <v>3.0224000000000001E-2</v>
      </c>
      <c r="G647" s="2">
        <f>ff_portfolios25!G647-ff_factors!$E647</f>
        <v>2.6966000000000004E-2</v>
      </c>
      <c r="H647" s="2">
        <f>ff_portfolios25!H647-ff_factors!$E647</f>
        <v>1.1103000000000002E-2</v>
      </c>
      <c r="I647" s="2">
        <f>ff_portfolios25!I647-ff_factors!$E647</f>
        <v>3.1739000000000003E-2</v>
      </c>
      <c r="J647" s="2">
        <f>ff_portfolios25!J647-ff_factors!$E647</f>
        <v>3.2064000000000002E-2</v>
      </c>
      <c r="K647" s="2">
        <f>ff_portfolios25!K647-ff_factors!$E647</f>
        <v>3.4605999999999998E-2</v>
      </c>
      <c r="L647" s="2">
        <f>ff_portfolios25!L647-ff_factors!$E647</f>
        <v>5.0605000000000004E-2</v>
      </c>
      <c r="M647" s="2">
        <f>ff_portfolios25!M647-ff_factors!$E647</f>
        <v>2.1655000000000001E-2</v>
      </c>
      <c r="N647" s="2">
        <f>ff_portfolios25!N647-ff_factors!$E647</f>
        <v>3.2954000000000004E-2</v>
      </c>
      <c r="O647" s="2">
        <f>ff_portfolios25!O647-ff_factors!$E647</f>
        <v>3.5786999999999999E-2</v>
      </c>
      <c r="P647" s="2">
        <f>ff_portfolios25!P647-ff_factors!$E647</f>
        <v>3.7377000000000001E-2</v>
      </c>
      <c r="Q647" s="2">
        <f>ff_portfolios25!Q647-ff_factors!$E647</f>
        <v>1.7562000000000001E-2</v>
      </c>
      <c r="R647" s="2">
        <f>ff_portfolios25!R647-ff_factors!$E647</f>
        <v>2.1751E-2</v>
      </c>
      <c r="S647" s="2">
        <f>ff_portfolios25!S647-ff_factors!$E647</f>
        <v>5.0220000000000001E-2</v>
      </c>
      <c r="T647" s="2">
        <f>ff_portfolios25!T647-ff_factors!$E647</f>
        <v>4.6272000000000001E-2</v>
      </c>
      <c r="U647" s="2">
        <f>ff_portfolios25!U647-ff_factors!$E647</f>
        <v>3.5989E-2</v>
      </c>
      <c r="V647" s="2">
        <f>ff_portfolios25!V647-ff_factors!$E647</f>
        <v>4.8530999999999998E-2</v>
      </c>
      <c r="W647" s="2">
        <f>ff_portfolios25!W647-ff_factors!$E647</f>
        <v>4.9300000000000004E-2</v>
      </c>
      <c r="X647" s="2">
        <f>ff_portfolios25!X647-ff_factors!$E647</f>
        <v>2.9835E-2</v>
      </c>
      <c r="Y647" s="2">
        <f>ff_portfolios25!Y647-ff_factors!$E647</f>
        <v>3.7644999999999998E-2</v>
      </c>
      <c r="Z647" s="2">
        <f>ff_portfolios25!Z647-ff_factors!$E647</f>
        <v>4.1869000000000003E-2</v>
      </c>
      <c r="AA647" s="2">
        <f>ff_portfolios25!AA647-ff_factors!$E647</f>
        <v>5.2330000000000002E-2</v>
      </c>
      <c r="AB647" s="2">
        <f>ff_portfolios25!AB647-ff_factors!$E647</f>
        <v>5.6514000000000002E-2</v>
      </c>
    </row>
    <row r="648" spans="1:28" x14ac:dyDescent="0.2">
      <c r="A648">
        <v>19851129</v>
      </c>
      <c r="B648">
        <v>1985</v>
      </c>
      <c r="C648">
        <v>11</v>
      </c>
      <c r="D648" s="2">
        <f>ff_portfolios25!D648-ff_factors!$E648</f>
        <v>4.8591999999999996E-2</v>
      </c>
      <c r="E648" s="2">
        <f>ff_portfolios25!E648-ff_factors!$E648</f>
        <v>5.9168999999999992E-2</v>
      </c>
      <c r="F648" s="2">
        <f>ff_portfolios25!F648-ff_factors!$E648</f>
        <v>5.7509999999999999E-2</v>
      </c>
      <c r="G648" s="2">
        <f>ff_portfolios25!G648-ff_factors!$E648</f>
        <v>4.4290999999999997E-2</v>
      </c>
      <c r="H648" s="2">
        <f>ff_portfolios25!H648-ff_factors!$E648</f>
        <v>4.3008999999999999E-2</v>
      </c>
      <c r="I648" s="2">
        <f>ff_portfolios25!I648-ff_factors!$E648</f>
        <v>8.6799000000000001E-2</v>
      </c>
      <c r="J648" s="2">
        <f>ff_portfolios25!J648-ff_factors!$E648</f>
        <v>6.5532000000000007E-2</v>
      </c>
      <c r="K648" s="2">
        <f>ff_portfolios25!K648-ff_factors!$E648</f>
        <v>7.5659000000000004E-2</v>
      </c>
      <c r="L648" s="2">
        <f>ff_portfolios25!L648-ff_factors!$E648</f>
        <v>6.5305000000000002E-2</v>
      </c>
      <c r="M648" s="2">
        <f>ff_portfolios25!M648-ff_factors!$E648</f>
        <v>5.8263000000000002E-2</v>
      </c>
      <c r="N648" s="2">
        <f>ff_portfolios25!N648-ff_factors!$E648</f>
        <v>7.1478E-2</v>
      </c>
      <c r="O648" s="2">
        <f>ff_portfolios25!O648-ff_factors!$E648</f>
        <v>6.6069000000000003E-2</v>
      </c>
      <c r="P648" s="2">
        <f>ff_portfolios25!P648-ff_factors!$E648</f>
        <v>5.2337000000000002E-2</v>
      </c>
      <c r="Q648" s="2">
        <f>ff_portfolios25!Q648-ff_factors!$E648</f>
        <v>5.9461999999999994E-2</v>
      </c>
      <c r="R648" s="2">
        <f>ff_portfolios25!R648-ff_factors!$E648</f>
        <v>5.8964999999999997E-2</v>
      </c>
      <c r="S648" s="2">
        <f>ff_portfolios25!S648-ff_factors!$E648</f>
        <v>7.9916000000000001E-2</v>
      </c>
      <c r="T648" s="2">
        <f>ff_portfolios25!T648-ff_factors!$E648</f>
        <v>6.3491000000000006E-2</v>
      </c>
      <c r="U648" s="2">
        <f>ff_portfolios25!U648-ff_factors!$E648</f>
        <v>7.6771000000000006E-2</v>
      </c>
      <c r="V648" s="2">
        <f>ff_portfolios25!V648-ff_factors!$E648</f>
        <v>4.8884999999999998E-2</v>
      </c>
      <c r="W648" s="2">
        <f>ff_portfolios25!W648-ff_factors!$E648</f>
        <v>4.8703999999999997E-2</v>
      </c>
      <c r="X648" s="2">
        <f>ff_portfolios25!X648-ff_factors!$E648</f>
        <v>9.4628000000000004E-2</v>
      </c>
      <c r="Y648" s="2">
        <f>ff_portfolios25!Y648-ff_factors!$E648</f>
        <v>7.5587000000000001E-2</v>
      </c>
      <c r="Z648" s="2">
        <f>ff_portfolios25!Z648-ff_factors!$E648</f>
        <v>7.0343000000000003E-2</v>
      </c>
      <c r="AA648" s="2">
        <f>ff_portfolios25!AA648-ff_factors!$E648</f>
        <v>3.3333000000000002E-2</v>
      </c>
      <c r="AB648" s="2">
        <f>ff_portfolios25!AB648-ff_factors!$E648</f>
        <v>4.0784000000000001E-2</v>
      </c>
    </row>
    <row r="649" spans="1:28" x14ac:dyDescent="0.2">
      <c r="A649">
        <v>19851231</v>
      </c>
      <c r="B649">
        <v>1985</v>
      </c>
      <c r="C649">
        <v>12</v>
      </c>
      <c r="D649" s="2">
        <f>ff_portfolios25!D649-ff_factors!$E649</f>
        <v>3.0255000000000004E-2</v>
      </c>
      <c r="E649" s="2">
        <f>ff_portfolios25!E649-ff_factors!$E649</f>
        <v>4.4347000000000004E-2</v>
      </c>
      <c r="F649" s="2">
        <f>ff_portfolios25!F649-ff_factors!$E649</f>
        <v>3.3871999999999999E-2</v>
      </c>
      <c r="G649" s="2">
        <f>ff_portfolios25!G649-ff_factors!$E649</f>
        <v>3.4146000000000003E-2</v>
      </c>
      <c r="H649" s="2">
        <f>ff_portfolios25!H649-ff_factors!$E649</f>
        <v>2.7438999999999998E-2</v>
      </c>
      <c r="I649" s="2">
        <f>ff_portfolios25!I649-ff_factors!$E649</f>
        <v>4.5630000000000004E-2</v>
      </c>
      <c r="J649" s="2">
        <f>ff_portfolios25!J649-ff_factors!$E649</f>
        <v>3.8380000000000004E-2</v>
      </c>
      <c r="K649" s="2">
        <f>ff_portfolios25!K649-ff_factors!$E649</f>
        <v>4.4229000000000004E-2</v>
      </c>
      <c r="L649" s="2">
        <f>ff_portfolios25!L649-ff_factors!$E649</f>
        <v>3.2905999999999998E-2</v>
      </c>
      <c r="M649" s="2">
        <f>ff_portfolios25!M649-ff_factors!$E649</f>
        <v>-3.1829999999999996E-3</v>
      </c>
      <c r="N649" s="2">
        <f>ff_portfolios25!N649-ff_factors!$E649</f>
        <v>5.0265999999999998E-2</v>
      </c>
      <c r="O649" s="2">
        <f>ff_portfolios25!O649-ff_factors!$E649</f>
        <v>3.9879999999999999E-2</v>
      </c>
      <c r="P649" s="2">
        <f>ff_portfolios25!P649-ff_factors!$E649</f>
        <v>1.8260999999999999E-2</v>
      </c>
      <c r="Q649" s="2">
        <f>ff_portfolios25!Q649-ff_factors!$E649</f>
        <v>2.0119000000000001E-2</v>
      </c>
      <c r="R649" s="2">
        <f>ff_portfolios25!R649-ff_factors!$E649</f>
        <v>4.7551000000000003E-2</v>
      </c>
      <c r="S649" s="2">
        <f>ff_portfolios25!S649-ff_factors!$E649</f>
        <v>3.0893000000000004E-2</v>
      </c>
      <c r="T649" s="2">
        <f>ff_portfolios25!T649-ff_factors!$E649</f>
        <v>3.7909999999999999E-2</v>
      </c>
      <c r="U649" s="2">
        <f>ff_portfolios25!U649-ff_factors!$E649</f>
        <v>2.1772E-2</v>
      </c>
      <c r="V649" s="2">
        <f>ff_portfolios25!V649-ff_factors!$E649</f>
        <v>4.3200000000000002E-2</v>
      </c>
      <c r="W649" s="2">
        <f>ff_portfolios25!W649-ff_factors!$E649</f>
        <v>4.5281000000000002E-2</v>
      </c>
      <c r="X649" s="2">
        <f>ff_portfolios25!X649-ff_factors!$E649</f>
        <v>6.2285E-2</v>
      </c>
      <c r="Y649" s="2">
        <f>ff_portfolios25!Y649-ff_factors!$E649</f>
        <v>3.0952E-2</v>
      </c>
      <c r="Z649" s="2">
        <f>ff_portfolios25!Z649-ff_factors!$E649</f>
        <v>4.3403999999999998E-2</v>
      </c>
      <c r="AA649" s="2">
        <f>ff_portfolios25!AA649-ff_factors!$E649</f>
        <v>2.4315E-2</v>
      </c>
      <c r="AB649" s="2">
        <f>ff_portfolios25!AB649-ff_factors!$E649</f>
        <v>3.6961000000000001E-2</v>
      </c>
    </row>
    <row r="650" spans="1:28" x14ac:dyDescent="0.2">
      <c r="A650">
        <v>19860131</v>
      </c>
      <c r="B650">
        <v>1986</v>
      </c>
      <c r="C650">
        <v>1</v>
      </c>
      <c r="D650" s="2">
        <f>ff_portfolios25!D650-ff_factors!$E650</f>
        <v>3.3167999999999996E-2</v>
      </c>
      <c r="E650" s="2">
        <f>ff_portfolios25!E650-ff_factors!$E650</f>
        <v>1.7159999999999998E-2</v>
      </c>
      <c r="F650" s="2">
        <f>ff_portfolios25!F650-ff_factors!$E650</f>
        <v>1.6239999999999997E-2</v>
      </c>
      <c r="G650" s="2">
        <f>ff_portfolios25!G650-ff_factors!$E650</f>
        <v>1.4356999999999998E-2</v>
      </c>
      <c r="H650" s="2">
        <f>ff_portfolios25!H650-ff_factors!$E650</f>
        <v>2.4579999999999998E-2</v>
      </c>
      <c r="I650" s="2">
        <f>ff_portfolios25!I650-ff_factors!$E650</f>
        <v>3.5009999999999998E-3</v>
      </c>
      <c r="J650" s="2">
        <f>ff_portfolios25!J650-ff_factors!$E650</f>
        <v>1.2777999999999998E-2</v>
      </c>
      <c r="K650" s="2">
        <f>ff_portfolios25!K650-ff_factors!$E650</f>
        <v>8.317999999999999E-3</v>
      </c>
      <c r="L650" s="2">
        <f>ff_portfolios25!L650-ff_factors!$E650</f>
        <v>-3.421E-3</v>
      </c>
      <c r="M650" s="2">
        <f>ff_portfolios25!M650-ff_factors!$E650</f>
        <v>2.0444999999999998E-2</v>
      </c>
      <c r="N650" s="2">
        <f>ff_portfolios25!N650-ff_factors!$E650</f>
        <v>1.3100999999999998E-2</v>
      </c>
      <c r="O650" s="2">
        <f>ff_portfolios25!O650-ff_factors!$E650</f>
        <v>2.1904E-2</v>
      </c>
      <c r="P650" s="2">
        <f>ff_portfolios25!P650-ff_factors!$E650</f>
        <v>6.8499999999999993E-3</v>
      </c>
      <c r="Q650" s="2">
        <f>ff_portfolios25!Q650-ff_factors!$E650</f>
        <v>1.9376000000000001E-2</v>
      </c>
      <c r="R650" s="2">
        <f>ff_portfolios25!R650-ff_factors!$E650</f>
        <v>2.5141999999999998E-2</v>
      </c>
      <c r="S650" s="2">
        <f>ff_portfolios25!S650-ff_factors!$E650</f>
        <v>5.7390000000000002E-3</v>
      </c>
      <c r="T650" s="2">
        <f>ff_portfolios25!T650-ff_factors!$E650</f>
        <v>-7.9900000000000023E-4</v>
      </c>
      <c r="U650" s="2">
        <f>ff_portfolios25!U650-ff_factors!$E650</f>
        <v>1.2952999999999999E-2</v>
      </c>
      <c r="V650" s="2">
        <f>ff_portfolios25!V650-ff_factors!$E650</f>
        <v>2.1610000000000001E-2</v>
      </c>
      <c r="W650" s="2">
        <f>ff_portfolios25!W650-ff_factors!$E650</f>
        <v>2.9698999999999996E-2</v>
      </c>
      <c r="X650" s="2">
        <f>ff_portfolios25!X650-ff_factors!$E650</f>
        <v>-1.8570000000000001E-3</v>
      </c>
      <c r="Y650" s="2">
        <f>ff_portfolios25!Y650-ff_factors!$E650</f>
        <v>7.8370000000000002E-3</v>
      </c>
      <c r="Z650" s="2">
        <f>ff_portfolios25!Z650-ff_factors!$E650</f>
        <v>1.0019E-2</v>
      </c>
      <c r="AA650" s="2">
        <f>ff_portfolios25!AA650-ff_factors!$E650</f>
        <v>-1.9996E-2</v>
      </c>
      <c r="AB650" s="2">
        <f>ff_portfolios25!AB650-ff_factors!$E650</f>
        <v>8.8710000000000004E-3</v>
      </c>
    </row>
    <row r="651" spans="1:28" x14ac:dyDescent="0.2">
      <c r="A651">
        <v>19860228</v>
      </c>
      <c r="B651">
        <v>1986</v>
      </c>
      <c r="C651">
        <v>2</v>
      </c>
      <c r="D651" s="2">
        <f>ff_portfolios25!D651-ff_factors!$E651</f>
        <v>5.3699999999999998E-2</v>
      </c>
      <c r="E651" s="2">
        <f>ff_portfolios25!E651-ff_factors!$E651</f>
        <v>5.8214000000000002E-2</v>
      </c>
      <c r="F651" s="2">
        <f>ff_portfolios25!F651-ff_factors!$E651</f>
        <v>6.0821E-2</v>
      </c>
      <c r="G651" s="2">
        <f>ff_portfolios25!G651-ff_factors!$E651</f>
        <v>7.5084999999999999E-2</v>
      </c>
      <c r="H651" s="2">
        <f>ff_portfolios25!H651-ff_factors!$E651</f>
        <v>4.8294000000000004E-2</v>
      </c>
      <c r="I651" s="2">
        <f>ff_portfolios25!I651-ff_factors!$E651</f>
        <v>7.2787000000000004E-2</v>
      </c>
      <c r="J651" s="2">
        <f>ff_portfolios25!J651-ff_factors!$E651</f>
        <v>6.4726000000000006E-2</v>
      </c>
      <c r="K651" s="2">
        <f>ff_portfolios25!K651-ff_factors!$E651</f>
        <v>6.1493000000000006E-2</v>
      </c>
      <c r="L651" s="2">
        <f>ff_portfolios25!L651-ff_factors!$E651</f>
        <v>9.0525999999999995E-2</v>
      </c>
      <c r="M651" s="2">
        <f>ff_portfolios25!M651-ff_factors!$E651</f>
        <v>3.3790000000000001E-2</v>
      </c>
      <c r="N651" s="2">
        <f>ff_portfolios25!N651-ff_factors!$E651</f>
        <v>6.4191999999999999E-2</v>
      </c>
      <c r="O651" s="2">
        <f>ff_portfolios25!O651-ff_factors!$E651</f>
        <v>8.7348999999999996E-2</v>
      </c>
      <c r="P651" s="2">
        <f>ff_portfolios25!P651-ff_factors!$E651</f>
        <v>7.3276999999999995E-2</v>
      </c>
      <c r="Q651" s="2">
        <f>ff_portfolios25!Q651-ff_factors!$E651</f>
        <v>6.5684000000000006E-2</v>
      </c>
      <c r="R651" s="2">
        <f>ff_portfolios25!R651-ff_factors!$E651</f>
        <v>6.0087000000000002E-2</v>
      </c>
      <c r="S651" s="2">
        <f>ff_portfolios25!S651-ff_factors!$E651</f>
        <v>7.4672000000000002E-2</v>
      </c>
      <c r="T651" s="2">
        <f>ff_portfolios25!T651-ff_factors!$E651</f>
        <v>8.8912000000000005E-2</v>
      </c>
      <c r="U651" s="2">
        <f>ff_portfolios25!U651-ff_factors!$E651</f>
        <v>6.4758999999999997E-2</v>
      </c>
      <c r="V651" s="2">
        <f>ff_portfolios25!V651-ff_factors!$E651</f>
        <v>6.7251000000000005E-2</v>
      </c>
      <c r="W651" s="2">
        <f>ff_portfolios25!W651-ff_factors!$E651</f>
        <v>7.1459999999999996E-2</v>
      </c>
      <c r="X651" s="2">
        <f>ff_portfolios25!X651-ff_factors!$E651</f>
        <v>7.0527000000000006E-2</v>
      </c>
      <c r="Y651" s="2">
        <f>ff_portfolios25!Y651-ff_factors!$E651</f>
        <v>9.5925999999999997E-2</v>
      </c>
      <c r="Z651" s="2">
        <f>ff_portfolios25!Z651-ff_factors!$E651</f>
        <v>8.1134999999999999E-2</v>
      </c>
      <c r="AA651" s="2">
        <f>ff_portfolios25!AA651-ff_factors!$E651</f>
        <v>5.9382000000000004E-2</v>
      </c>
      <c r="AB651" s="2">
        <f>ff_portfolios25!AB651-ff_factors!$E651</f>
        <v>6.6559999999999994E-2</v>
      </c>
    </row>
    <row r="652" spans="1:28" x14ac:dyDescent="0.2">
      <c r="A652">
        <v>19860331</v>
      </c>
      <c r="B652">
        <v>1986</v>
      </c>
      <c r="C652">
        <v>3</v>
      </c>
      <c r="D652" s="2">
        <f>ff_portfolios25!D652-ff_factors!$E652</f>
        <v>4.1556000000000003E-2</v>
      </c>
      <c r="E652" s="2">
        <f>ff_portfolios25!E652-ff_factors!$E652</f>
        <v>5.04E-2</v>
      </c>
      <c r="F652" s="2">
        <f>ff_portfolios25!F652-ff_factors!$E652</f>
        <v>4.3147999999999999E-2</v>
      </c>
      <c r="G652" s="2">
        <f>ff_portfolios25!G652-ff_factors!$E652</f>
        <v>4.2200000000000001E-2</v>
      </c>
      <c r="H652" s="2">
        <f>ff_portfolios25!H652-ff_factors!$E652</f>
        <v>5.6611000000000002E-2</v>
      </c>
      <c r="I652" s="2">
        <f>ff_portfolios25!I652-ff_factors!$E652</f>
        <v>3.1111E-2</v>
      </c>
      <c r="J652" s="2">
        <f>ff_portfolios25!J652-ff_factors!$E652</f>
        <v>4.5170000000000002E-2</v>
      </c>
      <c r="K652" s="2">
        <f>ff_portfolios25!K652-ff_factors!$E652</f>
        <v>5.2700000000000004E-2</v>
      </c>
      <c r="L652" s="2">
        <f>ff_portfolios25!L652-ff_factors!$E652</f>
        <v>4.4637000000000003E-2</v>
      </c>
      <c r="M652" s="2">
        <f>ff_portfolios25!M652-ff_factors!$E652</f>
        <v>5.7723000000000003E-2</v>
      </c>
      <c r="N652" s="2">
        <f>ff_portfolios25!N652-ff_factors!$E652</f>
        <v>4.2645000000000002E-2</v>
      </c>
      <c r="O652" s="2">
        <f>ff_portfolios25!O652-ff_factors!$E652</f>
        <v>6.5897999999999998E-2</v>
      </c>
      <c r="P652" s="2">
        <f>ff_portfolios25!P652-ff_factors!$E652</f>
        <v>4.7850000000000004E-2</v>
      </c>
      <c r="Q652" s="2">
        <f>ff_portfolios25!Q652-ff_factors!$E652</f>
        <v>5.2698000000000002E-2</v>
      </c>
      <c r="R652" s="2">
        <f>ff_portfolios25!R652-ff_factors!$E652</f>
        <v>5.0754000000000001E-2</v>
      </c>
      <c r="S652" s="2">
        <f>ff_portfolios25!S652-ff_factors!$E652</f>
        <v>4.9848000000000003E-2</v>
      </c>
      <c r="T652" s="2">
        <f>ff_portfolios25!T652-ff_factors!$E652</f>
        <v>4.6231000000000001E-2</v>
      </c>
      <c r="U652" s="2">
        <f>ff_portfolios25!U652-ff_factors!$E652</f>
        <v>6.0131999999999998E-2</v>
      </c>
      <c r="V652" s="2">
        <f>ff_portfolios25!V652-ff_factors!$E652</f>
        <v>3.4467000000000005E-2</v>
      </c>
      <c r="W652" s="2">
        <f>ff_portfolios25!W652-ff_factors!$E652</f>
        <v>4.0333000000000001E-2</v>
      </c>
      <c r="X652" s="2">
        <f>ff_portfolios25!X652-ff_factors!$E652</f>
        <v>5.3560000000000003E-2</v>
      </c>
      <c r="Y652" s="2">
        <f>ff_portfolios25!Y652-ff_factors!$E652</f>
        <v>6.7228999999999997E-2</v>
      </c>
      <c r="Z652" s="2">
        <f>ff_portfolios25!Z652-ff_factors!$E652</f>
        <v>4.8372999999999999E-2</v>
      </c>
      <c r="AA652" s="2">
        <f>ff_portfolios25!AA652-ff_factors!$E652</f>
        <v>4.2379E-2</v>
      </c>
      <c r="AB652" s="2">
        <f>ff_portfolios25!AB652-ff_factors!$E652</f>
        <v>3.8592000000000001E-2</v>
      </c>
    </row>
    <row r="653" spans="1:28" x14ac:dyDescent="0.2">
      <c r="A653">
        <v>19860430</v>
      </c>
      <c r="B653">
        <v>1986</v>
      </c>
      <c r="C653">
        <v>4</v>
      </c>
      <c r="D653" s="2">
        <f>ff_portfolios25!D653-ff_factors!$E653</f>
        <v>2.1078E-2</v>
      </c>
      <c r="E653" s="2">
        <f>ff_portfolios25!E653-ff_factors!$E653</f>
        <v>1.7469000000000002E-2</v>
      </c>
      <c r="F653" s="2">
        <f>ff_portfolios25!F653-ff_factors!$E653</f>
        <v>9.2370000000000004E-3</v>
      </c>
      <c r="G653" s="2">
        <f>ff_portfolios25!G653-ff_factors!$E653</f>
        <v>-3.4449999999999997E-3</v>
      </c>
      <c r="H653" s="2">
        <f>ff_portfolios25!H653-ff_factors!$E653</f>
        <v>-4.190000000000001E-4</v>
      </c>
      <c r="I653" s="2">
        <f>ff_portfolios25!I653-ff_factors!$E653</f>
        <v>1.6383999999999999E-2</v>
      </c>
      <c r="J653" s="2">
        <f>ff_portfolios25!J653-ff_factors!$E653</f>
        <v>1.6452999999999999E-2</v>
      </c>
      <c r="K653" s="2">
        <f>ff_portfolios25!K653-ff_factors!$E653</f>
        <v>-4.1209999999999997E-3</v>
      </c>
      <c r="L653" s="2">
        <f>ff_portfolios25!L653-ff_factors!$E653</f>
        <v>3.4330000000000003E-3</v>
      </c>
      <c r="M653" s="2">
        <f>ff_portfolios25!M653-ff_factors!$E653</f>
        <v>-2.4656999999999998E-2</v>
      </c>
      <c r="N653" s="2">
        <f>ff_portfolios25!N653-ff_factors!$E653</f>
        <v>1.6579E-2</v>
      </c>
      <c r="O653" s="2">
        <f>ff_portfolios25!O653-ff_factors!$E653</f>
        <v>1.6549000000000001E-2</v>
      </c>
      <c r="P653" s="2">
        <f>ff_portfolios25!P653-ff_factors!$E653</f>
        <v>5.7250000000000009E-3</v>
      </c>
      <c r="Q653" s="2">
        <f>ff_portfolios25!Q653-ff_factors!$E653</f>
        <v>7.2110000000000004E-3</v>
      </c>
      <c r="R653" s="2">
        <f>ff_portfolios25!R653-ff_factors!$E653</f>
        <v>-2.0594000000000001E-2</v>
      </c>
      <c r="S653" s="2">
        <f>ff_portfolios25!S653-ff_factors!$E653</f>
        <v>1.4187999999999999E-2</v>
      </c>
      <c r="T653" s="2">
        <f>ff_portfolios25!T653-ff_factors!$E653</f>
        <v>-8.5919999999999989E-3</v>
      </c>
      <c r="U653" s="2">
        <f>ff_portfolios25!U653-ff_factors!$E653</f>
        <v>-2.3029999999999998E-2</v>
      </c>
      <c r="V653" s="2">
        <f>ff_portfolios25!V653-ff_factors!$E653</f>
        <v>-3.0266000000000001E-2</v>
      </c>
      <c r="W653" s="2">
        <f>ff_portfolios25!W653-ff_factors!$E653</f>
        <v>-5.3930000000000006E-2</v>
      </c>
      <c r="X653" s="2">
        <f>ff_portfolios25!X653-ff_factors!$E653</f>
        <v>-1.9539999999999996E-3</v>
      </c>
      <c r="Y653" s="2">
        <f>ff_portfolios25!Y653-ff_factors!$E653</f>
        <v>-1.4975E-2</v>
      </c>
      <c r="Z653" s="2">
        <f>ff_portfolios25!Z653-ff_factors!$E653</f>
        <v>-2.8417999999999999E-2</v>
      </c>
      <c r="AA653" s="2">
        <f>ff_portfolios25!AA653-ff_factors!$E653</f>
        <v>-3.2188000000000001E-2</v>
      </c>
      <c r="AB653" s="2">
        <f>ff_portfolios25!AB653-ff_factors!$E653</f>
        <v>-3.2593999999999998E-2</v>
      </c>
    </row>
    <row r="654" spans="1:28" x14ac:dyDescent="0.2">
      <c r="A654">
        <v>19860530</v>
      </c>
      <c r="B654">
        <v>1986</v>
      </c>
      <c r="C654">
        <v>5</v>
      </c>
      <c r="D654" s="2">
        <f>ff_portfolios25!D654-ff_factors!$E654</f>
        <v>3.6774999999999995E-2</v>
      </c>
      <c r="E654" s="2">
        <f>ff_portfolios25!E654-ff_factors!$E654</f>
        <v>2.9836000000000001E-2</v>
      </c>
      <c r="F654" s="2">
        <f>ff_portfolios25!F654-ff_factors!$E654</f>
        <v>3.5945999999999999E-2</v>
      </c>
      <c r="G654" s="2">
        <f>ff_portfolios25!G654-ff_factors!$E654</f>
        <v>3.3246999999999999E-2</v>
      </c>
      <c r="H654" s="2">
        <f>ff_portfolios25!H654-ff_factors!$E654</f>
        <v>3.5422999999999996E-2</v>
      </c>
      <c r="I654" s="2">
        <f>ff_portfolios25!I654-ff_factors!$E654</f>
        <v>2.9066000000000002E-2</v>
      </c>
      <c r="J654" s="2">
        <f>ff_portfolios25!J654-ff_factors!$E654</f>
        <v>1.9431999999999998E-2</v>
      </c>
      <c r="K654" s="2">
        <f>ff_portfolios25!K654-ff_factors!$E654</f>
        <v>4.7431999999999995E-2</v>
      </c>
      <c r="L654" s="2">
        <f>ff_portfolios25!L654-ff_factors!$E654</f>
        <v>3.771E-2</v>
      </c>
      <c r="M654" s="2">
        <f>ff_portfolios25!M654-ff_factors!$E654</f>
        <v>2.4739999999999998E-2</v>
      </c>
      <c r="N654" s="2">
        <f>ff_portfolios25!N654-ff_factors!$E654</f>
        <v>5.6859E-2</v>
      </c>
      <c r="O654" s="2">
        <f>ff_portfolios25!O654-ff_factors!$E654</f>
        <v>3.7669999999999995E-2</v>
      </c>
      <c r="P654" s="2">
        <f>ff_portfolios25!P654-ff_factors!$E654</f>
        <v>5.4168000000000001E-2</v>
      </c>
      <c r="Q654" s="2">
        <f>ff_portfolios25!Q654-ff_factors!$E654</f>
        <v>4.7278000000000001E-2</v>
      </c>
      <c r="R654" s="2">
        <f>ff_portfolios25!R654-ff_factors!$E654</f>
        <v>2.7006999999999996E-2</v>
      </c>
      <c r="S654" s="2">
        <f>ff_portfolios25!S654-ff_factors!$E654</f>
        <v>5.8122999999999994E-2</v>
      </c>
      <c r="T654" s="2">
        <f>ff_portfolios25!T654-ff_factors!$E654</f>
        <v>3.4787999999999999E-2</v>
      </c>
      <c r="U654" s="2">
        <f>ff_portfolios25!U654-ff_factors!$E654</f>
        <v>5.1622999999999995E-2</v>
      </c>
      <c r="V654" s="2">
        <f>ff_portfolios25!V654-ff_factors!$E654</f>
        <v>3.9188000000000001E-2</v>
      </c>
      <c r="W654" s="2">
        <f>ff_portfolios25!W654-ff_factors!$E654</f>
        <v>3.9438000000000001E-2</v>
      </c>
      <c r="X654" s="2">
        <f>ff_portfolios25!X654-ff_factors!$E654</f>
        <v>4.6553999999999998E-2</v>
      </c>
      <c r="Y654" s="2">
        <f>ff_portfolios25!Y654-ff_factors!$E654</f>
        <v>5.8237999999999998E-2</v>
      </c>
      <c r="Z654" s="2">
        <f>ff_portfolios25!Z654-ff_factors!$E654</f>
        <v>3.0681E-2</v>
      </c>
      <c r="AA654" s="2">
        <f>ff_portfolios25!AA654-ff_factors!$E654</f>
        <v>6.0175999999999993E-2</v>
      </c>
      <c r="AB654" s="2">
        <f>ff_portfolios25!AB654-ff_factors!$E654</f>
        <v>5.1136999999999995E-2</v>
      </c>
    </row>
    <row r="655" spans="1:28" x14ac:dyDescent="0.2">
      <c r="A655">
        <v>19860630</v>
      </c>
      <c r="B655">
        <v>1986</v>
      </c>
      <c r="C655">
        <v>6</v>
      </c>
      <c r="D655" s="2">
        <f>ff_portfolios25!D655-ff_factors!$E655</f>
        <v>-3.405E-3</v>
      </c>
      <c r="E655" s="2">
        <f>ff_portfolios25!E655-ff_factors!$E655</f>
        <v>-1.925E-2</v>
      </c>
      <c r="F655" s="2">
        <f>ff_portfolios25!F655-ff_factors!$E655</f>
        <v>-9.3179999999999999E-3</v>
      </c>
      <c r="G655" s="2">
        <f>ff_portfolios25!G655-ff_factors!$E655</f>
        <v>7.339E-3</v>
      </c>
      <c r="H655" s="2">
        <f>ff_portfolios25!H655-ff_factors!$E655</f>
        <v>1.8305000000000002E-2</v>
      </c>
      <c r="I655" s="2">
        <f>ff_portfolios25!I655-ff_factors!$E655</f>
        <v>8.4899999999999993E-4</v>
      </c>
      <c r="J655" s="2">
        <f>ff_portfolios25!J655-ff_factors!$E655</f>
        <v>-3.8659999999999996E-3</v>
      </c>
      <c r="K655" s="2">
        <f>ff_portfolios25!K655-ff_factors!$E655</f>
        <v>2.0878000000000001E-2</v>
      </c>
      <c r="L655" s="2">
        <f>ff_portfolios25!L655-ff_factors!$E655</f>
        <v>1.1254E-2</v>
      </c>
      <c r="M655" s="2">
        <f>ff_portfolios25!M655-ff_factors!$E655</f>
        <v>1.898E-2</v>
      </c>
      <c r="N655" s="2">
        <f>ff_portfolios25!N655-ff_factors!$E655</f>
        <v>6.5190000000000005E-3</v>
      </c>
      <c r="O655" s="2">
        <f>ff_portfolios25!O655-ff_factors!$E655</f>
        <v>-1.2088999999999999E-2</v>
      </c>
      <c r="P655" s="2">
        <f>ff_portfolios25!P655-ff_factors!$E655</f>
        <v>1.5446000000000001E-2</v>
      </c>
      <c r="Q655" s="2">
        <f>ff_portfolios25!Q655-ff_factors!$E655</f>
        <v>9.9600000000000036E-4</v>
      </c>
      <c r="R655" s="2">
        <f>ff_portfolios25!R655-ff_factors!$E655</f>
        <v>2.0655E-2</v>
      </c>
      <c r="S655" s="2">
        <f>ff_portfolios25!S655-ff_factors!$E655</f>
        <v>9.4380000000000002E-3</v>
      </c>
      <c r="T655" s="2">
        <f>ff_portfolios25!T655-ff_factors!$E655</f>
        <v>5.0939999999999996E-3</v>
      </c>
      <c r="U655" s="2">
        <f>ff_portfolios25!U655-ff_factors!$E655</f>
        <v>-4.1549999999999998E-3</v>
      </c>
      <c r="V655" s="2">
        <f>ff_portfolios25!V655-ff_factors!$E655</f>
        <v>3.2480999999999996E-2</v>
      </c>
      <c r="W655" s="2">
        <f>ff_portfolios25!W655-ff_factors!$E655</f>
        <v>8.7919999999999995E-3</v>
      </c>
      <c r="X655" s="2">
        <f>ff_portfolios25!X655-ff_factors!$E655</f>
        <v>1.6489E-2</v>
      </c>
      <c r="Y655" s="2">
        <f>ff_portfolios25!Y655-ff_factors!$E655</f>
        <v>1.5592000000000002E-2</v>
      </c>
      <c r="Z655" s="2">
        <f>ff_portfolios25!Z655-ff_factors!$E655</f>
        <v>6.1530000000000005E-3</v>
      </c>
      <c r="AA655" s="2">
        <f>ff_portfolios25!AA655-ff_factors!$E655</f>
        <v>1.6100000000000003E-3</v>
      </c>
      <c r="AB655" s="2">
        <f>ff_portfolios25!AB655-ff_factors!$E655</f>
        <v>2.4698999999999999E-2</v>
      </c>
    </row>
    <row r="656" spans="1:28" x14ac:dyDescent="0.2">
      <c r="A656">
        <v>19860731</v>
      </c>
      <c r="B656">
        <v>1986</v>
      </c>
      <c r="C656">
        <v>7</v>
      </c>
      <c r="D656" s="2">
        <f>ff_portfolios25!D656-ff_factors!$E656</f>
        <v>-0.106557</v>
      </c>
      <c r="E656" s="2">
        <f>ff_portfolios25!E656-ff_factors!$E656</f>
        <v>-9.4031999999999991E-2</v>
      </c>
      <c r="F656" s="2">
        <f>ff_portfolios25!F656-ff_factors!$E656</f>
        <v>-8.607999999999999E-2</v>
      </c>
      <c r="G656" s="2">
        <f>ff_portfolios25!G656-ff_factors!$E656</f>
        <v>-6.5795999999999993E-2</v>
      </c>
      <c r="H656" s="2">
        <f>ff_portfolios25!H656-ff_factors!$E656</f>
        <v>-9.2575999999999992E-2</v>
      </c>
      <c r="I656" s="2">
        <f>ff_portfolios25!I656-ff_factors!$E656</f>
        <v>-0.120143</v>
      </c>
      <c r="J656" s="2">
        <f>ff_portfolios25!J656-ff_factors!$E656</f>
        <v>-0.105126</v>
      </c>
      <c r="K656" s="2">
        <f>ff_portfolios25!K656-ff_factors!$E656</f>
        <v>-9.2464999999999992E-2</v>
      </c>
      <c r="L656" s="2">
        <f>ff_portfolios25!L656-ff_factors!$E656</f>
        <v>-5.2002999999999994E-2</v>
      </c>
      <c r="M656" s="2">
        <f>ff_portfolios25!M656-ff_factors!$E656</f>
        <v>-7.6161999999999994E-2</v>
      </c>
      <c r="N656" s="2">
        <f>ff_portfolios25!N656-ff_factors!$E656</f>
        <v>-0.101977</v>
      </c>
      <c r="O656" s="2">
        <f>ff_portfolios25!O656-ff_factors!$E656</f>
        <v>-8.5004999999999997E-2</v>
      </c>
      <c r="P656" s="2">
        <f>ff_portfolios25!P656-ff_factors!$E656</f>
        <v>-8.6028999999999994E-2</v>
      </c>
      <c r="Q656" s="2">
        <f>ff_portfolios25!Q656-ff_factors!$E656</f>
        <v>-6.5024999999999999E-2</v>
      </c>
      <c r="R656" s="2">
        <f>ff_portfolios25!R656-ff_factors!$E656</f>
        <v>-5.8127999999999999E-2</v>
      </c>
      <c r="S656" s="2">
        <f>ff_portfolios25!S656-ff_factors!$E656</f>
        <v>-9.3103999999999992E-2</v>
      </c>
      <c r="T656" s="2">
        <f>ff_portfolios25!T656-ff_factors!$E656</f>
        <v>-8.1305999999999989E-2</v>
      </c>
      <c r="U656" s="2">
        <f>ff_portfolios25!U656-ff_factors!$E656</f>
        <v>-7.6358999999999996E-2</v>
      </c>
      <c r="V656" s="2">
        <f>ff_portfolios25!V656-ff_factors!$E656</f>
        <v>-4.4940999999999995E-2</v>
      </c>
      <c r="W656" s="2">
        <f>ff_portfolios25!W656-ff_factors!$E656</f>
        <v>-4.9940999999999999E-2</v>
      </c>
      <c r="X656" s="2">
        <f>ff_portfolios25!X656-ff_factors!$E656</f>
        <v>-7.5582999999999997E-2</v>
      </c>
      <c r="Y656" s="2">
        <f>ff_portfolios25!Y656-ff_factors!$E656</f>
        <v>-6.4330999999999999E-2</v>
      </c>
      <c r="Z656" s="2">
        <f>ff_portfolios25!Z656-ff_factors!$E656</f>
        <v>-5.3875000000000006E-2</v>
      </c>
      <c r="AA656" s="2">
        <f>ff_portfolios25!AA656-ff_factors!$E656</f>
        <v>-3.1621999999999997E-2</v>
      </c>
      <c r="AB656" s="2">
        <f>ff_portfolios25!AB656-ff_factors!$E656</f>
        <v>-3.1319E-2</v>
      </c>
    </row>
    <row r="657" spans="1:28" x14ac:dyDescent="0.2">
      <c r="A657">
        <v>19860829</v>
      </c>
      <c r="B657">
        <v>1986</v>
      </c>
      <c r="C657">
        <v>8</v>
      </c>
      <c r="D657" s="2">
        <f>ff_portfolios25!D657-ff_factors!$E657</f>
        <v>-1.3449999999999998E-3</v>
      </c>
      <c r="E657" s="2">
        <f>ff_portfolios25!E657-ff_factors!$E657</f>
        <v>1.0839999999999999E-3</v>
      </c>
      <c r="F657" s="2">
        <f>ff_portfolios25!F657-ff_factors!$E657</f>
        <v>1.5413E-2</v>
      </c>
      <c r="G657" s="2">
        <f>ff_portfolios25!G657-ff_factors!$E657</f>
        <v>1.4282E-2</v>
      </c>
      <c r="H657" s="2">
        <f>ff_portfolios25!H657-ff_factors!$E657</f>
        <v>1.3278000000000002E-2</v>
      </c>
      <c r="I657" s="2">
        <f>ff_portfolios25!I657-ff_factors!$E657</f>
        <v>1.8797999999999999E-2</v>
      </c>
      <c r="J657" s="2">
        <f>ff_portfolios25!J657-ff_factors!$E657</f>
        <v>4.0167000000000001E-2</v>
      </c>
      <c r="K657" s="2">
        <f>ff_portfolios25!K657-ff_factors!$E657</f>
        <v>3.5582000000000003E-2</v>
      </c>
      <c r="L657" s="2">
        <f>ff_portfolios25!L657-ff_factors!$E657</f>
        <v>5.2784999999999999E-2</v>
      </c>
      <c r="M657" s="2">
        <f>ff_portfolios25!M657-ff_factors!$E657</f>
        <v>4.3714000000000003E-2</v>
      </c>
      <c r="N657" s="2">
        <f>ff_portfolios25!N657-ff_factors!$E657</f>
        <v>3.9751000000000002E-2</v>
      </c>
      <c r="O657" s="2">
        <f>ff_portfolios25!O657-ff_factors!$E657</f>
        <v>3.0185999999999998E-2</v>
      </c>
      <c r="P657" s="2">
        <f>ff_portfolios25!P657-ff_factors!$E657</f>
        <v>5.5889000000000001E-2</v>
      </c>
      <c r="Q657" s="2">
        <f>ff_portfolios25!Q657-ff_factors!$E657</f>
        <v>6.8318999999999991E-2</v>
      </c>
      <c r="R657" s="2">
        <f>ff_portfolios25!R657-ff_factors!$E657</f>
        <v>8.0997000000000013E-2</v>
      </c>
      <c r="S657" s="2">
        <f>ff_portfolios25!S657-ff_factors!$E657</f>
        <v>4.0490999999999999E-2</v>
      </c>
      <c r="T657" s="2">
        <f>ff_portfolios25!T657-ff_factors!$E657</f>
        <v>6.0830000000000002E-2</v>
      </c>
      <c r="U657" s="2">
        <f>ff_portfolios25!U657-ff_factors!$E657</f>
        <v>6.7164000000000001E-2</v>
      </c>
      <c r="V657" s="2">
        <f>ff_portfolios25!V657-ff_factors!$E657</f>
        <v>9.6723000000000003E-2</v>
      </c>
      <c r="W657" s="2">
        <f>ff_portfolios25!W657-ff_factors!$E657</f>
        <v>8.9952000000000004E-2</v>
      </c>
      <c r="X657" s="2">
        <f>ff_portfolios25!X657-ff_factors!$E657</f>
        <v>4.0485E-2</v>
      </c>
      <c r="Y657" s="2">
        <f>ff_portfolios25!Y657-ff_factors!$E657</f>
        <v>6.0404000000000006E-2</v>
      </c>
      <c r="Z657" s="2">
        <f>ff_portfolios25!Z657-ff_factors!$E657</f>
        <v>5.6966999999999997E-2</v>
      </c>
      <c r="AA657" s="2">
        <f>ff_portfolios25!AA657-ff_factors!$E657</f>
        <v>9.7537000000000013E-2</v>
      </c>
      <c r="AB657" s="2">
        <f>ff_portfolios25!AB657-ff_factors!$E657</f>
        <v>0.10327900000000001</v>
      </c>
    </row>
    <row r="658" spans="1:28" x14ac:dyDescent="0.2">
      <c r="A658">
        <v>19860930</v>
      </c>
      <c r="B658">
        <v>1986</v>
      </c>
      <c r="C658">
        <v>9</v>
      </c>
      <c r="D658" s="2">
        <f>ff_portfolios25!D658-ff_factors!$E658</f>
        <v>-8.4059000000000009E-2</v>
      </c>
      <c r="E658" s="2">
        <f>ff_portfolios25!E658-ff_factors!$E658</f>
        <v>-6.8450999999999998E-2</v>
      </c>
      <c r="F658" s="2">
        <f>ff_portfolios25!F658-ff_factors!$E658</f>
        <v>-6.0059999999999995E-2</v>
      </c>
      <c r="G658" s="2">
        <f>ff_portfolios25!G658-ff_factors!$E658</f>
        <v>-4.922E-2</v>
      </c>
      <c r="H658" s="2">
        <f>ff_portfolios25!H658-ff_factors!$E658</f>
        <v>-3.5945999999999999E-2</v>
      </c>
      <c r="I658" s="2">
        <f>ff_portfolios25!I658-ff_factors!$E658</f>
        <v>-9.2673000000000005E-2</v>
      </c>
      <c r="J658" s="2">
        <f>ff_portfolios25!J658-ff_factors!$E658</f>
        <v>-6.8412000000000001E-2</v>
      </c>
      <c r="K658" s="2">
        <f>ff_portfolios25!K658-ff_factors!$E658</f>
        <v>-5.2505999999999997E-2</v>
      </c>
      <c r="L658" s="2">
        <f>ff_portfolios25!L658-ff_factors!$E658</f>
        <v>-3.1134000000000002E-2</v>
      </c>
      <c r="M658" s="2">
        <f>ff_portfolios25!M658-ff_factors!$E658</f>
        <v>-6.3324000000000005E-2</v>
      </c>
      <c r="N658" s="2">
        <f>ff_portfolios25!N658-ff_factors!$E658</f>
        <v>-8.5032999999999997E-2</v>
      </c>
      <c r="O658" s="2">
        <f>ff_portfolios25!O658-ff_factors!$E658</f>
        <v>-8.2880000000000009E-2</v>
      </c>
      <c r="P658" s="2">
        <f>ff_portfolios25!P658-ff_factors!$E658</f>
        <v>-5.0098999999999998E-2</v>
      </c>
      <c r="Q658" s="2">
        <f>ff_portfolios25!Q658-ff_factors!$E658</f>
        <v>-5.2429999999999997E-2</v>
      </c>
      <c r="R658" s="2">
        <f>ff_portfolios25!R658-ff_factors!$E658</f>
        <v>-5.8147999999999998E-2</v>
      </c>
      <c r="S658" s="2">
        <f>ff_portfolios25!S658-ff_factors!$E658</f>
        <v>-9.8191000000000001E-2</v>
      </c>
      <c r="T658" s="2">
        <f>ff_portfolios25!T658-ff_factors!$E658</f>
        <v>-6.2126999999999995E-2</v>
      </c>
      <c r="U658" s="2">
        <f>ff_portfolios25!U658-ff_factors!$E658</f>
        <v>-7.3876999999999998E-2</v>
      </c>
      <c r="V658" s="2">
        <f>ff_portfolios25!V658-ff_factors!$E658</f>
        <v>-7.4532000000000001E-2</v>
      </c>
      <c r="W658" s="2">
        <f>ff_portfolios25!W658-ff_factors!$E658</f>
        <v>-6.3624E-2</v>
      </c>
      <c r="X658" s="2">
        <f>ff_portfolios25!X658-ff_factors!$E658</f>
        <v>-0.107417</v>
      </c>
      <c r="Y658" s="2">
        <f>ff_portfolios25!Y658-ff_factors!$E658</f>
        <v>-0.11392000000000001</v>
      </c>
      <c r="Z658" s="2">
        <f>ff_portfolios25!Z658-ff_factors!$E658</f>
        <v>-8.234000000000001E-2</v>
      </c>
      <c r="AA658" s="2">
        <f>ff_portfolios25!AA658-ff_factors!$E658</f>
        <v>-8.3843000000000001E-2</v>
      </c>
      <c r="AB658" s="2">
        <f>ff_portfolios25!AB658-ff_factors!$E658</f>
        <v>-6.9092000000000001E-2</v>
      </c>
    </row>
    <row r="659" spans="1:28" x14ac:dyDescent="0.2">
      <c r="A659">
        <v>19861031</v>
      </c>
      <c r="B659">
        <v>1986</v>
      </c>
      <c r="C659">
        <v>10</v>
      </c>
      <c r="D659" s="2">
        <f>ff_portfolios25!D659-ff_factors!$E659</f>
        <v>1.5259999999999999E-2</v>
      </c>
      <c r="E659" s="2">
        <f>ff_portfolios25!E659-ff_factors!$E659</f>
        <v>2.1042000000000002E-2</v>
      </c>
      <c r="F659" s="2">
        <f>ff_portfolios25!F659-ff_factors!$E659</f>
        <v>1.7911E-2</v>
      </c>
      <c r="G659" s="2">
        <f>ff_portfolios25!G659-ff_factors!$E659</f>
        <v>2.5659999999999999E-2</v>
      </c>
      <c r="H659" s="2">
        <f>ff_portfolios25!H659-ff_factors!$E659</f>
        <v>6.9200000000000008E-3</v>
      </c>
      <c r="I659" s="2">
        <f>ff_portfolios25!I659-ff_factors!$E659</f>
        <v>5.9047999999999996E-2</v>
      </c>
      <c r="J659" s="2">
        <f>ff_portfolios25!J659-ff_factors!$E659</f>
        <v>3.7849000000000001E-2</v>
      </c>
      <c r="K659" s="2">
        <f>ff_portfolios25!K659-ff_factors!$E659</f>
        <v>3.0004000000000003E-2</v>
      </c>
      <c r="L659" s="2">
        <f>ff_portfolios25!L659-ff_factors!$E659</f>
        <v>2.4931999999999999E-2</v>
      </c>
      <c r="M659" s="2">
        <f>ff_portfolios25!M659-ff_factors!$E659</f>
        <v>1.1352000000000001E-2</v>
      </c>
      <c r="N659" s="2">
        <f>ff_portfolios25!N659-ff_factors!$E659</f>
        <v>5.2934000000000002E-2</v>
      </c>
      <c r="O659" s="2">
        <f>ff_portfolios25!O659-ff_factors!$E659</f>
        <v>2.0098999999999999E-2</v>
      </c>
      <c r="P659" s="2">
        <f>ff_portfolios25!P659-ff_factors!$E659</f>
        <v>7.1120000000000003E-3</v>
      </c>
      <c r="Q659" s="2">
        <f>ff_portfolios25!Q659-ff_factors!$E659</f>
        <v>1.5975E-2</v>
      </c>
      <c r="R659" s="2">
        <f>ff_portfolios25!R659-ff_factors!$E659</f>
        <v>2.3415000000000002E-2</v>
      </c>
      <c r="S659" s="2">
        <f>ff_portfolios25!S659-ff_factors!$E659</f>
        <v>5.3489000000000002E-2</v>
      </c>
      <c r="T659" s="2">
        <f>ff_portfolios25!T659-ff_factors!$E659</f>
        <v>5.8309999999999994E-2</v>
      </c>
      <c r="U659" s="2">
        <f>ff_portfolios25!U659-ff_factors!$E659</f>
        <v>5.2983000000000002E-2</v>
      </c>
      <c r="V659" s="2">
        <f>ff_portfolios25!V659-ff_factors!$E659</f>
        <v>5.5669000000000003E-2</v>
      </c>
      <c r="W659" s="2">
        <f>ff_portfolios25!W659-ff_factors!$E659</f>
        <v>3.7836000000000002E-2</v>
      </c>
      <c r="X659" s="2">
        <f>ff_portfolios25!X659-ff_factors!$E659</f>
        <v>4.4877E-2</v>
      </c>
      <c r="Y659" s="2">
        <f>ff_portfolios25!Y659-ff_factors!$E659</f>
        <v>6.5732000000000013E-2</v>
      </c>
      <c r="Z659" s="2">
        <f>ff_portfolios25!Z659-ff_factors!$E659</f>
        <v>5.9076999999999998E-2</v>
      </c>
      <c r="AA659" s="2">
        <f>ff_portfolios25!AA659-ff_factors!$E659</f>
        <v>4.2379E-2</v>
      </c>
      <c r="AB659" s="2">
        <f>ff_portfolios25!AB659-ff_factors!$E659</f>
        <v>5.5945000000000002E-2</v>
      </c>
    </row>
    <row r="660" spans="1:28" x14ac:dyDescent="0.2">
      <c r="A660">
        <v>19861128</v>
      </c>
      <c r="B660">
        <v>1986</v>
      </c>
      <c r="C660">
        <v>11</v>
      </c>
      <c r="D660" s="2">
        <f>ff_portfolios25!D660-ff_factors!$E660</f>
        <v>-2.6036E-2</v>
      </c>
      <c r="E660" s="2">
        <f>ff_portfolios25!E660-ff_factors!$E660</f>
        <v>-2.6839999999999998E-3</v>
      </c>
      <c r="F660" s="2">
        <f>ff_portfolios25!F660-ff_factors!$E660</f>
        <v>8.8199999999999997E-4</v>
      </c>
      <c r="G660" s="2">
        <f>ff_portfolios25!G660-ff_factors!$E660</f>
        <v>-4.9800000000000001E-3</v>
      </c>
      <c r="H660" s="2">
        <f>ff_portfolios25!H660-ff_factors!$E660</f>
        <v>8.8160000000000009E-3</v>
      </c>
      <c r="I660" s="2">
        <f>ff_portfolios25!I660-ff_factors!$E660</f>
        <v>-8.4999999999999963E-4</v>
      </c>
      <c r="J660" s="2">
        <f>ff_portfolios25!J660-ff_factors!$E660</f>
        <v>7.7599999999999978E-4</v>
      </c>
      <c r="K660" s="2">
        <f>ff_portfolios25!K660-ff_factors!$E660</f>
        <v>-9.1570000000000002E-3</v>
      </c>
      <c r="L660" s="2">
        <f>ff_portfolios25!L660-ff_factors!$E660</f>
        <v>-2.6090000000000002E-2</v>
      </c>
      <c r="M660" s="2">
        <f>ff_portfolios25!M660-ff_factors!$E660</f>
        <v>-4.4549999999999998E-3</v>
      </c>
      <c r="N660" s="2">
        <f>ff_portfolios25!N660-ff_factors!$E660</f>
        <v>-3.1809999999999998E-3</v>
      </c>
      <c r="O660" s="2">
        <f>ff_portfolios25!O660-ff_factors!$E660</f>
        <v>-1.2079999999999999E-3</v>
      </c>
      <c r="P660" s="2">
        <f>ff_portfolios25!P660-ff_factors!$E660</f>
        <v>-1.6138E-2</v>
      </c>
      <c r="Q660" s="2">
        <f>ff_portfolios25!Q660-ff_factors!$E660</f>
        <v>1.1095000000000001E-2</v>
      </c>
      <c r="R660" s="2">
        <f>ff_portfolios25!R660-ff_factors!$E660</f>
        <v>-6.6470000000000001E-3</v>
      </c>
      <c r="S660" s="2">
        <f>ff_portfolios25!S660-ff_factors!$E660</f>
        <v>6.8740000000000008E-3</v>
      </c>
      <c r="T660" s="2">
        <f>ff_portfolios25!T660-ff_factors!$E660</f>
        <v>1.0258E-2</v>
      </c>
      <c r="U660" s="2">
        <f>ff_portfolios25!U660-ff_factors!$E660</f>
        <v>1.1321999999999999E-2</v>
      </c>
      <c r="V660" s="2">
        <f>ff_portfolios25!V660-ff_factors!$E660</f>
        <v>-1.5164E-2</v>
      </c>
      <c r="W660" s="2">
        <f>ff_portfolios25!W660-ff_factors!$E660</f>
        <v>7.5070000000000007E-3</v>
      </c>
      <c r="X660" s="2">
        <f>ff_portfolios25!X660-ff_factors!$E660</f>
        <v>2.3428999999999998E-2</v>
      </c>
      <c r="Y660" s="2">
        <f>ff_portfolios25!Y660-ff_factors!$E660</f>
        <v>1.4845000000000001E-2</v>
      </c>
      <c r="Z660" s="2">
        <f>ff_portfolios25!Z660-ff_factors!$E660</f>
        <v>2.4468999999999998E-2</v>
      </c>
      <c r="AA660" s="2">
        <f>ff_portfolios25!AA660-ff_factors!$E660</f>
        <v>2.1006E-2</v>
      </c>
      <c r="AB660" s="2">
        <f>ff_portfolios25!AB660-ff_factors!$E660</f>
        <v>1.2619999999999999E-2</v>
      </c>
    </row>
    <row r="661" spans="1:28" x14ac:dyDescent="0.2">
      <c r="A661">
        <v>19861231</v>
      </c>
      <c r="B661">
        <v>1986</v>
      </c>
      <c r="C661">
        <v>12</v>
      </c>
      <c r="D661" s="2">
        <f>ff_portfolios25!D661-ff_factors!$E661</f>
        <v>-6.0532000000000002E-2</v>
      </c>
      <c r="E661" s="2">
        <f>ff_portfolios25!E661-ff_factors!$E661</f>
        <v>-2.3504999999999998E-2</v>
      </c>
      <c r="F661" s="2">
        <f>ff_portfolios25!F661-ff_factors!$E661</f>
        <v>-4.3070999999999998E-2</v>
      </c>
      <c r="G661" s="2">
        <f>ff_portfolios25!G661-ff_factors!$E661</f>
        <v>-2.0866999999999997E-2</v>
      </c>
      <c r="H661" s="2">
        <f>ff_portfolios25!H661-ff_factors!$E661</f>
        <v>-3.9407000000000005E-2</v>
      </c>
      <c r="I661" s="2">
        <f>ff_portfolios25!I661-ff_factors!$E661</f>
        <v>-3.5985999999999997E-2</v>
      </c>
      <c r="J661" s="2">
        <f>ff_portfolios25!J661-ff_factors!$E661</f>
        <v>-2.6389999999999997E-2</v>
      </c>
      <c r="K661" s="2">
        <f>ff_portfolios25!K661-ff_factors!$E661</f>
        <v>-3.7902999999999999E-2</v>
      </c>
      <c r="L661" s="2">
        <f>ff_portfolios25!L661-ff_factors!$E661</f>
        <v>-3.9801000000000003E-2</v>
      </c>
      <c r="M661" s="2">
        <f>ff_portfolios25!M661-ff_factors!$E661</f>
        <v>1.2780000000000005E-3</v>
      </c>
      <c r="N661" s="2">
        <f>ff_portfolios25!N661-ff_factors!$E661</f>
        <v>-3.0945E-2</v>
      </c>
      <c r="O661" s="2">
        <f>ff_portfolios25!O661-ff_factors!$E661</f>
        <v>-2.3621999999999997E-2</v>
      </c>
      <c r="P661" s="2">
        <f>ff_portfolios25!P661-ff_factors!$E661</f>
        <v>-4.1422E-2</v>
      </c>
      <c r="Q661" s="2">
        <f>ff_portfolios25!Q661-ff_factors!$E661</f>
        <v>-2.6197999999999999E-2</v>
      </c>
      <c r="R661" s="2">
        <f>ff_portfolios25!R661-ff_factors!$E661</f>
        <v>-1.3565000000000001E-2</v>
      </c>
      <c r="S661" s="2">
        <f>ff_portfolios25!S661-ff_factors!$E661</f>
        <v>-5.0217000000000005E-2</v>
      </c>
      <c r="T661" s="2">
        <f>ff_portfolios25!T661-ff_factors!$E661</f>
        <v>-3.3882000000000002E-2</v>
      </c>
      <c r="U661" s="2">
        <f>ff_portfolios25!U661-ff_factors!$E661</f>
        <v>-3.2264000000000001E-2</v>
      </c>
      <c r="V661" s="2">
        <f>ff_portfolios25!V661-ff_factors!$E661</f>
        <v>-2.8685000000000002E-2</v>
      </c>
      <c r="W661" s="2">
        <f>ff_portfolios25!W661-ff_factors!$E661</f>
        <v>-3.7946000000000001E-2</v>
      </c>
      <c r="X661" s="2">
        <f>ff_portfolios25!X661-ff_factors!$E661</f>
        <v>-2.2071E-2</v>
      </c>
      <c r="Y661" s="2">
        <f>ff_portfolios25!Y661-ff_factors!$E661</f>
        <v>-3.0008E-2</v>
      </c>
      <c r="Z661" s="2">
        <f>ff_portfolios25!Z661-ff_factors!$E661</f>
        <v>-4.8010000000000004E-2</v>
      </c>
      <c r="AA661" s="2">
        <f>ff_portfolios25!AA661-ff_factors!$E661</f>
        <v>-3.3473000000000003E-2</v>
      </c>
      <c r="AB661" s="2">
        <f>ff_portfolios25!AB661-ff_factors!$E661</f>
        <v>-3.4264000000000003E-2</v>
      </c>
    </row>
    <row r="662" spans="1:28" x14ac:dyDescent="0.2">
      <c r="A662">
        <v>19870130</v>
      </c>
      <c r="B662">
        <v>1987</v>
      </c>
      <c r="C662">
        <v>1</v>
      </c>
      <c r="D662" s="2">
        <f>ff_portfolios25!D662-ff_factors!$E662</f>
        <v>0.10556400000000001</v>
      </c>
      <c r="E662" s="2">
        <f>ff_portfolios25!E662-ff_factors!$E662</f>
        <v>9.4088000000000005E-2</v>
      </c>
      <c r="F662" s="2">
        <f>ff_portfolios25!F662-ff_factors!$E662</f>
        <v>0.11186800000000001</v>
      </c>
      <c r="G662" s="2">
        <f>ff_portfolios25!G662-ff_factors!$E662</f>
        <v>9.5325000000000007E-2</v>
      </c>
      <c r="H662" s="2">
        <f>ff_portfolios25!H662-ff_factors!$E662</f>
        <v>9.0310000000000001E-2</v>
      </c>
      <c r="I662" s="2">
        <f>ff_portfolios25!I662-ff_factors!$E662</f>
        <v>0.131773</v>
      </c>
      <c r="J662" s="2">
        <f>ff_portfolios25!J662-ff_factors!$E662</f>
        <v>0.11964900000000001</v>
      </c>
      <c r="K662" s="2">
        <f>ff_portfolios25!K662-ff_factors!$E662</f>
        <v>0.10179600000000001</v>
      </c>
      <c r="L662" s="2">
        <f>ff_portfolios25!L662-ff_factors!$E662</f>
        <v>9.6012E-2</v>
      </c>
      <c r="M662" s="2">
        <f>ff_portfolios25!M662-ff_factors!$E662</f>
        <v>0.10430600000000001</v>
      </c>
      <c r="N662" s="2">
        <f>ff_portfolios25!N662-ff_factors!$E662</f>
        <v>0.1341</v>
      </c>
      <c r="O662" s="2">
        <f>ff_portfolios25!O662-ff_factors!$E662</f>
        <v>0.13002999999999998</v>
      </c>
      <c r="P662" s="2">
        <f>ff_portfolios25!P662-ff_factors!$E662</f>
        <v>8.3857000000000001E-2</v>
      </c>
      <c r="Q662" s="2">
        <f>ff_portfolios25!Q662-ff_factors!$E662</f>
        <v>9.7498000000000001E-2</v>
      </c>
      <c r="R662" s="2">
        <f>ff_portfolios25!R662-ff_factors!$E662</f>
        <v>8.9765000000000011E-2</v>
      </c>
      <c r="S662" s="2">
        <f>ff_portfolios25!S662-ff_factors!$E662</f>
        <v>0.13480799999999998</v>
      </c>
      <c r="T662" s="2">
        <f>ff_portfolios25!T662-ff_factors!$E662</f>
        <v>0.12051400000000001</v>
      </c>
      <c r="U662" s="2">
        <f>ff_portfolios25!U662-ff_factors!$E662</f>
        <v>9.8876000000000006E-2</v>
      </c>
      <c r="V662" s="2">
        <f>ff_portfolios25!V662-ff_factors!$E662</f>
        <v>0.11515500000000001</v>
      </c>
      <c r="W662" s="2">
        <f>ff_portfolios25!W662-ff_factors!$E662</f>
        <v>0.111914</v>
      </c>
      <c r="X662" s="2">
        <f>ff_portfolios25!X662-ff_factors!$E662</f>
        <v>0.12921299999999999</v>
      </c>
      <c r="Y662" s="2">
        <f>ff_portfolios25!Y662-ff_factors!$E662</f>
        <v>0.16111199999999998</v>
      </c>
      <c r="Z662" s="2">
        <f>ff_portfolios25!Z662-ff_factors!$E662</f>
        <v>0.109235</v>
      </c>
      <c r="AA662" s="2">
        <f>ff_portfolios25!AA662-ff_factors!$E662</f>
        <v>0.121269</v>
      </c>
      <c r="AB662" s="2">
        <f>ff_portfolios25!AB662-ff_factors!$E662</f>
        <v>0.115024</v>
      </c>
    </row>
    <row r="663" spans="1:28" x14ac:dyDescent="0.2">
      <c r="A663">
        <v>19870227</v>
      </c>
      <c r="B663">
        <v>1987</v>
      </c>
      <c r="C663">
        <v>2</v>
      </c>
      <c r="D663" s="2">
        <f>ff_portfolios25!D663-ff_factors!$E663</f>
        <v>0.10308100000000001</v>
      </c>
      <c r="E663" s="2">
        <f>ff_portfolios25!E663-ff_factors!$E663</f>
        <v>8.0263000000000001E-2</v>
      </c>
      <c r="F663" s="2">
        <f>ff_portfolios25!F663-ff_factors!$E663</f>
        <v>6.3648999999999997E-2</v>
      </c>
      <c r="G663" s="2">
        <f>ff_portfolios25!G663-ff_factors!$E663</f>
        <v>6.6587000000000007E-2</v>
      </c>
      <c r="H663" s="2">
        <f>ff_portfolios25!H663-ff_factors!$E663</f>
        <v>6.1801999999999996E-2</v>
      </c>
      <c r="I663" s="2">
        <f>ff_portfolios25!I663-ff_factors!$E663</f>
        <v>9.2791999999999999E-2</v>
      </c>
      <c r="J663" s="2">
        <f>ff_portfolios25!J663-ff_factors!$E663</f>
        <v>8.7800000000000003E-2</v>
      </c>
      <c r="K663" s="2">
        <f>ff_portfolios25!K663-ff_factors!$E663</f>
        <v>6.0441000000000009E-2</v>
      </c>
      <c r="L663" s="2">
        <f>ff_portfolios25!L663-ff_factors!$E663</f>
        <v>5.4928000000000005E-2</v>
      </c>
      <c r="M663" s="2">
        <f>ff_portfolios25!M663-ff_factors!$E663</f>
        <v>5.0587E-2</v>
      </c>
      <c r="N663" s="2">
        <f>ff_portfolios25!N663-ff_factors!$E663</f>
        <v>8.5613999999999996E-2</v>
      </c>
      <c r="O663" s="2">
        <f>ff_portfolios25!O663-ff_factors!$E663</f>
        <v>7.7384000000000008E-2</v>
      </c>
      <c r="P663" s="2">
        <f>ff_portfolios25!P663-ff_factors!$E663</f>
        <v>4.6754000000000004E-2</v>
      </c>
      <c r="Q663" s="2">
        <f>ff_portfolios25!Q663-ff_factors!$E663</f>
        <v>3.7537000000000001E-2</v>
      </c>
      <c r="R663" s="2">
        <f>ff_portfolios25!R663-ff_factors!$E663</f>
        <v>3.7888000000000005E-2</v>
      </c>
      <c r="S663" s="2">
        <f>ff_portfolios25!S663-ff_factors!$E663</f>
        <v>7.0293999999999995E-2</v>
      </c>
      <c r="T663" s="2">
        <f>ff_portfolios25!T663-ff_factors!$E663</f>
        <v>6.1706999999999998E-2</v>
      </c>
      <c r="U663" s="2">
        <f>ff_portfolios25!U663-ff_factors!$E663</f>
        <v>6.1237E-2</v>
      </c>
      <c r="V663" s="2">
        <f>ff_portfolios25!V663-ff_factors!$E663</f>
        <v>3.0019000000000004E-2</v>
      </c>
      <c r="W663" s="2">
        <f>ff_portfolios25!W663-ff_factors!$E663</f>
        <v>2.1885000000000002E-2</v>
      </c>
      <c r="X663" s="2">
        <f>ff_portfolios25!X663-ff_factors!$E663</f>
        <v>7.7734999999999999E-2</v>
      </c>
      <c r="Y663" s="2">
        <f>ff_portfolios25!Y663-ff_factors!$E663</f>
        <v>5.5403000000000001E-2</v>
      </c>
      <c r="Z663" s="2">
        <f>ff_portfolios25!Z663-ff_factors!$E663</f>
        <v>2.4250000000000001E-2</v>
      </c>
      <c r="AA663" s="2">
        <f>ff_portfolios25!AA663-ff_factors!$E663</f>
        <v>-8.8450000000000004E-3</v>
      </c>
      <c r="AB663" s="2">
        <f>ff_portfolios25!AB663-ff_factors!$E663</f>
        <v>-1.5034E-2</v>
      </c>
    </row>
    <row r="664" spans="1:28" x14ac:dyDescent="0.2">
      <c r="A664">
        <v>19870331</v>
      </c>
      <c r="B664">
        <v>1987</v>
      </c>
      <c r="C664">
        <v>3</v>
      </c>
      <c r="D664" s="2">
        <f>ff_portfolios25!D664-ff_factors!$E664</f>
        <v>1.7646999999999999E-2</v>
      </c>
      <c r="E664" s="2">
        <f>ff_portfolios25!E664-ff_factors!$E664</f>
        <v>2.7945000000000001E-2</v>
      </c>
      <c r="F664" s="2">
        <f>ff_portfolios25!F664-ff_factors!$E664</f>
        <v>2.0444E-2</v>
      </c>
      <c r="G664" s="2">
        <f>ff_portfolios25!G664-ff_factors!$E664</f>
        <v>3.0516999999999999E-2</v>
      </c>
      <c r="H664" s="2">
        <f>ff_portfolios25!H664-ff_factors!$E664</f>
        <v>4.2560999999999995E-2</v>
      </c>
      <c r="I664" s="2">
        <f>ff_portfolios25!I664-ff_factors!$E664</f>
        <v>3.2399999999999964E-4</v>
      </c>
      <c r="J664" s="2">
        <f>ff_portfolios25!J664-ff_factors!$E664</f>
        <v>2.9374000000000001E-2</v>
      </c>
      <c r="K664" s="2">
        <f>ff_portfolios25!K664-ff_factors!$E664</f>
        <v>9.7029999999999998E-3</v>
      </c>
      <c r="L664" s="2">
        <f>ff_portfolios25!L664-ff_factors!$E664</f>
        <v>2.4050999999999999E-2</v>
      </c>
      <c r="M664" s="2">
        <f>ff_portfolios25!M664-ff_factors!$E664</f>
        <v>3.0313000000000003E-2</v>
      </c>
      <c r="N664" s="2">
        <f>ff_portfolios25!N664-ff_factors!$E664</f>
        <v>-2.9700000000000004E-3</v>
      </c>
      <c r="O664" s="2">
        <f>ff_portfolios25!O664-ff_factors!$E664</f>
        <v>1.0633E-2</v>
      </c>
      <c r="P664" s="2">
        <f>ff_portfolios25!P664-ff_factors!$E664</f>
        <v>6.2859999999999991E-3</v>
      </c>
      <c r="Q664" s="2">
        <f>ff_portfolios25!Q664-ff_factors!$E664</f>
        <v>2.0136000000000001E-2</v>
      </c>
      <c r="R664" s="2">
        <f>ff_portfolios25!R664-ff_factors!$E664</f>
        <v>2.9545999999999999E-2</v>
      </c>
      <c r="S664" s="2">
        <f>ff_portfolios25!S664-ff_factors!$E664</f>
        <v>1.4170000000000002E-2</v>
      </c>
      <c r="T664" s="2">
        <f>ff_portfolios25!T664-ff_factors!$E664</f>
        <v>1.3965000000000002E-2</v>
      </c>
      <c r="U664" s="2">
        <f>ff_portfolios25!U664-ff_factors!$E664</f>
        <v>1.3854000000000002E-2</v>
      </c>
      <c r="V664" s="2">
        <f>ff_portfolios25!V664-ff_factors!$E664</f>
        <v>1.4551000000000001E-2</v>
      </c>
      <c r="W664" s="2">
        <f>ff_portfolios25!W664-ff_factors!$E664</f>
        <v>-1.7464E-2</v>
      </c>
      <c r="X664" s="2">
        <f>ff_portfolios25!X664-ff_factors!$E664</f>
        <v>1.0856000000000001E-2</v>
      </c>
      <c r="Y664" s="2">
        <f>ff_portfolios25!Y664-ff_factors!$E664</f>
        <v>1.7955000000000002E-2</v>
      </c>
      <c r="Z664" s="2">
        <f>ff_portfolios25!Z664-ff_factors!$E664</f>
        <v>-2.6800000000000001E-4</v>
      </c>
      <c r="AA664" s="2">
        <f>ff_portfolios25!AA664-ff_factors!$E664</f>
        <v>2.5541000000000001E-2</v>
      </c>
      <c r="AB664" s="2">
        <f>ff_portfolios25!AB664-ff_factors!$E664</f>
        <v>4.3334999999999999E-2</v>
      </c>
    </row>
    <row r="665" spans="1:28" x14ac:dyDescent="0.2">
      <c r="A665">
        <v>19870430</v>
      </c>
      <c r="B665">
        <v>1987</v>
      </c>
      <c r="C665">
        <v>4</v>
      </c>
      <c r="D665" s="2">
        <f>ff_portfolios25!D665-ff_factors!$E665</f>
        <v>-2.6729000000000003E-2</v>
      </c>
      <c r="E665" s="2">
        <f>ff_portfolios25!E665-ff_factors!$E665</f>
        <v>-3.1661000000000002E-2</v>
      </c>
      <c r="F665" s="2">
        <f>ff_portfolios25!F665-ff_factors!$E665</f>
        <v>-2.6897000000000001E-2</v>
      </c>
      <c r="G665" s="2">
        <f>ff_portfolios25!G665-ff_factors!$E665</f>
        <v>-1.0227E-2</v>
      </c>
      <c r="H665" s="2">
        <f>ff_portfolios25!H665-ff_factors!$E665</f>
        <v>-1.7441999999999999E-2</v>
      </c>
      <c r="I665" s="2">
        <f>ff_portfolios25!I665-ff_factors!$E665</f>
        <v>-4.3193000000000002E-2</v>
      </c>
      <c r="J665" s="2">
        <f>ff_portfolios25!J665-ff_factors!$E665</f>
        <v>-3.0116E-2</v>
      </c>
      <c r="K665" s="2">
        <f>ff_portfolios25!K665-ff_factors!$E665</f>
        <v>-3.4147999999999998E-2</v>
      </c>
      <c r="L665" s="2">
        <f>ff_portfolios25!L665-ff_factors!$E665</f>
        <v>-4.2446999999999999E-2</v>
      </c>
      <c r="M665" s="2">
        <f>ff_portfolios25!M665-ff_factors!$E665</f>
        <v>-5.3116000000000003E-2</v>
      </c>
      <c r="N665" s="2">
        <f>ff_portfolios25!N665-ff_factors!$E665</f>
        <v>-2.4279000000000002E-2</v>
      </c>
      <c r="O665" s="2">
        <f>ff_portfolios25!O665-ff_factors!$E665</f>
        <v>-2.7447000000000003E-2</v>
      </c>
      <c r="P665" s="2">
        <f>ff_portfolios25!P665-ff_factors!$E665</f>
        <v>-4.9882000000000003E-2</v>
      </c>
      <c r="Q665" s="2">
        <f>ff_portfolios25!Q665-ff_factors!$E665</f>
        <v>-2.4446000000000002E-2</v>
      </c>
      <c r="R665" s="2">
        <f>ff_portfolios25!R665-ff_factors!$E665</f>
        <v>-3.0715000000000003E-2</v>
      </c>
      <c r="S665" s="2">
        <f>ff_portfolios25!S665-ff_factors!$E665</f>
        <v>-4.1385999999999999E-2</v>
      </c>
      <c r="T665" s="2">
        <f>ff_portfolios25!T665-ff_factors!$E665</f>
        <v>-2.8764000000000001E-2</v>
      </c>
      <c r="U665" s="2">
        <f>ff_portfolios25!U665-ff_factors!$E665</f>
        <v>-2.9602E-2</v>
      </c>
      <c r="V665" s="2">
        <f>ff_portfolios25!V665-ff_factors!$E665</f>
        <v>-2.453E-2</v>
      </c>
      <c r="W665" s="2">
        <f>ff_portfolios25!W665-ff_factors!$E665</f>
        <v>-2.0205000000000001E-2</v>
      </c>
      <c r="X665" s="2">
        <f>ff_portfolios25!X665-ff_factors!$E665</f>
        <v>-1.7906000000000002E-2</v>
      </c>
      <c r="Y665" s="2">
        <f>ff_portfolios25!Y665-ff_factors!$E665</f>
        <v>-1.5968E-2</v>
      </c>
      <c r="Z665" s="2">
        <f>ff_portfolios25!Z665-ff_factors!$E665</f>
        <v>-2.5923000000000002E-2</v>
      </c>
      <c r="AA665" s="2">
        <f>ff_portfolios25!AA665-ff_factors!$E665</f>
        <v>-1.1795E-2</v>
      </c>
      <c r="AB665" s="2">
        <f>ff_portfolios25!AB665-ff_factors!$E665</f>
        <v>-9.3750000000000014E-3</v>
      </c>
    </row>
    <row r="666" spans="1:28" x14ac:dyDescent="0.2">
      <c r="A666">
        <v>19870529</v>
      </c>
      <c r="B666">
        <v>1987</v>
      </c>
      <c r="C666">
        <v>5</v>
      </c>
      <c r="D666" s="2">
        <f>ff_portfolios25!D666-ff_factors!$E666</f>
        <v>-5.5360000000000001E-3</v>
      </c>
      <c r="E666" s="2">
        <f>ff_portfolios25!E666-ff_factors!$E666</f>
        <v>-1.9309E-2</v>
      </c>
      <c r="F666" s="2">
        <f>ff_portfolios25!F666-ff_factors!$E666</f>
        <v>-1.9810000000000001E-3</v>
      </c>
      <c r="G666" s="2">
        <f>ff_portfolios25!G666-ff_factors!$E666</f>
        <v>2.0269999999999997E-3</v>
      </c>
      <c r="H666" s="2">
        <f>ff_portfolios25!H666-ff_factors!$E666</f>
        <v>2.7764E-2</v>
      </c>
      <c r="I666" s="2">
        <f>ff_portfolios25!I666-ff_factors!$E666</f>
        <v>-1.4216999999999999E-2</v>
      </c>
      <c r="J666" s="2">
        <f>ff_portfolios25!J666-ff_factors!$E666</f>
        <v>-3.0100000000000001E-3</v>
      </c>
      <c r="K666" s="2">
        <f>ff_portfolios25!K666-ff_factors!$E666</f>
        <v>-4.2199999999999998E-3</v>
      </c>
      <c r="L666" s="2">
        <f>ff_portfolios25!L666-ff_factors!$E666</f>
        <v>-5.5300000000000011E-4</v>
      </c>
      <c r="M666" s="2">
        <f>ff_portfolios25!M666-ff_factors!$E666</f>
        <v>2.199E-3</v>
      </c>
      <c r="N666" s="2">
        <f>ff_portfolios25!N666-ff_factors!$E666</f>
        <v>5.7790000000000011E-3</v>
      </c>
      <c r="O666" s="2">
        <f>ff_portfolios25!O666-ff_factors!$E666</f>
        <v>-2.9889999999999999E-3</v>
      </c>
      <c r="P666" s="2">
        <f>ff_portfolios25!P666-ff_factors!$E666</f>
        <v>-8.6750000000000004E-3</v>
      </c>
      <c r="Q666" s="2">
        <f>ff_portfolios25!Q666-ff_factors!$E666</f>
        <v>5.7799999999999995E-4</v>
      </c>
      <c r="R666" s="2">
        <f>ff_portfolios25!R666-ff_factors!$E666</f>
        <v>-5.4799999999999988E-4</v>
      </c>
      <c r="S666" s="2">
        <f>ff_portfolios25!S666-ff_factors!$E666</f>
        <v>1.695E-2</v>
      </c>
      <c r="T666" s="2">
        <f>ff_portfolios25!T666-ff_factors!$E666</f>
        <v>2.8899999999999976E-4</v>
      </c>
      <c r="U666" s="2">
        <f>ff_portfolios25!U666-ff_factors!$E666</f>
        <v>-7.1669999999999998E-3</v>
      </c>
      <c r="V666" s="2">
        <f>ff_portfolios25!V666-ff_factors!$E666</f>
        <v>-9.5270000000000007E-3</v>
      </c>
      <c r="W666" s="2">
        <f>ff_portfolios25!W666-ff_factors!$E666</f>
        <v>4.3119999999999999E-3</v>
      </c>
      <c r="X666" s="2">
        <f>ff_portfolios25!X666-ff_factors!$E666</f>
        <v>1.5266E-2</v>
      </c>
      <c r="Y666" s="2">
        <f>ff_portfolios25!Y666-ff_factors!$E666</f>
        <v>-9.2790000000000008E-3</v>
      </c>
      <c r="Z666" s="2">
        <f>ff_portfolios25!Z666-ff_factors!$E666</f>
        <v>-4.2490000000000002E-3</v>
      </c>
      <c r="AA666" s="2">
        <f>ff_portfolios25!AA666-ff_factors!$E666</f>
        <v>4.078E-3</v>
      </c>
      <c r="AB666" s="2">
        <f>ff_portfolios25!AB666-ff_factors!$E666</f>
        <v>1.3960000000000001E-3</v>
      </c>
    </row>
    <row r="667" spans="1:28" x14ac:dyDescent="0.2">
      <c r="A667">
        <v>19870630</v>
      </c>
      <c r="B667">
        <v>1987</v>
      </c>
      <c r="C667">
        <v>6</v>
      </c>
      <c r="D667" s="2">
        <f>ff_portfolios25!D667-ff_factors!$E667</f>
        <v>-8.1110000000000002E-3</v>
      </c>
      <c r="E667" s="2">
        <f>ff_portfolios25!E667-ff_factors!$E667</f>
        <v>1.4909000000000002E-2</v>
      </c>
      <c r="F667" s="2">
        <f>ff_portfolios25!F667-ff_factors!$E667</f>
        <v>2.1844000000000002E-2</v>
      </c>
      <c r="G667" s="2">
        <f>ff_portfolios25!G667-ff_factors!$E667</f>
        <v>1.5147000000000001E-2</v>
      </c>
      <c r="H667" s="2">
        <f>ff_portfolios25!H667-ff_factors!$E667</f>
        <v>3.7749999999999999E-2</v>
      </c>
      <c r="I667" s="2">
        <f>ff_portfolios25!I667-ff_factors!$E667</f>
        <v>1.2538000000000001E-2</v>
      </c>
      <c r="J667" s="2">
        <f>ff_portfolios25!J667-ff_factors!$E667</f>
        <v>2.6328000000000001E-2</v>
      </c>
      <c r="K667" s="2">
        <f>ff_portfolios25!K667-ff_factors!$E667</f>
        <v>3.1995000000000003E-2</v>
      </c>
      <c r="L667" s="2">
        <f>ff_portfolios25!L667-ff_factors!$E667</f>
        <v>2.6022E-2</v>
      </c>
      <c r="M667" s="2">
        <f>ff_portfolios25!M667-ff_factors!$E667</f>
        <v>3.7007999999999999E-2</v>
      </c>
      <c r="N667" s="2">
        <f>ff_portfolios25!N667-ff_factors!$E667</f>
        <v>1.5826E-2</v>
      </c>
      <c r="O667" s="2">
        <f>ff_portfolios25!O667-ff_factors!$E667</f>
        <v>1.6874E-2</v>
      </c>
      <c r="P667" s="2">
        <f>ff_portfolios25!P667-ff_factors!$E667</f>
        <v>5.0901000000000002E-2</v>
      </c>
      <c r="Q667" s="2">
        <f>ff_portfolios25!Q667-ff_factors!$E667</f>
        <v>4.7817999999999999E-2</v>
      </c>
      <c r="R667" s="2">
        <f>ff_portfolios25!R667-ff_factors!$E667</f>
        <v>2.1114000000000001E-2</v>
      </c>
      <c r="S667" s="2">
        <f>ff_portfolios25!S667-ff_factors!$E667</f>
        <v>4.2296E-2</v>
      </c>
      <c r="T667" s="2">
        <f>ff_portfolios25!T667-ff_factors!$E667</f>
        <v>2.8095000000000002E-2</v>
      </c>
      <c r="U667" s="2">
        <f>ff_portfolios25!U667-ff_factors!$E667</f>
        <v>3.8248999999999998E-2</v>
      </c>
      <c r="V667" s="2">
        <f>ff_portfolios25!V667-ff_factors!$E667</f>
        <v>3.6146999999999999E-2</v>
      </c>
      <c r="W667" s="2">
        <f>ff_portfolios25!W667-ff_factors!$E667</f>
        <v>3.2357999999999998E-2</v>
      </c>
      <c r="X667" s="2">
        <f>ff_portfolios25!X667-ff_factors!$E667</f>
        <v>4.2507000000000003E-2</v>
      </c>
      <c r="Y667" s="2">
        <f>ff_portfolios25!Y667-ff_factors!$E667</f>
        <v>4.9404000000000003E-2</v>
      </c>
      <c r="Z667" s="2">
        <f>ff_portfolios25!Z667-ff_factors!$E667</f>
        <v>5.6503999999999999E-2</v>
      </c>
      <c r="AA667" s="2">
        <f>ff_portfolios25!AA667-ff_factors!$E667</f>
        <v>4.6975000000000003E-2</v>
      </c>
      <c r="AB667" s="2">
        <f>ff_portfolios25!AB667-ff_factors!$E667</f>
        <v>4.8002000000000003E-2</v>
      </c>
    </row>
    <row r="668" spans="1:28" x14ac:dyDescent="0.2">
      <c r="A668">
        <v>19870731</v>
      </c>
      <c r="B668">
        <v>1987</v>
      </c>
      <c r="C668">
        <v>7</v>
      </c>
      <c r="D668" s="2">
        <f>ff_portfolios25!D668-ff_factors!$E668</f>
        <v>1.3482999999999998E-2</v>
      </c>
      <c r="E668" s="2">
        <f>ff_portfolios25!E668-ff_factors!$E668</f>
        <v>1.5857E-2</v>
      </c>
      <c r="F668" s="2">
        <f>ff_portfolios25!F668-ff_factors!$E668</f>
        <v>1.5973000000000001E-2</v>
      </c>
      <c r="G668" s="2">
        <f>ff_portfolios25!G668-ff_factors!$E668</f>
        <v>2.4598999999999999E-2</v>
      </c>
      <c r="H668" s="2">
        <f>ff_portfolios25!H668-ff_factors!$E668</f>
        <v>4.8809999999999999E-2</v>
      </c>
      <c r="I668" s="2">
        <f>ff_portfolios25!I668-ff_factors!$E668</f>
        <v>1.7417999999999999E-2</v>
      </c>
      <c r="J668" s="2">
        <f>ff_portfolios25!J668-ff_factors!$E668</f>
        <v>1.7240999999999999E-2</v>
      </c>
      <c r="K668" s="2">
        <f>ff_portfolios25!K668-ff_factors!$E668</f>
        <v>3.2613000000000003E-2</v>
      </c>
      <c r="L668" s="2">
        <f>ff_portfolios25!L668-ff_factors!$E668</f>
        <v>2.8658000000000003E-2</v>
      </c>
      <c r="M668" s="2">
        <f>ff_portfolios25!M668-ff_factors!$E668</f>
        <v>5.2754000000000002E-2</v>
      </c>
      <c r="N668" s="2">
        <f>ff_portfolios25!N668-ff_factors!$E668</f>
        <v>2.0979999999999999E-2</v>
      </c>
      <c r="O668" s="2">
        <f>ff_portfolios25!O668-ff_factors!$E668</f>
        <v>3.9676999999999997E-2</v>
      </c>
      <c r="P668" s="2">
        <f>ff_portfolios25!P668-ff_factors!$E668</f>
        <v>3.4731999999999999E-2</v>
      </c>
      <c r="Q668" s="2">
        <f>ff_portfolios25!Q668-ff_factors!$E668</f>
        <v>3.0573000000000003E-2</v>
      </c>
      <c r="R668" s="2">
        <f>ff_portfolios25!R668-ff_factors!$E668</f>
        <v>7.2166000000000008E-2</v>
      </c>
      <c r="S668" s="2">
        <f>ff_portfolios25!S668-ff_factors!$E668</f>
        <v>3.2686E-2</v>
      </c>
      <c r="T668" s="2">
        <f>ff_portfolios25!T668-ff_factors!$E668</f>
        <v>4.2976E-2</v>
      </c>
      <c r="U668" s="2">
        <f>ff_portfolios25!U668-ff_factors!$E668</f>
        <v>4.3559E-2</v>
      </c>
      <c r="V668" s="2">
        <f>ff_portfolios25!V668-ff_factors!$E668</f>
        <v>3.9324999999999999E-2</v>
      </c>
      <c r="W668" s="2">
        <f>ff_portfolios25!W668-ff_factors!$E668</f>
        <v>4.2521999999999997E-2</v>
      </c>
      <c r="X668" s="2">
        <f>ff_portfolios25!X668-ff_factors!$E668</f>
        <v>5.6009000000000003E-2</v>
      </c>
      <c r="Y668" s="2">
        <f>ff_portfolios25!Y668-ff_factors!$E668</f>
        <v>2.7295E-2</v>
      </c>
      <c r="Z668" s="2">
        <f>ff_portfolios25!Z668-ff_factors!$E668</f>
        <v>5.8378000000000006E-2</v>
      </c>
      <c r="AA668" s="2">
        <f>ff_portfolios25!AA668-ff_factors!$E668</f>
        <v>2.0992E-2</v>
      </c>
      <c r="AB668" s="2">
        <f>ff_portfolios25!AB668-ff_factors!$E668</f>
        <v>2.6374000000000002E-2</v>
      </c>
    </row>
    <row r="669" spans="1:28" x14ac:dyDescent="0.2">
      <c r="A669">
        <v>19870831</v>
      </c>
      <c r="B669">
        <v>1987</v>
      </c>
      <c r="C669">
        <v>8</v>
      </c>
      <c r="D669" s="2">
        <f>ff_portfolios25!D669-ff_factors!$E669</f>
        <v>2.2639999999999995E-3</v>
      </c>
      <c r="E669" s="2">
        <f>ff_portfolios25!E669-ff_factors!$E669</f>
        <v>1.8197000000000001E-2</v>
      </c>
      <c r="F669" s="2">
        <f>ff_portfolios25!F669-ff_factors!$E669</f>
        <v>2.3701E-2</v>
      </c>
      <c r="G669" s="2">
        <f>ff_portfolios25!G669-ff_factors!$E669</f>
        <v>1.9842000000000002E-2</v>
      </c>
      <c r="H669" s="2">
        <f>ff_portfolios25!H669-ff_factors!$E669</f>
        <v>2.8279999999999998E-3</v>
      </c>
      <c r="I669" s="2">
        <f>ff_portfolios25!I669-ff_factors!$E669</f>
        <v>2.3911000000000002E-2</v>
      </c>
      <c r="J669" s="2">
        <f>ff_portfolios25!J669-ff_factors!$E669</f>
        <v>2.8474000000000003E-2</v>
      </c>
      <c r="K669" s="2">
        <f>ff_portfolios25!K669-ff_factors!$E669</f>
        <v>3.6109999999999996E-2</v>
      </c>
      <c r="L669" s="2">
        <f>ff_portfolios25!L669-ff_factors!$E669</f>
        <v>2.2591E-2</v>
      </c>
      <c r="M669" s="2">
        <f>ff_portfolios25!M669-ff_factors!$E669</f>
        <v>3.4761999999999994E-2</v>
      </c>
      <c r="N669" s="2">
        <f>ff_portfolios25!N669-ff_factors!$E669</f>
        <v>3.4237999999999998E-2</v>
      </c>
      <c r="O669" s="2">
        <f>ff_portfolios25!O669-ff_factors!$E669</f>
        <v>3.1322999999999997E-2</v>
      </c>
      <c r="P669" s="2">
        <f>ff_portfolios25!P669-ff_factors!$E669</f>
        <v>3.8438999999999994E-2</v>
      </c>
      <c r="Q669" s="2">
        <f>ff_portfolios25!Q669-ff_factors!$E669</f>
        <v>3.1940999999999997E-2</v>
      </c>
      <c r="R669" s="2">
        <f>ff_portfolios25!R669-ff_factors!$E669</f>
        <v>4.0609999999999995E-3</v>
      </c>
      <c r="S669" s="2">
        <f>ff_portfolios25!S669-ff_factors!$E669</f>
        <v>4.3205999999999994E-2</v>
      </c>
      <c r="T669" s="2">
        <f>ff_portfolios25!T669-ff_factors!$E669</f>
        <v>3.6430999999999998E-2</v>
      </c>
      <c r="U669" s="2">
        <f>ff_portfolios25!U669-ff_factors!$E669</f>
        <v>2.8607000000000004E-2</v>
      </c>
      <c r="V669" s="2">
        <f>ff_portfolios25!V669-ff_factors!$E669</f>
        <v>2.8655000000000003E-2</v>
      </c>
      <c r="W669" s="2">
        <f>ff_portfolios25!W669-ff_factors!$E669</f>
        <v>1.5297999999999999E-2</v>
      </c>
      <c r="X669" s="2">
        <f>ff_portfolios25!X669-ff_factors!$E669</f>
        <v>4.3557999999999999E-2</v>
      </c>
      <c r="Y669" s="2">
        <f>ff_portfolios25!Y669-ff_factors!$E669</f>
        <v>4.7555E-2</v>
      </c>
      <c r="Z669" s="2">
        <f>ff_portfolios25!Z669-ff_factors!$E669</f>
        <v>3.0022000000000004E-2</v>
      </c>
      <c r="AA669" s="2">
        <f>ff_portfolios25!AA669-ff_factors!$E669</f>
        <v>4.2519999999999995E-2</v>
      </c>
      <c r="AB669" s="2">
        <f>ff_portfolios25!AB669-ff_factors!$E669</f>
        <v>2.1611999999999999E-2</v>
      </c>
    </row>
    <row r="670" spans="1:28" x14ac:dyDescent="0.2">
      <c r="A670">
        <v>19870930</v>
      </c>
      <c r="B670">
        <v>1987</v>
      </c>
      <c r="C670">
        <v>9</v>
      </c>
      <c r="D670" s="2">
        <f>ff_portfolios25!D670-ff_factors!$E670</f>
        <v>-3.2105999999999996E-2</v>
      </c>
      <c r="E670" s="2">
        <f>ff_portfolios25!E670-ff_factors!$E670</f>
        <v>-8.1569999999999993E-3</v>
      </c>
      <c r="F670" s="2">
        <f>ff_portfolios25!F670-ff_factors!$E670</f>
        <v>-1.5431E-2</v>
      </c>
      <c r="G670" s="2">
        <f>ff_portfolios25!G670-ff_factors!$E670</f>
        <v>-8.5189999999999988E-3</v>
      </c>
      <c r="H670" s="2">
        <f>ff_portfolios25!H670-ff_factors!$E670</f>
        <v>-1.7322000000000001E-2</v>
      </c>
      <c r="I670" s="2">
        <f>ff_portfolios25!I670-ff_factors!$E670</f>
        <v>-2.6357999999999999E-2</v>
      </c>
      <c r="J670" s="2">
        <f>ff_portfolios25!J670-ff_factors!$E670</f>
        <v>-2.836E-2</v>
      </c>
      <c r="K670" s="2">
        <f>ff_portfolios25!K670-ff_factors!$E670</f>
        <v>-1.1547999999999999E-2</v>
      </c>
      <c r="L670" s="2">
        <f>ff_portfolios25!L670-ff_factors!$E670</f>
        <v>-1.2903000000000001E-2</v>
      </c>
      <c r="M670" s="2">
        <f>ff_portfolios25!M670-ff_factors!$E670</f>
        <v>-3.0530999999999999E-2</v>
      </c>
      <c r="N670" s="2">
        <f>ff_portfolios25!N670-ff_factors!$E670</f>
        <v>-3.7300999999999994E-2</v>
      </c>
      <c r="O670" s="2">
        <f>ff_portfolios25!O670-ff_factors!$E670</f>
        <v>-2.8858999999999999E-2</v>
      </c>
      <c r="P670" s="2">
        <f>ff_portfolios25!P670-ff_factors!$E670</f>
        <v>-2.3994000000000001E-2</v>
      </c>
      <c r="Q670" s="2">
        <f>ff_portfolios25!Q670-ff_factors!$E670</f>
        <v>-2.8548E-2</v>
      </c>
      <c r="R670" s="2">
        <f>ff_portfolios25!R670-ff_factors!$E670</f>
        <v>-1.6296999999999999E-2</v>
      </c>
      <c r="S670" s="2">
        <f>ff_portfolios25!S670-ff_factors!$E670</f>
        <v>-2.6761E-2</v>
      </c>
      <c r="T670" s="2">
        <f>ff_portfolios25!T670-ff_factors!$E670</f>
        <v>-1.4475999999999999E-2</v>
      </c>
      <c r="U670" s="2">
        <f>ff_portfolios25!U670-ff_factors!$E670</f>
        <v>-2.8247000000000001E-2</v>
      </c>
      <c r="V670" s="2">
        <f>ff_portfolios25!V670-ff_factors!$E670</f>
        <v>-2.3796000000000001E-2</v>
      </c>
      <c r="W670" s="2">
        <f>ff_portfolios25!W670-ff_factors!$E670</f>
        <v>-1.2669999999999995E-3</v>
      </c>
      <c r="X670" s="2">
        <f>ff_portfolios25!X670-ff_factors!$E670</f>
        <v>-2.622E-2</v>
      </c>
      <c r="Y670" s="2">
        <f>ff_portfolios25!Y670-ff_factors!$E670</f>
        <v>-4.5222999999999999E-2</v>
      </c>
      <c r="Z670" s="2">
        <f>ff_portfolios25!Z670-ff_factors!$E670</f>
        <v>-2.7819999999999998E-3</v>
      </c>
      <c r="AA670" s="2">
        <f>ff_portfolios25!AA670-ff_factors!$E670</f>
        <v>-2.3810000000000001E-2</v>
      </c>
      <c r="AB670" s="2">
        <f>ff_portfolios25!AB670-ff_factors!$E670</f>
        <v>-3.3489999999999999E-2</v>
      </c>
    </row>
    <row r="671" spans="1:28" x14ac:dyDescent="0.2">
      <c r="A671">
        <v>19871030</v>
      </c>
      <c r="B671">
        <v>1987</v>
      </c>
      <c r="C671">
        <v>10</v>
      </c>
      <c r="D671" s="2">
        <f>ff_portfolios25!D671-ff_factors!$E671</f>
        <v>-0.34817199999999998</v>
      </c>
      <c r="E671" s="2">
        <f>ff_portfolios25!E671-ff_factors!$E671</f>
        <v>-0.31548500000000002</v>
      </c>
      <c r="F671" s="2">
        <f>ff_portfolios25!F671-ff_factors!$E671</f>
        <v>-0.293651</v>
      </c>
      <c r="G671" s="2">
        <f>ff_portfolios25!G671-ff_factors!$E671</f>
        <v>-0.294902</v>
      </c>
      <c r="H671" s="2">
        <f>ff_portfolios25!H671-ff_factors!$E671</f>
        <v>-0.29469200000000001</v>
      </c>
      <c r="I671" s="2">
        <f>ff_portfolios25!I671-ff_factors!$E671</f>
        <v>-0.33326499999999998</v>
      </c>
      <c r="J671" s="2">
        <f>ff_portfolios25!J671-ff_factors!$E671</f>
        <v>-0.322577</v>
      </c>
      <c r="K671" s="2">
        <f>ff_portfolios25!K671-ff_factors!$E671</f>
        <v>-0.290024</v>
      </c>
      <c r="L671" s="2">
        <f>ff_portfolios25!L671-ff_factors!$E671</f>
        <v>-0.25636399999999998</v>
      </c>
      <c r="M671" s="2">
        <f>ff_portfolios25!M671-ff_factors!$E671</f>
        <v>-0.29437099999999999</v>
      </c>
      <c r="N671" s="2">
        <f>ff_portfolios25!N671-ff_factors!$E671</f>
        <v>-0.30325800000000003</v>
      </c>
      <c r="O671" s="2">
        <f>ff_portfolios25!O671-ff_factors!$E671</f>
        <v>-0.29652099999999998</v>
      </c>
      <c r="P671" s="2">
        <f>ff_portfolios25!P671-ff_factors!$E671</f>
        <v>-0.24937600000000001</v>
      </c>
      <c r="Q671" s="2">
        <f>ff_portfolios25!Q671-ff_factors!$E671</f>
        <v>-0.23631199999999999</v>
      </c>
      <c r="R671" s="2">
        <f>ff_portfolios25!R671-ff_factors!$E671</f>
        <v>-0.26719300000000001</v>
      </c>
      <c r="S671" s="2">
        <f>ff_portfolios25!S671-ff_factors!$E671</f>
        <v>-0.26539699999999999</v>
      </c>
      <c r="T671" s="2">
        <f>ff_portfolios25!T671-ff_factors!$E671</f>
        <v>-0.29429100000000002</v>
      </c>
      <c r="U671" s="2">
        <f>ff_portfolios25!U671-ff_factors!$E671</f>
        <v>-0.25556400000000001</v>
      </c>
      <c r="V671" s="2">
        <f>ff_portfolios25!V671-ff_factors!$E671</f>
        <v>-0.18859200000000001</v>
      </c>
      <c r="W671" s="2">
        <f>ff_portfolios25!W671-ff_factors!$E671</f>
        <v>-0.24440100000000001</v>
      </c>
      <c r="X671" s="2">
        <f>ff_portfolios25!X671-ff_factors!$E671</f>
        <v>-0.222389</v>
      </c>
      <c r="Y671" s="2">
        <f>ff_portfolios25!Y671-ff_factors!$E671</f>
        <v>-0.23019600000000001</v>
      </c>
      <c r="Z671" s="2">
        <f>ff_portfolios25!Z671-ff_factors!$E671</f>
        <v>-0.22309100000000001</v>
      </c>
      <c r="AA671" s="2">
        <f>ff_portfolios25!AA671-ff_factors!$E671</f>
        <v>-0.15475700000000001</v>
      </c>
      <c r="AB671" s="2">
        <f>ff_portfolios25!AB671-ff_factors!$E671</f>
        <v>-0.19591800000000001</v>
      </c>
    </row>
    <row r="672" spans="1:28" x14ac:dyDescent="0.2">
      <c r="A672">
        <v>19871130</v>
      </c>
      <c r="B672">
        <v>1987</v>
      </c>
      <c r="C672">
        <v>11</v>
      </c>
      <c r="D672" s="2">
        <f>ff_portfolios25!D672-ff_factors!$E672</f>
        <v>-8.8445999999999997E-2</v>
      </c>
      <c r="E672" s="2">
        <f>ff_portfolios25!E672-ff_factors!$E672</f>
        <v>-5.2267000000000001E-2</v>
      </c>
      <c r="F672" s="2">
        <f>ff_portfolios25!F672-ff_factors!$E672</f>
        <v>-5.1652000000000003E-2</v>
      </c>
      <c r="G672" s="2">
        <f>ff_portfolios25!G672-ff_factors!$E672</f>
        <v>-4.9779000000000004E-2</v>
      </c>
      <c r="H672" s="2">
        <f>ff_portfolios25!H672-ff_factors!$E672</f>
        <v>-3.8567000000000004E-2</v>
      </c>
      <c r="I672" s="2">
        <f>ff_portfolios25!I672-ff_factors!$E672</f>
        <v>-7.6711000000000001E-2</v>
      </c>
      <c r="J672" s="2">
        <f>ff_portfolios25!J672-ff_factors!$E672</f>
        <v>-5.0812000000000003E-2</v>
      </c>
      <c r="K672" s="2">
        <f>ff_portfolios25!K672-ff_factors!$E672</f>
        <v>-4.0555000000000001E-2</v>
      </c>
      <c r="L672" s="2">
        <f>ff_portfolios25!L672-ff_factors!$E672</f>
        <v>-3.7531000000000002E-2</v>
      </c>
      <c r="M672" s="2">
        <f>ff_portfolios25!M672-ff_factors!$E672</f>
        <v>-3.1817999999999999E-2</v>
      </c>
      <c r="N672" s="2">
        <f>ff_portfolios25!N672-ff_factors!$E672</f>
        <v>-7.0114999999999997E-2</v>
      </c>
      <c r="O672" s="2">
        <f>ff_portfolios25!O672-ff_factors!$E672</f>
        <v>-3.0121999999999999E-2</v>
      </c>
      <c r="P672" s="2">
        <f>ff_portfolios25!P672-ff_factors!$E672</f>
        <v>-3.3069000000000001E-2</v>
      </c>
      <c r="Q672" s="2">
        <f>ff_portfolios25!Q672-ff_factors!$E672</f>
        <v>-3.5067000000000001E-2</v>
      </c>
      <c r="R672" s="2">
        <f>ff_portfolios25!R672-ff_factors!$E672</f>
        <v>-4.1058000000000004E-2</v>
      </c>
      <c r="S672" s="2">
        <f>ff_portfolios25!S672-ff_factors!$E672</f>
        <v>-6.7935000000000009E-2</v>
      </c>
      <c r="T672" s="2">
        <f>ff_portfolios25!T672-ff_factors!$E672</f>
        <v>-6.2256000000000006E-2</v>
      </c>
      <c r="U672" s="2">
        <f>ff_portfolios25!U672-ff_factors!$E672</f>
        <v>-6.8185000000000009E-2</v>
      </c>
      <c r="V672" s="2">
        <f>ff_portfolios25!V672-ff_factors!$E672</f>
        <v>-4.8102000000000006E-2</v>
      </c>
      <c r="W672" s="2">
        <f>ff_portfolios25!W672-ff_factors!$E672</f>
        <v>-2.4291E-2</v>
      </c>
      <c r="X672" s="2">
        <f>ff_portfolios25!X672-ff_factors!$E672</f>
        <v>-9.9914000000000003E-2</v>
      </c>
      <c r="Y672" s="2">
        <f>ff_portfolios25!Y672-ff_factors!$E672</f>
        <v>-8.8389999999999996E-2</v>
      </c>
      <c r="Z672" s="2">
        <f>ff_portfolios25!Z672-ff_factors!$E672</f>
        <v>-8.6158999999999999E-2</v>
      </c>
      <c r="AA672" s="2">
        <f>ff_portfolios25!AA672-ff_factors!$E672</f>
        <v>-7.959200000000001E-2</v>
      </c>
      <c r="AB672" s="2">
        <f>ff_portfolios25!AB672-ff_factors!$E672</f>
        <v>-7.9041E-2</v>
      </c>
    </row>
    <row r="673" spans="1:28" x14ac:dyDescent="0.2">
      <c r="A673">
        <v>19871231</v>
      </c>
      <c r="B673">
        <v>1987</v>
      </c>
      <c r="C673">
        <v>12</v>
      </c>
      <c r="D673" s="2">
        <f>ff_portfolios25!D673-ff_factors!$E673</f>
        <v>2.4905E-2</v>
      </c>
      <c r="E673" s="2">
        <f>ff_portfolios25!E673-ff_factors!$E673</f>
        <v>4.4757999999999999E-2</v>
      </c>
      <c r="F673" s="2">
        <f>ff_portfolios25!F673-ff_factors!$E673</f>
        <v>5.2127E-2</v>
      </c>
      <c r="G673" s="2">
        <f>ff_portfolios25!G673-ff_factors!$E673</f>
        <v>4.5541999999999999E-2</v>
      </c>
      <c r="H673" s="2">
        <f>ff_portfolios25!H673-ff_factors!$E673</f>
        <v>2.9276999999999997E-2</v>
      </c>
      <c r="I673" s="2">
        <f>ff_portfolios25!I673-ff_factors!$E673</f>
        <v>0.115594</v>
      </c>
      <c r="J673" s="2">
        <f>ff_portfolios25!J673-ff_factors!$E673</f>
        <v>9.3603999999999993E-2</v>
      </c>
      <c r="K673" s="2">
        <f>ff_portfolios25!K673-ff_factors!$E673</f>
        <v>6.8590999999999999E-2</v>
      </c>
      <c r="L673" s="2">
        <f>ff_portfolios25!L673-ff_factors!$E673</f>
        <v>6.1106999999999995E-2</v>
      </c>
      <c r="M673" s="2">
        <f>ff_portfolios25!M673-ff_factors!$E673</f>
        <v>4.6830999999999998E-2</v>
      </c>
      <c r="N673" s="2">
        <f>ff_portfolios25!N673-ff_factors!$E673</f>
        <v>0.12046999999999999</v>
      </c>
      <c r="O673" s="2">
        <f>ff_portfolios25!O673-ff_factors!$E673</f>
        <v>9.2356999999999995E-2</v>
      </c>
      <c r="P673" s="2">
        <f>ff_portfolios25!P673-ff_factors!$E673</f>
        <v>5.9430999999999998E-2</v>
      </c>
      <c r="Q673" s="2">
        <f>ff_portfolios25!Q673-ff_factors!$E673</f>
        <v>4.1624000000000001E-2</v>
      </c>
      <c r="R673" s="2">
        <f>ff_portfolios25!R673-ff_factors!$E673</f>
        <v>6.4481999999999998E-2</v>
      </c>
      <c r="S673" s="2">
        <f>ff_portfolios25!S673-ff_factors!$E673</f>
        <v>0.12125599999999999</v>
      </c>
      <c r="T673" s="2">
        <f>ff_portfolios25!T673-ff_factors!$E673</f>
        <v>0.104046</v>
      </c>
      <c r="U673" s="2">
        <f>ff_portfolios25!U673-ff_factors!$E673</f>
        <v>9.1090000000000004E-2</v>
      </c>
      <c r="V673" s="2">
        <f>ff_portfolios25!V673-ff_factors!$E673</f>
        <v>3.4907000000000001E-2</v>
      </c>
      <c r="W673" s="2">
        <f>ff_portfolios25!W673-ff_factors!$E673</f>
        <v>3.3760999999999999E-2</v>
      </c>
      <c r="X673" s="2">
        <f>ff_portfolios25!X673-ff_factors!$E673</f>
        <v>7.9635999999999998E-2</v>
      </c>
      <c r="Y673" s="2">
        <f>ff_portfolios25!Y673-ff_factors!$E673</f>
        <v>7.1170999999999998E-2</v>
      </c>
      <c r="Z673" s="2">
        <f>ff_portfolios25!Z673-ff_factors!$E673</f>
        <v>7.5503000000000001E-2</v>
      </c>
      <c r="AA673" s="2">
        <f>ff_portfolios25!AA673-ff_factors!$E673</f>
        <v>2.8497000000000001E-2</v>
      </c>
      <c r="AB673" s="2">
        <f>ff_portfolios25!AB673-ff_factors!$E673</f>
        <v>5.8662999999999993E-2</v>
      </c>
    </row>
    <row r="674" spans="1:28" x14ac:dyDescent="0.2">
      <c r="A674">
        <v>19880129</v>
      </c>
      <c r="B674">
        <v>1988</v>
      </c>
      <c r="C674">
        <v>1</v>
      </c>
      <c r="D674" s="2">
        <f>ff_portfolios25!D674-ff_factors!$E674</f>
        <v>5.4695000000000001E-2</v>
      </c>
      <c r="E674" s="2">
        <f>ff_portfolios25!E674-ff_factors!$E674</f>
        <v>7.2105000000000002E-2</v>
      </c>
      <c r="F674" s="2">
        <f>ff_portfolios25!F674-ff_factors!$E674</f>
        <v>4.1506000000000001E-2</v>
      </c>
      <c r="G674" s="2">
        <f>ff_portfolios25!G674-ff_factors!$E674</f>
        <v>4.6808000000000002E-2</v>
      </c>
      <c r="H674" s="2">
        <f>ff_portfolios25!H674-ff_factors!$E674</f>
        <v>6.1524999999999996E-2</v>
      </c>
      <c r="I674" s="2">
        <f>ff_portfolios25!I674-ff_factors!$E674</f>
        <v>1.5484000000000001E-2</v>
      </c>
      <c r="J674" s="2">
        <f>ff_portfolios25!J674-ff_factors!$E674</f>
        <v>2.5458999999999999E-2</v>
      </c>
      <c r="K674" s="2">
        <f>ff_portfolios25!K674-ff_factors!$E674</f>
        <v>4.6675000000000001E-2</v>
      </c>
      <c r="L674" s="2">
        <f>ff_portfolios25!L674-ff_factors!$E674</f>
        <v>3.9344999999999998E-2</v>
      </c>
      <c r="M674" s="2">
        <f>ff_portfolios25!M674-ff_factors!$E674</f>
        <v>6.6261E-2</v>
      </c>
      <c r="N674" s="2">
        <f>ff_portfolios25!N674-ff_factors!$E674</f>
        <v>1.0201E-2</v>
      </c>
      <c r="O674" s="2">
        <f>ff_portfolios25!O674-ff_factors!$E674</f>
        <v>3.3133999999999997E-2</v>
      </c>
      <c r="P674" s="2">
        <f>ff_portfolios25!P674-ff_factors!$E674</f>
        <v>3.9958E-2</v>
      </c>
      <c r="Q674" s="2">
        <f>ff_portfolios25!Q674-ff_factors!$E674</f>
        <v>7.3663999999999993E-2</v>
      </c>
      <c r="R674" s="2">
        <f>ff_portfolios25!R674-ff_factors!$E674</f>
        <v>5.9358000000000001E-2</v>
      </c>
      <c r="S674" s="2">
        <f>ff_portfolios25!S674-ff_factors!$E674</f>
        <v>-4.0999999999999804E-5</v>
      </c>
      <c r="T674" s="2">
        <f>ff_portfolios25!T674-ff_factors!$E674</f>
        <v>3.9954000000000003E-2</v>
      </c>
      <c r="U674" s="2">
        <f>ff_portfolios25!U674-ff_factors!$E674</f>
        <v>4.1471000000000001E-2</v>
      </c>
      <c r="V674" s="2">
        <f>ff_portfolios25!V674-ff_factors!$E674</f>
        <v>5.9547000000000003E-2</v>
      </c>
      <c r="W674" s="2">
        <f>ff_portfolios25!W674-ff_factors!$E674</f>
        <v>5.9000999999999998E-2</v>
      </c>
      <c r="X674" s="2">
        <f>ff_portfolios25!X674-ff_factors!$E674</f>
        <v>1.9866000000000002E-2</v>
      </c>
      <c r="Y674" s="2">
        <f>ff_portfolios25!Y674-ff_factors!$E674</f>
        <v>1.3377E-2</v>
      </c>
      <c r="Z674" s="2">
        <f>ff_portfolios25!Z674-ff_factors!$E674</f>
        <v>5.2033000000000003E-2</v>
      </c>
      <c r="AA674" s="2">
        <f>ff_portfolios25!AA674-ff_factors!$E674</f>
        <v>8.5505999999999999E-2</v>
      </c>
      <c r="AB674" s="2">
        <f>ff_portfolios25!AB674-ff_factors!$E674</f>
        <v>8.5100999999999996E-2</v>
      </c>
    </row>
    <row r="675" spans="1:28" x14ac:dyDescent="0.2">
      <c r="A675">
        <v>19880229</v>
      </c>
      <c r="B675">
        <v>1988</v>
      </c>
      <c r="C675">
        <v>2</v>
      </c>
      <c r="D675" s="2">
        <f>ff_portfolios25!D675-ff_factors!$E675</f>
        <v>5.5426000000000003E-2</v>
      </c>
      <c r="E675" s="2">
        <f>ff_portfolios25!E675-ff_factors!$E675</f>
        <v>7.3142000000000013E-2</v>
      </c>
      <c r="F675" s="2">
        <f>ff_portfolios25!F675-ff_factors!$E675</f>
        <v>7.1023000000000003E-2</v>
      </c>
      <c r="G675" s="2">
        <f>ff_portfolios25!G675-ff_factors!$E675</f>
        <v>6.9309000000000009E-2</v>
      </c>
      <c r="H675" s="2">
        <f>ff_portfolios25!H675-ff_factors!$E675</f>
        <v>7.1278000000000008E-2</v>
      </c>
      <c r="I675" s="2">
        <f>ff_portfolios25!I675-ff_factors!$E675</f>
        <v>7.9958000000000001E-2</v>
      </c>
      <c r="J675" s="2">
        <f>ff_portfolios25!J675-ff_factors!$E675</f>
        <v>0.113815</v>
      </c>
      <c r="K675" s="2">
        <f>ff_portfolios25!K675-ff_factors!$E675</f>
        <v>8.4100000000000008E-2</v>
      </c>
      <c r="L675" s="2">
        <f>ff_portfolios25!L675-ff_factors!$E675</f>
        <v>7.3969000000000007E-2</v>
      </c>
      <c r="M675" s="2">
        <f>ff_portfolios25!M675-ff_factors!$E675</f>
        <v>7.4454999999999993E-2</v>
      </c>
      <c r="N675" s="2">
        <f>ff_portfolios25!N675-ff_factors!$E675</f>
        <v>8.2523999999999986E-2</v>
      </c>
      <c r="O675" s="2">
        <f>ff_portfolios25!O675-ff_factors!$E675</f>
        <v>7.6802000000000009E-2</v>
      </c>
      <c r="P675" s="2">
        <f>ff_portfolios25!P675-ff_factors!$E675</f>
        <v>6.5057000000000004E-2</v>
      </c>
      <c r="Q675" s="2">
        <f>ff_portfolios25!Q675-ff_factors!$E675</f>
        <v>6.7863000000000007E-2</v>
      </c>
      <c r="R675" s="2">
        <f>ff_portfolios25!R675-ff_factors!$E675</f>
        <v>5.6881000000000001E-2</v>
      </c>
      <c r="S675" s="2">
        <f>ff_portfolios25!S675-ff_factors!$E675</f>
        <v>8.0712000000000006E-2</v>
      </c>
      <c r="T675" s="2">
        <f>ff_portfolios25!T675-ff_factors!$E675</f>
        <v>8.9329999999999993E-2</v>
      </c>
      <c r="U675" s="2">
        <f>ff_portfolios25!U675-ff_factors!$E675</f>
        <v>5.8243999999999997E-2</v>
      </c>
      <c r="V675" s="2">
        <f>ff_portfolios25!V675-ff_factors!$E675</f>
        <v>4.5339999999999998E-2</v>
      </c>
      <c r="W675" s="2">
        <f>ff_portfolios25!W675-ff_factors!$E675</f>
        <v>5.8950999999999996E-2</v>
      </c>
      <c r="X675" s="2">
        <f>ff_portfolios25!X675-ff_factors!$E675</f>
        <v>4.1228000000000001E-2</v>
      </c>
      <c r="Y675" s="2">
        <f>ff_portfolios25!Y675-ff_factors!$E675</f>
        <v>4.9889999999999997E-2</v>
      </c>
      <c r="Z675" s="2">
        <f>ff_portfolios25!Z675-ff_factors!$E675</f>
        <v>4.0971E-2</v>
      </c>
      <c r="AA675" s="2">
        <f>ff_portfolios25!AA675-ff_factors!$E675</f>
        <v>1.3344000000000002E-2</v>
      </c>
      <c r="AB675" s="2">
        <f>ff_portfolios25!AB675-ff_factors!$E675</f>
        <v>2.3137999999999999E-2</v>
      </c>
    </row>
    <row r="676" spans="1:28" x14ac:dyDescent="0.2">
      <c r="A676">
        <v>19880331</v>
      </c>
      <c r="B676">
        <v>1988</v>
      </c>
      <c r="C676">
        <v>3</v>
      </c>
      <c r="D676" s="2">
        <f>ff_portfolios25!D676-ff_factors!$E676</f>
        <v>3.7288999999999996E-2</v>
      </c>
      <c r="E676" s="2">
        <f>ff_portfolios25!E676-ff_factors!$E676</f>
        <v>5.5771000000000001E-2</v>
      </c>
      <c r="F676" s="2">
        <f>ff_portfolios25!F676-ff_factors!$E676</f>
        <v>5.2400999999999996E-2</v>
      </c>
      <c r="G676" s="2">
        <f>ff_portfolios25!G676-ff_factors!$E676</f>
        <v>4.8572999999999998E-2</v>
      </c>
      <c r="H676" s="2">
        <f>ff_portfolios25!H676-ff_factors!$E676</f>
        <v>4.5383E-2</v>
      </c>
      <c r="I676" s="2">
        <f>ff_portfolios25!I676-ff_factors!$E676</f>
        <v>1.8969E-2</v>
      </c>
      <c r="J676" s="2">
        <f>ff_portfolios25!J676-ff_factors!$E676</f>
        <v>6.4277000000000001E-2</v>
      </c>
      <c r="K676" s="2">
        <f>ff_portfolios25!K676-ff_factors!$E676</f>
        <v>3.3625000000000002E-2</v>
      </c>
      <c r="L676" s="2">
        <f>ff_portfolios25!L676-ff_factors!$E676</f>
        <v>2.8950999999999998E-2</v>
      </c>
      <c r="M676" s="2">
        <f>ff_portfolios25!M676-ff_factors!$E676</f>
        <v>4.1105999999999997E-2</v>
      </c>
      <c r="N676" s="2">
        <f>ff_portfolios25!N676-ff_factors!$E676</f>
        <v>2.4781999999999998E-2</v>
      </c>
      <c r="O676" s="2">
        <f>ff_portfolios25!O676-ff_factors!$E676</f>
        <v>6.3270000000000002E-3</v>
      </c>
      <c r="P676" s="2">
        <f>ff_portfolios25!P676-ff_factors!$E676</f>
        <v>7.0920000000000002E-3</v>
      </c>
      <c r="Q676" s="2">
        <f>ff_portfolios25!Q676-ff_factors!$E676</f>
        <v>-4.4850000000000003E-3</v>
      </c>
      <c r="R676" s="2">
        <f>ff_portfolios25!R676-ff_factors!$E676</f>
        <v>2.0299999999999997E-3</v>
      </c>
      <c r="S676" s="2">
        <f>ff_portfolios25!S676-ff_factors!$E676</f>
        <v>-1.3153000000000001E-2</v>
      </c>
      <c r="T676" s="2">
        <f>ff_portfolios25!T676-ff_factors!$E676</f>
        <v>6.7520000000000002E-3</v>
      </c>
      <c r="U676" s="2">
        <f>ff_portfolios25!U676-ff_factors!$E676</f>
        <v>-6.4159999999999998E-3</v>
      </c>
      <c r="V676" s="2">
        <f>ff_portfolios25!V676-ff_factors!$E676</f>
        <v>-4.5950000000000001E-3</v>
      </c>
      <c r="W676" s="2">
        <f>ff_portfolios25!W676-ff_factors!$E676</f>
        <v>3.9386999999999998E-2</v>
      </c>
      <c r="X676" s="2">
        <f>ff_portfolios25!X676-ff_factors!$E676</f>
        <v>-5.0285000000000003E-2</v>
      </c>
      <c r="Y676" s="2">
        <f>ff_portfolios25!Y676-ff_factors!$E676</f>
        <v>-4.5422000000000004E-2</v>
      </c>
      <c r="Z676" s="2">
        <f>ff_portfolios25!Z676-ff_factors!$E676</f>
        <v>-4.3513000000000003E-2</v>
      </c>
      <c r="AA676" s="2">
        <f>ff_portfolios25!AA676-ff_factors!$E676</f>
        <v>-4.1686000000000001E-2</v>
      </c>
      <c r="AB676" s="2">
        <f>ff_portfolios25!AB676-ff_factors!$E676</f>
        <v>-1.4414E-2</v>
      </c>
    </row>
    <row r="677" spans="1:28" x14ac:dyDescent="0.2">
      <c r="A677">
        <v>19880429</v>
      </c>
      <c r="B677">
        <v>1988</v>
      </c>
      <c r="C677">
        <v>4</v>
      </c>
      <c r="D677" s="2">
        <f>ff_portfolios25!D677-ff_factors!$E677</f>
        <v>5.6039999999999996E-3</v>
      </c>
      <c r="E677" s="2">
        <f>ff_portfolios25!E677-ff_factors!$E677</f>
        <v>8.1899999999999994E-3</v>
      </c>
      <c r="F677" s="2">
        <f>ff_portfolios25!F677-ff_factors!$E677</f>
        <v>1.9862999999999999E-2</v>
      </c>
      <c r="G677" s="2">
        <f>ff_portfolios25!G677-ff_factors!$E677</f>
        <v>5.6319999999999999E-3</v>
      </c>
      <c r="H677" s="2">
        <f>ff_portfolios25!H677-ff_factors!$E677</f>
        <v>3.4563000000000003E-2</v>
      </c>
      <c r="I677" s="2">
        <f>ff_portfolios25!I677-ff_factors!$E677</f>
        <v>1.6715000000000001E-2</v>
      </c>
      <c r="J677" s="2">
        <f>ff_portfolios25!J677-ff_factors!$E677</f>
        <v>3.8927000000000003E-2</v>
      </c>
      <c r="K677" s="2">
        <f>ff_portfolios25!K677-ff_factors!$E677</f>
        <v>2.4787E-2</v>
      </c>
      <c r="L677" s="2">
        <f>ff_portfolios25!L677-ff_factors!$E677</f>
        <v>1.3984E-2</v>
      </c>
      <c r="M677" s="2">
        <f>ff_portfolios25!M677-ff_factors!$E677</f>
        <v>1.9755000000000002E-2</v>
      </c>
      <c r="N677" s="2">
        <f>ff_portfolios25!N677-ff_factors!$E677</f>
        <v>-1.3436999999999999E-2</v>
      </c>
      <c r="O677" s="2">
        <f>ff_portfolios25!O677-ff_factors!$E677</f>
        <v>-2.238E-3</v>
      </c>
      <c r="P677" s="2">
        <f>ff_portfolios25!P677-ff_factors!$E677</f>
        <v>1.2813999999999999E-2</v>
      </c>
      <c r="Q677" s="2">
        <f>ff_portfolios25!Q677-ff_factors!$E677</f>
        <v>3.7699999999999973E-4</v>
      </c>
      <c r="R677" s="2">
        <f>ff_portfolios25!R677-ff_factors!$E677</f>
        <v>9.9620000000000004E-3</v>
      </c>
      <c r="S677" s="2">
        <f>ff_portfolios25!S677-ff_factors!$E677</f>
        <v>-2.6159999999999998E-3</v>
      </c>
      <c r="T677" s="2">
        <f>ff_portfolios25!T677-ff_factors!$E677</f>
        <v>1.8570000000000001E-3</v>
      </c>
      <c r="U677" s="2">
        <f>ff_portfolios25!U677-ff_factors!$E677</f>
        <v>8.9110000000000005E-3</v>
      </c>
      <c r="V677" s="2">
        <f>ff_portfolios25!V677-ff_factors!$E677</f>
        <v>-1.417E-2</v>
      </c>
      <c r="W677" s="2">
        <f>ff_portfolios25!W677-ff_factors!$E677</f>
        <v>5.8980000000000005E-3</v>
      </c>
      <c r="X677" s="2">
        <f>ff_portfolios25!X677-ff_factors!$E677</f>
        <v>-1.2386999999999999E-2</v>
      </c>
      <c r="Y677" s="2">
        <f>ff_portfolios25!Y677-ff_factors!$E677</f>
        <v>6.1139999999999996E-3</v>
      </c>
      <c r="Z677" s="2">
        <f>ff_portfolios25!Z677-ff_factors!$E677</f>
        <v>1.0767000000000001E-2</v>
      </c>
      <c r="AA677" s="2">
        <f>ff_portfolios25!AA677-ff_factors!$E677</f>
        <v>1.9089000000000002E-2</v>
      </c>
      <c r="AB677" s="2">
        <f>ff_portfolios25!AB677-ff_factors!$E677</f>
        <v>1.9064000000000001E-2</v>
      </c>
    </row>
    <row r="678" spans="1:28" x14ac:dyDescent="0.2">
      <c r="A678">
        <v>19880531</v>
      </c>
      <c r="B678">
        <v>1988</v>
      </c>
      <c r="C678">
        <v>5</v>
      </c>
      <c r="D678" s="2">
        <f>ff_portfolios25!D678-ff_factors!$E678</f>
        <v>-4.0898000000000004E-2</v>
      </c>
      <c r="E678" s="2">
        <f>ff_portfolios25!E678-ff_factors!$E678</f>
        <v>-2.6360999999999999E-2</v>
      </c>
      <c r="F678" s="2">
        <f>ff_portfolios25!F678-ff_factors!$E678</f>
        <v>-1.3422E-2</v>
      </c>
      <c r="G678" s="2">
        <f>ff_portfolios25!G678-ff_factors!$E678</f>
        <v>-2.3418000000000001E-2</v>
      </c>
      <c r="H678" s="2">
        <f>ff_portfolios25!H678-ff_factors!$E678</f>
        <v>-1.4402E-2</v>
      </c>
      <c r="I678" s="2">
        <f>ff_portfolios25!I678-ff_factors!$E678</f>
        <v>-5.0050999999999998E-2</v>
      </c>
      <c r="J678" s="2">
        <f>ff_portfolios25!J678-ff_factors!$E678</f>
        <v>-2.5781999999999999E-2</v>
      </c>
      <c r="K678" s="2">
        <f>ff_portfolios25!K678-ff_factors!$E678</f>
        <v>-2.9142999999999999E-2</v>
      </c>
      <c r="L678" s="2">
        <f>ff_portfolios25!L678-ff_factors!$E678</f>
        <v>-1.8761E-2</v>
      </c>
      <c r="M678" s="2">
        <f>ff_portfolios25!M678-ff_factors!$E678</f>
        <v>-1.3863E-2</v>
      </c>
      <c r="N678" s="2">
        <f>ff_portfolios25!N678-ff_factors!$E678</f>
        <v>-1.4219000000000001E-2</v>
      </c>
      <c r="O678" s="2">
        <f>ff_portfolios25!O678-ff_factors!$E678</f>
        <v>-2.3751999999999999E-2</v>
      </c>
      <c r="P678" s="2">
        <f>ff_portfolios25!P678-ff_factors!$E678</f>
        <v>-1.4678E-2</v>
      </c>
      <c r="Q678" s="2">
        <f>ff_portfolios25!Q678-ff_factors!$E678</f>
        <v>8.1499999999999993E-3</v>
      </c>
      <c r="R678" s="2">
        <f>ff_portfolios25!R678-ff_factors!$E678</f>
        <v>4.8120000000000003E-3</v>
      </c>
      <c r="S678" s="2">
        <f>ff_portfolios25!S678-ff_factors!$E678</f>
        <v>-1.2639000000000001E-2</v>
      </c>
      <c r="T678" s="2">
        <f>ff_portfolios25!T678-ff_factors!$E678</f>
        <v>-1.0902999999999999E-2</v>
      </c>
      <c r="U678" s="2">
        <f>ff_portfolios25!U678-ff_factors!$E678</f>
        <v>-1.2654E-2</v>
      </c>
      <c r="V678" s="2">
        <f>ff_portfolios25!V678-ff_factors!$E678</f>
        <v>1.9259999999999999E-2</v>
      </c>
      <c r="W678" s="2">
        <f>ff_portfolios25!W678-ff_factors!$E678</f>
        <v>4.9269999999999991E-3</v>
      </c>
      <c r="X678" s="2">
        <f>ff_portfolios25!X678-ff_factors!$E678</f>
        <v>-4.2910000000000005E-3</v>
      </c>
      <c r="Y678" s="2">
        <f>ff_portfolios25!Y678-ff_factors!$E678</f>
        <v>-2.2330000000000002E-3</v>
      </c>
      <c r="Z678" s="2">
        <f>ff_portfolios25!Z678-ff_factors!$E678</f>
        <v>-6.5079999999999999E-3</v>
      </c>
      <c r="AA678" s="2">
        <f>ff_portfolios25!AA678-ff_factors!$E678</f>
        <v>1.6978E-2</v>
      </c>
      <c r="AB678" s="2">
        <f>ff_portfolios25!AB678-ff_factors!$E678</f>
        <v>2.0892000000000001E-2</v>
      </c>
    </row>
    <row r="679" spans="1:28" x14ac:dyDescent="0.2">
      <c r="A679">
        <v>19880630</v>
      </c>
      <c r="B679">
        <v>1988</v>
      </c>
      <c r="C679">
        <v>6</v>
      </c>
      <c r="D679" s="2">
        <f>ff_portfolios25!D679-ff_factors!$E679</f>
        <v>6.0381000000000004E-2</v>
      </c>
      <c r="E679" s="2">
        <f>ff_portfolios25!E679-ff_factors!$E679</f>
        <v>5.6430000000000001E-2</v>
      </c>
      <c r="F679" s="2">
        <f>ff_portfolios25!F679-ff_factors!$E679</f>
        <v>5.7215999999999996E-2</v>
      </c>
      <c r="G679" s="2">
        <f>ff_portfolios25!G679-ff_factors!$E679</f>
        <v>5.5388E-2</v>
      </c>
      <c r="H679" s="2">
        <f>ff_portfolios25!H679-ff_factors!$E679</f>
        <v>4.5652999999999999E-2</v>
      </c>
      <c r="I679" s="2">
        <f>ff_portfolios25!I679-ff_factors!$E679</f>
        <v>6.9808999999999996E-2</v>
      </c>
      <c r="J679" s="2">
        <f>ff_portfolios25!J679-ff_factors!$E679</f>
        <v>0.10549</v>
      </c>
      <c r="K679" s="2">
        <f>ff_portfolios25!K679-ff_factors!$E679</f>
        <v>7.5882000000000005E-2</v>
      </c>
      <c r="L679" s="2">
        <f>ff_portfolios25!L679-ff_factors!$E679</f>
        <v>4.9436000000000001E-2</v>
      </c>
      <c r="M679" s="2">
        <f>ff_portfolios25!M679-ff_factors!$E679</f>
        <v>8.0753999999999992E-2</v>
      </c>
      <c r="N679" s="2">
        <f>ff_portfolios25!N679-ff_factors!$E679</f>
        <v>6.3898999999999997E-2</v>
      </c>
      <c r="O679" s="2">
        <f>ff_portfolios25!O679-ff_factors!$E679</f>
        <v>6.9718000000000002E-2</v>
      </c>
      <c r="P679" s="2">
        <f>ff_portfolios25!P679-ff_factors!$E679</f>
        <v>5.7858999999999994E-2</v>
      </c>
      <c r="Q679" s="2">
        <f>ff_portfolios25!Q679-ff_factors!$E679</f>
        <v>5.534E-2</v>
      </c>
      <c r="R679" s="2">
        <f>ff_portfolios25!R679-ff_factors!$E679</f>
        <v>5.4544999999999996E-2</v>
      </c>
      <c r="S679" s="2">
        <f>ff_portfolios25!S679-ff_factors!$E679</f>
        <v>6.8648000000000001E-2</v>
      </c>
      <c r="T679" s="2">
        <f>ff_portfolios25!T679-ff_factors!$E679</f>
        <v>6.4153000000000002E-2</v>
      </c>
      <c r="U679" s="2">
        <f>ff_portfolios25!U679-ff_factors!$E679</f>
        <v>6.1166999999999999E-2</v>
      </c>
      <c r="V679" s="2">
        <f>ff_portfolios25!V679-ff_factors!$E679</f>
        <v>3.4937999999999997E-2</v>
      </c>
      <c r="W679" s="2">
        <f>ff_portfolios25!W679-ff_factors!$E679</f>
        <v>7.9294000000000003E-2</v>
      </c>
      <c r="X679" s="2">
        <f>ff_portfolios25!X679-ff_factors!$E679</f>
        <v>3.6913999999999995E-2</v>
      </c>
      <c r="Y679" s="2">
        <f>ff_portfolios25!Y679-ff_factors!$E679</f>
        <v>6.2907000000000005E-2</v>
      </c>
      <c r="Z679" s="2">
        <f>ff_portfolios25!Z679-ff_factors!$E679</f>
        <v>4.8036999999999996E-2</v>
      </c>
      <c r="AA679" s="2">
        <f>ff_portfolios25!AA679-ff_factors!$E679</f>
        <v>2.5662999999999998E-2</v>
      </c>
      <c r="AB679" s="2">
        <f>ff_portfolios25!AB679-ff_factors!$E679</f>
        <v>2.5491E-2</v>
      </c>
    </row>
    <row r="680" spans="1:28" x14ac:dyDescent="0.2">
      <c r="A680">
        <v>19880729</v>
      </c>
      <c r="B680">
        <v>1988</v>
      </c>
      <c r="C680">
        <v>7</v>
      </c>
      <c r="D680" s="2">
        <f>ff_portfolios25!D680-ff_factors!$E680</f>
        <v>-1.4146000000000001E-2</v>
      </c>
      <c r="E680" s="2">
        <f>ff_portfolios25!E680-ff_factors!$E680</f>
        <v>-8.4240000000000009E-3</v>
      </c>
      <c r="F680" s="2">
        <f>ff_portfolios25!F680-ff_factors!$E680</f>
        <v>-1.3311E-2</v>
      </c>
      <c r="G680" s="2">
        <f>ff_portfolios25!G680-ff_factors!$E680</f>
        <v>4.5329999999999988E-3</v>
      </c>
      <c r="H680" s="2">
        <f>ff_portfolios25!H680-ff_factors!$E680</f>
        <v>-1.5861E-2</v>
      </c>
      <c r="I680" s="2">
        <f>ff_portfolios25!I680-ff_factors!$E680</f>
        <v>-3.0596000000000002E-2</v>
      </c>
      <c r="J680" s="2">
        <f>ff_portfolios25!J680-ff_factors!$E680</f>
        <v>-2.8502E-2</v>
      </c>
      <c r="K680" s="2">
        <f>ff_portfolios25!K680-ff_factors!$E680</f>
        <v>-5.5470000000000007E-3</v>
      </c>
      <c r="L680" s="2">
        <f>ff_portfolios25!L680-ff_factors!$E680</f>
        <v>8.9399999999999983E-4</v>
      </c>
      <c r="M680" s="2">
        <f>ff_portfolios25!M680-ff_factors!$E680</f>
        <v>6.6280000000000002E-3</v>
      </c>
      <c r="N680" s="2">
        <f>ff_portfolios25!N680-ff_factors!$E680</f>
        <v>-4.7824999999999999E-2</v>
      </c>
      <c r="O680" s="2">
        <f>ff_portfolios25!O680-ff_factors!$E680</f>
        <v>-2.5215999999999999E-2</v>
      </c>
      <c r="P680" s="2">
        <f>ff_portfolios25!P680-ff_factors!$E680</f>
        <v>-1.9085999999999999E-2</v>
      </c>
      <c r="Q680" s="2">
        <f>ff_portfolios25!Q680-ff_factors!$E680</f>
        <v>-7.1929999999999997E-3</v>
      </c>
      <c r="R680" s="2">
        <f>ff_portfolios25!R680-ff_factors!$E680</f>
        <v>-7.9480000000000002E-3</v>
      </c>
      <c r="S680" s="2">
        <f>ff_portfolios25!S680-ff_factors!$E680</f>
        <v>-3.8609999999999998E-2</v>
      </c>
      <c r="T680" s="2">
        <f>ff_portfolios25!T680-ff_factors!$E680</f>
        <v>-3.9918000000000002E-2</v>
      </c>
      <c r="U680" s="2">
        <f>ff_portfolios25!U680-ff_factors!$E680</f>
        <v>-1.091E-3</v>
      </c>
      <c r="V680" s="2">
        <f>ff_portfolios25!V680-ff_factors!$E680</f>
        <v>-1.7676999999999998E-2</v>
      </c>
      <c r="W680" s="2">
        <f>ff_portfolios25!W680-ff_factors!$E680</f>
        <v>-2.3560000000000005E-3</v>
      </c>
      <c r="X680" s="2">
        <f>ff_portfolios25!X680-ff_factors!$E680</f>
        <v>-1.4044000000000001E-2</v>
      </c>
      <c r="Y680" s="2">
        <f>ff_portfolios25!Y680-ff_factors!$E680</f>
        <v>-1.5683000000000002E-2</v>
      </c>
      <c r="Z680" s="2">
        <f>ff_portfolios25!Z680-ff_factors!$E680</f>
        <v>2.8999999999999946E-4</v>
      </c>
      <c r="AA680" s="2">
        <f>ff_portfolios25!AA680-ff_factors!$E680</f>
        <v>-3.8160000000000004E-3</v>
      </c>
      <c r="AB680" s="2">
        <f>ff_portfolios25!AB680-ff_factors!$E680</f>
        <v>4.2209999999999991E-3</v>
      </c>
    </row>
    <row r="681" spans="1:28" x14ac:dyDescent="0.2">
      <c r="A681">
        <v>19880831</v>
      </c>
      <c r="B681">
        <v>1988</v>
      </c>
      <c r="C681">
        <v>8</v>
      </c>
      <c r="D681" s="2">
        <f>ff_portfolios25!D681-ff_factors!$E681</f>
        <v>-4.7283000000000006E-2</v>
      </c>
      <c r="E681" s="2">
        <f>ff_portfolios25!E681-ff_factors!$E681</f>
        <v>-3.0695E-2</v>
      </c>
      <c r="F681" s="2">
        <f>ff_portfolios25!F681-ff_factors!$E681</f>
        <v>-1.5914000000000001E-2</v>
      </c>
      <c r="G681" s="2">
        <f>ff_portfolios25!G681-ff_factors!$E681</f>
        <v>-1.9009000000000002E-2</v>
      </c>
      <c r="H681" s="2">
        <f>ff_portfolios25!H681-ff_factors!$E681</f>
        <v>-2.6716999999999998E-2</v>
      </c>
      <c r="I681" s="2">
        <f>ff_portfolios25!I681-ff_factors!$E681</f>
        <v>-4.5165000000000004E-2</v>
      </c>
      <c r="J681" s="2">
        <f>ff_portfolios25!J681-ff_factors!$E681</f>
        <v>-4.6060000000000004E-2</v>
      </c>
      <c r="K681" s="2">
        <f>ff_portfolios25!K681-ff_factors!$E681</f>
        <v>-2.4895999999999998E-2</v>
      </c>
      <c r="L681" s="2">
        <f>ff_portfolios25!L681-ff_factors!$E681</f>
        <v>-9.8619999999999992E-3</v>
      </c>
      <c r="M681" s="2">
        <f>ff_portfolios25!M681-ff_factors!$E681</f>
        <v>-2.1724E-2</v>
      </c>
      <c r="N681" s="2">
        <f>ff_portfolios25!N681-ff_factors!$E681</f>
        <v>-4.8837000000000005E-2</v>
      </c>
      <c r="O681" s="2">
        <f>ff_portfolios25!O681-ff_factors!$E681</f>
        <v>-3.0865999999999998E-2</v>
      </c>
      <c r="P681" s="2">
        <f>ff_portfolios25!P681-ff_factors!$E681</f>
        <v>-2.7032999999999998E-2</v>
      </c>
      <c r="Q681" s="2">
        <f>ff_portfolios25!Q681-ff_factors!$E681</f>
        <v>-4.8799999999999998E-3</v>
      </c>
      <c r="R681" s="2">
        <f>ff_portfolios25!R681-ff_factors!$E681</f>
        <v>-1.6612999999999999E-2</v>
      </c>
      <c r="S681" s="2">
        <f>ff_portfolios25!S681-ff_factors!$E681</f>
        <v>-4.3816000000000001E-2</v>
      </c>
      <c r="T681" s="2">
        <f>ff_portfolios25!T681-ff_factors!$E681</f>
        <v>-3.7461000000000001E-2</v>
      </c>
      <c r="U681" s="2">
        <f>ff_portfolios25!U681-ff_factors!$E681</f>
        <v>-1.2248E-2</v>
      </c>
      <c r="V681" s="2">
        <f>ff_portfolios25!V681-ff_factors!$E681</f>
        <v>-6.6319999999999999E-3</v>
      </c>
      <c r="W681" s="2">
        <f>ff_portfolios25!W681-ff_factors!$E681</f>
        <v>7.7589999999999994E-3</v>
      </c>
      <c r="X681" s="2">
        <f>ff_portfolios25!X681-ff_factors!$E681</f>
        <v>-3.3093999999999998E-2</v>
      </c>
      <c r="Y681" s="2">
        <f>ff_portfolios25!Y681-ff_factors!$E681</f>
        <v>-5.8272000000000004E-2</v>
      </c>
      <c r="Z681" s="2">
        <f>ff_portfolios25!Z681-ff_factors!$E681</f>
        <v>-2.9080999999999999E-2</v>
      </c>
      <c r="AA681" s="2">
        <f>ff_portfolios25!AA681-ff_factors!$E681</f>
        <v>-2.0638E-2</v>
      </c>
      <c r="AB681" s="2">
        <f>ff_portfolios25!AB681-ff_factors!$E681</f>
        <v>-3.6919E-2</v>
      </c>
    </row>
    <row r="682" spans="1:28" x14ac:dyDescent="0.2">
      <c r="A682">
        <v>19880930</v>
      </c>
      <c r="B682">
        <v>1988</v>
      </c>
      <c r="C682">
        <v>9</v>
      </c>
      <c r="D682" s="2">
        <f>ff_portfolios25!D682-ff_factors!$E682</f>
        <v>6.4280000000000006E-3</v>
      </c>
      <c r="E682" s="2">
        <f>ff_portfolios25!E682-ff_factors!$E682</f>
        <v>2.1811999999999998E-2</v>
      </c>
      <c r="F682" s="2">
        <f>ff_portfolios25!F682-ff_factors!$E682</f>
        <v>2.1772E-2</v>
      </c>
      <c r="G682" s="2">
        <f>ff_portfolios25!G682-ff_factors!$E682</f>
        <v>1.0681E-2</v>
      </c>
      <c r="H682" s="2">
        <f>ff_portfolios25!H682-ff_factors!$E682</f>
        <v>2.1998999999999998E-2</v>
      </c>
      <c r="I682" s="2">
        <f>ff_portfolios25!I682-ff_factors!$E682</f>
        <v>2.0433E-2</v>
      </c>
      <c r="J682" s="2">
        <f>ff_portfolios25!J682-ff_factors!$E682</f>
        <v>1.9619999999999999E-2</v>
      </c>
      <c r="K682" s="2">
        <f>ff_portfolios25!K682-ff_factors!$E682</f>
        <v>2.0808E-2</v>
      </c>
      <c r="L682" s="2">
        <f>ff_portfolios25!L682-ff_factors!$E682</f>
        <v>2.1691999999999999E-2</v>
      </c>
      <c r="M682" s="2">
        <f>ff_portfolios25!M682-ff_factors!$E682</f>
        <v>2.2638999999999999E-2</v>
      </c>
      <c r="N682" s="2">
        <f>ff_portfolios25!N682-ff_factors!$E682</f>
        <v>3.3935E-2</v>
      </c>
      <c r="O682" s="2">
        <f>ff_portfolios25!O682-ff_factors!$E682</f>
        <v>1.8201999999999999E-2</v>
      </c>
      <c r="P682" s="2">
        <f>ff_portfolios25!P682-ff_factors!$E682</f>
        <v>1.9220999999999999E-2</v>
      </c>
      <c r="Q682" s="2">
        <f>ff_portfolios25!Q682-ff_factors!$E682</f>
        <v>8.4599999999999988E-3</v>
      </c>
      <c r="R682" s="2">
        <f>ff_portfolios25!R682-ff_factors!$E682</f>
        <v>2.6284999999999999E-2</v>
      </c>
      <c r="S682" s="2">
        <f>ff_portfolios25!S682-ff_factors!$E682</f>
        <v>4.0100000000000004E-2</v>
      </c>
      <c r="T682" s="2">
        <f>ff_portfolios25!T682-ff_factors!$E682</f>
        <v>5.5699999999999994E-3</v>
      </c>
      <c r="U682" s="2">
        <f>ff_portfolios25!U682-ff_factors!$E682</f>
        <v>3.0001999999999997E-2</v>
      </c>
      <c r="V682" s="2">
        <f>ff_portfolios25!V682-ff_factors!$E682</f>
        <v>1.5799000000000001E-2</v>
      </c>
      <c r="W682" s="2">
        <f>ff_portfolios25!W682-ff_factors!$E682</f>
        <v>4.0677000000000005E-2</v>
      </c>
      <c r="X682" s="2">
        <f>ff_portfolios25!X682-ff_factors!$E682</f>
        <v>5.0812000000000003E-2</v>
      </c>
      <c r="Y682" s="2">
        <f>ff_portfolios25!Y682-ff_factors!$E682</f>
        <v>4.7578000000000002E-2</v>
      </c>
      <c r="Z682" s="2">
        <f>ff_portfolios25!Z682-ff_factors!$E682</f>
        <v>1.4695E-2</v>
      </c>
      <c r="AA682" s="2">
        <f>ff_portfolios25!AA682-ff_factors!$E682</f>
        <v>3.4291000000000002E-2</v>
      </c>
      <c r="AB682" s="2">
        <f>ff_portfolios25!AB682-ff_factors!$E682</f>
        <v>3.3570000000000003E-2</v>
      </c>
    </row>
    <row r="683" spans="1:28" x14ac:dyDescent="0.2">
      <c r="A683">
        <v>19881031</v>
      </c>
      <c r="B683">
        <v>1988</v>
      </c>
      <c r="C683">
        <v>10</v>
      </c>
      <c r="D683" s="2">
        <f>ff_portfolios25!D683-ff_factors!$E683</f>
        <v>-3.4529999999999998E-2</v>
      </c>
      <c r="E683" s="2">
        <f>ff_portfolios25!E683-ff_factors!$E683</f>
        <v>-2.2905000000000002E-2</v>
      </c>
      <c r="F683" s="2">
        <f>ff_portfolios25!F683-ff_factors!$E683</f>
        <v>-1.8755000000000001E-2</v>
      </c>
      <c r="G683" s="2">
        <f>ff_portfolios25!G683-ff_factors!$E683</f>
        <v>-2.9501000000000003E-2</v>
      </c>
      <c r="H683" s="2">
        <f>ff_portfolios25!H683-ff_factors!$E683</f>
        <v>-1.5845000000000001E-2</v>
      </c>
      <c r="I683" s="2">
        <f>ff_portfolios25!I683-ff_factors!$E683</f>
        <v>-3.2488999999999997E-2</v>
      </c>
      <c r="J683" s="2">
        <f>ff_portfolios25!J683-ff_factors!$E683</f>
        <v>-1.3426E-2</v>
      </c>
      <c r="K683" s="2">
        <f>ff_portfolios25!K683-ff_factors!$E683</f>
        <v>-2.8590000000000004E-3</v>
      </c>
      <c r="L683" s="2">
        <f>ff_portfolios25!L683-ff_factors!$E683</f>
        <v>-5.0540000000000003E-3</v>
      </c>
      <c r="M683" s="2">
        <f>ff_portfolios25!M683-ff_factors!$E683</f>
        <v>-1.1944E-2</v>
      </c>
      <c r="N683" s="2">
        <f>ff_portfolios25!N683-ff_factors!$E683</f>
        <v>-2.179E-2</v>
      </c>
      <c r="O683" s="2">
        <f>ff_portfolios25!O683-ff_factors!$E683</f>
        <v>-8.0500000000000016E-4</v>
      </c>
      <c r="P683" s="2">
        <f>ff_portfolios25!P683-ff_factors!$E683</f>
        <v>5.350999999999999E-3</v>
      </c>
      <c r="Q683" s="2">
        <f>ff_portfolios25!Q683-ff_factors!$E683</f>
        <v>7.0899999999999956E-4</v>
      </c>
      <c r="R683" s="2">
        <f>ff_portfolios25!R683-ff_factors!$E683</f>
        <v>2.0334999999999999E-2</v>
      </c>
      <c r="S683" s="2">
        <f>ff_portfolios25!S683-ff_factors!$E683</f>
        <v>-2.2475000000000002E-2</v>
      </c>
      <c r="T683" s="2">
        <f>ff_portfolios25!T683-ff_factors!$E683</f>
        <v>3.3529999999999992E-3</v>
      </c>
      <c r="U683" s="2">
        <f>ff_portfolios25!U683-ff_factors!$E683</f>
        <v>-4.8700000000000045E-4</v>
      </c>
      <c r="V683" s="2">
        <f>ff_portfolios25!V683-ff_factors!$E683</f>
        <v>7.0059999999999992E-3</v>
      </c>
      <c r="W683" s="2">
        <f>ff_portfolios25!W683-ff_factors!$E683</f>
        <v>1.8998999999999999E-2</v>
      </c>
      <c r="X683" s="2">
        <f>ff_portfolios25!X683-ff_factors!$E683</f>
        <v>1.2343E-2</v>
      </c>
      <c r="Y683" s="2">
        <f>ff_portfolios25!Y683-ff_factors!$E683</f>
        <v>4.9591999999999997E-2</v>
      </c>
      <c r="Z683" s="2">
        <f>ff_portfolios25!Z683-ff_factors!$E683</f>
        <v>9.4589999999999987E-3</v>
      </c>
      <c r="AA683" s="2">
        <f>ff_portfolios25!AA683-ff_factors!$E683</f>
        <v>1.7675E-2</v>
      </c>
      <c r="AB683" s="2">
        <f>ff_portfolios25!AB683-ff_factors!$E683</f>
        <v>3.7316999999999996E-2</v>
      </c>
    </row>
    <row r="684" spans="1:28" x14ac:dyDescent="0.2">
      <c r="A684">
        <v>19881130</v>
      </c>
      <c r="B684">
        <v>1988</v>
      </c>
      <c r="C684">
        <v>11</v>
      </c>
      <c r="D684" s="2">
        <f>ff_portfolios25!D684-ff_factors!$E684</f>
        <v>-5.4516999999999996E-2</v>
      </c>
      <c r="E684" s="2">
        <f>ff_portfolios25!E684-ff_factors!$E684</f>
        <v>-5.4227999999999998E-2</v>
      </c>
      <c r="F684" s="2">
        <f>ff_portfolios25!F684-ff_factors!$E684</f>
        <v>-3.9384000000000002E-2</v>
      </c>
      <c r="G684" s="2">
        <f>ff_portfolios25!G684-ff_factors!$E684</f>
        <v>-3.8990999999999998E-2</v>
      </c>
      <c r="H684" s="2">
        <f>ff_portfolios25!H684-ff_factors!$E684</f>
        <v>-4.8772999999999997E-2</v>
      </c>
      <c r="I684" s="2">
        <f>ff_portfolios25!I684-ff_factors!$E684</f>
        <v>-4.8052999999999998E-2</v>
      </c>
      <c r="J684" s="2">
        <f>ff_portfolios25!J684-ff_factors!$E684</f>
        <v>-3.6524000000000001E-2</v>
      </c>
      <c r="K684" s="2">
        <f>ff_portfolios25!K684-ff_factors!$E684</f>
        <v>-2.5444000000000001E-2</v>
      </c>
      <c r="L684" s="2">
        <f>ff_portfolios25!L684-ff_factors!$E684</f>
        <v>-3.7648000000000001E-2</v>
      </c>
      <c r="M684" s="2">
        <f>ff_portfolios25!M684-ff_factors!$E684</f>
        <v>-2.6939999999999999E-2</v>
      </c>
      <c r="N684" s="2">
        <f>ff_portfolios25!N684-ff_factors!$E684</f>
        <v>-3.5012000000000001E-2</v>
      </c>
      <c r="O684" s="2">
        <f>ff_portfolios25!O684-ff_factors!$E684</f>
        <v>-3.0325999999999999E-2</v>
      </c>
      <c r="P684" s="2">
        <f>ff_portfolios25!P684-ff_factors!$E684</f>
        <v>-4.3588000000000002E-2</v>
      </c>
      <c r="Q684" s="2">
        <f>ff_portfolios25!Q684-ff_factors!$E684</f>
        <v>-1.1148E-2</v>
      </c>
      <c r="R684" s="2">
        <f>ff_portfolios25!R684-ff_factors!$E684</f>
        <v>-2.0720000000000002E-2</v>
      </c>
      <c r="S684" s="2">
        <f>ff_portfolios25!S684-ff_factors!$E684</f>
        <v>-2.1548000000000001E-2</v>
      </c>
      <c r="T684" s="2">
        <f>ff_portfolios25!T684-ff_factors!$E684</f>
        <v>-3.1253000000000003E-2</v>
      </c>
      <c r="U684" s="2">
        <f>ff_portfolios25!U684-ff_factors!$E684</f>
        <v>-3.8597000000000006E-2</v>
      </c>
      <c r="V684" s="2">
        <f>ff_portfolios25!V684-ff_factors!$E684</f>
        <v>-2.3435000000000001E-2</v>
      </c>
      <c r="W684" s="2">
        <f>ff_portfolios25!W684-ff_factors!$E684</f>
        <v>-1.5402000000000001E-2</v>
      </c>
      <c r="X684" s="2">
        <f>ff_portfolios25!X684-ff_factors!$E684</f>
        <v>-2.4492E-2</v>
      </c>
      <c r="Y684" s="2">
        <f>ff_portfolios25!Y684-ff_factors!$E684</f>
        <v>-1.7146000000000002E-2</v>
      </c>
      <c r="Z684" s="2">
        <f>ff_portfolios25!Z684-ff_factors!$E684</f>
        <v>-2.4844999999999999E-2</v>
      </c>
      <c r="AA684" s="2">
        <f>ff_portfolios25!AA684-ff_factors!$E684</f>
        <v>-9.9629999999999996E-3</v>
      </c>
      <c r="AB684" s="2">
        <f>ff_portfolios25!AB684-ff_factors!$E684</f>
        <v>-2.2620000000000001E-3</v>
      </c>
    </row>
    <row r="685" spans="1:28" x14ac:dyDescent="0.2">
      <c r="A685">
        <v>19881230</v>
      </c>
      <c r="B685">
        <v>1988</v>
      </c>
      <c r="C685">
        <v>12</v>
      </c>
      <c r="D685" s="2">
        <f>ff_portfolios25!D685-ff_factors!$E685</f>
        <v>1.1649E-2</v>
      </c>
      <c r="E685" s="2">
        <f>ff_portfolios25!E685-ff_factors!$E685</f>
        <v>3.4880000000000001E-2</v>
      </c>
      <c r="F685" s="2">
        <f>ff_portfolios25!F685-ff_factors!$E685</f>
        <v>2.7784000000000003E-2</v>
      </c>
      <c r="G685" s="2">
        <f>ff_portfolios25!G685-ff_factors!$E685</f>
        <v>4.1132000000000002E-2</v>
      </c>
      <c r="H685" s="2">
        <f>ff_portfolios25!H685-ff_factors!$E685</f>
        <v>1.9855999999999999E-2</v>
      </c>
      <c r="I685" s="2">
        <f>ff_portfolios25!I685-ff_factors!$E685</f>
        <v>4.5573000000000002E-2</v>
      </c>
      <c r="J685" s="2">
        <f>ff_portfolios25!J685-ff_factors!$E685</f>
        <v>3.4750999999999997E-2</v>
      </c>
      <c r="K685" s="2">
        <f>ff_portfolios25!K685-ff_factors!$E685</f>
        <v>3.1850999999999997E-2</v>
      </c>
      <c r="L685" s="2">
        <f>ff_portfolios25!L685-ff_factors!$E685</f>
        <v>4.3338000000000002E-2</v>
      </c>
      <c r="M685" s="2">
        <f>ff_portfolios25!M685-ff_factors!$E685</f>
        <v>2.2563E-2</v>
      </c>
      <c r="N685" s="2">
        <f>ff_portfolios25!N685-ff_factors!$E685</f>
        <v>3.8995000000000002E-2</v>
      </c>
      <c r="O685" s="2">
        <f>ff_portfolios25!O685-ff_factors!$E685</f>
        <v>2.8875999999999999E-2</v>
      </c>
      <c r="P685" s="2">
        <f>ff_portfolios25!P685-ff_factors!$E685</f>
        <v>2.8269000000000002E-2</v>
      </c>
      <c r="Q685" s="2">
        <f>ff_portfolios25!Q685-ff_factors!$E685</f>
        <v>1.6632000000000001E-2</v>
      </c>
      <c r="R685" s="2">
        <f>ff_portfolios25!R685-ff_factors!$E685</f>
        <v>2.1144E-2</v>
      </c>
      <c r="S685" s="2">
        <f>ff_portfolios25!S685-ff_factors!$E685</f>
        <v>2.7217999999999999E-2</v>
      </c>
      <c r="T685" s="2">
        <f>ff_portfolios25!T685-ff_factors!$E685</f>
        <v>2.3935999999999999E-2</v>
      </c>
      <c r="U685" s="2">
        <f>ff_portfolios25!U685-ff_factors!$E685</f>
        <v>8.9700000000000005E-3</v>
      </c>
      <c r="V685" s="2">
        <f>ff_portfolios25!V685-ff_factors!$E685</f>
        <v>1.2307999999999999E-2</v>
      </c>
      <c r="W685" s="2">
        <f>ff_portfolios25!W685-ff_factors!$E685</f>
        <v>-1.4433E-2</v>
      </c>
      <c r="X685" s="2">
        <f>ff_portfolios25!X685-ff_factors!$E685</f>
        <v>1.9893000000000001E-2</v>
      </c>
      <c r="Y685" s="2">
        <f>ff_portfolios25!Y685-ff_factors!$E685</f>
        <v>1.4620000000000001E-2</v>
      </c>
      <c r="Z685" s="2">
        <f>ff_portfolios25!Z685-ff_factors!$E685</f>
        <v>1.0991000000000001E-2</v>
      </c>
      <c r="AA685" s="2">
        <f>ff_portfolios25!AA685-ff_factors!$E685</f>
        <v>-1.1869999999999997E-3</v>
      </c>
      <c r="AB685" s="2">
        <f>ff_portfolios25!AB685-ff_factors!$E685</f>
        <v>-2.0540000000000003E-3</v>
      </c>
    </row>
    <row r="686" spans="1:28" x14ac:dyDescent="0.2">
      <c r="A686">
        <v>19890131</v>
      </c>
      <c r="B686">
        <v>1989</v>
      </c>
      <c r="C686">
        <v>1</v>
      </c>
      <c r="D686" s="2">
        <f>ff_portfolios25!D686-ff_factors!$E686</f>
        <v>4.7919000000000003E-2</v>
      </c>
      <c r="E686" s="2">
        <f>ff_portfolios25!E686-ff_factors!$E686</f>
        <v>5.4011000000000003E-2</v>
      </c>
      <c r="F686" s="2">
        <f>ff_portfolios25!F686-ff_factors!$E686</f>
        <v>3.7777000000000005E-2</v>
      </c>
      <c r="G686" s="2">
        <f>ff_portfolios25!G686-ff_factors!$E686</f>
        <v>3.7860999999999999E-2</v>
      </c>
      <c r="H686" s="2">
        <f>ff_portfolios25!H686-ff_factors!$E686</f>
        <v>5.0571999999999999E-2</v>
      </c>
      <c r="I686" s="2">
        <f>ff_portfolios25!I686-ff_factors!$E686</f>
        <v>2.8847000000000005E-2</v>
      </c>
      <c r="J686" s="2">
        <f>ff_portfolios25!J686-ff_factors!$E686</f>
        <v>5.0576000000000003E-2</v>
      </c>
      <c r="K686" s="2">
        <f>ff_portfolios25!K686-ff_factors!$E686</f>
        <v>4.0809999999999999E-2</v>
      </c>
      <c r="L686" s="2">
        <f>ff_portfolios25!L686-ff_factors!$E686</f>
        <v>3.1976000000000004E-2</v>
      </c>
      <c r="M686" s="2">
        <f>ff_portfolios25!M686-ff_factors!$E686</f>
        <v>6.7741999999999997E-2</v>
      </c>
      <c r="N686" s="2">
        <f>ff_portfolios25!N686-ff_factors!$E686</f>
        <v>4.3081000000000001E-2</v>
      </c>
      <c r="O686" s="2">
        <f>ff_portfolios25!O686-ff_factors!$E686</f>
        <v>4.9593999999999999E-2</v>
      </c>
      <c r="P686" s="2">
        <f>ff_portfolios25!P686-ff_factors!$E686</f>
        <v>4.5596999999999999E-2</v>
      </c>
      <c r="Q686" s="2">
        <f>ff_portfolios25!Q686-ff_factors!$E686</f>
        <v>3.5265999999999999E-2</v>
      </c>
      <c r="R686" s="2">
        <f>ff_portfolios25!R686-ff_factors!$E686</f>
        <v>4.8866E-2</v>
      </c>
      <c r="S686" s="2">
        <f>ff_portfolios25!S686-ff_factors!$E686</f>
        <v>4.165E-2</v>
      </c>
      <c r="T686" s="2">
        <f>ff_portfolios25!T686-ff_factors!$E686</f>
        <v>5.0682999999999999E-2</v>
      </c>
      <c r="U686" s="2">
        <f>ff_portfolios25!U686-ff_factors!$E686</f>
        <v>5.4758000000000001E-2</v>
      </c>
      <c r="V686" s="2">
        <f>ff_portfolios25!V686-ff_factors!$E686</f>
        <v>5.6253000000000004E-2</v>
      </c>
      <c r="W686" s="2">
        <f>ff_portfolios25!W686-ff_factors!$E686</f>
        <v>7.7074999999999991E-2</v>
      </c>
      <c r="X686" s="2">
        <f>ff_portfolios25!X686-ff_factors!$E686</f>
        <v>7.2812000000000002E-2</v>
      </c>
      <c r="Y686" s="2">
        <f>ff_portfolios25!Y686-ff_factors!$E686</f>
        <v>6.3364999999999991E-2</v>
      </c>
      <c r="Z686" s="2">
        <f>ff_portfolios25!Z686-ff_factors!$E686</f>
        <v>5.7622E-2</v>
      </c>
      <c r="AA686" s="2">
        <f>ff_portfolios25!AA686-ff_factors!$E686</f>
        <v>5.9351000000000008E-2</v>
      </c>
      <c r="AB686" s="2">
        <f>ff_portfolios25!AB686-ff_factors!$E686</f>
        <v>7.7067999999999998E-2</v>
      </c>
    </row>
    <row r="687" spans="1:28" x14ac:dyDescent="0.2">
      <c r="A687">
        <v>19890228</v>
      </c>
      <c r="B687">
        <v>1989</v>
      </c>
      <c r="C687">
        <v>2</v>
      </c>
      <c r="D687" s="2">
        <f>ff_portfolios25!D687-ff_factors!$E687</f>
        <v>-1.7264000000000002E-2</v>
      </c>
      <c r="E687" s="2">
        <f>ff_portfolios25!E687-ff_factors!$E687</f>
        <v>-2.2580000000000005E-3</v>
      </c>
      <c r="F687" s="2">
        <f>ff_portfolios25!F687-ff_factors!$E687</f>
        <v>3.4899999999999992E-3</v>
      </c>
      <c r="G687" s="2">
        <f>ff_portfolios25!G687-ff_factors!$E687</f>
        <v>5.827999999999999E-3</v>
      </c>
      <c r="H687" s="2">
        <f>ff_portfolios25!H687-ff_factors!$E687</f>
        <v>1.2097E-2</v>
      </c>
      <c r="I687" s="2">
        <f>ff_portfolios25!I687-ff_factors!$E687</f>
        <v>4.0089999999999995E-3</v>
      </c>
      <c r="J687" s="2">
        <f>ff_portfolios25!J687-ff_factors!$E687</f>
        <v>1.3103999999999998E-2</v>
      </c>
      <c r="K687" s="2">
        <f>ff_portfolios25!K687-ff_factors!$E687</f>
        <v>7.234E-3</v>
      </c>
      <c r="L687" s="2">
        <f>ff_portfolios25!L687-ff_factors!$E687</f>
        <v>1.6629999999999995E-3</v>
      </c>
      <c r="M687" s="2">
        <f>ff_portfolios25!M687-ff_factors!$E687</f>
        <v>9.6749999999999996E-3</v>
      </c>
      <c r="N687" s="2">
        <f>ff_portfolios25!N687-ff_factors!$E687</f>
        <v>-6.4610000000000006E-3</v>
      </c>
      <c r="O687" s="2">
        <f>ff_portfolios25!O687-ff_factors!$E687</f>
        <v>1.1699999999999992E-4</v>
      </c>
      <c r="P687" s="2">
        <f>ff_portfolios25!P687-ff_factors!$E687</f>
        <v>-2.6190000000000002E-3</v>
      </c>
      <c r="Q687" s="2">
        <f>ff_portfolios25!Q687-ff_factors!$E687</f>
        <v>6.1459999999999996E-3</v>
      </c>
      <c r="R687" s="2">
        <f>ff_portfolios25!R687-ff_factors!$E687</f>
        <v>-7.2930000000000009E-3</v>
      </c>
      <c r="S687" s="2">
        <f>ff_portfolios25!S687-ff_factors!$E687</f>
        <v>-8.516000000000001E-3</v>
      </c>
      <c r="T687" s="2">
        <f>ff_portfolios25!T687-ff_factors!$E687</f>
        <v>-6.2250000000000005E-3</v>
      </c>
      <c r="U687" s="2">
        <f>ff_portfolios25!U687-ff_factors!$E687</f>
        <v>-1.4513999999999999E-2</v>
      </c>
      <c r="V687" s="2">
        <f>ff_portfolios25!V687-ff_factors!$E687</f>
        <v>-4.2120000000000005E-3</v>
      </c>
      <c r="W687" s="2">
        <f>ff_portfolios25!W687-ff_factors!$E687</f>
        <v>7.3429999999999997E-3</v>
      </c>
      <c r="X687" s="2">
        <f>ff_portfolios25!X687-ff_factors!$E687</f>
        <v>-3.6962000000000002E-2</v>
      </c>
      <c r="Y687" s="2">
        <f>ff_portfolios25!Y687-ff_factors!$E687</f>
        <v>-3.4791999999999997E-2</v>
      </c>
      <c r="Z687" s="2">
        <f>ff_portfolios25!Z687-ff_factors!$E687</f>
        <v>-3.1364999999999997E-2</v>
      </c>
      <c r="AA687" s="2">
        <f>ff_portfolios25!AA687-ff_factors!$E687</f>
        <v>-2.2388000000000002E-2</v>
      </c>
      <c r="AB687" s="2">
        <f>ff_portfolios25!AB687-ff_factors!$E687</f>
        <v>-3.1918000000000002E-2</v>
      </c>
    </row>
    <row r="688" spans="1:28" x14ac:dyDescent="0.2">
      <c r="A688">
        <v>19890331</v>
      </c>
      <c r="B688">
        <v>1989</v>
      </c>
      <c r="C688">
        <v>3</v>
      </c>
      <c r="D688" s="2">
        <f>ff_portfolios25!D688-ff_factors!$E688</f>
        <v>7.1429999999999992E-3</v>
      </c>
      <c r="E688" s="2">
        <f>ff_portfolios25!E688-ff_factors!$E688</f>
        <v>2.1006999999999998E-2</v>
      </c>
      <c r="F688" s="2">
        <f>ff_portfolios25!F688-ff_factors!$E688</f>
        <v>4.0965000000000001E-2</v>
      </c>
      <c r="G688" s="2">
        <f>ff_portfolios25!G688-ff_factors!$E688</f>
        <v>1.9328999999999999E-2</v>
      </c>
      <c r="H688" s="2">
        <f>ff_portfolios25!H688-ff_factors!$E688</f>
        <v>2.3826999999999997E-2</v>
      </c>
      <c r="I688" s="2">
        <f>ff_portfolios25!I688-ff_factors!$E688</f>
        <v>1.1805E-2</v>
      </c>
      <c r="J688" s="2">
        <f>ff_portfolios25!J688-ff_factors!$E688</f>
        <v>1.7887E-2</v>
      </c>
      <c r="K688" s="2">
        <f>ff_portfolios25!K688-ff_factors!$E688</f>
        <v>1.5733E-2</v>
      </c>
      <c r="L688" s="2">
        <f>ff_portfolios25!L688-ff_factors!$E688</f>
        <v>1.0190999999999999E-2</v>
      </c>
      <c r="M688" s="2">
        <f>ff_portfolios25!M688-ff_factors!$E688</f>
        <v>2.5035999999999999E-2</v>
      </c>
      <c r="N688" s="2">
        <f>ff_portfolios25!N688-ff_factors!$E688</f>
        <v>1.4995999999999999E-2</v>
      </c>
      <c r="O688" s="2">
        <f>ff_portfolios25!O688-ff_factors!$E688</f>
        <v>6.3349999999999995E-3</v>
      </c>
      <c r="P688" s="2">
        <f>ff_portfolios25!P688-ff_factors!$E688</f>
        <v>8.8360000000000001E-3</v>
      </c>
      <c r="Q688" s="2">
        <f>ff_portfolios25!Q688-ff_factors!$E688</f>
        <v>2.7320000000000001E-2</v>
      </c>
      <c r="R688" s="2">
        <f>ff_portfolios25!R688-ff_factors!$E688</f>
        <v>1.8248E-2</v>
      </c>
      <c r="S688" s="2">
        <f>ff_portfolios25!S688-ff_factors!$E688</f>
        <v>-1.0715000000000001E-2</v>
      </c>
      <c r="T688" s="2">
        <f>ff_portfolios25!T688-ff_factors!$E688</f>
        <v>9.2110000000000004E-3</v>
      </c>
      <c r="U688" s="2">
        <f>ff_portfolios25!U688-ff_factors!$E688</f>
        <v>2.3101E-2</v>
      </c>
      <c r="V688" s="2">
        <f>ff_portfolios25!V688-ff_factors!$E688</f>
        <v>2.3989999999999992E-3</v>
      </c>
      <c r="W688" s="2">
        <f>ff_portfolios25!W688-ff_factors!$E688</f>
        <v>2.5448999999999996E-2</v>
      </c>
      <c r="X688" s="2">
        <f>ff_portfolios25!X688-ff_factors!$E688</f>
        <v>2.3460999999999999E-2</v>
      </c>
      <c r="Y688" s="2">
        <f>ff_portfolios25!Y688-ff_factors!$E688</f>
        <v>-1.6580000000000006E-3</v>
      </c>
      <c r="Z688" s="2">
        <f>ff_portfolios25!Z688-ff_factors!$E688</f>
        <v>3.2325E-2</v>
      </c>
      <c r="AA688" s="2">
        <f>ff_portfolios25!AA688-ff_factors!$E688</f>
        <v>2.1055999999999998E-2</v>
      </c>
      <c r="AB688" s="2">
        <f>ff_portfolios25!AB688-ff_factors!$E688</f>
        <v>5.2349999999999992E-3</v>
      </c>
    </row>
    <row r="689" spans="1:28" x14ac:dyDescent="0.2">
      <c r="A689">
        <v>19890428</v>
      </c>
      <c r="B689">
        <v>1989</v>
      </c>
      <c r="C689">
        <v>4</v>
      </c>
      <c r="D689" s="2">
        <f>ff_portfolios25!D689-ff_factors!$E689</f>
        <v>2.3656999999999997E-2</v>
      </c>
      <c r="E689" s="2">
        <f>ff_portfolios25!E689-ff_factors!$E689</f>
        <v>2.5553999999999997E-2</v>
      </c>
      <c r="F689" s="2">
        <f>ff_portfolios25!F689-ff_factors!$E689</f>
        <v>2.7562E-2</v>
      </c>
      <c r="G689" s="2">
        <f>ff_portfolios25!G689-ff_factors!$E689</f>
        <v>1.8213999999999998E-2</v>
      </c>
      <c r="H689" s="2">
        <f>ff_portfolios25!H689-ff_factors!$E689</f>
        <v>2.2596999999999999E-2</v>
      </c>
      <c r="I689" s="2">
        <f>ff_portfolios25!I689-ff_factors!$E689</f>
        <v>3.9126000000000001E-2</v>
      </c>
      <c r="J689" s="2">
        <f>ff_portfolios25!J689-ff_factors!$E689</f>
        <v>4.7142000000000003E-2</v>
      </c>
      <c r="K689" s="2">
        <f>ff_portfolios25!K689-ff_factors!$E689</f>
        <v>4.1024000000000005E-2</v>
      </c>
      <c r="L689" s="2">
        <f>ff_portfolios25!L689-ff_factors!$E689</f>
        <v>1.9153E-2</v>
      </c>
      <c r="M689" s="2">
        <f>ff_portfolios25!M689-ff_factors!$E689</f>
        <v>5.0943000000000002E-2</v>
      </c>
      <c r="N689" s="2">
        <f>ff_portfolios25!N689-ff_factors!$E689</f>
        <v>4.7356000000000002E-2</v>
      </c>
      <c r="O689" s="2">
        <f>ff_portfolios25!O689-ff_factors!$E689</f>
        <v>3.9605000000000001E-2</v>
      </c>
      <c r="P689" s="2">
        <f>ff_portfolios25!P689-ff_factors!$E689</f>
        <v>3.9593000000000003E-2</v>
      </c>
      <c r="Q689" s="2">
        <f>ff_portfolios25!Q689-ff_factors!$E689</f>
        <v>3.5011E-2</v>
      </c>
      <c r="R689" s="2">
        <f>ff_portfolios25!R689-ff_factors!$E689</f>
        <v>3.1007999999999997E-2</v>
      </c>
      <c r="S689" s="2">
        <f>ff_portfolios25!S689-ff_factors!$E689</f>
        <v>5.7088E-2</v>
      </c>
      <c r="T689" s="2">
        <f>ff_portfolios25!T689-ff_factors!$E689</f>
        <v>4.6235000000000005E-2</v>
      </c>
      <c r="U689" s="2">
        <f>ff_portfolios25!U689-ff_factors!$E689</f>
        <v>3.3580000000000006E-2</v>
      </c>
      <c r="V689" s="2">
        <f>ff_portfolios25!V689-ff_factors!$E689</f>
        <v>4.6663000000000003E-2</v>
      </c>
      <c r="W689" s="2">
        <f>ff_portfolios25!W689-ff_factors!$E689</f>
        <v>4.6371000000000002E-2</v>
      </c>
      <c r="X689" s="2">
        <f>ff_portfolios25!X689-ff_factors!$E689</f>
        <v>5.4399000000000003E-2</v>
      </c>
      <c r="Y689" s="2">
        <f>ff_portfolios25!Y689-ff_factors!$E689</f>
        <v>4.6439000000000001E-2</v>
      </c>
      <c r="Z689" s="2">
        <f>ff_portfolios25!Z689-ff_factors!$E689</f>
        <v>3.9960000000000002E-2</v>
      </c>
      <c r="AA689" s="2">
        <f>ff_portfolios25!AA689-ff_factors!$E689</f>
        <v>3.7997000000000003E-2</v>
      </c>
      <c r="AB689" s="2">
        <f>ff_portfolios25!AB689-ff_factors!$E689</f>
        <v>2.9974999999999998E-2</v>
      </c>
    </row>
    <row r="690" spans="1:28" x14ac:dyDescent="0.2">
      <c r="A690">
        <v>19890531</v>
      </c>
      <c r="B690">
        <v>1989</v>
      </c>
      <c r="C690">
        <v>5</v>
      </c>
      <c r="D690" s="2">
        <f>ff_portfolios25!D690-ff_factors!$E690</f>
        <v>2.2605E-2</v>
      </c>
      <c r="E690" s="2">
        <f>ff_portfolios25!E690-ff_factors!$E690</f>
        <v>4.6113000000000001E-2</v>
      </c>
      <c r="F690" s="2">
        <f>ff_portfolios25!F690-ff_factors!$E690</f>
        <v>1.201E-2</v>
      </c>
      <c r="G690" s="2">
        <f>ff_portfolios25!G690-ff_factors!$E690</f>
        <v>3.3728999999999995E-2</v>
      </c>
      <c r="H690" s="2">
        <f>ff_portfolios25!H690-ff_factors!$E690</f>
        <v>2.6899999999999997E-2</v>
      </c>
      <c r="I690" s="2">
        <f>ff_portfolios25!I690-ff_factors!$E690</f>
        <v>4.0067000000000005E-2</v>
      </c>
      <c r="J690" s="2">
        <f>ff_portfolios25!J690-ff_factors!$E690</f>
        <v>2.5402999999999998E-2</v>
      </c>
      <c r="K690" s="2">
        <f>ff_portfolios25!K690-ff_factors!$E690</f>
        <v>3.4998000000000001E-2</v>
      </c>
      <c r="L690" s="2">
        <f>ff_portfolios25!L690-ff_factors!$E690</f>
        <v>2.7981000000000002E-2</v>
      </c>
      <c r="M690" s="2">
        <f>ff_portfolios25!M690-ff_factors!$E690</f>
        <v>3.0117000000000001E-2</v>
      </c>
      <c r="N690" s="2">
        <f>ff_portfolios25!N690-ff_factors!$E690</f>
        <v>4.8532000000000006E-2</v>
      </c>
      <c r="O690" s="2">
        <f>ff_portfolios25!O690-ff_factors!$E690</f>
        <v>3.9476999999999998E-2</v>
      </c>
      <c r="P690" s="2">
        <f>ff_portfolios25!P690-ff_factors!$E690</f>
        <v>3.0277999999999996E-2</v>
      </c>
      <c r="Q690" s="2">
        <f>ff_portfolios25!Q690-ff_factors!$E690</f>
        <v>3.3770999999999995E-2</v>
      </c>
      <c r="R690" s="2">
        <f>ff_portfolios25!R690-ff_factors!$E690</f>
        <v>3.1691999999999998E-2</v>
      </c>
      <c r="S690" s="2">
        <f>ff_portfolios25!S690-ff_factors!$E690</f>
        <v>3.7128999999999995E-2</v>
      </c>
      <c r="T690" s="2">
        <f>ff_portfolios25!T690-ff_factors!$E690</f>
        <v>2.0670000000000001E-2</v>
      </c>
      <c r="U690" s="2">
        <f>ff_portfolios25!U690-ff_factors!$E690</f>
        <v>2.3172999999999999E-2</v>
      </c>
      <c r="V690" s="2">
        <f>ff_portfolios25!V690-ff_factors!$E690</f>
        <v>3.6858000000000002E-2</v>
      </c>
      <c r="W690" s="2">
        <f>ff_portfolios25!W690-ff_factors!$E690</f>
        <v>5.3637000000000004E-2</v>
      </c>
      <c r="X690" s="2">
        <f>ff_portfolios25!X690-ff_factors!$E690</f>
        <v>3.8996000000000003E-2</v>
      </c>
      <c r="Y690" s="2">
        <f>ff_portfolios25!Y690-ff_factors!$E690</f>
        <v>2.3499000000000003E-2</v>
      </c>
      <c r="Z690" s="2">
        <f>ff_portfolios25!Z690-ff_factors!$E690</f>
        <v>3.7056000000000006E-2</v>
      </c>
      <c r="AA690" s="2">
        <f>ff_portfolios25!AA690-ff_factors!$E690</f>
        <v>3.5331000000000001E-2</v>
      </c>
      <c r="AB690" s="2">
        <f>ff_portfolios25!AB690-ff_factors!$E690</f>
        <v>2.5403999999999999E-2</v>
      </c>
    </row>
    <row r="691" spans="1:28" x14ac:dyDescent="0.2">
      <c r="A691">
        <v>19890630</v>
      </c>
      <c r="B691">
        <v>1989</v>
      </c>
      <c r="C691">
        <v>6</v>
      </c>
      <c r="D691" s="2">
        <f>ff_portfolios25!D691-ff_factors!$E691</f>
        <v>-3.7670000000000002E-2</v>
      </c>
      <c r="E691" s="2">
        <f>ff_portfolios25!E691-ff_factors!$E691</f>
        <v>-2.3158999999999999E-2</v>
      </c>
      <c r="F691" s="2">
        <f>ff_portfolios25!F691-ff_factors!$E691</f>
        <v>-2.9037E-2</v>
      </c>
      <c r="G691" s="2">
        <f>ff_portfolios25!G691-ff_factors!$E691</f>
        <v>-4.8430000000000001E-3</v>
      </c>
      <c r="H691" s="2">
        <f>ff_portfolios25!H691-ff_factors!$E691</f>
        <v>-1.5450000000000004E-3</v>
      </c>
      <c r="I691" s="2">
        <f>ff_portfolios25!I691-ff_factors!$E691</f>
        <v>-5.6256E-2</v>
      </c>
      <c r="J691" s="2">
        <f>ff_portfolios25!J691-ff_factors!$E691</f>
        <v>-2.6322999999999999E-2</v>
      </c>
      <c r="K691" s="2">
        <f>ff_portfolios25!K691-ff_factors!$E691</f>
        <v>-9.4240000000000001E-3</v>
      </c>
      <c r="L691" s="2">
        <f>ff_portfolios25!L691-ff_factors!$E691</f>
        <v>-1.3174999999999999E-2</v>
      </c>
      <c r="M691" s="2">
        <f>ff_portfolios25!M691-ff_factors!$E691</f>
        <v>-2.3947999999999997E-2</v>
      </c>
      <c r="N691" s="2">
        <f>ff_portfolios25!N691-ff_factors!$E691</f>
        <v>-4.1446000000000004E-2</v>
      </c>
      <c r="O691" s="2">
        <f>ff_portfolios25!O691-ff_factors!$E691</f>
        <v>-2.1163000000000001E-2</v>
      </c>
      <c r="P691" s="2">
        <f>ff_portfolios25!P691-ff_factors!$E691</f>
        <v>-2.0755000000000003E-2</v>
      </c>
      <c r="Q691" s="2">
        <f>ff_portfolios25!Q691-ff_factors!$E691</f>
        <v>-3.8880000000000004E-3</v>
      </c>
      <c r="R691" s="2">
        <f>ff_portfolios25!R691-ff_factors!$E691</f>
        <v>1.4546999999999999E-2</v>
      </c>
      <c r="S691" s="2">
        <f>ff_portfolios25!S691-ff_factors!$E691</f>
        <v>-2.9296000000000003E-2</v>
      </c>
      <c r="T691" s="2">
        <f>ff_portfolios25!T691-ff_factors!$E691</f>
        <v>-2.0126999999999999E-2</v>
      </c>
      <c r="U691" s="2">
        <f>ff_portfolios25!U691-ff_factors!$E691</f>
        <v>-2.9770000000000005E-3</v>
      </c>
      <c r="V691" s="2">
        <f>ff_portfolios25!V691-ff_factors!$E691</f>
        <v>1.2523000000000001E-2</v>
      </c>
      <c r="W691" s="2">
        <f>ff_portfolios25!W691-ff_factors!$E691</f>
        <v>2.8360999999999997E-2</v>
      </c>
      <c r="X691" s="2">
        <f>ff_portfolios25!X691-ff_factors!$E691</f>
        <v>-1.2288E-2</v>
      </c>
      <c r="Y691" s="2">
        <f>ff_portfolios25!Y691-ff_factors!$E691</f>
        <v>-1.1022000000000001E-2</v>
      </c>
      <c r="Z691" s="2">
        <f>ff_portfolios25!Z691-ff_factors!$E691</f>
        <v>-1.8153000000000002E-2</v>
      </c>
      <c r="AA691" s="2">
        <f>ff_portfolios25!AA691-ff_factors!$E691</f>
        <v>-1.3798000000000001E-2</v>
      </c>
      <c r="AB691" s="2">
        <f>ff_portfolios25!AB691-ff_factors!$E691</f>
        <v>8.3599999999999994E-4</v>
      </c>
    </row>
    <row r="692" spans="1:28" x14ac:dyDescent="0.2">
      <c r="A692">
        <v>19890731</v>
      </c>
      <c r="B692">
        <v>1989</v>
      </c>
      <c r="C692">
        <v>7</v>
      </c>
      <c r="D692" s="2">
        <f>ff_portfolios25!D692-ff_factors!$E692</f>
        <v>2.0636999999999999E-2</v>
      </c>
      <c r="E692" s="2">
        <f>ff_portfolios25!E692-ff_factors!$E692</f>
        <v>4.1377999999999998E-2</v>
      </c>
      <c r="F692" s="2">
        <f>ff_portfolios25!F692-ff_factors!$E692</f>
        <v>1.5315000000000002E-2</v>
      </c>
      <c r="G692" s="2">
        <f>ff_portfolios25!G692-ff_factors!$E692</f>
        <v>2.4551999999999997E-2</v>
      </c>
      <c r="H692" s="2">
        <f>ff_portfolios25!H692-ff_factors!$E692</f>
        <v>9.6259999999999991E-3</v>
      </c>
      <c r="I692" s="2">
        <f>ff_portfolios25!I692-ff_factors!$E692</f>
        <v>4.9102E-2</v>
      </c>
      <c r="J692" s="2">
        <f>ff_portfolios25!J692-ff_factors!$E692</f>
        <v>4.4555999999999998E-2</v>
      </c>
      <c r="K692" s="2">
        <f>ff_portfolios25!K692-ff_factors!$E692</f>
        <v>2.3521E-2</v>
      </c>
      <c r="L692" s="2">
        <f>ff_portfolios25!L692-ff_factors!$E692</f>
        <v>3.3931000000000003E-2</v>
      </c>
      <c r="M692" s="2">
        <f>ff_portfolios25!M692-ff_factors!$E692</f>
        <v>2.3453999999999999E-2</v>
      </c>
      <c r="N692" s="2">
        <f>ff_portfolios25!N692-ff_factors!$E692</f>
        <v>4.7475000000000003E-2</v>
      </c>
      <c r="O692" s="2">
        <f>ff_portfolios25!O692-ff_factors!$E692</f>
        <v>4.3233000000000001E-2</v>
      </c>
      <c r="P692" s="2">
        <f>ff_portfolios25!P692-ff_factors!$E692</f>
        <v>2.8138999999999997E-2</v>
      </c>
      <c r="Q692" s="2">
        <f>ff_portfolios25!Q692-ff_factors!$E692</f>
        <v>4.0039999999999999E-2</v>
      </c>
      <c r="R692" s="2">
        <f>ff_portfolios25!R692-ff_factors!$E692</f>
        <v>3.0993E-2</v>
      </c>
      <c r="S692" s="2">
        <f>ff_portfolios25!S692-ff_factors!$E692</f>
        <v>7.6793E-2</v>
      </c>
      <c r="T692" s="2">
        <f>ff_portfolios25!T692-ff_factors!$E692</f>
        <v>7.8067999999999999E-2</v>
      </c>
      <c r="U692" s="2">
        <f>ff_portfolios25!U692-ff_factors!$E692</f>
        <v>5.4426000000000002E-2</v>
      </c>
      <c r="V692" s="2">
        <f>ff_portfolios25!V692-ff_factors!$E692</f>
        <v>5.3705000000000003E-2</v>
      </c>
      <c r="W692" s="2">
        <f>ff_portfolios25!W692-ff_factors!$E692</f>
        <v>5.7756999999999996E-2</v>
      </c>
      <c r="X692" s="2">
        <f>ff_portfolios25!X692-ff_factors!$E692</f>
        <v>0.108567</v>
      </c>
      <c r="Y692" s="2">
        <f>ff_portfolios25!Y692-ff_factors!$E692</f>
        <v>8.893899999999999E-2</v>
      </c>
      <c r="Z692" s="2">
        <f>ff_portfolios25!Z692-ff_factors!$E692</f>
        <v>6.2210999999999995E-2</v>
      </c>
      <c r="AA692" s="2">
        <f>ff_portfolios25!AA692-ff_factors!$E692</f>
        <v>6.8291999999999992E-2</v>
      </c>
      <c r="AB692" s="2">
        <f>ff_portfolios25!AB692-ff_factors!$E692</f>
        <v>5.9819000000000004E-2</v>
      </c>
    </row>
    <row r="693" spans="1:28" x14ac:dyDescent="0.2">
      <c r="A693">
        <v>19890831</v>
      </c>
      <c r="B693">
        <v>1989</v>
      </c>
      <c r="C693">
        <v>8</v>
      </c>
      <c r="D693" s="2">
        <f>ff_portfolios25!D693-ff_factors!$E693</f>
        <v>1.4315999999999999E-2</v>
      </c>
      <c r="E693" s="2">
        <f>ff_portfolios25!E693-ff_factors!$E693</f>
        <v>-9.9010000000000001E-3</v>
      </c>
      <c r="F693" s="2">
        <f>ff_portfolios25!F693-ff_factors!$E693</f>
        <v>7.1899999999999915E-4</v>
      </c>
      <c r="G693" s="2">
        <f>ff_portfolios25!G693-ff_factors!$E693</f>
        <v>2.0399E-2</v>
      </c>
      <c r="H693" s="2">
        <f>ff_portfolios25!H693-ff_factors!$E693</f>
        <v>7.5560000000000002E-3</v>
      </c>
      <c r="I693" s="2">
        <f>ff_portfolios25!I693-ff_factors!$E693</f>
        <v>2.9250000000000002E-2</v>
      </c>
      <c r="J693" s="2">
        <f>ff_portfolios25!J693-ff_factors!$E693</f>
        <v>2.0631E-2</v>
      </c>
      <c r="K693" s="2">
        <f>ff_portfolios25!K693-ff_factors!$E693</f>
        <v>2.3573E-2</v>
      </c>
      <c r="L693" s="2">
        <f>ff_portfolios25!L693-ff_factors!$E693</f>
        <v>2.7815000000000003E-2</v>
      </c>
      <c r="M693" s="2">
        <f>ff_portfolios25!M693-ff_factors!$E693</f>
        <v>2.0128E-2</v>
      </c>
      <c r="N693" s="2">
        <f>ff_portfolios25!N693-ff_factors!$E693</f>
        <v>1.9321999999999999E-2</v>
      </c>
      <c r="O693" s="2">
        <f>ff_portfolios25!O693-ff_factors!$E693</f>
        <v>2.2577E-2</v>
      </c>
      <c r="P693" s="2">
        <f>ff_portfolios25!P693-ff_factors!$E693</f>
        <v>4.3146000000000004E-2</v>
      </c>
      <c r="Q693" s="2">
        <f>ff_portfolios25!Q693-ff_factors!$E693</f>
        <v>2.4749999999999998E-2</v>
      </c>
      <c r="R693" s="2">
        <f>ff_portfolios25!R693-ff_factors!$E693</f>
        <v>9.9039999999999996E-3</v>
      </c>
      <c r="S693" s="2">
        <f>ff_portfolios25!S693-ff_factors!$E693</f>
        <v>2.8906999999999999E-2</v>
      </c>
      <c r="T693" s="2">
        <f>ff_portfolios25!T693-ff_factors!$E693</f>
        <v>3.1492000000000006E-2</v>
      </c>
      <c r="U693" s="2">
        <f>ff_portfolios25!U693-ff_factors!$E693</f>
        <v>2.3477000000000001E-2</v>
      </c>
      <c r="V693" s="2">
        <f>ff_portfolios25!V693-ff_factors!$E693</f>
        <v>3.0025E-2</v>
      </c>
      <c r="W693" s="2">
        <f>ff_portfolios25!W693-ff_factors!$E693</f>
        <v>6.1759999999999992E-3</v>
      </c>
      <c r="X693" s="2">
        <f>ff_portfolios25!X693-ff_factors!$E693</f>
        <v>-8.549000000000001E-3</v>
      </c>
      <c r="Y693" s="2">
        <f>ff_portfolios25!Y693-ff_factors!$E693</f>
        <v>1.5678999999999998E-2</v>
      </c>
      <c r="Z693" s="2">
        <f>ff_portfolios25!Z693-ff_factors!$E693</f>
        <v>2.2081E-2</v>
      </c>
      <c r="AA693" s="2">
        <f>ff_portfolios25!AA693-ff_factors!$E693</f>
        <v>1.1869000000000001E-2</v>
      </c>
      <c r="AB693" s="2">
        <f>ff_portfolios25!AB693-ff_factors!$E693</f>
        <v>2.0514000000000001E-2</v>
      </c>
    </row>
    <row r="694" spans="1:28" x14ac:dyDescent="0.2">
      <c r="A694">
        <v>19890929</v>
      </c>
      <c r="B694">
        <v>1989</v>
      </c>
      <c r="C694">
        <v>9</v>
      </c>
      <c r="D694" s="2">
        <f>ff_portfolios25!D694-ff_factors!$E694</f>
        <v>5.8809999999999999E-3</v>
      </c>
      <c r="E694" s="2">
        <f>ff_portfolios25!E694-ff_factors!$E694</f>
        <v>-1.0907999999999999E-2</v>
      </c>
      <c r="F694" s="2">
        <f>ff_portfolios25!F694-ff_factors!$E694</f>
        <v>-1.1646999999999999E-2</v>
      </c>
      <c r="G694" s="2">
        <f>ff_portfolios25!G694-ff_factors!$E694</f>
        <v>-1.3199999999999931E-4</v>
      </c>
      <c r="H694" s="2">
        <f>ff_portfolios25!H694-ff_factors!$E694</f>
        <v>-9.6279999999999994E-3</v>
      </c>
      <c r="I694" s="2">
        <f>ff_portfolios25!I694-ff_factors!$E694</f>
        <v>1.6727000000000002E-2</v>
      </c>
      <c r="J694" s="2">
        <f>ff_portfolios25!J694-ff_factors!$E694</f>
        <v>-8.0529999999999994E-3</v>
      </c>
      <c r="K694" s="2">
        <f>ff_portfolios25!K694-ff_factors!$E694</f>
        <v>1.9440000000000004E-3</v>
      </c>
      <c r="L694" s="2">
        <f>ff_portfolios25!L694-ff_factors!$E694</f>
        <v>8.7499999999999991E-4</v>
      </c>
      <c r="M694" s="2">
        <f>ff_portfolios25!M694-ff_factors!$E694</f>
        <v>-1.7347999999999999E-2</v>
      </c>
      <c r="N694" s="2">
        <f>ff_portfolios25!N694-ff_factors!$E694</f>
        <v>7.5370000000000012E-3</v>
      </c>
      <c r="O694" s="2">
        <f>ff_portfolios25!O694-ff_factors!$E694</f>
        <v>-1.8721999999999999E-2</v>
      </c>
      <c r="P694" s="2">
        <f>ff_portfolios25!P694-ff_factors!$E694</f>
        <v>-2.0579E-2</v>
      </c>
      <c r="Q694" s="2">
        <f>ff_portfolios25!Q694-ff_factors!$E694</f>
        <v>-8.3039999999999989E-3</v>
      </c>
      <c r="R694" s="2">
        <f>ff_portfolios25!R694-ff_factors!$E694</f>
        <v>-1.8630000000000001E-2</v>
      </c>
      <c r="S694" s="2">
        <f>ff_portfolios25!S694-ff_factors!$E694</f>
        <v>-4.6629999999999996E-3</v>
      </c>
      <c r="T694" s="2">
        <f>ff_portfolios25!T694-ff_factors!$E694</f>
        <v>-3.4904999999999999E-2</v>
      </c>
      <c r="U694" s="2">
        <f>ff_portfolios25!U694-ff_factors!$E694</f>
        <v>-3.8393999999999998E-2</v>
      </c>
      <c r="V694" s="2">
        <f>ff_portfolios25!V694-ff_factors!$E694</f>
        <v>-1.6142E-2</v>
      </c>
      <c r="W694" s="2">
        <f>ff_portfolios25!W694-ff_factors!$E694</f>
        <v>-8.7499999999999991E-4</v>
      </c>
      <c r="X694" s="2">
        <f>ff_portfolios25!X694-ff_factors!$E694</f>
        <v>5.0660000000000002E-3</v>
      </c>
      <c r="Y694" s="2">
        <f>ff_portfolios25!Y694-ff_factors!$E694</f>
        <v>-1.5293999999999999E-2</v>
      </c>
      <c r="Z694" s="2">
        <f>ff_portfolios25!Z694-ff_factors!$E694</f>
        <v>-4.4709999999999993E-3</v>
      </c>
      <c r="AA694" s="2">
        <f>ff_portfolios25!AA694-ff_factors!$E694</f>
        <v>4.9599999999999991E-4</v>
      </c>
      <c r="AB694" s="2">
        <f>ff_portfolios25!AB694-ff_factors!$E694</f>
        <v>-1.0163E-2</v>
      </c>
    </row>
    <row r="695" spans="1:28" x14ac:dyDescent="0.2">
      <c r="A695">
        <v>19891031</v>
      </c>
      <c r="B695">
        <v>1989</v>
      </c>
      <c r="C695">
        <v>10</v>
      </c>
      <c r="D695" s="2">
        <f>ff_portfolios25!D695-ff_factors!$E695</f>
        <v>-5.8215000000000003E-2</v>
      </c>
      <c r="E695" s="2">
        <f>ff_portfolios25!E695-ff_factors!$E695</f>
        <v>-6.3471E-2</v>
      </c>
      <c r="F695" s="2">
        <f>ff_portfolios25!F695-ff_factors!$E695</f>
        <v>-5.4889E-2</v>
      </c>
      <c r="G695" s="2">
        <f>ff_portfolios25!G695-ff_factors!$E695</f>
        <v>-4.9605000000000003E-2</v>
      </c>
      <c r="H695" s="2">
        <f>ff_portfolios25!H695-ff_factors!$E695</f>
        <v>-7.4624999999999997E-2</v>
      </c>
      <c r="I695" s="2">
        <f>ff_portfolios25!I695-ff_factors!$E695</f>
        <v>-5.5864999999999998E-2</v>
      </c>
      <c r="J695" s="2">
        <f>ff_portfolios25!J695-ff_factors!$E695</f>
        <v>-7.8155000000000002E-2</v>
      </c>
      <c r="K695" s="2">
        <f>ff_portfolios25!K695-ff_factors!$E695</f>
        <v>-5.5905000000000003E-2</v>
      </c>
      <c r="L695" s="2">
        <f>ff_portfolios25!L695-ff_factors!$E695</f>
        <v>-6.3176999999999997E-2</v>
      </c>
      <c r="M695" s="2">
        <f>ff_portfolios25!M695-ff_factors!$E695</f>
        <v>-8.6163000000000003E-2</v>
      </c>
      <c r="N695" s="2">
        <f>ff_portfolios25!N695-ff_factors!$E695</f>
        <v>-4.8064000000000003E-2</v>
      </c>
      <c r="O695" s="2">
        <f>ff_portfolios25!O695-ff_factors!$E695</f>
        <v>-6.6077999999999998E-2</v>
      </c>
      <c r="P695" s="2">
        <f>ff_portfolios25!P695-ff_factors!$E695</f>
        <v>-6.9341E-2</v>
      </c>
      <c r="Q695" s="2">
        <f>ff_portfolios25!Q695-ff_factors!$E695</f>
        <v>-5.7674999999999997E-2</v>
      </c>
      <c r="R695" s="2">
        <f>ff_portfolios25!R695-ff_factors!$E695</f>
        <v>-5.525E-2</v>
      </c>
      <c r="S695" s="2">
        <f>ff_portfolios25!S695-ff_factors!$E695</f>
        <v>-3.6302000000000001E-2</v>
      </c>
      <c r="T695" s="2">
        <f>ff_portfolios25!T695-ff_factors!$E695</f>
        <v>-4.2382000000000003E-2</v>
      </c>
      <c r="U695" s="2">
        <f>ff_portfolios25!U695-ff_factors!$E695</f>
        <v>-8.3889000000000005E-2</v>
      </c>
      <c r="V695" s="2">
        <f>ff_portfolios25!V695-ff_factors!$E695</f>
        <v>-3.6346999999999997E-2</v>
      </c>
      <c r="W695" s="2">
        <f>ff_portfolios25!W695-ff_factors!$E695</f>
        <v>-5.2013999999999998E-2</v>
      </c>
      <c r="X695" s="2">
        <f>ff_portfolios25!X695-ff_factors!$E695</f>
        <v>-5.4729999999999996E-3</v>
      </c>
      <c r="Y695" s="2">
        <f>ff_portfolios25!Y695-ff_factors!$E695</f>
        <v>-4.1958000000000002E-2</v>
      </c>
      <c r="Z695" s="2">
        <f>ff_portfolios25!Z695-ff_factors!$E695</f>
        <v>-3.5081000000000001E-2</v>
      </c>
      <c r="AA695" s="2">
        <f>ff_portfolios25!AA695-ff_factors!$E695</f>
        <v>-3.8574999999999998E-2</v>
      </c>
      <c r="AB695" s="2">
        <f>ff_portfolios25!AB695-ff_factors!$E695</f>
        <v>-7.5049999999999995E-3</v>
      </c>
    </row>
    <row r="696" spans="1:28" x14ac:dyDescent="0.2">
      <c r="A696">
        <v>19891130</v>
      </c>
      <c r="B696">
        <v>1989</v>
      </c>
      <c r="C696">
        <v>11</v>
      </c>
      <c r="D696" s="2">
        <f>ff_portfolios25!D696-ff_factors!$E696</f>
        <v>-1.3972999999999999E-2</v>
      </c>
      <c r="E696" s="2">
        <f>ff_portfolios25!E696-ff_factors!$E696</f>
        <v>-4.7959999999999999E-3</v>
      </c>
      <c r="F696" s="2">
        <f>ff_portfolios25!F696-ff_factors!$E696</f>
        <v>-1.3868999999999999E-2</v>
      </c>
      <c r="G696" s="2">
        <f>ff_portfolios25!G696-ff_factors!$E696</f>
        <v>-7.1040000000000001E-3</v>
      </c>
      <c r="H696" s="2">
        <f>ff_portfolios25!H696-ff_factors!$E696</f>
        <v>-1.9748000000000002E-2</v>
      </c>
      <c r="I696" s="2">
        <f>ff_portfolios25!I696-ff_factors!$E696</f>
        <v>-3.8890000000000001E-3</v>
      </c>
      <c r="J696" s="2">
        <f>ff_portfolios25!J696-ff_factors!$E696</f>
        <v>9.953E-3</v>
      </c>
      <c r="K696" s="2">
        <f>ff_portfolios25!K696-ff_factors!$E696</f>
        <v>-4.0799999999999951E-4</v>
      </c>
      <c r="L696" s="2">
        <f>ff_portfolios25!L696-ff_factors!$E696</f>
        <v>8.1110000000000002E-3</v>
      </c>
      <c r="M696" s="2">
        <f>ff_portfolios25!M696-ff_factors!$E696</f>
        <v>-1.5931000000000001E-2</v>
      </c>
      <c r="N696" s="2">
        <f>ff_portfolios25!N696-ff_factors!$E696</f>
        <v>9.8069999999999997E-3</v>
      </c>
      <c r="O696" s="2">
        <f>ff_portfolios25!O696-ff_factors!$E696</f>
        <v>1.0051000000000001E-2</v>
      </c>
      <c r="P696" s="2">
        <f>ff_portfolios25!P696-ff_factors!$E696</f>
        <v>-6.8329999999999997E-3</v>
      </c>
      <c r="Q696" s="2">
        <f>ff_portfolios25!Q696-ff_factors!$E696</f>
        <v>8.6500000000000032E-4</v>
      </c>
      <c r="R696" s="2">
        <f>ff_portfolios25!R696-ff_factors!$E696</f>
        <v>1.5303000000000001E-2</v>
      </c>
      <c r="S696" s="2">
        <f>ff_portfolios25!S696-ff_factors!$E696</f>
        <v>1.3909000000000001E-2</v>
      </c>
      <c r="T696" s="2">
        <f>ff_portfolios25!T696-ff_factors!$E696</f>
        <v>1.5421000000000001E-2</v>
      </c>
      <c r="U696" s="2">
        <f>ff_portfolios25!U696-ff_factors!$E696</f>
        <v>-1.8149999999999998E-3</v>
      </c>
      <c r="V696" s="2">
        <f>ff_portfolios25!V696-ff_factors!$E696</f>
        <v>-2.7270000000000003E-3</v>
      </c>
      <c r="W696" s="2">
        <f>ff_portfolios25!W696-ff_factors!$E696</f>
        <v>1.739000000000001E-3</v>
      </c>
      <c r="X696" s="2">
        <f>ff_portfolios25!X696-ff_factors!$E696</f>
        <v>1.2799999999999999E-2</v>
      </c>
      <c r="Y696" s="2">
        <f>ff_portfolios25!Y696-ff_factors!$E696</f>
        <v>1.6844999999999999E-2</v>
      </c>
      <c r="Z696" s="2">
        <f>ff_portfolios25!Z696-ff_factors!$E696</f>
        <v>1.9747000000000001E-2</v>
      </c>
      <c r="AA696" s="2">
        <f>ff_portfolios25!AA696-ff_factors!$E696</f>
        <v>6.0529999999999994E-3</v>
      </c>
      <c r="AB696" s="2">
        <f>ff_portfolios25!AB696-ff_factors!$E696</f>
        <v>3.6660000000000009E-3</v>
      </c>
    </row>
    <row r="697" spans="1:28" x14ac:dyDescent="0.2">
      <c r="A697">
        <v>19891229</v>
      </c>
      <c r="B697">
        <v>1989</v>
      </c>
      <c r="C697">
        <v>12</v>
      </c>
      <c r="D697" s="2">
        <f>ff_portfolios25!D697-ff_factors!$E697</f>
        <v>-1.3891000000000001E-2</v>
      </c>
      <c r="E697" s="2">
        <f>ff_portfolios25!E697-ff_factors!$E697</f>
        <v>-1.4567E-2</v>
      </c>
      <c r="F697" s="2">
        <f>ff_portfolios25!F697-ff_factors!$E697</f>
        <v>-1.6452999999999999E-2</v>
      </c>
      <c r="G697" s="2">
        <f>ff_portfolios25!G697-ff_factors!$E697</f>
        <v>-1.4398000000000001E-2</v>
      </c>
      <c r="H697" s="2">
        <f>ff_portfolios25!H697-ff_factors!$E697</f>
        <v>-2.2569000000000002E-2</v>
      </c>
      <c r="I697" s="2">
        <f>ff_portfolios25!I697-ff_factors!$E697</f>
        <v>7.2059999999999997E-3</v>
      </c>
      <c r="J697" s="2">
        <f>ff_portfolios25!J697-ff_factors!$E697</f>
        <v>-9.0870000000000013E-3</v>
      </c>
      <c r="K697" s="2">
        <f>ff_portfolios25!K697-ff_factors!$E697</f>
        <v>6.089999999999993E-4</v>
      </c>
      <c r="L697" s="2">
        <f>ff_portfolios25!L697-ff_factors!$E697</f>
        <v>3.0229999999999988E-3</v>
      </c>
      <c r="M697" s="2">
        <f>ff_portfolios25!M697-ff_factors!$E697</f>
        <v>-2.7020000000000004E-3</v>
      </c>
      <c r="N697" s="2">
        <f>ff_portfolios25!N697-ff_factors!$E697</f>
        <v>-6.6680000000000003E-3</v>
      </c>
      <c r="O697" s="2">
        <f>ff_portfolios25!O697-ff_factors!$E697</f>
        <v>5.5799999999999947E-4</v>
      </c>
      <c r="P697" s="2">
        <f>ff_portfolios25!P697-ff_factors!$E697</f>
        <v>-1.9687E-2</v>
      </c>
      <c r="Q697" s="2">
        <f>ff_portfolios25!Q697-ff_factors!$E697</f>
        <v>1.1108999999999997E-2</v>
      </c>
      <c r="R697" s="2">
        <f>ff_portfolios25!R697-ff_factors!$E697</f>
        <v>-1.2085E-2</v>
      </c>
      <c r="S697" s="2">
        <f>ff_portfolios25!S697-ff_factors!$E697</f>
        <v>2.0666999999999998E-2</v>
      </c>
      <c r="T697" s="2">
        <f>ff_portfolios25!T697-ff_factors!$E697</f>
        <v>1.4893E-2</v>
      </c>
      <c r="U697" s="2">
        <f>ff_portfolios25!U697-ff_factors!$E697</f>
        <v>7.6269999999999992E-3</v>
      </c>
      <c r="V697" s="2">
        <f>ff_portfolios25!V697-ff_factors!$E697</f>
        <v>9.0979999999999984E-3</v>
      </c>
      <c r="W697" s="2">
        <f>ff_portfolios25!W697-ff_factors!$E697</f>
        <v>1.6628E-2</v>
      </c>
      <c r="X697" s="2">
        <f>ff_portfolios25!X697-ff_factors!$E697</f>
        <v>7.8299999999999984E-4</v>
      </c>
      <c r="Y697" s="2">
        <f>ff_portfolios25!Y697-ff_factors!$E697</f>
        <v>3.6549999999999994E-3</v>
      </c>
      <c r="Z697" s="2">
        <f>ff_portfolios25!Z697-ff_factors!$E697</f>
        <v>3.8849999999999996E-2</v>
      </c>
      <c r="AA697" s="2">
        <f>ff_portfolios25!AA697-ff_factors!$E697</f>
        <v>4.3310000000000001E-2</v>
      </c>
      <c r="AB697" s="2">
        <f>ff_portfolios25!AB697-ff_factors!$E697</f>
        <v>4.4409999999999996E-3</v>
      </c>
    </row>
    <row r="698" spans="1:28" x14ac:dyDescent="0.2">
      <c r="A698">
        <v>19900131</v>
      </c>
      <c r="B698">
        <v>1990</v>
      </c>
      <c r="C698">
        <v>1</v>
      </c>
      <c r="D698" s="2">
        <f>ff_portfolios25!D698-ff_factors!$E698</f>
        <v>-8.8584999999999997E-2</v>
      </c>
      <c r="E698" s="2">
        <f>ff_portfolios25!E698-ff_factors!$E698</f>
        <v>-8.0337999999999993E-2</v>
      </c>
      <c r="F698" s="2">
        <f>ff_portfolios25!F698-ff_factors!$E698</f>
        <v>-5.3140000000000007E-2</v>
      </c>
      <c r="G698" s="2">
        <f>ff_portfolios25!G698-ff_factors!$E698</f>
        <v>-7.5150999999999996E-2</v>
      </c>
      <c r="H698" s="2">
        <f>ff_portfolios25!H698-ff_factors!$E698</f>
        <v>-6.6364000000000006E-2</v>
      </c>
      <c r="I698" s="2">
        <f>ff_portfolios25!I698-ff_factors!$E698</f>
        <v>-0.10174</v>
      </c>
      <c r="J698" s="2">
        <f>ff_portfolios25!J698-ff_factors!$E698</f>
        <v>-9.9117999999999998E-2</v>
      </c>
      <c r="K698" s="2">
        <f>ff_portfolios25!K698-ff_factors!$E698</f>
        <v>-7.9828999999999997E-2</v>
      </c>
      <c r="L698" s="2">
        <f>ff_portfolios25!L698-ff_factors!$E698</f>
        <v>-8.5289999999999991E-2</v>
      </c>
      <c r="M698" s="2">
        <f>ff_portfolios25!M698-ff_factors!$E698</f>
        <v>-9.7326999999999997E-2</v>
      </c>
      <c r="N698" s="2">
        <f>ff_portfolios25!N698-ff_factors!$E698</f>
        <v>-0.10092799999999999</v>
      </c>
      <c r="O698" s="2">
        <f>ff_portfolios25!O698-ff_factors!$E698</f>
        <v>-9.518299999999999E-2</v>
      </c>
      <c r="P698" s="2">
        <f>ff_portfolios25!P698-ff_factors!$E698</f>
        <v>-8.0399999999999999E-2</v>
      </c>
      <c r="Q698" s="2">
        <f>ff_portfolios25!Q698-ff_factors!$E698</f>
        <v>-7.7875E-2</v>
      </c>
      <c r="R698" s="2">
        <f>ff_portfolios25!R698-ff_factors!$E698</f>
        <v>-8.2332000000000002E-2</v>
      </c>
      <c r="S698" s="2">
        <f>ff_portfolios25!S698-ff_factors!$E698</f>
        <v>-7.5455999999999995E-2</v>
      </c>
      <c r="T698" s="2">
        <f>ff_portfolios25!T698-ff_factors!$E698</f>
        <v>-6.4921999999999994E-2</v>
      </c>
      <c r="U698" s="2">
        <f>ff_portfolios25!U698-ff_factors!$E698</f>
        <v>-8.3401000000000003E-2</v>
      </c>
      <c r="V698" s="2">
        <f>ff_portfolios25!V698-ff_factors!$E698</f>
        <v>-9.620999999999999E-2</v>
      </c>
      <c r="W698" s="2">
        <f>ff_portfolios25!W698-ff_factors!$E698</f>
        <v>-0.10493</v>
      </c>
      <c r="X698" s="2">
        <f>ff_portfolios25!X698-ff_factors!$E698</f>
        <v>-8.1754999999999994E-2</v>
      </c>
      <c r="Y698" s="2">
        <f>ff_portfolios25!Y698-ff_factors!$E698</f>
        <v>-6.3496999999999998E-2</v>
      </c>
      <c r="Z698" s="2">
        <f>ff_portfolios25!Z698-ff_factors!$E698</f>
        <v>-7.6377E-2</v>
      </c>
      <c r="AA698" s="2">
        <f>ff_portfolios25!AA698-ff_factors!$E698</f>
        <v>-7.8240999999999991E-2</v>
      </c>
      <c r="AB698" s="2">
        <f>ff_portfolios25!AB698-ff_factors!$E698</f>
        <v>-6.3551999999999997E-2</v>
      </c>
    </row>
    <row r="699" spans="1:28" x14ac:dyDescent="0.2">
      <c r="A699">
        <v>19900228</v>
      </c>
      <c r="B699">
        <v>1990</v>
      </c>
      <c r="C699">
        <v>2</v>
      </c>
      <c r="D699" s="2">
        <f>ff_portfolios25!D699-ff_factors!$E699</f>
        <v>1.4453000000000001E-2</v>
      </c>
      <c r="E699" s="2">
        <f>ff_portfolios25!E699-ff_factors!$E699</f>
        <v>1.5120000000000001E-2</v>
      </c>
      <c r="F699" s="2">
        <f>ff_portfolios25!F699-ff_factors!$E699</f>
        <v>5.1240000000000001E-3</v>
      </c>
      <c r="G699" s="2">
        <f>ff_portfolios25!G699-ff_factors!$E699</f>
        <v>2.8884999999999997E-2</v>
      </c>
      <c r="H699" s="2">
        <f>ff_portfolios25!H699-ff_factors!$E699</f>
        <v>9.783E-3</v>
      </c>
      <c r="I699" s="2">
        <f>ff_portfolios25!I699-ff_factors!$E699</f>
        <v>2.8286000000000002E-2</v>
      </c>
      <c r="J699" s="2">
        <f>ff_portfolios25!J699-ff_factors!$E699</f>
        <v>3.1021999999999997E-2</v>
      </c>
      <c r="K699" s="2">
        <f>ff_portfolios25!K699-ff_factors!$E699</f>
        <v>2.4247000000000001E-2</v>
      </c>
      <c r="L699" s="2">
        <f>ff_portfolios25!L699-ff_factors!$E699</f>
        <v>2.9877999999999998E-2</v>
      </c>
      <c r="M699" s="2">
        <f>ff_portfolios25!M699-ff_factors!$E699</f>
        <v>1.8186999999999998E-2</v>
      </c>
      <c r="N699" s="2">
        <f>ff_portfolios25!N699-ff_factors!$E699</f>
        <v>2.6663000000000003E-2</v>
      </c>
      <c r="O699" s="2">
        <f>ff_portfolios25!O699-ff_factors!$E699</f>
        <v>2.8153000000000001E-2</v>
      </c>
      <c r="P699" s="2">
        <f>ff_portfolios25!P699-ff_factors!$E699</f>
        <v>1.3999999999999999E-2</v>
      </c>
      <c r="Q699" s="2">
        <f>ff_portfolios25!Q699-ff_factors!$E699</f>
        <v>7.901E-3</v>
      </c>
      <c r="R699" s="2">
        <f>ff_portfolios25!R699-ff_factors!$E699</f>
        <v>2.2883999999999998E-2</v>
      </c>
      <c r="S699" s="2">
        <f>ff_portfolios25!S699-ff_factors!$E699</f>
        <v>1.0867999999999999E-2</v>
      </c>
      <c r="T699" s="2">
        <f>ff_portfolios25!T699-ff_factors!$E699</f>
        <v>8.2799999999999992E-3</v>
      </c>
      <c r="U699" s="2">
        <f>ff_portfolios25!U699-ff_factors!$E699</f>
        <v>9.7509999999999993E-3</v>
      </c>
      <c r="V699" s="2">
        <f>ff_portfolios25!V699-ff_factors!$E699</f>
        <v>9.9750000000000012E-3</v>
      </c>
      <c r="W699" s="2">
        <f>ff_portfolios25!W699-ff_factors!$E699</f>
        <v>2.9332E-2</v>
      </c>
      <c r="X699" s="2">
        <f>ff_portfolios25!X699-ff_factors!$E699</f>
        <v>-6.8060000000000004E-3</v>
      </c>
      <c r="Y699" s="2">
        <f>ff_portfolios25!Y699-ff_factors!$E699</f>
        <v>1.2714E-2</v>
      </c>
      <c r="Z699" s="2">
        <f>ff_portfolios25!Z699-ff_factors!$E699</f>
        <v>1.9039E-2</v>
      </c>
      <c r="AA699" s="2">
        <f>ff_portfolios25!AA699-ff_factors!$E699</f>
        <v>8.0879999999999997E-3</v>
      </c>
      <c r="AB699" s="2">
        <f>ff_portfolios25!AB699-ff_factors!$E699</f>
        <v>1.4342000000000001E-2</v>
      </c>
    </row>
    <row r="700" spans="1:28" x14ac:dyDescent="0.2">
      <c r="A700">
        <v>19900330</v>
      </c>
      <c r="B700">
        <v>1990</v>
      </c>
      <c r="C700">
        <v>3</v>
      </c>
      <c r="D700" s="2">
        <f>ff_portfolios25!D700-ff_factors!$E700</f>
        <v>3.7760999999999996E-2</v>
      </c>
      <c r="E700" s="2">
        <f>ff_portfolios25!E700-ff_factors!$E700</f>
        <v>2.0232E-2</v>
      </c>
      <c r="F700" s="2">
        <f>ff_portfolios25!F700-ff_factors!$E700</f>
        <v>1.7615000000000002E-2</v>
      </c>
      <c r="G700" s="2">
        <f>ff_portfolios25!G700-ff_factors!$E700</f>
        <v>3.0849999999999999E-2</v>
      </c>
      <c r="H700" s="2">
        <f>ff_portfolios25!H700-ff_factors!$E700</f>
        <v>7.6899999999999998E-3</v>
      </c>
      <c r="I700" s="2">
        <f>ff_portfolios25!I700-ff_factors!$E700</f>
        <v>4.2698999999999994E-2</v>
      </c>
      <c r="J700" s="2">
        <f>ff_portfolios25!J700-ff_factors!$E700</f>
        <v>3.8272E-2</v>
      </c>
      <c r="K700" s="2">
        <f>ff_portfolios25!K700-ff_factors!$E700</f>
        <v>4.1762000000000001E-2</v>
      </c>
      <c r="L700" s="2">
        <f>ff_portfolios25!L700-ff_factors!$E700</f>
        <v>2.4500000000000001E-2</v>
      </c>
      <c r="M700" s="2">
        <f>ff_portfolios25!M700-ff_factors!$E700</f>
        <v>9.5149999999999992E-3</v>
      </c>
      <c r="N700" s="2">
        <f>ff_portfolios25!N700-ff_factors!$E700</f>
        <v>4.7715E-2</v>
      </c>
      <c r="O700" s="2">
        <f>ff_portfolios25!O700-ff_factors!$E700</f>
        <v>2.0219000000000001E-2</v>
      </c>
      <c r="P700" s="2">
        <f>ff_portfolios25!P700-ff_factors!$E700</f>
        <v>2.1219000000000002E-2</v>
      </c>
      <c r="Q700" s="2">
        <f>ff_portfolios25!Q700-ff_factors!$E700</f>
        <v>7.9889999999999996E-3</v>
      </c>
      <c r="R700" s="2">
        <f>ff_portfolios25!R700-ff_factors!$E700</f>
        <v>-1.1449000000000001E-2</v>
      </c>
      <c r="S700" s="2">
        <f>ff_portfolios25!S700-ff_factors!$E700</f>
        <v>3.2228999999999994E-2</v>
      </c>
      <c r="T700" s="2">
        <f>ff_portfolios25!T700-ff_factors!$E700</f>
        <v>3.1937E-2</v>
      </c>
      <c r="U700" s="2">
        <f>ff_portfolios25!U700-ff_factors!$E700</f>
        <v>1.1906E-2</v>
      </c>
      <c r="V700" s="2">
        <f>ff_portfolios25!V700-ff_factors!$E700</f>
        <v>1.4912999999999999E-2</v>
      </c>
      <c r="W700" s="2">
        <f>ff_portfolios25!W700-ff_factors!$E700</f>
        <v>-9.9059999999999999E-3</v>
      </c>
      <c r="X700" s="2">
        <f>ff_portfolios25!X700-ff_factors!$E700</f>
        <v>3.3052999999999999E-2</v>
      </c>
      <c r="Y700" s="2">
        <f>ff_portfolios25!Y700-ff_factors!$E700</f>
        <v>3.2104999999999995E-2</v>
      </c>
      <c r="Z700" s="2">
        <f>ff_portfolios25!Z700-ff_factors!$E700</f>
        <v>-4.6800000000000001E-3</v>
      </c>
      <c r="AA700" s="2">
        <f>ff_portfolios25!AA700-ff_factors!$E700</f>
        <v>1.2599999999999938E-4</v>
      </c>
      <c r="AB700" s="2">
        <f>ff_portfolios25!AB700-ff_factors!$E700</f>
        <v>4.006E-3</v>
      </c>
    </row>
    <row r="701" spans="1:28" x14ac:dyDescent="0.2">
      <c r="A701">
        <v>19900430</v>
      </c>
      <c r="B701">
        <v>1990</v>
      </c>
      <c r="C701">
        <v>4</v>
      </c>
      <c r="D701" s="2">
        <f>ff_portfolios25!D701-ff_factors!$E701</f>
        <v>-3.2350000000000004E-2</v>
      </c>
      <c r="E701" s="2">
        <f>ff_portfolios25!E701-ff_factors!$E701</f>
        <v>-3.0796E-2</v>
      </c>
      <c r="F701" s="2">
        <f>ff_portfolios25!F701-ff_factors!$E701</f>
        <v>-2.4015999999999999E-2</v>
      </c>
      <c r="G701" s="2">
        <f>ff_portfolios25!G701-ff_factors!$E701</f>
        <v>-3.1691999999999998E-2</v>
      </c>
      <c r="H701" s="2">
        <f>ff_portfolios25!H701-ff_factors!$E701</f>
        <v>-4.2207999999999996E-2</v>
      </c>
      <c r="I701" s="2">
        <f>ff_portfolios25!I701-ff_factors!$E701</f>
        <v>-4.7505000000000006E-2</v>
      </c>
      <c r="J701" s="2">
        <f>ff_portfolios25!J701-ff_factors!$E701</f>
        <v>-4.2591000000000004E-2</v>
      </c>
      <c r="K701" s="2">
        <f>ff_portfolios25!K701-ff_factors!$E701</f>
        <v>-2.7078999999999999E-2</v>
      </c>
      <c r="L701" s="2">
        <f>ff_portfolios25!L701-ff_factors!$E701</f>
        <v>-3.5882999999999998E-2</v>
      </c>
      <c r="M701" s="2">
        <f>ff_portfolios25!M701-ff_factors!$E701</f>
        <v>-6.3580999999999999E-2</v>
      </c>
      <c r="N701" s="2">
        <f>ff_portfolios25!N701-ff_factors!$E701</f>
        <v>-3.1459000000000001E-2</v>
      </c>
      <c r="O701" s="2">
        <f>ff_portfolios25!O701-ff_factors!$E701</f>
        <v>-2.7233E-2</v>
      </c>
      <c r="P701" s="2">
        <f>ff_portfolios25!P701-ff_factors!$E701</f>
        <v>-4.0573999999999999E-2</v>
      </c>
      <c r="Q701" s="2">
        <f>ff_portfolios25!Q701-ff_factors!$E701</f>
        <v>-6.3508999999999996E-2</v>
      </c>
      <c r="R701" s="2">
        <f>ff_portfolios25!R701-ff_factors!$E701</f>
        <v>-6.3420000000000004E-2</v>
      </c>
      <c r="S701" s="2">
        <f>ff_portfolios25!S701-ff_factors!$E701</f>
        <v>-3.6028999999999999E-2</v>
      </c>
      <c r="T701" s="2">
        <f>ff_portfolios25!T701-ff_factors!$E701</f>
        <v>-4.7926999999999997E-2</v>
      </c>
      <c r="U701" s="2">
        <f>ff_portfolios25!U701-ff_factors!$E701</f>
        <v>-6.9897000000000001E-2</v>
      </c>
      <c r="V701" s="2">
        <f>ff_portfolios25!V701-ff_factors!$E701</f>
        <v>-5.9286000000000005E-2</v>
      </c>
      <c r="W701" s="2">
        <f>ff_portfolios25!W701-ff_factors!$E701</f>
        <v>-6.7244999999999999E-2</v>
      </c>
      <c r="X701" s="2">
        <f>ff_portfolios25!X701-ff_factors!$E701</f>
        <v>-2.2269999999999998E-3</v>
      </c>
      <c r="Y701" s="2">
        <f>ff_portfolios25!Y701-ff_factors!$E701</f>
        <v>-2.0218E-2</v>
      </c>
      <c r="Z701" s="2">
        <f>ff_portfolios25!Z701-ff_factors!$E701</f>
        <v>-4.5470999999999998E-2</v>
      </c>
      <c r="AA701" s="2">
        <f>ff_portfolios25!AA701-ff_factors!$E701</f>
        <v>-4.8027E-2</v>
      </c>
      <c r="AB701" s="2">
        <f>ff_portfolios25!AB701-ff_factors!$E701</f>
        <v>-4.9074999999999994E-2</v>
      </c>
    </row>
    <row r="702" spans="1:28" x14ac:dyDescent="0.2">
      <c r="A702">
        <v>19900531</v>
      </c>
      <c r="B702">
        <v>1990</v>
      </c>
      <c r="C702">
        <v>5</v>
      </c>
      <c r="D702" s="2">
        <f>ff_portfolios25!D702-ff_factors!$E702</f>
        <v>7.3899999999999993E-2</v>
      </c>
      <c r="E702" s="2">
        <f>ff_portfolios25!E702-ff_factors!$E702</f>
        <v>5.7051000000000004E-2</v>
      </c>
      <c r="F702" s="2">
        <f>ff_portfolios25!F702-ff_factors!$E702</f>
        <v>5.1832999999999997E-2</v>
      </c>
      <c r="G702" s="2">
        <f>ff_portfolios25!G702-ff_factors!$E702</f>
        <v>3.6082000000000003E-2</v>
      </c>
      <c r="H702" s="2">
        <f>ff_portfolios25!H702-ff_factors!$E702</f>
        <v>2.7431999999999998E-2</v>
      </c>
      <c r="I702" s="2">
        <f>ff_portfolios25!I702-ff_factors!$E702</f>
        <v>0.100552</v>
      </c>
      <c r="J702" s="2">
        <f>ff_portfolios25!J702-ff_factors!$E702</f>
        <v>7.8020000000000006E-2</v>
      </c>
      <c r="K702" s="2">
        <f>ff_portfolios25!K702-ff_factors!$E702</f>
        <v>5.1195999999999998E-2</v>
      </c>
      <c r="L702" s="2">
        <f>ff_portfolios25!L702-ff_factors!$E702</f>
        <v>4.6801999999999996E-2</v>
      </c>
      <c r="M702" s="2">
        <f>ff_portfolios25!M702-ff_factors!$E702</f>
        <v>3.0414999999999998E-2</v>
      </c>
      <c r="N702" s="2">
        <f>ff_portfolios25!N702-ff_factors!$E702</f>
        <v>8.5538000000000003E-2</v>
      </c>
      <c r="O702" s="2">
        <f>ff_portfolios25!O702-ff_factors!$E702</f>
        <v>8.0656999999999993E-2</v>
      </c>
      <c r="P702" s="2">
        <f>ff_portfolios25!P702-ff_factors!$E702</f>
        <v>6.4154000000000003E-2</v>
      </c>
      <c r="Q702" s="2">
        <f>ff_portfolios25!Q702-ff_factors!$E702</f>
        <v>4.3296000000000001E-2</v>
      </c>
      <c r="R702" s="2">
        <f>ff_portfolios25!R702-ff_factors!$E702</f>
        <v>5.8123999999999995E-2</v>
      </c>
      <c r="S702" s="2">
        <f>ff_portfolios25!S702-ff_factors!$E702</f>
        <v>0.10247099999999999</v>
      </c>
      <c r="T702" s="2">
        <f>ff_portfolios25!T702-ff_factors!$E702</f>
        <v>7.8956999999999999E-2</v>
      </c>
      <c r="U702" s="2">
        <f>ff_portfolios25!U702-ff_factors!$E702</f>
        <v>9.6462999999999993E-2</v>
      </c>
      <c r="V702" s="2">
        <f>ff_portfolios25!V702-ff_factors!$E702</f>
        <v>6.5805000000000002E-2</v>
      </c>
      <c r="W702" s="2">
        <f>ff_portfolios25!W702-ff_factors!$E702</f>
        <v>7.6414999999999997E-2</v>
      </c>
      <c r="X702" s="2">
        <f>ff_portfolios25!X702-ff_factors!$E702</f>
        <v>0.10910300000000001</v>
      </c>
      <c r="Y702" s="2">
        <f>ff_portfolios25!Y702-ff_factors!$E702</f>
        <v>0.102642</v>
      </c>
      <c r="Z702" s="2">
        <f>ff_portfolios25!Z702-ff_factors!$E702</f>
        <v>6.8657999999999997E-2</v>
      </c>
      <c r="AA702" s="2">
        <f>ff_portfolios25!AA702-ff_factors!$E702</f>
        <v>5.7136999999999993E-2</v>
      </c>
      <c r="AB702" s="2">
        <f>ff_portfolios25!AB702-ff_factors!$E702</f>
        <v>7.1955000000000005E-2</v>
      </c>
    </row>
    <row r="703" spans="1:28" x14ac:dyDescent="0.2">
      <c r="A703">
        <v>19900629</v>
      </c>
      <c r="B703">
        <v>1990</v>
      </c>
      <c r="C703">
        <v>6</v>
      </c>
      <c r="D703" s="2">
        <f>ff_portfolios25!D703-ff_factors!$E703</f>
        <v>4.9879999999999994E-3</v>
      </c>
      <c r="E703" s="2">
        <f>ff_portfolios25!E703-ff_factors!$E703</f>
        <v>2.0431000000000001E-2</v>
      </c>
      <c r="F703" s="2">
        <f>ff_portfolios25!F703-ff_factors!$E703</f>
        <v>1.6976000000000002E-2</v>
      </c>
      <c r="G703" s="2">
        <f>ff_portfolios25!G703-ff_factors!$E703</f>
        <v>-1.5809999999999999E-3</v>
      </c>
      <c r="H703" s="2">
        <f>ff_portfolios25!H703-ff_factors!$E703</f>
        <v>-8.3379999999999999E-3</v>
      </c>
      <c r="I703" s="2">
        <f>ff_portfolios25!I703-ff_factors!$E703</f>
        <v>-4.8939999999999999E-3</v>
      </c>
      <c r="J703" s="2">
        <f>ff_portfolios25!J703-ff_factors!$E703</f>
        <v>2.9440000000000004E-3</v>
      </c>
      <c r="K703" s="2">
        <f>ff_portfolios25!K703-ff_factors!$E703</f>
        <v>-1.7474999999999997E-2</v>
      </c>
      <c r="L703" s="2">
        <f>ff_portfolios25!L703-ff_factors!$E703</f>
        <v>-5.4210000000000005E-3</v>
      </c>
      <c r="M703" s="2">
        <f>ff_portfolios25!M703-ff_factors!$E703</f>
        <v>-1.2742E-2</v>
      </c>
      <c r="N703" s="2">
        <f>ff_portfolios25!N703-ff_factors!$E703</f>
        <v>1.4527999999999999E-2</v>
      </c>
      <c r="O703" s="2">
        <f>ff_portfolios25!O703-ff_factors!$E703</f>
        <v>-1.380000000000001E-4</v>
      </c>
      <c r="P703" s="2">
        <f>ff_portfolios25!P703-ff_factors!$E703</f>
        <v>-9.3010000000000002E-3</v>
      </c>
      <c r="Q703" s="2">
        <f>ff_portfolios25!Q703-ff_factors!$E703</f>
        <v>-2.5721999999999998E-2</v>
      </c>
      <c r="R703" s="2">
        <f>ff_portfolios25!R703-ff_factors!$E703</f>
        <v>-8.149E-3</v>
      </c>
      <c r="S703" s="2">
        <f>ff_portfolios25!S703-ff_factors!$E703</f>
        <v>-3.081E-3</v>
      </c>
      <c r="T703" s="2">
        <f>ff_portfolios25!T703-ff_factors!$E703</f>
        <v>-2.4905E-2</v>
      </c>
      <c r="U703" s="2">
        <f>ff_portfolios25!U703-ff_factors!$E703</f>
        <v>-2.5760000000000002E-2</v>
      </c>
      <c r="V703" s="2">
        <f>ff_portfolios25!V703-ff_factors!$E703</f>
        <v>-2.5139000000000002E-2</v>
      </c>
      <c r="W703" s="2">
        <f>ff_portfolios25!W703-ff_factors!$E703</f>
        <v>-5.9680000000000002E-3</v>
      </c>
      <c r="X703" s="2">
        <f>ff_portfolios25!X703-ff_factors!$E703</f>
        <v>2.7822E-2</v>
      </c>
      <c r="Y703" s="2">
        <f>ff_portfolios25!Y703-ff_factors!$E703</f>
        <v>-2.7608000000000001E-2</v>
      </c>
      <c r="Z703" s="2">
        <f>ff_portfolios25!Z703-ff_factors!$E703</f>
        <v>-2.9693000000000001E-2</v>
      </c>
      <c r="AA703" s="2">
        <f>ff_portfolios25!AA703-ff_factors!$E703</f>
        <v>-4.0791000000000001E-2</v>
      </c>
      <c r="AB703" s="2">
        <f>ff_portfolios25!AB703-ff_factors!$E703</f>
        <v>-8.483000000000001E-3</v>
      </c>
    </row>
    <row r="704" spans="1:28" x14ac:dyDescent="0.2">
      <c r="A704">
        <v>19900731</v>
      </c>
      <c r="B704">
        <v>1990</v>
      </c>
      <c r="C704">
        <v>7</v>
      </c>
      <c r="D704" s="2">
        <f>ff_portfolios25!D704-ff_factors!$E704</f>
        <v>-5.3308000000000001E-2</v>
      </c>
      <c r="E704" s="2">
        <f>ff_portfolios25!E704-ff_factors!$E704</f>
        <v>-5.7422000000000001E-2</v>
      </c>
      <c r="F704" s="2">
        <f>ff_portfolios25!F704-ff_factors!$E704</f>
        <v>-3.7385000000000002E-2</v>
      </c>
      <c r="G704" s="2">
        <f>ff_portfolios25!G704-ff_factors!$E704</f>
        <v>-3.8223E-2</v>
      </c>
      <c r="H704" s="2">
        <f>ff_portfolios25!H704-ff_factors!$E704</f>
        <v>-5.2788000000000002E-2</v>
      </c>
      <c r="I704" s="2">
        <f>ff_portfolios25!I704-ff_factors!$E704</f>
        <v>-5.9392E-2</v>
      </c>
      <c r="J704" s="2">
        <f>ff_portfolios25!J704-ff_factors!$E704</f>
        <v>-5.1145999999999997E-2</v>
      </c>
      <c r="K704" s="2">
        <f>ff_portfolios25!K704-ff_factors!$E704</f>
        <v>-5.1312999999999998E-2</v>
      </c>
      <c r="L704" s="2">
        <f>ff_portfolios25!L704-ff_factors!$E704</f>
        <v>-2.9863000000000001E-2</v>
      </c>
      <c r="M704" s="2">
        <f>ff_portfolios25!M704-ff_factors!$E704</f>
        <v>-4.8743000000000002E-2</v>
      </c>
      <c r="N704" s="2">
        <f>ff_portfolios25!N704-ff_factors!$E704</f>
        <v>-5.1327999999999999E-2</v>
      </c>
      <c r="O704" s="2">
        <f>ff_portfolios25!O704-ff_factors!$E704</f>
        <v>-2.3082999999999999E-2</v>
      </c>
      <c r="P704" s="2">
        <f>ff_portfolios25!P704-ff_factors!$E704</f>
        <v>-4.0958000000000001E-2</v>
      </c>
      <c r="Q704" s="2">
        <f>ff_portfolios25!Q704-ff_factors!$E704</f>
        <v>-5.3901999999999999E-2</v>
      </c>
      <c r="R704" s="2">
        <f>ff_portfolios25!R704-ff_factors!$E704</f>
        <v>-5.4572000000000002E-2</v>
      </c>
      <c r="S704" s="2">
        <f>ff_portfolios25!S704-ff_factors!$E704</f>
        <v>-2.7581999999999999E-2</v>
      </c>
      <c r="T704" s="2">
        <f>ff_portfolios25!T704-ff_factors!$E704</f>
        <v>-2.4782000000000002E-2</v>
      </c>
      <c r="U704" s="2">
        <f>ff_portfolios25!U704-ff_factors!$E704</f>
        <v>-4.1576000000000002E-2</v>
      </c>
      <c r="V704" s="2">
        <f>ff_portfolios25!V704-ff_factors!$E704</f>
        <v>-3.0334E-2</v>
      </c>
      <c r="W704" s="2">
        <f>ff_portfolios25!W704-ff_factors!$E704</f>
        <v>-2.6997E-2</v>
      </c>
      <c r="X704" s="2">
        <f>ff_portfolios25!X704-ff_factors!$E704</f>
        <v>-1.6355999999999999E-2</v>
      </c>
      <c r="Y704" s="2">
        <f>ff_portfolios25!Y704-ff_factors!$E704</f>
        <v>-1.9144000000000001E-2</v>
      </c>
      <c r="Z704" s="2">
        <f>ff_portfolios25!Z704-ff_factors!$E704</f>
        <v>1.5435999999999998E-2</v>
      </c>
      <c r="AA704" s="2">
        <f>ff_portfolios25!AA704-ff_factors!$E704</f>
        <v>-1.9776999999999999E-2</v>
      </c>
      <c r="AB704" s="2">
        <f>ff_portfolios25!AB704-ff_factors!$E704</f>
        <v>-2.7120999999999999E-2</v>
      </c>
    </row>
    <row r="705" spans="1:28" x14ac:dyDescent="0.2">
      <c r="A705">
        <v>19900831</v>
      </c>
      <c r="B705">
        <v>1990</v>
      </c>
      <c r="C705">
        <v>8</v>
      </c>
      <c r="D705" s="2">
        <f>ff_portfolios25!D705-ff_factors!$E705</f>
        <v>-0.17282</v>
      </c>
      <c r="E705" s="2">
        <f>ff_portfolios25!E705-ff_factors!$E705</f>
        <v>-0.15027699999999999</v>
      </c>
      <c r="F705" s="2">
        <f>ff_portfolios25!F705-ff_factors!$E705</f>
        <v>-0.130106</v>
      </c>
      <c r="G705" s="2">
        <f>ff_portfolios25!G705-ff_factors!$E705</f>
        <v>-0.117838</v>
      </c>
      <c r="H705" s="2">
        <f>ff_portfolios25!H705-ff_factors!$E705</f>
        <v>-0.13067200000000001</v>
      </c>
      <c r="I705" s="2">
        <f>ff_portfolios25!I705-ff_factors!$E705</f>
        <v>-0.15240799999999999</v>
      </c>
      <c r="J705" s="2">
        <f>ff_portfolios25!J705-ff_factors!$E705</f>
        <v>-0.14316599999999999</v>
      </c>
      <c r="K705" s="2">
        <f>ff_portfolios25!K705-ff_factors!$E705</f>
        <v>-0.13001799999999999</v>
      </c>
      <c r="L705" s="2">
        <f>ff_portfolios25!L705-ff_factors!$E705</f>
        <v>-0.113355</v>
      </c>
      <c r="M705" s="2">
        <f>ff_portfolios25!M705-ff_factors!$E705</f>
        <v>-0.120558</v>
      </c>
      <c r="N705" s="2">
        <f>ff_portfolios25!N705-ff_factors!$E705</f>
        <v>-0.145894</v>
      </c>
      <c r="O705" s="2">
        <f>ff_portfolios25!O705-ff_factors!$E705</f>
        <v>-0.14185200000000001</v>
      </c>
      <c r="P705" s="2">
        <f>ff_portfolios25!P705-ff_factors!$E705</f>
        <v>-0.117476</v>
      </c>
      <c r="Q705" s="2">
        <f>ff_portfolios25!Q705-ff_factors!$E705</f>
        <v>-9.5179E-2</v>
      </c>
      <c r="R705" s="2">
        <f>ff_portfolios25!R705-ff_factors!$E705</f>
        <v>-0.10753499999999999</v>
      </c>
      <c r="S705" s="2">
        <f>ff_portfolios25!S705-ff_factors!$E705</f>
        <v>-0.10481</v>
      </c>
      <c r="T705" s="2">
        <f>ff_portfolios25!T705-ff_factors!$E705</f>
        <v>-0.122263</v>
      </c>
      <c r="U705" s="2">
        <f>ff_portfolios25!U705-ff_factors!$E705</f>
        <v>-0.11265499999999999</v>
      </c>
      <c r="V705" s="2">
        <f>ff_portfolios25!V705-ff_factors!$E705</f>
        <v>-9.7931999999999991E-2</v>
      </c>
      <c r="W705" s="2">
        <f>ff_portfolios25!W705-ff_factors!$E705</f>
        <v>-0.10661799999999999</v>
      </c>
      <c r="X705" s="2">
        <f>ff_portfolios25!X705-ff_factors!$E705</f>
        <v>-9.2208999999999999E-2</v>
      </c>
      <c r="Y705" s="2">
        <f>ff_portfolios25!Y705-ff_factors!$E705</f>
        <v>-0.10880899999999999</v>
      </c>
      <c r="Z705" s="2">
        <f>ff_portfolios25!Z705-ff_factors!$E705</f>
        <v>-7.238399999999999E-2</v>
      </c>
      <c r="AA705" s="2">
        <f>ff_portfolios25!AA705-ff_factors!$E705</f>
        <v>-0.10129099999999999</v>
      </c>
      <c r="AB705" s="2">
        <f>ff_portfolios25!AB705-ff_factors!$E705</f>
        <v>-0.11244699999999999</v>
      </c>
    </row>
    <row r="706" spans="1:28" x14ac:dyDescent="0.2">
      <c r="A706">
        <v>19900928</v>
      </c>
      <c r="B706">
        <v>1990</v>
      </c>
      <c r="C706">
        <v>9</v>
      </c>
      <c r="D706" s="2">
        <f>ff_portfolios25!D706-ff_factors!$E706</f>
        <v>-0.11203200000000001</v>
      </c>
      <c r="E706" s="2">
        <f>ff_portfolios25!E706-ff_factors!$E706</f>
        <v>-9.9729999999999999E-2</v>
      </c>
      <c r="F706" s="2">
        <f>ff_portfolios25!F706-ff_factors!$E706</f>
        <v>-8.4129000000000009E-2</v>
      </c>
      <c r="G706" s="2">
        <f>ff_portfolios25!G706-ff_factors!$E706</f>
        <v>-7.6386000000000009E-2</v>
      </c>
      <c r="H706" s="2">
        <f>ff_portfolios25!H706-ff_factors!$E706</f>
        <v>-9.407900000000001E-2</v>
      </c>
      <c r="I706" s="2">
        <f>ff_portfolios25!I706-ff_factors!$E706</f>
        <v>-0.10767400000000001</v>
      </c>
      <c r="J706" s="2">
        <f>ff_portfolios25!J706-ff_factors!$E706</f>
        <v>-0.102871</v>
      </c>
      <c r="K706" s="2">
        <f>ff_portfolios25!K706-ff_factors!$E706</f>
        <v>-9.1197E-2</v>
      </c>
      <c r="L706" s="2">
        <f>ff_portfolios25!L706-ff_factors!$E706</f>
        <v>-7.430500000000001E-2</v>
      </c>
      <c r="M706" s="2">
        <f>ff_portfolios25!M706-ff_factors!$E706</f>
        <v>-8.4353999999999998E-2</v>
      </c>
      <c r="N706" s="2">
        <f>ff_portfolios25!N706-ff_factors!$E706</f>
        <v>-9.9909999999999999E-2</v>
      </c>
      <c r="O706" s="2">
        <f>ff_portfolios25!O706-ff_factors!$E706</f>
        <v>-7.5137000000000009E-2</v>
      </c>
      <c r="P706" s="2">
        <f>ff_portfolios25!P706-ff_factors!$E706</f>
        <v>-7.143300000000001E-2</v>
      </c>
      <c r="Q706" s="2">
        <f>ff_portfolios25!Q706-ff_factors!$E706</f>
        <v>-8.6441000000000004E-2</v>
      </c>
      <c r="R706" s="2">
        <f>ff_portfolios25!R706-ff_factors!$E706</f>
        <v>-8.9556000000000011E-2</v>
      </c>
      <c r="S706" s="2">
        <f>ff_portfolios25!S706-ff_factors!$E706</f>
        <v>-6.3785999999999995E-2</v>
      </c>
      <c r="T706" s="2">
        <f>ff_portfolios25!T706-ff_factors!$E706</f>
        <v>-7.0710000000000009E-2</v>
      </c>
      <c r="U706" s="2">
        <f>ff_portfolios25!U706-ff_factors!$E706</f>
        <v>-0.10463500000000001</v>
      </c>
      <c r="V706" s="2">
        <f>ff_portfolios25!V706-ff_factors!$E706</f>
        <v>-7.5381000000000004E-2</v>
      </c>
      <c r="W706" s="2">
        <f>ff_portfolios25!W706-ff_factors!$E706</f>
        <v>-7.6147000000000006E-2</v>
      </c>
      <c r="X706" s="2">
        <f>ff_portfolios25!X706-ff_factors!$E706</f>
        <v>-5.7428E-2</v>
      </c>
      <c r="Y706" s="2">
        <f>ff_portfolios25!Y706-ff_factors!$E706</f>
        <v>-5.8388999999999996E-2</v>
      </c>
      <c r="Z706" s="2">
        <f>ff_portfolios25!Z706-ff_factors!$E706</f>
        <v>-2.0312E-2</v>
      </c>
      <c r="AA706" s="2">
        <f>ff_portfolios25!AA706-ff_factors!$E706</f>
        <v>-7.2207000000000007E-2</v>
      </c>
      <c r="AB706" s="2">
        <f>ff_portfolios25!AB706-ff_factors!$E706</f>
        <v>-8.0121999999999999E-2</v>
      </c>
    </row>
    <row r="707" spans="1:28" x14ac:dyDescent="0.2">
      <c r="A707">
        <v>19901031</v>
      </c>
      <c r="B707">
        <v>1990</v>
      </c>
      <c r="C707">
        <v>10</v>
      </c>
      <c r="D707" s="2">
        <f>ff_portfolios25!D707-ff_factors!$E707</f>
        <v>-7.0864999999999997E-2</v>
      </c>
      <c r="E707" s="2">
        <f>ff_portfolios25!E707-ff_factors!$E707</f>
        <v>-6.7588999999999996E-2</v>
      </c>
      <c r="F707" s="2">
        <f>ff_portfolios25!F707-ff_factors!$E707</f>
        <v>-7.3660000000000003E-2</v>
      </c>
      <c r="G707" s="2">
        <f>ff_portfolios25!G707-ff_factors!$E707</f>
        <v>-6.2009000000000002E-2</v>
      </c>
      <c r="H707" s="2">
        <f>ff_portfolios25!H707-ff_factors!$E707</f>
        <v>-7.9374E-2</v>
      </c>
      <c r="I707" s="2">
        <f>ff_portfolios25!I707-ff_factors!$E707</f>
        <v>-6.9950999999999999E-2</v>
      </c>
      <c r="J707" s="2">
        <f>ff_portfolios25!J707-ff_factors!$E707</f>
        <v>-6.1681E-2</v>
      </c>
      <c r="K707" s="2">
        <f>ff_portfolios25!K707-ff_factors!$E707</f>
        <v>-4.9224000000000004E-2</v>
      </c>
      <c r="L707" s="2">
        <f>ff_portfolios25!L707-ff_factors!$E707</f>
        <v>-5.0541000000000003E-2</v>
      </c>
      <c r="M707" s="2">
        <f>ff_portfolios25!M707-ff_factors!$E707</f>
        <v>-8.2715999999999998E-2</v>
      </c>
      <c r="N707" s="2">
        <f>ff_portfolios25!N707-ff_factors!$E707</f>
        <v>-5.4224000000000001E-2</v>
      </c>
      <c r="O707" s="2">
        <f>ff_portfolios25!O707-ff_factors!$E707</f>
        <v>-5.6591000000000002E-2</v>
      </c>
      <c r="P707" s="2">
        <f>ff_portfolios25!P707-ff_factors!$E707</f>
        <v>-4.7392999999999998E-2</v>
      </c>
      <c r="Q707" s="2">
        <f>ff_portfolios25!Q707-ff_factors!$E707</f>
        <v>-3.7490999999999997E-2</v>
      </c>
      <c r="R707" s="2">
        <f>ff_portfolios25!R707-ff_factors!$E707</f>
        <v>-5.1255000000000002E-2</v>
      </c>
      <c r="S707" s="2">
        <f>ff_portfolios25!S707-ff_factors!$E707</f>
        <v>-1.5866999999999999E-2</v>
      </c>
      <c r="T707" s="2">
        <f>ff_portfolios25!T707-ff_factors!$E707</f>
        <v>-3.9137999999999999E-2</v>
      </c>
      <c r="U707" s="2">
        <f>ff_portfolios25!U707-ff_factors!$E707</f>
        <v>-8.1863000000000005E-2</v>
      </c>
      <c r="V707" s="2">
        <f>ff_portfolios25!V707-ff_factors!$E707</f>
        <v>-2.5534000000000001E-2</v>
      </c>
      <c r="W707" s="2">
        <f>ff_portfolios25!W707-ff_factors!$E707</f>
        <v>-1.9425999999999999E-2</v>
      </c>
      <c r="X707" s="2">
        <f>ff_portfolios25!X707-ff_factors!$E707</f>
        <v>9.3050000000000008E-3</v>
      </c>
      <c r="Y707" s="2">
        <f>ff_portfolios25!Y707-ff_factors!$E707</f>
        <v>-2.5144E-2</v>
      </c>
      <c r="Z707" s="2">
        <f>ff_portfolios25!Z707-ff_factors!$E707</f>
        <v>-1.6167000000000001E-2</v>
      </c>
      <c r="AA707" s="2">
        <f>ff_portfolios25!AA707-ff_factors!$E707</f>
        <v>6.9100000000000064E-4</v>
      </c>
      <c r="AB707" s="2">
        <f>ff_portfolios25!AB707-ff_factors!$E707</f>
        <v>2.6170000000000004E-3</v>
      </c>
    </row>
    <row r="708" spans="1:28" x14ac:dyDescent="0.2">
      <c r="A708">
        <v>19901130</v>
      </c>
      <c r="B708">
        <v>1990</v>
      </c>
      <c r="C708">
        <v>11</v>
      </c>
      <c r="D708" s="2">
        <f>ff_portfolios25!D708-ff_factors!$E708</f>
        <v>3.0854999999999997E-2</v>
      </c>
      <c r="E708" s="2">
        <f>ff_portfolios25!E708-ff_factors!$E708</f>
        <v>4.2265999999999998E-2</v>
      </c>
      <c r="F708" s="2">
        <f>ff_portfolios25!F708-ff_factors!$E708</f>
        <v>3.9699999999999999E-2</v>
      </c>
      <c r="G708" s="2">
        <f>ff_portfolios25!G708-ff_factors!$E708</f>
        <v>1.8634999999999999E-2</v>
      </c>
      <c r="H708" s="2">
        <f>ff_portfolios25!H708-ff_factors!$E708</f>
        <v>6.1250000000000002E-3</v>
      </c>
      <c r="I708" s="2">
        <f>ff_portfolios25!I708-ff_factors!$E708</f>
        <v>0.114646</v>
      </c>
      <c r="J708" s="2">
        <f>ff_portfolios25!J708-ff_factors!$E708</f>
        <v>5.3060999999999997E-2</v>
      </c>
      <c r="K708" s="2">
        <f>ff_portfolios25!K708-ff_factors!$E708</f>
        <v>6.4395000000000008E-2</v>
      </c>
      <c r="L708" s="2">
        <f>ff_portfolios25!L708-ff_factors!$E708</f>
        <v>6.3514000000000001E-2</v>
      </c>
      <c r="M708" s="2">
        <f>ff_portfolios25!M708-ff_factors!$E708</f>
        <v>3.6627999999999994E-2</v>
      </c>
      <c r="N708" s="2">
        <f>ff_portfolios25!N708-ff_factors!$E708</f>
        <v>0.10489</v>
      </c>
      <c r="O708" s="2">
        <f>ff_portfolios25!O708-ff_factors!$E708</f>
        <v>9.0254000000000001E-2</v>
      </c>
      <c r="P708" s="2">
        <f>ff_portfolios25!P708-ff_factors!$E708</f>
        <v>6.8503000000000008E-2</v>
      </c>
      <c r="Q708" s="2">
        <f>ff_portfolios25!Q708-ff_factors!$E708</f>
        <v>6.9901000000000005E-2</v>
      </c>
      <c r="R708" s="2">
        <f>ff_portfolios25!R708-ff_factors!$E708</f>
        <v>7.0644999999999999E-2</v>
      </c>
      <c r="S708" s="2">
        <f>ff_portfolios25!S708-ff_factors!$E708</f>
        <v>8.6252000000000009E-2</v>
      </c>
      <c r="T708" s="2">
        <f>ff_portfolios25!T708-ff_factors!$E708</f>
        <v>7.4617000000000003E-2</v>
      </c>
      <c r="U708" s="2">
        <f>ff_portfolios25!U708-ff_factors!$E708</f>
        <v>0.10573500000000001</v>
      </c>
      <c r="V708" s="2">
        <f>ff_portfolios25!V708-ff_factors!$E708</f>
        <v>8.5218000000000002E-2</v>
      </c>
      <c r="W708" s="2">
        <f>ff_portfolios25!W708-ff_factors!$E708</f>
        <v>5.4676000000000002E-2</v>
      </c>
      <c r="X708" s="2">
        <f>ff_portfolios25!X708-ff_factors!$E708</f>
        <v>5.8644000000000002E-2</v>
      </c>
      <c r="Y708" s="2">
        <f>ff_portfolios25!Y708-ff_factors!$E708</f>
        <v>7.1536000000000002E-2</v>
      </c>
      <c r="Z708" s="2">
        <f>ff_portfolios25!Z708-ff_factors!$E708</f>
        <v>5.2634E-2</v>
      </c>
      <c r="AA708" s="2">
        <f>ff_portfolios25!AA708-ff_factors!$E708</f>
        <v>5.5579000000000003E-2</v>
      </c>
      <c r="AB708" s="2">
        <f>ff_portfolios25!AB708-ff_factors!$E708</f>
        <v>3.7763000000000005E-2</v>
      </c>
    </row>
    <row r="709" spans="1:28" x14ac:dyDescent="0.2">
      <c r="A709">
        <v>19901231</v>
      </c>
      <c r="B709">
        <v>1990</v>
      </c>
      <c r="C709">
        <v>12</v>
      </c>
      <c r="D709" s="2">
        <f>ff_portfolios25!D709-ff_factors!$E709</f>
        <v>-3.5510000000000003E-3</v>
      </c>
      <c r="E709" s="2">
        <f>ff_portfolios25!E709-ff_factors!$E709</f>
        <v>-8.6920000000000001E-3</v>
      </c>
      <c r="F709" s="2">
        <f>ff_portfolios25!F709-ff_factors!$E709</f>
        <v>-5.8400000000000032E-4</v>
      </c>
      <c r="G709" s="2">
        <f>ff_portfolios25!G709-ff_factors!$E709</f>
        <v>1.5364999999999998E-2</v>
      </c>
      <c r="H709" s="2">
        <f>ff_portfolios25!H709-ff_factors!$E709</f>
        <v>-5.0749999999999997E-3</v>
      </c>
      <c r="I709" s="2">
        <f>ff_portfolios25!I709-ff_factors!$E709</f>
        <v>3.7296000000000003E-2</v>
      </c>
      <c r="J709" s="2">
        <f>ff_portfolios25!J709-ff_factors!$E709</f>
        <v>4.7566999999999998E-2</v>
      </c>
      <c r="K709" s="2">
        <f>ff_portfolios25!K709-ff_factors!$E709</f>
        <v>3.6799999999999999E-2</v>
      </c>
      <c r="L709" s="2">
        <f>ff_portfolios25!L709-ff_factors!$E709</f>
        <v>3.5908000000000002E-2</v>
      </c>
      <c r="M709" s="2">
        <f>ff_portfolios25!M709-ff_factors!$E709</f>
        <v>4.0145E-2</v>
      </c>
      <c r="N709" s="2">
        <f>ff_portfolios25!N709-ff_factors!$E709</f>
        <v>6.0350000000000008E-2</v>
      </c>
      <c r="O709" s="2">
        <f>ff_portfolios25!O709-ff_factors!$E709</f>
        <v>3.5288E-2</v>
      </c>
      <c r="P709" s="2">
        <f>ff_portfolios25!P709-ff_factors!$E709</f>
        <v>3.2279000000000002E-2</v>
      </c>
      <c r="Q709" s="2">
        <f>ff_portfolios25!Q709-ff_factors!$E709</f>
        <v>3.0713999999999998E-2</v>
      </c>
      <c r="R709" s="2">
        <f>ff_portfolios25!R709-ff_factors!$E709</f>
        <v>2.2925000000000001E-2</v>
      </c>
      <c r="S709" s="2">
        <f>ff_portfolios25!S709-ff_factors!$E709</f>
        <v>3.4786999999999998E-2</v>
      </c>
      <c r="T709" s="2">
        <f>ff_portfolios25!T709-ff_factors!$E709</f>
        <v>3.5129000000000001E-2</v>
      </c>
      <c r="U709" s="2">
        <f>ff_portfolios25!U709-ff_factors!$E709</f>
        <v>3.9007E-2</v>
      </c>
      <c r="V709" s="2">
        <f>ff_portfolios25!V709-ff_factors!$E709</f>
        <v>3.5902000000000003E-2</v>
      </c>
      <c r="W709" s="2">
        <f>ff_portfolios25!W709-ff_factors!$E709</f>
        <v>3.0116000000000004E-2</v>
      </c>
      <c r="X709" s="2">
        <f>ff_portfolios25!X709-ff_factors!$E709</f>
        <v>2.6416000000000002E-2</v>
      </c>
      <c r="Y709" s="2">
        <f>ff_portfolios25!Y709-ff_factors!$E709</f>
        <v>3.1837000000000004E-2</v>
      </c>
      <c r="Z709" s="2">
        <f>ff_portfolios25!Z709-ff_factors!$E709</f>
        <v>9.9569999999999988E-3</v>
      </c>
      <c r="AA709" s="2">
        <f>ff_portfolios25!AA709-ff_factors!$E709</f>
        <v>1.5989999999999997E-2</v>
      </c>
      <c r="AB709" s="2">
        <f>ff_portfolios25!AB709-ff_factors!$E709</f>
        <v>2.0579999999999991E-3</v>
      </c>
    </row>
    <row r="710" spans="1:28" x14ac:dyDescent="0.2">
      <c r="A710">
        <v>19910131</v>
      </c>
      <c r="B710">
        <v>1991</v>
      </c>
      <c r="C710">
        <v>1</v>
      </c>
      <c r="D710" s="2">
        <f>ff_portfolios25!D710-ff_factors!$E710</f>
        <v>7.3023000000000005E-2</v>
      </c>
      <c r="E710" s="2">
        <f>ff_portfolios25!E710-ff_factors!$E710</f>
        <v>6.6338000000000008E-2</v>
      </c>
      <c r="F710" s="2">
        <f>ff_portfolios25!F710-ff_factors!$E710</f>
        <v>9.8857E-2</v>
      </c>
      <c r="G710" s="2">
        <f>ff_portfolios25!G710-ff_factors!$E710</f>
        <v>8.3112000000000005E-2</v>
      </c>
      <c r="H710" s="2">
        <f>ff_portfolios25!H710-ff_factors!$E710</f>
        <v>0.105591</v>
      </c>
      <c r="I710" s="2">
        <f>ff_portfolios25!I710-ff_factors!$E710</f>
        <v>9.6932000000000004E-2</v>
      </c>
      <c r="J710" s="2">
        <f>ff_portfolios25!J710-ff_factors!$E710</f>
        <v>6.3204999999999997E-2</v>
      </c>
      <c r="K710" s="2">
        <f>ff_portfolios25!K710-ff_factors!$E710</f>
        <v>6.750600000000001E-2</v>
      </c>
      <c r="L710" s="2">
        <f>ff_portfolios25!L710-ff_factors!$E710</f>
        <v>6.0402999999999998E-2</v>
      </c>
      <c r="M710" s="2">
        <f>ff_portfolios25!M710-ff_factors!$E710</f>
        <v>8.1045000000000006E-2</v>
      </c>
      <c r="N710" s="2">
        <f>ff_portfolios25!N710-ff_factors!$E710</f>
        <v>8.9054000000000008E-2</v>
      </c>
      <c r="O710" s="2">
        <f>ff_portfolios25!O710-ff_factors!$E710</f>
        <v>8.1879000000000007E-2</v>
      </c>
      <c r="P710" s="2">
        <f>ff_portfolios25!P710-ff_factors!$E710</f>
        <v>6.0902999999999999E-2</v>
      </c>
      <c r="Q710" s="2">
        <f>ff_portfolios25!Q710-ff_factors!$E710</f>
        <v>7.5193999999999997E-2</v>
      </c>
      <c r="R710" s="2">
        <f>ff_portfolios25!R710-ff_factors!$E710</f>
        <v>3.0570000000000003E-2</v>
      </c>
      <c r="S710" s="2">
        <f>ff_portfolios25!S710-ff_factors!$E710</f>
        <v>7.942600000000001E-2</v>
      </c>
      <c r="T710" s="2">
        <f>ff_portfolios25!T710-ff_factors!$E710</f>
        <v>3.4008999999999998E-2</v>
      </c>
      <c r="U710" s="2">
        <f>ff_portfolios25!U710-ff_factors!$E710</f>
        <v>8.0486000000000002E-2</v>
      </c>
      <c r="V710" s="2">
        <f>ff_portfolios25!V710-ff_factors!$E710</f>
        <v>3.6243999999999998E-2</v>
      </c>
      <c r="W710" s="2">
        <f>ff_portfolios25!W710-ff_factors!$E710</f>
        <v>4.8049999999999995E-2</v>
      </c>
      <c r="X710" s="2">
        <f>ff_portfolios25!X710-ff_factors!$E710</f>
        <v>4.6524999999999997E-2</v>
      </c>
      <c r="Y710" s="2">
        <f>ff_portfolios25!Y710-ff_factors!$E710</f>
        <v>5.5871000000000004E-2</v>
      </c>
      <c r="Z710" s="2">
        <f>ff_portfolios25!Z710-ff_factors!$E710</f>
        <v>1.2039000000000001E-2</v>
      </c>
      <c r="AA710" s="2">
        <f>ff_portfolios25!AA710-ff_factors!$E710</f>
        <v>5.3953000000000001E-2</v>
      </c>
      <c r="AB710" s="2">
        <f>ff_portfolios25!AB710-ff_factors!$E710</f>
        <v>3.4406000000000006E-2</v>
      </c>
    </row>
    <row r="711" spans="1:28" x14ac:dyDescent="0.2">
      <c r="A711">
        <v>19910228</v>
      </c>
      <c r="B711">
        <v>1991</v>
      </c>
      <c r="C711">
        <v>2</v>
      </c>
      <c r="D711" s="2">
        <f>ff_portfolios25!D711-ff_factors!$E711</f>
        <v>0.137241</v>
      </c>
      <c r="E711" s="2">
        <f>ff_portfolios25!E711-ff_factors!$E711</f>
        <v>0.118441</v>
      </c>
      <c r="F711" s="2">
        <f>ff_portfolios25!F711-ff_factors!$E711</f>
        <v>0.12694800000000001</v>
      </c>
      <c r="G711" s="2">
        <f>ff_portfolios25!G711-ff_factors!$E711</f>
        <v>0.11742900000000001</v>
      </c>
      <c r="H711" s="2">
        <f>ff_portfolios25!H711-ff_factors!$E711</f>
        <v>0.11659800000000001</v>
      </c>
      <c r="I711" s="2">
        <f>ff_portfolios25!I711-ff_factors!$E711</f>
        <v>0.11544700000000001</v>
      </c>
      <c r="J711" s="2">
        <f>ff_portfolios25!J711-ff_factors!$E711</f>
        <v>9.8837999999999995E-2</v>
      </c>
      <c r="K711" s="2">
        <f>ff_portfolios25!K711-ff_factors!$E711</f>
        <v>9.5498E-2</v>
      </c>
      <c r="L711" s="2">
        <f>ff_portfolios25!L711-ff_factors!$E711</f>
        <v>7.4533000000000002E-2</v>
      </c>
      <c r="M711" s="2">
        <f>ff_portfolios25!M711-ff_factors!$E711</f>
        <v>0.13431100000000001</v>
      </c>
      <c r="N711" s="2">
        <f>ff_portfolios25!N711-ff_factors!$E711</f>
        <v>8.9037000000000005E-2</v>
      </c>
      <c r="O711" s="2">
        <f>ff_portfolios25!O711-ff_factors!$E711</f>
        <v>0.10892</v>
      </c>
      <c r="P711" s="2">
        <f>ff_portfolios25!P711-ff_factors!$E711</f>
        <v>7.4482000000000007E-2</v>
      </c>
      <c r="Q711" s="2">
        <f>ff_portfolios25!Q711-ff_factors!$E711</f>
        <v>8.1615000000000007E-2</v>
      </c>
      <c r="R711" s="2">
        <f>ff_portfolios25!R711-ff_factors!$E711</f>
        <v>8.0617999999999995E-2</v>
      </c>
      <c r="S711" s="2">
        <f>ff_portfolios25!S711-ff_factors!$E711</f>
        <v>8.0697000000000005E-2</v>
      </c>
      <c r="T711" s="2">
        <f>ff_portfolios25!T711-ff_factors!$E711</f>
        <v>8.7387000000000006E-2</v>
      </c>
      <c r="U711" s="2">
        <f>ff_portfolios25!U711-ff_factors!$E711</f>
        <v>8.4589999999999999E-2</v>
      </c>
      <c r="V711" s="2">
        <f>ff_portfolios25!V711-ff_factors!$E711</f>
        <v>7.3728000000000002E-2</v>
      </c>
      <c r="W711" s="2">
        <f>ff_portfolios25!W711-ff_factors!$E711</f>
        <v>5.4378000000000003E-2</v>
      </c>
      <c r="X711" s="2">
        <f>ff_portfolios25!X711-ff_factors!$E711</f>
        <v>7.6199000000000003E-2</v>
      </c>
      <c r="Y711" s="2">
        <f>ff_portfolios25!Y711-ff_factors!$E711</f>
        <v>6.4868999999999996E-2</v>
      </c>
      <c r="Z711" s="2">
        <f>ff_portfolios25!Z711-ff_factors!$E711</f>
        <v>4.7059000000000004E-2</v>
      </c>
      <c r="AA711" s="2">
        <f>ff_portfolios25!AA711-ff_factors!$E711</f>
        <v>5.7017999999999999E-2</v>
      </c>
      <c r="AB711" s="2">
        <f>ff_portfolios25!AB711-ff_factors!$E711</f>
        <v>7.4774000000000007E-2</v>
      </c>
    </row>
    <row r="712" spans="1:28" x14ac:dyDescent="0.2">
      <c r="A712">
        <v>19910328</v>
      </c>
      <c r="B712">
        <v>1991</v>
      </c>
      <c r="C712">
        <v>3</v>
      </c>
      <c r="D712" s="2">
        <f>ff_portfolios25!D712-ff_factors!$E712</f>
        <v>9.8580000000000001E-2</v>
      </c>
      <c r="E712" s="2">
        <f>ff_portfolios25!E712-ff_factors!$E712</f>
        <v>8.1459000000000004E-2</v>
      </c>
      <c r="F712" s="2">
        <f>ff_portfolios25!F712-ff_factors!$E712</f>
        <v>7.4061000000000002E-2</v>
      </c>
      <c r="G712" s="2">
        <f>ff_portfolios25!G712-ff_factors!$E712</f>
        <v>5.8369000000000004E-2</v>
      </c>
      <c r="H712" s="2">
        <f>ff_portfolios25!H712-ff_factors!$E712</f>
        <v>7.3956999999999995E-2</v>
      </c>
      <c r="I712" s="2">
        <f>ff_portfolios25!I712-ff_factors!$E712</f>
        <v>7.2653999999999996E-2</v>
      </c>
      <c r="J712" s="2">
        <f>ff_portfolios25!J712-ff_factors!$E712</f>
        <v>4.7002000000000002E-2</v>
      </c>
      <c r="K712" s="2">
        <f>ff_portfolios25!K712-ff_factors!$E712</f>
        <v>5.0154999999999998E-2</v>
      </c>
      <c r="L712" s="2">
        <f>ff_portfolios25!L712-ff_factors!$E712</f>
        <v>6.1023999999999995E-2</v>
      </c>
      <c r="M712" s="2">
        <f>ff_portfolios25!M712-ff_factors!$E712</f>
        <v>6.1584E-2</v>
      </c>
      <c r="N712" s="2">
        <f>ff_portfolios25!N712-ff_factors!$E712</f>
        <v>7.1485999999999994E-2</v>
      </c>
      <c r="O712" s="2">
        <f>ff_portfolios25!O712-ff_factors!$E712</f>
        <v>2.1356999999999998E-2</v>
      </c>
      <c r="P712" s="2">
        <f>ff_portfolios25!P712-ff_factors!$E712</f>
        <v>1.6820999999999999E-2</v>
      </c>
      <c r="Q712" s="2">
        <f>ff_portfolios25!Q712-ff_factors!$E712</f>
        <v>4.4330999999999995E-2</v>
      </c>
      <c r="R712" s="2">
        <f>ff_portfolios25!R712-ff_factors!$E712</f>
        <v>5.5389000000000001E-2</v>
      </c>
      <c r="S712" s="2">
        <f>ff_portfolios25!S712-ff_factors!$E712</f>
        <v>4.2744999999999998E-2</v>
      </c>
      <c r="T712" s="2">
        <f>ff_portfolios25!T712-ff_factors!$E712</f>
        <v>3.5319999999999997E-2</v>
      </c>
      <c r="U712" s="2">
        <f>ff_portfolios25!U712-ff_factors!$E712</f>
        <v>2.8711E-2</v>
      </c>
      <c r="V712" s="2">
        <f>ff_portfolios25!V712-ff_factors!$E712</f>
        <v>3.4978000000000002E-2</v>
      </c>
      <c r="W712" s="2">
        <f>ff_portfolios25!W712-ff_factors!$E712</f>
        <v>2.5642999999999999E-2</v>
      </c>
      <c r="X712" s="2">
        <f>ff_portfolios25!X712-ff_factors!$E712</f>
        <v>4.086E-2</v>
      </c>
      <c r="Y712" s="2">
        <f>ff_portfolios25!Y712-ff_factors!$E712</f>
        <v>1.4265E-2</v>
      </c>
      <c r="Z712" s="2">
        <f>ff_portfolios25!Z712-ff_factors!$E712</f>
        <v>-2.3230000000000004E-3</v>
      </c>
      <c r="AA712" s="2">
        <f>ff_portfolios25!AA712-ff_factors!$E712</f>
        <v>1.2659E-2</v>
      </c>
      <c r="AB712" s="2">
        <f>ff_portfolios25!AB712-ff_factors!$E712</f>
        <v>7.5269999999999998E-3</v>
      </c>
    </row>
    <row r="713" spans="1:28" x14ac:dyDescent="0.2">
      <c r="A713">
        <v>19910430</v>
      </c>
      <c r="B713">
        <v>1991</v>
      </c>
      <c r="C713">
        <v>4</v>
      </c>
      <c r="D713" s="2">
        <f>ff_portfolios25!D713-ff_factors!$E713</f>
        <v>5.8850000000000005E-3</v>
      </c>
      <c r="E713" s="2">
        <f>ff_portfolios25!E713-ff_factors!$E713</f>
        <v>2.9830000000000004E-3</v>
      </c>
      <c r="F713" s="2">
        <f>ff_portfolios25!F713-ff_factors!$E713</f>
        <v>6.9909999999999998E-3</v>
      </c>
      <c r="G713" s="2">
        <f>ff_portfolios25!G713-ff_factors!$E713</f>
        <v>-3.6299999999999961E-4</v>
      </c>
      <c r="H713" s="2">
        <f>ff_portfolios25!H713-ff_factors!$E713</f>
        <v>3.5799999999999981E-4</v>
      </c>
      <c r="I713" s="2">
        <f>ff_portfolios25!I713-ff_factors!$E713</f>
        <v>-2.0143999999999999E-2</v>
      </c>
      <c r="J713" s="2">
        <f>ff_portfolios25!J713-ff_factors!$E713</f>
        <v>3.9449999999999997E-3</v>
      </c>
      <c r="K713" s="2">
        <f>ff_portfolios25!K713-ff_factors!$E713</f>
        <v>3.5400000000000006E-3</v>
      </c>
      <c r="L713" s="2">
        <f>ff_portfolios25!L713-ff_factors!$E713</f>
        <v>9.892999999999999E-3</v>
      </c>
      <c r="M713" s="2">
        <f>ff_portfolios25!M713-ff_factors!$E713</f>
        <v>9.2360000000000012E-3</v>
      </c>
      <c r="N713" s="2">
        <f>ff_portfolios25!N713-ff_factors!$E713</f>
        <v>-3.2049000000000001E-2</v>
      </c>
      <c r="O713" s="2">
        <f>ff_portfolios25!O713-ff_factors!$E713</f>
        <v>-1.3979999999999999E-2</v>
      </c>
      <c r="P713" s="2">
        <f>ff_portfolios25!P713-ff_factors!$E713</f>
        <v>2.4494999999999999E-2</v>
      </c>
      <c r="Q713" s="2">
        <f>ff_portfolios25!Q713-ff_factors!$E713</f>
        <v>1.7614000000000001E-2</v>
      </c>
      <c r="R713" s="2">
        <f>ff_portfolios25!R713-ff_factors!$E713</f>
        <v>1.174E-2</v>
      </c>
      <c r="S713" s="2">
        <f>ff_portfolios25!S713-ff_factors!$E713</f>
        <v>-1.2312E-2</v>
      </c>
      <c r="T713" s="2">
        <f>ff_portfolios25!T713-ff_factors!$E713</f>
        <v>-3.9369999999999995E-3</v>
      </c>
      <c r="U713" s="2">
        <f>ff_portfolios25!U713-ff_factors!$E713</f>
        <v>3.4581000000000001E-2</v>
      </c>
      <c r="V713" s="2">
        <f>ff_portfolios25!V713-ff_factors!$E713</f>
        <v>1.2650000000000002E-2</v>
      </c>
      <c r="W713" s="2">
        <f>ff_portfolios25!W713-ff_factors!$E713</f>
        <v>-8.6029999999999995E-3</v>
      </c>
      <c r="X713" s="2">
        <f>ff_portfolios25!X713-ff_factors!$E713</f>
        <v>-5.0070000000000002E-3</v>
      </c>
      <c r="Y713" s="2">
        <f>ff_portfolios25!Y713-ff_factors!$E713</f>
        <v>-5.0099999999999997E-3</v>
      </c>
      <c r="Z713" s="2">
        <f>ff_portfolios25!Z713-ff_factors!$E713</f>
        <v>-5.5690000000000002E-3</v>
      </c>
      <c r="AA713" s="2">
        <f>ff_portfolios25!AA713-ff_factors!$E713</f>
        <v>7.8860000000000006E-3</v>
      </c>
      <c r="AB713" s="2">
        <f>ff_portfolios25!AB713-ff_factors!$E713</f>
        <v>-6.9410000000000001E-3</v>
      </c>
    </row>
    <row r="714" spans="1:28" x14ac:dyDescent="0.2">
      <c r="A714">
        <v>19910531</v>
      </c>
      <c r="B714">
        <v>1991</v>
      </c>
      <c r="C714">
        <v>5</v>
      </c>
      <c r="D714" s="2">
        <f>ff_portfolios25!D714-ff_factors!$E714</f>
        <v>1.8766999999999999E-2</v>
      </c>
      <c r="E714" s="2">
        <f>ff_portfolios25!E714-ff_factors!$E714</f>
        <v>3.7753999999999996E-2</v>
      </c>
      <c r="F714" s="2">
        <f>ff_portfolios25!F714-ff_factors!$E714</f>
        <v>4.0844999999999999E-2</v>
      </c>
      <c r="G714" s="2">
        <f>ff_portfolios25!G714-ff_factors!$E714</f>
        <v>2.7571000000000002E-2</v>
      </c>
      <c r="H714" s="2">
        <f>ff_portfolios25!H714-ff_factors!$E714</f>
        <v>2.6537999999999999E-2</v>
      </c>
      <c r="I714" s="2">
        <f>ff_portfolios25!I714-ff_factors!$E714</f>
        <v>5.0388999999999996E-2</v>
      </c>
      <c r="J714" s="2">
        <f>ff_portfolios25!J714-ff_factors!$E714</f>
        <v>2.4499E-2</v>
      </c>
      <c r="K714" s="2">
        <f>ff_portfolios25!K714-ff_factors!$E714</f>
        <v>5.0712999999999994E-2</v>
      </c>
      <c r="L714" s="2">
        <f>ff_portfolios25!L714-ff_factors!$E714</f>
        <v>3.1182999999999999E-2</v>
      </c>
      <c r="M714" s="2">
        <f>ff_portfolios25!M714-ff_factors!$E714</f>
        <v>3.1729E-2</v>
      </c>
      <c r="N714" s="2">
        <f>ff_portfolios25!N714-ff_factors!$E714</f>
        <v>3.1186000000000002E-2</v>
      </c>
      <c r="O714" s="2">
        <f>ff_portfolios25!O714-ff_factors!$E714</f>
        <v>6.2728000000000006E-2</v>
      </c>
      <c r="P714" s="2">
        <f>ff_portfolios25!P714-ff_factors!$E714</f>
        <v>4.3562999999999998E-2</v>
      </c>
      <c r="Q714" s="2">
        <f>ff_portfolios25!Q714-ff_factors!$E714</f>
        <v>4.0023999999999997E-2</v>
      </c>
      <c r="R714" s="2">
        <f>ff_portfolios25!R714-ff_factors!$E714</f>
        <v>-2.7320000000000001E-3</v>
      </c>
      <c r="S714" s="2">
        <f>ff_portfolios25!S714-ff_factors!$E714</f>
        <v>6.1650999999999991E-2</v>
      </c>
      <c r="T714" s="2">
        <f>ff_portfolios25!T714-ff_factors!$E714</f>
        <v>2.2786000000000001E-2</v>
      </c>
      <c r="U714" s="2">
        <f>ff_portfolios25!U714-ff_factors!$E714</f>
        <v>5.6444999999999995E-2</v>
      </c>
      <c r="V714" s="2">
        <f>ff_portfolios25!V714-ff_factors!$E714</f>
        <v>3.8164999999999998E-2</v>
      </c>
      <c r="W714" s="2">
        <f>ff_portfolios25!W714-ff_factors!$E714</f>
        <v>5.0381999999999996E-2</v>
      </c>
      <c r="X714" s="2">
        <f>ff_portfolios25!X714-ff_factors!$E714</f>
        <v>3.4902999999999997E-2</v>
      </c>
      <c r="Y714" s="2">
        <f>ff_portfolios25!Y714-ff_factors!$E714</f>
        <v>4.6599999999999996E-2</v>
      </c>
      <c r="Z714" s="2">
        <f>ff_portfolios25!Z714-ff_factors!$E714</f>
        <v>1.2047000000000002E-2</v>
      </c>
      <c r="AA714" s="2">
        <f>ff_portfolios25!AA714-ff_factors!$E714</f>
        <v>3.5028999999999998E-2</v>
      </c>
      <c r="AB714" s="2">
        <f>ff_portfolios25!AB714-ff_factors!$E714</f>
        <v>6.4330999999999999E-2</v>
      </c>
    </row>
    <row r="715" spans="1:28" x14ac:dyDescent="0.2">
      <c r="A715">
        <v>19910628</v>
      </c>
      <c r="B715">
        <v>1991</v>
      </c>
      <c r="C715">
        <v>6</v>
      </c>
      <c r="D715" s="2">
        <f>ff_portfolios25!D715-ff_factors!$E715</f>
        <v>-7.5924999999999992E-2</v>
      </c>
      <c r="E715" s="2">
        <f>ff_portfolios25!E715-ff_factors!$E715</f>
        <v>-4.3376999999999999E-2</v>
      </c>
      <c r="F715" s="2">
        <f>ff_portfolios25!F715-ff_factors!$E715</f>
        <v>-4.3379000000000001E-2</v>
      </c>
      <c r="G715" s="2">
        <f>ff_portfolios25!G715-ff_factors!$E715</f>
        <v>-4.4200000000000003E-2</v>
      </c>
      <c r="H715" s="2">
        <f>ff_portfolios25!H715-ff_factors!$E715</f>
        <v>-4.1909000000000002E-2</v>
      </c>
      <c r="I715" s="2">
        <f>ff_portfolios25!I715-ff_factors!$E715</f>
        <v>-5.5317999999999999E-2</v>
      </c>
      <c r="J715" s="2">
        <f>ff_portfolios25!J715-ff_factors!$E715</f>
        <v>-5.6530000000000004E-2</v>
      </c>
      <c r="K715" s="2">
        <f>ff_portfolios25!K715-ff_factors!$E715</f>
        <v>-3.6290000000000003E-2</v>
      </c>
      <c r="L715" s="2">
        <f>ff_portfolios25!L715-ff_factors!$E715</f>
        <v>-3.3369000000000003E-2</v>
      </c>
      <c r="M715" s="2">
        <f>ff_portfolios25!M715-ff_factors!$E715</f>
        <v>-6.0948000000000002E-2</v>
      </c>
      <c r="N715" s="2">
        <f>ff_portfolios25!N715-ff_factors!$E715</f>
        <v>-5.2319000000000004E-2</v>
      </c>
      <c r="O715" s="2">
        <f>ff_portfolios25!O715-ff_factors!$E715</f>
        <v>-4.8069000000000001E-2</v>
      </c>
      <c r="P715" s="2">
        <f>ff_portfolios25!P715-ff_factors!$E715</f>
        <v>-3.8846000000000006E-2</v>
      </c>
      <c r="Q715" s="2">
        <f>ff_portfolios25!Q715-ff_factors!$E715</f>
        <v>-2.5139999999999999E-2</v>
      </c>
      <c r="R715" s="2">
        <f>ff_portfolios25!R715-ff_factors!$E715</f>
        <v>-5.4099000000000001E-2</v>
      </c>
      <c r="S715" s="2">
        <f>ff_portfolios25!S715-ff_factors!$E715</f>
        <v>-5.7145000000000001E-2</v>
      </c>
      <c r="T715" s="2">
        <f>ff_portfolios25!T715-ff_factors!$E715</f>
        <v>-4.8446000000000003E-2</v>
      </c>
      <c r="U715" s="2">
        <f>ff_portfolios25!U715-ff_factors!$E715</f>
        <v>-6.1624999999999999E-2</v>
      </c>
      <c r="V715" s="2">
        <f>ff_portfolios25!V715-ff_factors!$E715</f>
        <v>-3.6777000000000004E-2</v>
      </c>
      <c r="W715" s="2">
        <f>ff_portfolios25!W715-ff_factors!$E715</f>
        <v>-3.8901000000000005E-2</v>
      </c>
      <c r="X715" s="2">
        <f>ff_portfolios25!X715-ff_factors!$E715</f>
        <v>-4.7440000000000003E-2</v>
      </c>
      <c r="Y715" s="2">
        <f>ff_portfolios25!Y715-ff_factors!$E715</f>
        <v>-6.1152000000000005E-2</v>
      </c>
      <c r="Z715" s="2">
        <f>ff_portfolios25!Z715-ff_factors!$E715</f>
        <v>-4.1208000000000002E-2</v>
      </c>
      <c r="AA715" s="2">
        <f>ff_portfolios25!AA715-ff_factors!$E715</f>
        <v>-5.2676000000000001E-2</v>
      </c>
      <c r="AB715" s="2">
        <f>ff_portfolios25!AB715-ff_factors!$E715</f>
        <v>-4.3834999999999999E-2</v>
      </c>
    </row>
    <row r="716" spans="1:28" x14ac:dyDescent="0.2">
      <c r="A716">
        <v>19910731</v>
      </c>
      <c r="B716">
        <v>1991</v>
      </c>
      <c r="C716">
        <v>7</v>
      </c>
      <c r="D716" s="2">
        <f>ff_portfolios25!D716-ff_factors!$E716</f>
        <v>2.0763999999999998E-2</v>
      </c>
      <c r="E716" s="2">
        <f>ff_portfolios25!E716-ff_factors!$E716</f>
        <v>3.6388999999999998E-2</v>
      </c>
      <c r="F716" s="2">
        <f>ff_portfolios25!F716-ff_factors!$E716</f>
        <v>1.7599999999999998E-2</v>
      </c>
      <c r="G716" s="2">
        <f>ff_portfolios25!G716-ff_factors!$E716</f>
        <v>2.8949999999999997E-2</v>
      </c>
      <c r="H716" s="2">
        <f>ff_portfolios25!H716-ff_factors!$E716</f>
        <v>2.0187000000000004E-2</v>
      </c>
      <c r="I716" s="2">
        <f>ff_portfolios25!I716-ff_factors!$E716</f>
        <v>3.8110999999999999E-2</v>
      </c>
      <c r="J716" s="2">
        <f>ff_portfolios25!J716-ff_factors!$E716</f>
        <v>2.9555999999999999E-2</v>
      </c>
      <c r="K716" s="2">
        <f>ff_portfolios25!K716-ff_factors!$E716</f>
        <v>2.8997999999999996E-2</v>
      </c>
      <c r="L716" s="2">
        <f>ff_portfolios25!L716-ff_factors!$E716</f>
        <v>3.2757000000000001E-2</v>
      </c>
      <c r="M716" s="2">
        <f>ff_portfolios25!M716-ff_factors!$E716</f>
        <v>1.9087E-2</v>
      </c>
      <c r="N716" s="2">
        <f>ff_portfolios25!N716-ff_factors!$E716</f>
        <v>5.5116999999999999E-2</v>
      </c>
      <c r="O716" s="2">
        <f>ff_portfolios25!O716-ff_factors!$E716</f>
        <v>3.7484999999999997E-2</v>
      </c>
      <c r="P716" s="2">
        <f>ff_portfolios25!P716-ff_factors!$E716</f>
        <v>3.6269999999999997E-2</v>
      </c>
      <c r="Q716" s="2">
        <f>ff_portfolios25!Q716-ff_factors!$E716</f>
        <v>2.6615E-2</v>
      </c>
      <c r="R716" s="2">
        <f>ff_portfolios25!R716-ff_factors!$E716</f>
        <v>6.2245999999999996E-2</v>
      </c>
      <c r="S716" s="2">
        <f>ff_portfolios25!S716-ff_factors!$E716</f>
        <v>5.4724999999999996E-2</v>
      </c>
      <c r="T716" s="2">
        <f>ff_portfolios25!T716-ff_factors!$E716</f>
        <v>3.1529999999999996E-2</v>
      </c>
      <c r="U716" s="2">
        <f>ff_portfolios25!U716-ff_factors!$E716</f>
        <v>1.9630000000000002E-2</v>
      </c>
      <c r="V716" s="2">
        <f>ff_portfolios25!V716-ff_factors!$E716</f>
        <v>4.5014999999999999E-2</v>
      </c>
      <c r="W716" s="2">
        <f>ff_portfolios25!W716-ff_factors!$E716</f>
        <v>6.6472000000000003E-2</v>
      </c>
      <c r="X716" s="2">
        <f>ff_portfolios25!X716-ff_factors!$E716</f>
        <v>5.9017E-2</v>
      </c>
      <c r="Y716" s="2">
        <f>ff_portfolios25!Y716-ff_factors!$E716</f>
        <v>2.5336999999999998E-2</v>
      </c>
      <c r="Z716" s="2">
        <f>ff_portfolios25!Z716-ff_factors!$E716</f>
        <v>4.3313999999999998E-2</v>
      </c>
      <c r="AA716" s="2">
        <f>ff_portfolios25!AA716-ff_factors!$E716</f>
        <v>4.4434000000000001E-2</v>
      </c>
      <c r="AB716" s="2">
        <f>ff_portfolios25!AB716-ff_factors!$E716</f>
        <v>-1.4397E-2</v>
      </c>
    </row>
    <row r="717" spans="1:28" x14ac:dyDescent="0.2">
      <c r="A717">
        <v>19910830</v>
      </c>
      <c r="B717">
        <v>1991</v>
      </c>
      <c r="C717">
        <v>8</v>
      </c>
      <c r="D717" s="2">
        <f>ff_portfolios25!D717-ff_factors!$E717</f>
        <v>3.3825000000000001E-2</v>
      </c>
      <c r="E717" s="2">
        <f>ff_portfolios25!E717-ff_factors!$E717</f>
        <v>3.7687999999999999E-2</v>
      </c>
      <c r="F717" s="2">
        <f>ff_portfolios25!F717-ff_factors!$E717</f>
        <v>2.5093000000000001E-2</v>
      </c>
      <c r="G717" s="2">
        <f>ff_portfolios25!G717-ff_factors!$E717</f>
        <v>9.4249999999999994E-3</v>
      </c>
      <c r="H717" s="2">
        <f>ff_portfolios25!H717-ff_factors!$E717</f>
        <v>2.2807999999999998E-2</v>
      </c>
      <c r="I717" s="2">
        <f>ff_portfolios25!I717-ff_factors!$E717</f>
        <v>3.6059000000000001E-2</v>
      </c>
      <c r="J717" s="2">
        <f>ff_portfolios25!J717-ff_factors!$E717</f>
        <v>3.1361E-2</v>
      </c>
      <c r="K717" s="2">
        <f>ff_portfolios25!K717-ff_factors!$E717</f>
        <v>3.0636999999999998E-2</v>
      </c>
      <c r="L717" s="2">
        <f>ff_portfolios25!L717-ff_factors!$E717</f>
        <v>3.1479E-2</v>
      </c>
      <c r="M717" s="2">
        <f>ff_portfolios25!M717-ff_factors!$E717</f>
        <v>2.5385000000000001E-2</v>
      </c>
      <c r="N717" s="2">
        <f>ff_portfolios25!N717-ff_factors!$E717</f>
        <v>4.9303E-2</v>
      </c>
      <c r="O717" s="2">
        <f>ff_portfolios25!O717-ff_factors!$E717</f>
        <v>3.6353000000000003E-2</v>
      </c>
      <c r="P717" s="2">
        <f>ff_portfolios25!P717-ff_factors!$E717</f>
        <v>2.1218000000000001E-2</v>
      </c>
      <c r="Q717" s="2">
        <f>ff_portfolios25!Q717-ff_factors!$E717</f>
        <v>3.5933E-2</v>
      </c>
      <c r="R717" s="2">
        <f>ff_portfolios25!R717-ff_factors!$E717</f>
        <v>5.5396000000000001E-2</v>
      </c>
      <c r="S717" s="2">
        <f>ff_portfolios25!S717-ff_factors!$E717</f>
        <v>1.0687E-2</v>
      </c>
      <c r="T717" s="2">
        <f>ff_portfolios25!T717-ff_factors!$E717</f>
        <v>2.2435E-2</v>
      </c>
      <c r="U717" s="2">
        <f>ff_portfolios25!U717-ff_factors!$E717</f>
        <v>2.3442999999999999E-2</v>
      </c>
      <c r="V717" s="2">
        <f>ff_portfolios25!V717-ff_factors!$E717</f>
        <v>2.7499999999999997E-2</v>
      </c>
      <c r="W717" s="2">
        <f>ff_portfolios25!W717-ff_factors!$E717</f>
        <v>2.6784000000000002E-2</v>
      </c>
      <c r="X717" s="2">
        <f>ff_portfolios25!X717-ff_factors!$E717</f>
        <v>3.8854E-2</v>
      </c>
      <c r="Y717" s="2">
        <f>ff_portfolios25!Y717-ff_factors!$E717</f>
        <v>9.7899999999999984E-4</v>
      </c>
      <c r="Z717" s="2">
        <f>ff_portfolios25!Z717-ff_factors!$E717</f>
        <v>2.3466000000000001E-2</v>
      </c>
      <c r="AA717" s="2">
        <f>ff_portfolios25!AA717-ff_factors!$E717</f>
        <v>9.0349999999999996E-3</v>
      </c>
      <c r="AB717" s="2">
        <f>ff_portfolios25!AB717-ff_factors!$E717</f>
        <v>1.1174E-2</v>
      </c>
    </row>
    <row r="718" spans="1:28" x14ac:dyDescent="0.2">
      <c r="A718">
        <v>19910930</v>
      </c>
      <c r="B718">
        <v>1991</v>
      </c>
      <c r="C718">
        <v>9</v>
      </c>
      <c r="D718" s="2">
        <f>ff_portfolios25!D718-ff_factors!$E718</f>
        <v>3.8245000000000001E-2</v>
      </c>
      <c r="E718" s="2">
        <f>ff_portfolios25!E718-ff_factors!$E718</f>
        <v>2.0171000000000001E-2</v>
      </c>
      <c r="F718" s="2">
        <f>ff_portfolios25!F718-ff_factors!$E718</f>
        <v>8.2000000000000475E-5</v>
      </c>
      <c r="G718" s="2">
        <f>ff_portfolios25!G718-ff_factors!$E718</f>
        <v>-6.4570000000000001E-3</v>
      </c>
      <c r="H718" s="2">
        <f>ff_portfolios25!H718-ff_factors!$E718</f>
        <v>-1.6829999999999998E-2</v>
      </c>
      <c r="I718" s="2">
        <f>ff_portfolios25!I718-ff_factors!$E718</f>
        <v>7.0999999999999969E-4</v>
      </c>
      <c r="J718" s="2">
        <f>ff_portfolios25!J718-ff_factors!$E718</f>
        <v>2.7629999999999998E-3</v>
      </c>
      <c r="K718" s="2">
        <f>ff_portfolios25!K718-ff_factors!$E718</f>
        <v>1.5729E-2</v>
      </c>
      <c r="L718" s="2">
        <f>ff_portfolios25!L718-ff_factors!$E718</f>
        <v>4.9390000000000007E-3</v>
      </c>
      <c r="M718" s="2">
        <f>ff_portfolios25!M718-ff_factors!$E718</f>
        <v>-2.4410000000000001E-2</v>
      </c>
      <c r="N718" s="2">
        <f>ff_portfolios25!N718-ff_factors!$E718</f>
        <v>-5.2040000000000003E-3</v>
      </c>
      <c r="O718" s="2">
        <f>ff_portfolios25!O718-ff_factors!$E718</f>
        <v>-9.273E-3</v>
      </c>
      <c r="P718" s="2">
        <f>ff_portfolios25!P718-ff_factors!$E718</f>
        <v>-1.1812E-2</v>
      </c>
      <c r="Q718" s="2">
        <f>ff_portfolios25!Q718-ff_factors!$E718</f>
        <v>1.0399999999999993E-4</v>
      </c>
      <c r="R718" s="2">
        <f>ff_portfolios25!R718-ff_factors!$E718</f>
        <v>-3.5629999999999995E-2</v>
      </c>
      <c r="S718" s="2">
        <f>ff_portfolios25!S718-ff_factors!$E718</f>
        <v>-9.1859999999999997E-3</v>
      </c>
      <c r="T718" s="2">
        <f>ff_portfolios25!T718-ff_factors!$E718</f>
        <v>-2.1153999999999999E-2</v>
      </c>
      <c r="U718" s="2">
        <f>ff_portfolios25!U718-ff_factors!$E718</f>
        <v>-1.1087E-2</v>
      </c>
      <c r="V718" s="2">
        <f>ff_portfolios25!V718-ff_factors!$E718</f>
        <v>-4.2230000000000002E-3</v>
      </c>
      <c r="W718" s="2">
        <f>ff_portfolios25!W718-ff_factors!$E718</f>
        <v>-1.5299E-2</v>
      </c>
      <c r="X718" s="2">
        <f>ff_portfolios25!X718-ff_factors!$E718</f>
        <v>-2.5864000000000002E-2</v>
      </c>
      <c r="Y718" s="2">
        <f>ff_portfolios25!Y718-ff_factors!$E718</f>
        <v>-1.6267999999999998E-2</v>
      </c>
      <c r="Z718" s="2">
        <f>ff_portfolios25!Z718-ff_factors!$E718</f>
        <v>-1.4389000000000001E-2</v>
      </c>
      <c r="AA718" s="2">
        <f>ff_portfolios25!AA718-ff_factors!$E718</f>
        <v>-4.777E-3</v>
      </c>
      <c r="AB718" s="2">
        <f>ff_portfolios25!AB718-ff_factors!$E718</f>
        <v>-3.4032E-2</v>
      </c>
    </row>
    <row r="719" spans="1:28" x14ac:dyDescent="0.2">
      <c r="A719">
        <v>19911031</v>
      </c>
      <c r="B719">
        <v>1991</v>
      </c>
      <c r="C719">
        <v>10</v>
      </c>
      <c r="D719" s="2">
        <f>ff_portfolios25!D719-ff_factors!$E719</f>
        <v>6.6619999999999999E-2</v>
      </c>
      <c r="E719" s="2">
        <f>ff_portfolios25!E719-ff_factors!$E719</f>
        <v>3.6887999999999997E-2</v>
      </c>
      <c r="F719" s="2">
        <f>ff_portfolios25!F719-ff_factors!$E719</f>
        <v>1.1512000000000001E-2</v>
      </c>
      <c r="G719" s="2">
        <f>ff_portfolios25!G719-ff_factors!$E719</f>
        <v>3.4106999999999998E-2</v>
      </c>
      <c r="H719" s="2">
        <f>ff_portfolios25!H719-ff_factors!$E719</f>
        <v>9.8729999999999998E-3</v>
      </c>
      <c r="I719" s="2">
        <f>ff_portfolios25!I719-ff_factors!$E719</f>
        <v>2.0291E-2</v>
      </c>
      <c r="J719" s="2">
        <f>ff_portfolios25!J719-ff_factors!$E719</f>
        <v>8.660000000000001E-3</v>
      </c>
      <c r="K719" s="2">
        <f>ff_portfolios25!K719-ff_factors!$E719</f>
        <v>2.7192000000000004E-2</v>
      </c>
      <c r="L719" s="2">
        <f>ff_portfolios25!L719-ff_factors!$E719</f>
        <v>2.7160000000000005E-3</v>
      </c>
      <c r="M719" s="2">
        <f>ff_portfolios25!M719-ff_factors!$E719</f>
        <v>9.9430000000000004E-3</v>
      </c>
      <c r="N719" s="2">
        <f>ff_portfolios25!N719-ff_factors!$E719</f>
        <v>2.4364E-2</v>
      </c>
      <c r="O719" s="2">
        <f>ff_portfolios25!O719-ff_factors!$E719</f>
        <v>8.432000000000002E-3</v>
      </c>
      <c r="P719" s="2">
        <f>ff_portfolios25!P719-ff_factors!$E719</f>
        <v>8.5980000000000015E-3</v>
      </c>
      <c r="Q719" s="2">
        <f>ff_portfolios25!Q719-ff_factors!$E719</f>
        <v>2.3613000000000002E-2</v>
      </c>
      <c r="R719" s="2">
        <f>ff_portfolios25!R719-ff_factors!$E719</f>
        <v>3.4529999999999998E-2</v>
      </c>
      <c r="S719" s="2">
        <f>ff_portfolios25!S719-ff_factors!$E719</f>
        <v>2.1075E-2</v>
      </c>
      <c r="T719" s="2">
        <f>ff_portfolios25!T719-ff_factors!$E719</f>
        <v>-2.2499999999999951E-4</v>
      </c>
      <c r="U719" s="2">
        <f>ff_portfolios25!U719-ff_factors!$E719</f>
        <v>1.0321E-2</v>
      </c>
      <c r="V719" s="2">
        <f>ff_portfolios25!V719-ff_factors!$E719</f>
        <v>2.3390000000000001E-2</v>
      </c>
      <c r="W719" s="2">
        <f>ff_portfolios25!W719-ff_factors!$E719</f>
        <v>3.0307999999999998E-2</v>
      </c>
      <c r="X719" s="2">
        <f>ff_portfolios25!X719-ff_factors!$E719</f>
        <v>9.9220000000000003E-3</v>
      </c>
      <c r="Y719" s="2">
        <f>ff_portfolios25!Y719-ff_factors!$E719</f>
        <v>5.3770000000000007E-3</v>
      </c>
      <c r="Z719" s="2">
        <f>ff_portfolios25!Z719-ff_factors!$E719</f>
        <v>1.5797000000000002E-2</v>
      </c>
      <c r="AA719" s="2">
        <f>ff_portfolios25!AA719-ff_factors!$E719</f>
        <v>2.4580000000000001E-2</v>
      </c>
      <c r="AB719" s="2">
        <f>ff_portfolios25!AB719-ff_factors!$E719</f>
        <v>8.4609999999999998E-3</v>
      </c>
    </row>
    <row r="720" spans="1:28" x14ac:dyDescent="0.2">
      <c r="A720">
        <v>19911129</v>
      </c>
      <c r="B720">
        <v>1991</v>
      </c>
      <c r="C720">
        <v>11</v>
      </c>
      <c r="D720" s="2">
        <f>ff_portfolios25!D720-ff_factors!$E720</f>
        <v>-2.1751E-2</v>
      </c>
      <c r="E720" s="2">
        <f>ff_portfolios25!E720-ff_factors!$E720</f>
        <v>-4.1304E-2</v>
      </c>
      <c r="F720" s="2">
        <f>ff_portfolios25!F720-ff_factors!$E720</f>
        <v>-4.9082000000000001E-2</v>
      </c>
      <c r="G720" s="2">
        <f>ff_portfolios25!G720-ff_factors!$E720</f>
        <v>-3.2993000000000001E-2</v>
      </c>
      <c r="H720" s="2">
        <f>ff_portfolios25!H720-ff_factors!$E720</f>
        <v>-3.3259999999999998E-2</v>
      </c>
      <c r="I720" s="2">
        <f>ff_portfolios25!I720-ff_factors!$E720</f>
        <v>-5.4112E-2</v>
      </c>
      <c r="J720" s="2">
        <f>ff_portfolios25!J720-ff_factors!$E720</f>
        <v>-5.5930000000000001E-2</v>
      </c>
      <c r="K720" s="2">
        <f>ff_portfolios25!K720-ff_factors!$E720</f>
        <v>-3.2122999999999999E-2</v>
      </c>
      <c r="L720" s="2">
        <f>ff_portfolios25!L720-ff_factors!$E720</f>
        <v>-5.6217000000000003E-2</v>
      </c>
      <c r="M720" s="2">
        <f>ff_portfolios25!M720-ff_factors!$E720</f>
        <v>-6.8801000000000001E-2</v>
      </c>
      <c r="N720" s="2">
        <f>ff_portfolios25!N720-ff_factors!$E720</f>
        <v>-3.7219000000000002E-2</v>
      </c>
      <c r="O720" s="2">
        <f>ff_portfolios25!O720-ff_factors!$E720</f>
        <v>-4.9876999999999998E-2</v>
      </c>
      <c r="P720" s="2">
        <f>ff_portfolios25!P720-ff_factors!$E720</f>
        <v>-4.4257999999999999E-2</v>
      </c>
      <c r="Q720" s="2">
        <f>ff_portfolios25!Q720-ff_factors!$E720</f>
        <v>-5.0965999999999997E-2</v>
      </c>
      <c r="R720" s="2">
        <f>ff_portfolios25!R720-ff_factors!$E720</f>
        <v>-6.2970999999999999E-2</v>
      </c>
      <c r="S720" s="2">
        <f>ff_portfolios25!S720-ff_factors!$E720</f>
        <v>-2.7525000000000001E-2</v>
      </c>
      <c r="T720" s="2">
        <f>ff_portfolios25!T720-ff_factors!$E720</f>
        <v>-5.2951999999999999E-2</v>
      </c>
      <c r="U720" s="2">
        <f>ff_portfolios25!U720-ff_factors!$E720</f>
        <v>-4.0289999999999999E-2</v>
      </c>
      <c r="V720" s="2">
        <f>ff_portfolios25!V720-ff_factors!$E720</f>
        <v>-3.4906E-2</v>
      </c>
      <c r="W720" s="2">
        <f>ff_portfolios25!W720-ff_factors!$E720</f>
        <v>-6.6533999999999996E-2</v>
      </c>
      <c r="X720" s="2">
        <f>ff_portfolios25!X720-ff_factors!$E720</f>
        <v>-1.6197E-2</v>
      </c>
      <c r="Y720" s="2">
        <f>ff_portfolios25!Y720-ff_factors!$E720</f>
        <v>-5.8645000000000003E-2</v>
      </c>
      <c r="Z720" s="2">
        <f>ff_portfolios25!Z720-ff_factors!$E720</f>
        <v>-5.9005000000000002E-2</v>
      </c>
      <c r="AA720" s="2">
        <f>ff_portfolios25!AA720-ff_factors!$E720</f>
        <v>-3.9330000000000004E-2</v>
      </c>
      <c r="AB720" s="2">
        <f>ff_portfolios25!AB720-ff_factors!$E720</f>
        <v>-9.6817E-2</v>
      </c>
    </row>
    <row r="721" spans="1:28" x14ac:dyDescent="0.2">
      <c r="A721">
        <v>19911231</v>
      </c>
      <c r="B721">
        <v>1991</v>
      </c>
      <c r="C721">
        <v>12</v>
      </c>
      <c r="D721" s="2">
        <f>ff_portfolios25!D721-ff_factors!$E721</f>
        <v>5.8910000000000004E-2</v>
      </c>
      <c r="E721" s="2">
        <f>ff_portfolios25!E721-ff_factors!$E721</f>
        <v>3.7664000000000003E-2</v>
      </c>
      <c r="F721" s="2">
        <f>ff_portfolios25!F721-ff_factors!$E721</f>
        <v>5.2098999999999999E-2</v>
      </c>
      <c r="G721" s="2">
        <f>ff_portfolios25!G721-ff_factors!$E721</f>
        <v>3.7541999999999999E-2</v>
      </c>
      <c r="H721" s="2">
        <f>ff_portfolios25!H721-ff_factors!$E721</f>
        <v>4.4979999999999999E-2</v>
      </c>
      <c r="I721" s="2">
        <f>ff_portfolios25!I721-ff_factors!$E721</f>
        <v>0.109331</v>
      </c>
      <c r="J721" s="2">
        <f>ff_portfolios25!J721-ff_factors!$E721</f>
        <v>6.6834000000000005E-2</v>
      </c>
      <c r="K721" s="2">
        <f>ff_portfolios25!K721-ff_factors!$E721</f>
        <v>5.2056000000000005E-2</v>
      </c>
      <c r="L721" s="2">
        <f>ff_portfolios25!L721-ff_factors!$E721</f>
        <v>5.6014000000000001E-2</v>
      </c>
      <c r="M721" s="2">
        <f>ff_portfolios25!M721-ff_factors!$E721</f>
        <v>7.6775999999999997E-2</v>
      </c>
      <c r="N721" s="2">
        <f>ff_portfolios25!N721-ff_factors!$E721</f>
        <v>0.14040900000000001</v>
      </c>
      <c r="O721" s="2">
        <f>ff_portfolios25!O721-ff_factors!$E721</f>
        <v>0.10480100000000001</v>
      </c>
      <c r="P721" s="2">
        <f>ff_portfolios25!P721-ff_factors!$E721</f>
        <v>6.8353999999999998E-2</v>
      </c>
      <c r="Q721" s="2">
        <f>ff_portfolios25!Q721-ff_factors!$E721</f>
        <v>9.5090000000000008E-2</v>
      </c>
      <c r="R721" s="2">
        <f>ff_portfolios25!R721-ff_factors!$E721</f>
        <v>0.109115</v>
      </c>
      <c r="S721" s="2">
        <f>ff_portfolios25!S721-ff_factors!$E721</f>
        <v>0.12901299999999999</v>
      </c>
      <c r="T721" s="2">
        <f>ff_portfolios25!T721-ff_factors!$E721</f>
        <v>8.6620000000000003E-2</v>
      </c>
      <c r="U721" s="2">
        <f>ff_portfolios25!U721-ff_factors!$E721</f>
        <v>9.0761000000000008E-2</v>
      </c>
      <c r="V721" s="2">
        <f>ff_portfolios25!V721-ff_factors!$E721</f>
        <v>8.2762000000000002E-2</v>
      </c>
      <c r="W721" s="2">
        <f>ff_portfolios25!W721-ff_factors!$E721</f>
        <v>0.106281</v>
      </c>
      <c r="X721" s="2">
        <f>ff_portfolios25!X721-ff_factors!$E721</f>
        <v>0.149759</v>
      </c>
      <c r="Y721" s="2">
        <f>ff_portfolios25!Y721-ff_factors!$E721</f>
        <v>8.5015000000000007E-2</v>
      </c>
      <c r="Z721" s="2">
        <f>ff_portfolios25!Z721-ff_factors!$E721</f>
        <v>7.9131000000000007E-2</v>
      </c>
      <c r="AA721" s="2">
        <f>ff_portfolios25!AA721-ff_factors!$E721</f>
        <v>6.4283000000000007E-2</v>
      </c>
      <c r="AB721" s="2">
        <f>ff_portfolios25!AB721-ff_factors!$E721</f>
        <v>0.139433</v>
      </c>
    </row>
    <row r="722" spans="1:28" x14ac:dyDescent="0.2">
      <c r="A722">
        <v>19920131</v>
      </c>
      <c r="B722">
        <v>1992</v>
      </c>
      <c r="C722">
        <v>1</v>
      </c>
      <c r="D722" s="2">
        <f>ff_portfolios25!D722-ff_factors!$E722</f>
        <v>0.141654</v>
      </c>
      <c r="E722" s="2">
        <f>ff_portfolios25!E722-ff_factors!$E722</f>
        <v>0.15818900000000002</v>
      </c>
      <c r="F722" s="2">
        <f>ff_portfolios25!F722-ff_factors!$E722</f>
        <v>8.1062999999999996E-2</v>
      </c>
      <c r="G722" s="2">
        <f>ff_portfolios25!G722-ff_factors!$E722</f>
        <v>0.13761800000000002</v>
      </c>
      <c r="H722" s="2">
        <f>ff_portfolios25!H722-ff_factors!$E722</f>
        <v>0.16040500000000002</v>
      </c>
      <c r="I722" s="2">
        <f>ff_portfolios25!I722-ff_factors!$E722</f>
        <v>7.9806000000000002E-2</v>
      </c>
      <c r="J722" s="2">
        <f>ff_portfolios25!J722-ff_factors!$E722</f>
        <v>4.3106999999999999E-2</v>
      </c>
      <c r="K722" s="2">
        <f>ff_portfolios25!K722-ff_factors!$E722</f>
        <v>5.9320999999999999E-2</v>
      </c>
      <c r="L722" s="2">
        <f>ff_portfolios25!L722-ff_factors!$E722</f>
        <v>7.1222999999999995E-2</v>
      </c>
      <c r="M722" s="2">
        <f>ff_portfolios25!M722-ff_factors!$E722</f>
        <v>9.5039999999999999E-2</v>
      </c>
      <c r="N722" s="2">
        <f>ff_portfolios25!N722-ff_factors!$E722</f>
        <v>1.1958E-2</v>
      </c>
      <c r="O722" s="2">
        <f>ff_portfolios25!O722-ff_factors!$E722</f>
        <v>4.0586999999999998E-2</v>
      </c>
      <c r="P722" s="2">
        <f>ff_portfolios25!P722-ff_factors!$E722</f>
        <v>4.7134999999999996E-2</v>
      </c>
      <c r="Q722" s="2">
        <f>ff_portfolios25!Q722-ff_factors!$E722</f>
        <v>5.3666999999999999E-2</v>
      </c>
      <c r="R722" s="2">
        <f>ff_portfolios25!R722-ff_factors!$E722</f>
        <v>8.9587E-2</v>
      </c>
      <c r="S722" s="2">
        <f>ff_portfolios25!S722-ff_factors!$E722</f>
        <v>-3.9249999999999997E-3</v>
      </c>
      <c r="T722" s="2">
        <f>ff_portfolios25!T722-ff_factors!$E722</f>
        <v>1.9421999999999998E-2</v>
      </c>
      <c r="U722" s="2">
        <f>ff_portfolios25!U722-ff_factors!$E722</f>
        <v>7.6749999999999995E-3</v>
      </c>
      <c r="V722" s="2">
        <f>ff_portfolios25!V722-ff_factors!$E722</f>
        <v>2.2680000000000005E-3</v>
      </c>
      <c r="W722" s="2">
        <f>ff_portfolios25!W722-ff_factors!$E722</f>
        <v>5.9549000000000005E-2</v>
      </c>
      <c r="X722" s="2">
        <f>ff_portfolios25!X722-ff_factors!$E722</f>
        <v>-3.5227000000000001E-2</v>
      </c>
      <c r="Y722" s="2">
        <f>ff_portfolios25!Y722-ff_factors!$E722</f>
        <v>-2.4347000000000001E-2</v>
      </c>
      <c r="Z722" s="2">
        <f>ff_portfolios25!Z722-ff_factors!$E722</f>
        <v>-2.8434000000000001E-2</v>
      </c>
      <c r="AA722" s="2">
        <f>ff_portfolios25!AA722-ff_factors!$E722</f>
        <v>-1.013E-3</v>
      </c>
      <c r="AB722" s="2">
        <f>ff_portfolios25!AB722-ff_factors!$E722</f>
        <v>6.0938999999999993E-2</v>
      </c>
    </row>
    <row r="723" spans="1:28" x14ac:dyDescent="0.2">
      <c r="A723">
        <v>19920228</v>
      </c>
      <c r="B723">
        <v>1992</v>
      </c>
      <c r="C723">
        <v>2</v>
      </c>
      <c r="D723" s="2">
        <f>ff_portfolios25!D723-ff_factors!$E723</f>
        <v>-3.5529999999999997E-3</v>
      </c>
      <c r="E723" s="2">
        <f>ff_portfolios25!E723-ff_factors!$E723</f>
        <v>5.2425000000000006E-2</v>
      </c>
      <c r="F723" s="2">
        <f>ff_portfolios25!F723-ff_factors!$E723</f>
        <v>2.6096000000000001E-2</v>
      </c>
      <c r="G723" s="2">
        <f>ff_portfolios25!G723-ff_factors!$E723</f>
        <v>4.7394000000000006E-2</v>
      </c>
      <c r="H723" s="2">
        <f>ff_portfolios25!H723-ff_factors!$E723</f>
        <v>9.6071000000000004E-2</v>
      </c>
      <c r="I723" s="2">
        <f>ff_portfolios25!I723-ff_factors!$E723</f>
        <v>1.2689999999999997E-3</v>
      </c>
      <c r="J723" s="2">
        <f>ff_portfolios25!J723-ff_factors!$E723</f>
        <v>2.5003000000000001E-2</v>
      </c>
      <c r="K723" s="2">
        <f>ff_portfolios25!K723-ff_factors!$E723</f>
        <v>1.3673000000000001E-2</v>
      </c>
      <c r="L723" s="2">
        <f>ff_portfolios25!L723-ff_factors!$E723</f>
        <v>4.3775000000000001E-2</v>
      </c>
      <c r="M723" s="2">
        <f>ff_portfolios25!M723-ff_factors!$E723</f>
        <v>5.6802000000000005E-2</v>
      </c>
      <c r="N723" s="2">
        <f>ff_portfolios25!N723-ff_factors!$E723</f>
        <v>-4.5800000000000007E-4</v>
      </c>
      <c r="O723" s="2">
        <f>ff_portfolios25!O723-ff_factors!$E723</f>
        <v>1.7788999999999999E-2</v>
      </c>
      <c r="P723" s="2">
        <f>ff_portfolios25!P723-ff_factors!$E723</f>
        <v>3.5997000000000001E-2</v>
      </c>
      <c r="Q723" s="2">
        <f>ff_portfolios25!Q723-ff_factors!$E723</f>
        <v>2.563E-2</v>
      </c>
      <c r="R723" s="2">
        <f>ff_portfolios25!R723-ff_factors!$E723</f>
        <v>8.0605999999999997E-2</v>
      </c>
      <c r="S723" s="2">
        <f>ff_portfolios25!S723-ff_factors!$E723</f>
        <v>-7.7660000000000003E-3</v>
      </c>
      <c r="T723" s="2">
        <f>ff_portfolios25!T723-ff_factors!$E723</f>
        <v>2.7272000000000001E-2</v>
      </c>
      <c r="U723" s="2">
        <f>ff_portfolios25!U723-ff_factors!$E723</f>
        <v>2.4479000000000001E-2</v>
      </c>
      <c r="V723" s="2">
        <f>ff_portfolios25!V723-ff_factors!$E723</f>
        <v>1.9591000000000001E-2</v>
      </c>
      <c r="W723" s="2">
        <f>ff_portfolios25!W723-ff_factors!$E723</f>
        <v>4.6201000000000006E-2</v>
      </c>
      <c r="X723" s="2">
        <f>ff_portfolios25!X723-ff_factors!$E723</f>
        <v>-9.7299999999999991E-4</v>
      </c>
      <c r="Y723" s="2">
        <f>ff_portfolios25!Y723-ff_factors!$E723</f>
        <v>-7.1629999999999992E-3</v>
      </c>
      <c r="Z723" s="2">
        <f>ff_portfolios25!Z723-ff_factors!$E723</f>
        <v>1.6441000000000001E-2</v>
      </c>
      <c r="AA723" s="2">
        <f>ff_portfolios25!AA723-ff_factors!$E723</f>
        <v>3.9642000000000004E-2</v>
      </c>
      <c r="AB723" s="2">
        <f>ff_portfolios25!AB723-ff_factors!$E723</f>
        <v>0.105784</v>
      </c>
    </row>
    <row r="724" spans="1:28" x14ac:dyDescent="0.2">
      <c r="A724">
        <v>19920331</v>
      </c>
      <c r="B724">
        <v>1992</v>
      </c>
      <c r="C724">
        <v>3</v>
      </c>
      <c r="D724" s="2">
        <f>ff_portfolios25!D724-ff_factors!$E724</f>
        <v>-7.0359000000000005E-2</v>
      </c>
      <c r="E724" s="2">
        <f>ff_portfolios25!E724-ff_factors!$E724</f>
        <v>-5.9449000000000002E-2</v>
      </c>
      <c r="F724" s="2">
        <f>ff_portfolios25!F724-ff_factors!$E724</f>
        <v>-2.7571000000000002E-2</v>
      </c>
      <c r="G724" s="2">
        <f>ff_portfolios25!G724-ff_factors!$E724</f>
        <v>4.6500000000000014E-4</v>
      </c>
      <c r="H724" s="2">
        <f>ff_portfolios25!H724-ff_factors!$E724</f>
        <v>-1.541E-2</v>
      </c>
      <c r="I724" s="2">
        <f>ff_portfolios25!I724-ff_factors!$E724</f>
        <v>-8.8089000000000001E-2</v>
      </c>
      <c r="J724" s="2">
        <f>ff_portfolios25!J724-ff_factors!$E724</f>
        <v>-2.4251999999999999E-2</v>
      </c>
      <c r="K724" s="2">
        <f>ff_portfolios25!K724-ff_factors!$E724</f>
        <v>-1.9979E-2</v>
      </c>
      <c r="L724" s="2">
        <f>ff_portfolios25!L724-ff_factors!$E724</f>
        <v>-7.9830000000000005E-3</v>
      </c>
      <c r="M724" s="2">
        <f>ff_portfolios25!M724-ff_factors!$E724</f>
        <v>-1.4639000000000001E-2</v>
      </c>
      <c r="N724" s="2">
        <f>ff_portfolios25!N724-ff_factors!$E724</f>
        <v>-5.5788999999999998E-2</v>
      </c>
      <c r="O724" s="2">
        <f>ff_portfolios25!O724-ff_factors!$E724</f>
        <v>-2.5406000000000001E-2</v>
      </c>
      <c r="P724" s="2">
        <f>ff_portfolios25!P724-ff_factors!$E724</f>
        <v>-7.1570000000000002E-3</v>
      </c>
      <c r="Q724" s="2">
        <f>ff_portfolios25!Q724-ff_factors!$E724</f>
        <v>-3.0999999999999999E-3</v>
      </c>
      <c r="R724" s="2">
        <f>ff_portfolios25!R724-ff_factors!$E724</f>
        <v>-1.9030000000000002E-2</v>
      </c>
      <c r="S724" s="2">
        <f>ff_portfolios25!S724-ff_factors!$E724</f>
        <v>-6.1298999999999999E-2</v>
      </c>
      <c r="T724" s="2">
        <f>ff_portfolios25!T724-ff_factors!$E724</f>
        <v>-1.4014E-2</v>
      </c>
      <c r="U724" s="2">
        <f>ff_portfolios25!U724-ff_factors!$E724</f>
        <v>-2.9225000000000001E-2</v>
      </c>
      <c r="V724" s="2">
        <f>ff_portfolios25!V724-ff_factors!$E724</f>
        <v>-1.2461E-2</v>
      </c>
      <c r="W724" s="2">
        <f>ff_portfolios25!W724-ff_factors!$E724</f>
        <v>-2.6311000000000001E-2</v>
      </c>
      <c r="X724" s="2">
        <f>ff_portfolios25!X724-ff_factors!$E724</f>
        <v>-3.134E-2</v>
      </c>
      <c r="Y724" s="2">
        <f>ff_portfolios25!Y724-ff_factors!$E724</f>
        <v>-2.1274999999999999E-2</v>
      </c>
      <c r="Z724" s="2">
        <f>ff_portfolios25!Z724-ff_factors!$E724</f>
        <v>-1.1589999999999999E-3</v>
      </c>
      <c r="AA724" s="2">
        <f>ff_portfolios25!AA724-ff_factors!$E724</f>
        <v>-1.7779E-2</v>
      </c>
      <c r="AB724" s="2">
        <f>ff_portfolios25!AB724-ff_factors!$E724</f>
        <v>3.6850000000000003E-3</v>
      </c>
    </row>
    <row r="725" spans="1:28" x14ac:dyDescent="0.2">
      <c r="A725">
        <v>19920430</v>
      </c>
      <c r="B725">
        <v>1992</v>
      </c>
      <c r="C725">
        <v>4</v>
      </c>
      <c r="D725" s="2">
        <f>ff_portfolios25!D725-ff_factors!$E725</f>
        <v>-0.10453899999999999</v>
      </c>
      <c r="E725" s="2">
        <f>ff_portfolios25!E725-ff_factors!$E725</f>
        <v>-3.8475000000000002E-2</v>
      </c>
      <c r="F725" s="2">
        <f>ff_portfolios25!F725-ff_factors!$E725</f>
        <v>-5.1312000000000003E-2</v>
      </c>
      <c r="G725" s="2">
        <f>ff_portfolios25!G725-ff_factors!$E725</f>
        <v>-4.2485000000000002E-2</v>
      </c>
      <c r="H725" s="2">
        <f>ff_portfolios25!H725-ff_factors!$E725</f>
        <v>-3.2889000000000002E-2</v>
      </c>
      <c r="I725" s="2">
        <f>ff_portfolios25!I725-ff_factors!$E725</f>
        <v>-6.6084999999999991E-2</v>
      </c>
      <c r="J725" s="2">
        <f>ff_portfolios25!J725-ff_factors!$E725</f>
        <v>-3.6948000000000002E-2</v>
      </c>
      <c r="K725" s="2">
        <f>ff_portfolios25!K725-ff_factors!$E725</f>
        <v>-3.0694000000000003E-2</v>
      </c>
      <c r="L725" s="2">
        <f>ff_portfolios25!L725-ff_factors!$E725</f>
        <v>-2.5131000000000001E-2</v>
      </c>
      <c r="M725" s="2">
        <f>ff_portfolios25!M725-ff_factors!$E725</f>
        <v>-6.5199999999999998E-3</v>
      </c>
      <c r="N725" s="2">
        <f>ff_portfolios25!N725-ff_factors!$E725</f>
        <v>-5.9930000000000004E-2</v>
      </c>
      <c r="O725" s="2">
        <f>ff_portfolios25!O725-ff_factors!$E725</f>
        <v>-2.1101000000000002E-2</v>
      </c>
      <c r="P725" s="2">
        <f>ff_portfolios25!P725-ff_factors!$E725</f>
        <v>-1.3769999999999999E-2</v>
      </c>
      <c r="Q725" s="2">
        <f>ff_portfolios25!Q725-ff_factors!$E725</f>
        <v>8.7900000000000001E-4</v>
      </c>
      <c r="R725" s="2">
        <f>ff_portfolios25!R725-ff_factors!$E725</f>
        <v>2.4278999999999998E-2</v>
      </c>
      <c r="S725" s="2">
        <f>ff_portfolios25!S725-ff_factors!$E725</f>
        <v>-2.2411E-2</v>
      </c>
      <c r="T725" s="2">
        <f>ff_portfolios25!T725-ff_factors!$E725</f>
        <v>2.9819999999999998E-3</v>
      </c>
      <c r="U725" s="2">
        <f>ff_portfolios25!U725-ff_factors!$E725</f>
        <v>1.3928999999999999E-2</v>
      </c>
      <c r="V725" s="2">
        <f>ff_portfolios25!V725-ff_factors!$E725</f>
        <v>3.3243000000000002E-2</v>
      </c>
      <c r="W725" s="2">
        <f>ff_portfolios25!W725-ff_factors!$E725</f>
        <v>3.5989E-2</v>
      </c>
      <c r="X725" s="2">
        <f>ff_portfolios25!X725-ff_factors!$E725</f>
        <v>-4.3E-3</v>
      </c>
      <c r="Y725" s="2">
        <f>ff_portfolios25!Y725-ff_factors!$E725</f>
        <v>5.1647999999999999E-2</v>
      </c>
      <c r="Z725" s="2">
        <f>ff_portfolios25!Z725-ff_factors!$E725</f>
        <v>5.2562999999999999E-2</v>
      </c>
      <c r="AA725" s="2">
        <f>ff_portfolios25!AA725-ff_factors!$E725</f>
        <v>2.4337999999999999E-2</v>
      </c>
      <c r="AB725" s="2">
        <f>ff_portfolios25!AB725-ff_factors!$E725</f>
        <v>9.8456000000000002E-2</v>
      </c>
    </row>
    <row r="726" spans="1:28" x14ac:dyDescent="0.2">
      <c r="A726">
        <v>19920529</v>
      </c>
      <c r="B726">
        <v>1992</v>
      </c>
      <c r="C726">
        <v>5</v>
      </c>
      <c r="D726" s="2">
        <f>ff_portfolios25!D726-ff_factors!$E726</f>
        <v>-1.8078999999999998E-2</v>
      </c>
      <c r="E726" s="2">
        <f>ff_portfolios25!E726-ff_factors!$E726</f>
        <v>5.3000000000000096E-5</v>
      </c>
      <c r="F726" s="2">
        <f>ff_portfolios25!F726-ff_factors!$E726</f>
        <v>-3.0709999999999999E-3</v>
      </c>
      <c r="G726" s="2">
        <f>ff_portfolios25!G726-ff_factors!$E726</f>
        <v>-1.6839E-2</v>
      </c>
      <c r="H726" s="2">
        <f>ff_portfolios25!H726-ff_factors!$E726</f>
        <v>1.5237000000000001E-2</v>
      </c>
      <c r="I726" s="2">
        <f>ff_portfolios25!I726-ff_factors!$E726</f>
        <v>-6.4029999999999998E-3</v>
      </c>
      <c r="J726" s="2">
        <f>ff_portfolios25!J726-ff_factors!$E726</f>
        <v>2.0149999999999999E-3</v>
      </c>
      <c r="K726" s="2">
        <f>ff_portfolios25!K726-ff_factors!$E726</f>
        <v>1.3257999999999999E-2</v>
      </c>
      <c r="L726" s="2">
        <f>ff_portfolios25!L726-ff_factors!$E726</f>
        <v>7.2919999999999999E-3</v>
      </c>
      <c r="M726" s="2">
        <f>ff_portfolios25!M726-ff_factors!$E726</f>
        <v>3.8868E-2</v>
      </c>
      <c r="N726" s="2">
        <f>ff_portfolios25!N726-ff_factors!$E726</f>
        <v>-2.49E-3</v>
      </c>
      <c r="O726" s="2">
        <f>ff_portfolios25!O726-ff_factors!$E726</f>
        <v>-1.0447E-2</v>
      </c>
      <c r="P726" s="2">
        <f>ff_portfolios25!P726-ff_factors!$E726</f>
        <v>1.6815E-2</v>
      </c>
      <c r="Q726" s="2">
        <f>ff_portfolios25!Q726-ff_factors!$E726</f>
        <v>4.1100000000000008E-3</v>
      </c>
      <c r="R726" s="2">
        <f>ff_portfolios25!R726-ff_factors!$E726</f>
        <v>3.5034000000000003E-2</v>
      </c>
      <c r="S726" s="2">
        <f>ff_portfolios25!S726-ff_factors!$E726</f>
        <v>-1.9599999999999999E-3</v>
      </c>
      <c r="T726" s="2">
        <f>ff_portfolios25!T726-ff_factors!$E726</f>
        <v>8.7829999999999991E-3</v>
      </c>
      <c r="U726" s="2">
        <f>ff_portfolios25!U726-ff_factors!$E726</f>
        <v>1.2270999999999999E-2</v>
      </c>
      <c r="V726" s="2">
        <f>ff_portfolios25!V726-ff_factors!$E726</f>
        <v>4.4609999999999997E-3</v>
      </c>
      <c r="W726" s="2">
        <f>ff_portfolios25!W726-ff_factors!$E726</f>
        <v>-2.8400000000000001E-3</v>
      </c>
      <c r="X726" s="2">
        <f>ff_portfolios25!X726-ff_factors!$E726</f>
        <v>9.0010000000000003E-3</v>
      </c>
      <c r="Y726" s="2">
        <f>ff_portfolios25!Y726-ff_factors!$E726</f>
        <v>6.5700000000000003E-4</v>
      </c>
      <c r="Z726" s="2">
        <f>ff_portfolios25!Z726-ff_factors!$E726</f>
        <v>-3.31E-3</v>
      </c>
      <c r="AA726" s="2">
        <f>ff_portfolios25!AA726-ff_factors!$E726</f>
        <v>-5.6900000000000006E-4</v>
      </c>
      <c r="AB726" s="2">
        <f>ff_portfolios25!AB726-ff_factors!$E726</f>
        <v>-5.4409999999999997E-3</v>
      </c>
    </row>
    <row r="727" spans="1:28" x14ac:dyDescent="0.2">
      <c r="A727">
        <v>19920630</v>
      </c>
      <c r="B727">
        <v>1992</v>
      </c>
      <c r="C727">
        <v>6</v>
      </c>
      <c r="D727" s="2">
        <f>ff_portfolios25!D727-ff_factors!$E727</f>
        <v>-9.5065999999999998E-2</v>
      </c>
      <c r="E727" s="2">
        <f>ff_portfolios25!E727-ff_factors!$E727</f>
        <v>-5.5709000000000002E-2</v>
      </c>
      <c r="F727" s="2">
        <f>ff_portfolios25!F727-ff_factors!$E727</f>
        <v>-5.5982999999999998E-2</v>
      </c>
      <c r="G727" s="2">
        <f>ff_portfolios25!G727-ff_factors!$E727</f>
        <v>-5.3956999999999998E-2</v>
      </c>
      <c r="H727" s="2">
        <f>ff_portfolios25!H727-ff_factors!$E727</f>
        <v>-4.5739000000000002E-2</v>
      </c>
      <c r="I727" s="2">
        <f>ff_portfolios25!I727-ff_factors!$E727</f>
        <v>-5.7817E-2</v>
      </c>
      <c r="J727" s="2">
        <f>ff_portfolios25!J727-ff_factors!$E727</f>
        <v>-6.0042999999999999E-2</v>
      </c>
      <c r="K727" s="2">
        <f>ff_portfolios25!K727-ff_factors!$E727</f>
        <v>-2.7857E-2</v>
      </c>
      <c r="L727" s="2">
        <f>ff_portfolios25!L727-ff_factors!$E727</f>
        <v>-3.5319000000000003E-2</v>
      </c>
      <c r="M727" s="2">
        <f>ff_portfolios25!M727-ff_factors!$E727</f>
        <v>-1.4329999999999999E-2</v>
      </c>
      <c r="N727" s="2">
        <f>ff_portfolios25!N727-ff_factors!$E727</f>
        <v>-5.1708999999999998E-2</v>
      </c>
      <c r="O727" s="2">
        <f>ff_portfolios25!O727-ff_factors!$E727</f>
        <v>-4.0080000000000005E-2</v>
      </c>
      <c r="P727" s="2">
        <f>ff_portfolios25!P727-ff_factors!$E727</f>
        <v>-2.7406E-2</v>
      </c>
      <c r="Q727" s="2">
        <f>ff_portfolios25!Q727-ff_factors!$E727</f>
        <v>-1.7597999999999999E-2</v>
      </c>
      <c r="R727" s="2">
        <f>ff_portfolios25!R727-ff_factors!$E727</f>
        <v>-7.2259999999999998E-3</v>
      </c>
      <c r="S727" s="2">
        <f>ff_portfolios25!S727-ff_factors!$E727</f>
        <v>-2.24E-2</v>
      </c>
      <c r="T727" s="2">
        <f>ff_portfolios25!T727-ff_factors!$E727</f>
        <v>-4.6900000000000004E-2</v>
      </c>
      <c r="U727" s="2">
        <f>ff_portfolios25!U727-ff_factors!$E727</f>
        <v>-1.6995E-2</v>
      </c>
      <c r="V727" s="2">
        <f>ff_portfolios25!V727-ff_factors!$E727</f>
        <v>-4.4900000000000018E-4</v>
      </c>
      <c r="W727" s="2">
        <f>ff_portfolios25!W727-ff_factors!$E727</f>
        <v>-1.3686E-2</v>
      </c>
      <c r="X727" s="2">
        <f>ff_portfolios25!X727-ff_factors!$E727</f>
        <v>-3.4195000000000003E-2</v>
      </c>
      <c r="Y727" s="2">
        <f>ff_portfolios25!Y727-ff_factors!$E727</f>
        <v>-1.8360000000000002E-3</v>
      </c>
      <c r="Z727" s="2">
        <f>ff_portfolios25!Z727-ff_factors!$E727</f>
        <v>-2.5531000000000002E-2</v>
      </c>
      <c r="AA727" s="2">
        <f>ff_portfolios25!AA727-ff_factors!$E727</f>
        <v>-5.7520000000000002E-3</v>
      </c>
      <c r="AB727" s="2">
        <f>ff_portfolios25!AB727-ff_factors!$E727</f>
        <v>2.6484999999999998E-2</v>
      </c>
    </row>
    <row r="728" spans="1:28" x14ac:dyDescent="0.2">
      <c r="A728">
        <v>19920731</v>
      </c>
      <c r="B728">
        <v>1992</v>
      </c>
      <c r="C728">
        <v>7</v>
      </c>
      <c r="D728" s="2">
        <f>ff_portfolios25!D728-ff_factors!$E728</f>
        <v>5.9629999999999996E-3</v>
      </c>
      <c r="E728" s="2">
        <f>ff_portfolios25!E728-ff_factors!$E728</f>
        <v>6.0140000000000002E-3</v>
      </c>
      <c r="F728" s="2">
        <f>ff_portfolios25!F728-ff_factors!$E728</f>
        <v>1.5954000000000003E-2</v>
      </c>
      <c r="G728" s="2">
        <f>ff_portfolios25!G728-ff_factors!$E728</f>
        <v>2.1927000000000002E-2</v>
      </c>
      <c r="H728" s="2">
        <f>ff_portfolios25!H728-ff_factors!$E728</f>
        <v>2.5311E-2</v>
      </c>
      <c r="I728" s="2">
        <f>ff_portfolios25!I728-ff_factors!$E728</f>
        <v>2.3634000000000002E-2</v>
      </c>
      <c r="J728" s="2">
        <f>ff_portfolios25!J728-ff_factors!$E728</f>
        <v>3.7832999999999999E-2</v>
      </c>
      <c r="K728" s="2">
        <f>ff_portfolios25!K728-ff_factors!$E728</f>
        <v>2.7601000000000001E-2</v>
      </c>
      <c r="L728" s="2">
        <f>ff_portfolios25!L728-ff_factors!$E728</f>
        <v>4.1514000000000002E-2</v>
      </c>
      <c r="M728" s="2">
        <f>ff_portfolios25!M728-ff_factors!$E728</f>
        <v>2.9955000000000002E-2</v>
      </c>
      <c r="N728" s="2">
        <f>ff_portfolios25!N728-ff_factors!$E728</f>
        <v>5.1551E-2</v>
      </c>
      <c r="O728" s="2">
        <f>ff_portfolios25!O728-ff_factors!$E728</f>
        <v>4.3788000000000001E-2</v>
      </c>
      <c r="P728" s="2">
        <f>ff_portfolios25!P728-ff_factors!$E728</f>
        <v>3.6309000000000001E-2</v>
      </c>
      <c r="Q728" s="2">
        <f>ff_portfolios25!Q728-ff_factors!$E728</f>
        <v>4.5675E-2</v>
      </c>
      <c r="R728" s="2">
        <f>ff_portfolios25!R728-ff_factors!$E728</f>
        <v>3.6019000000000002E-2</v>
      </c>
      <c r="S728" s="2">
        <f>ff_portfolios25!S728-ff_factors!$E728</f>
        <v>4.8207E-2</v>
      </c>
      <c r="T728" s="2">
        <f>ff_portfolios25!T728-ff_factors!$E728</f>
        <v>3.7985000000000005E-2</v>
      </c>
      <c r="U728" s="2">
        <f>ff_portfolios25!U728-ff_factors!$E728</f>
        <v>3.3514000000000002E-2</v>
      </c>
      <c r="V728" s="2">
        <f>ff_portfolios25!V728-ff_factors!$E728</f>
        <v>4.0728E-2</v>
      </c>
      <c r="W728" s="2">
        <f>ff_portfolios25!W728-ff_factors!$E728</f>
        <v>2.0238000000000003E-2</v>
      </c>
      <c r="X728" s="2">
        <f>ff_portfolios25!X728-ff_factors!$E728</f>
        <v>4.6168000000000001E-2</v>
      </c>
      <c r="Y728" s="2">
        <f>ff_portfolios25!Y728-ff_factors!$E728</f>
        <v>3.3239999999999999E-2</v>
      </c>
      <c r="Z728" s="2">
        <f>ff_portfolios25!Z728-ff_factors!$E728</f>
        <v>4.4941000000000002E-2</v>
      </c>
      <c r="AA728" s="2">
        <f>ff_portfolios25!AA728-ff_factors!$E728</f>
        <v>2.9183000000000001E-2</v>
      </c>
      <c r="AB728" s="2">
        <f>ff_portfolios25!AB728-ff_factors!$E728</f>
        <v>-6.352E-3</v>
      </c>
    </row>
    <row r="729" spans="1:28" x14ac:dyDescent="0.2">
      <c r="A729">
        <v>19920831</v>
      </c>
      <c r="B729">
        <v>1992</v>
      </c>
      <c r="C729">
        <v>8</v>
      </c>
      <c r="D729" s="2">
        <f>ff_portfolios25!D729-ff_factors!$E729</f>
        <v>-4.9239999999999999E-2</v>
      </c>
      <c r="E729" s="2">
        <f>ff_portfolios25!E729-ff_factors!$E729</f>
        <v>-3.2225999999999998E-2</v>
      </c>
      <c r="F729" s="2">
        <f>ff_portfolios25!F729-ff_factors!$E729</f>
        <v>-2.0199000000000002E-2</v>
      </c>
      <c r="G729" s="2">
        <f>ff_portfolios25!G729-ff_factors!$E729</f>
        <v>-2.2918000000000001E-2</v>
      </c>
      <c r="H729" s="2">
        <f>ff_portfolios25!H729-ff_factors!$E729</f>
        <v>-3.4300999999999998E-2</v>
      </c>
      <c r="I729" s="2">
        <f>ff_portfolios25!I729-ff_factors!$E729</f>
        <v>-4.4902999999999998E-2</v>
      </c>
      <c r="J729" s="2">
        <f>ff_portfolios25!J729-ff_factors!$E729</f>
        <v>-3.7297999999999998E-2</v>
      </c>
      <c r="K729" s="2">
        <f>ff_portfolios25!K729-ff_factors!$E729</f>
        <v>-5.633E-3</v>
      </c>
      <c r="L729" s="2">
        <f>ff_portfolios25!L729-ff_factors!$E729</f>
        <v>-7.0369999999999999E-3</v>
      </c>
      <c r="M729" s="2">
        <f>ff_portfolios25!M729-ff_factors!$E729</f>
        <v>-3.9240999999999998E-2</v>
      </c>
      <c r="N729" s="2">
        <f>ff_portfolios25!N729-ff_factors!$E729</f>
        <v>-4.1748E-2</v>
      </c>
      <c r="O729" s="2">
        <f>ff_portfolios25!O729-ff_factors!$E729</f>
        <v>-2.2363000000000001E-2</v>
      </c>
      <c r="P729" s="2">
        <f>ff_portfolios25!P729-ff_factors!$E729</f>
        <v>-2.5322999999999998E-2</v>
      </c>
      <c r="Q729" s="2">
        <f>ff_portfolios25!Q729-ff_factors!$E729</f>
        <v>-1.5837E-2</v>
      </c>
      <c r="R729" s="2">
        <f>ff_portfolios25!R729-ff_factors!$E729</f>
        <v>-3.4430999999999996E-2</v>
      </c>
      <c r="S729" s="2">
        <f>ff_portfolios25!S729-ff_factors!$E729</f>
        <v>-1.5696000000000002E-2</v>
      </c>
      <c r="T729" s="2">
        <f>ff_portfolios25!T729-ff_factors!$E729</f>
        <v>-2.7848999999999999E-2</v>
      </c>
      <c r="U729" s="2">
        <f>ff_portfolios25!U729-ff_factors!$E729</f>
        <v>-2.5387E-2</v>
      </c>
      <c r="V729" s="2">
        <f>ff_portfolios25!V729-ff_factors!$E729</f>
        <v>-1.6556000000000001E-2</v>
      </c>
      <c r="W729" s="2">
        <f>ff_portfolios25!W729-ff_factors!$E729</f>
        <v>-4.972E-2</v>
      </c>
      <c r="X729" s="2">
        <f>ff_portfolios25!X729-ff_factors!$E729</f>
        <v>-8.6309999999999998E-3</v>
      </c>
      <c r="Y729" s="2">
        <f>ff_portfolios25!Y729-ff_factors!$E729</f>
        <v>-3.3556000000000002E-2</v>
      </c>
      <c r="Z729" s="2">
        <f>ff_portfolios25!Z729-ff_factors!$E729</f>
        <v>-9.0410000000000004E-3</v>
      </c>
      <c r="AA729" s="2">
        <f>ff_portfolios25!AA729-ff_factors!$E729</f>
        <v>-3.9355999999999995E-2</v>
      </c>
      <c r="AB729" s="2">
        <f>ff_portfolios25!AB729-ff_factors!$E729</f>
        <v>-9.0669E-2</v>
      </c>
    </row>
    <row r="730" spans="1:28" x14ac:dyDescent="0.2">
      <c r="A730">
        <v>19920930</v>
      </c>
      <c r="B730">
        <v>1992</v>
      </c>
      <c r="C730">
        <v>9</v>
      </c>
      <c r="D730" s="2">
        <f>ff_portfolios25!D730-ff_factors!$E730</f>
        <v>7.3799999999999994E-4</v>
      </c>
      <c r="E730" s="2">
        <f>ff_portfolios25!E730-ff_factors!$E730</f>
        <v>1.4458E-2</v>
      </c>
      <c r="F730" s="2">
        <f>ff_portfolios25!F730-ff_factors!$E730</f>
        <v>1.3913E-2</v>
      </c>
      <c r="G730" s="2">
        <f>ff_portfolios25!G730-ff_factors!$E730</f>
        <v>1.8501000000000004E-2</v>
      </c>
      <c r="H730" s="2">
        <f>ff_portfolios25!H730-ff_factors!$E730</f>
        <v>7.1710000000000003E-3</v>
      </c>
      <c r="I730" s="2">
        <f>ff_portfolios25!I730-ff_factors!$E730</f>
        <v>1.6971E-2</v>
      </c>
      <c r="J730" s="2">
        <f>ff_portfolios25!J730-ff_factors!$E730</f>
        <v>1.3053E-2</v>
      </c>
      <c r="K730" s="2">
        <f>ff_portfolios25!K730-ff_factors!$E730</f>
        <v>3.4553E-2</v>
      </c>
      <c r="L730" s="2">
        <f>ff_portfolios25!L730-ff_factors!$E730</f>
        <v>1.9011E-2</v>
      </c>
      <c r="M730" s="2">
        <f>ff_portfolios25!M730-ff_factors!$E730</f>
        <v>1.9874000000000003E-2</v>
      </c>
      <c r="N730" s="2">
        <f>ff_portfolios25!N730-ff_factors!$E730</f>
        <v>2.5205999999999999E-2</v>
      </c>
      <c r="O730" s="2">
        <f>ff_portfolios25!O730-ff_factors!$E730</f>
        <v>2.6453999999999998E-2</v>
      </c>
      <c r="P730" s="2">
        <f>ff_portfolios25!P730-ff_factors!$E730</f>
        <v>1.6849999999999997E-2</v>
      </c>
      <c r="Q730" s="2">
        <f>ff_portfolios25!Q730-ff_factors!$E730</f>
        <v>1.023E-3</v>
      </c>
      <c r="R730" s="2">
        <f>ff_portfolios25!R730-ff_factors!$E730</f>
        <v>1.4789999999999999E-2</v>
      </c>
      <c r="S730" s="2">
        <f>ff_portfolios25!S730-ff_factors!$E730</f>
        <v>2.0379999999999999E-3</v>
      </c>
      <c r="T730" s="2">
        <f>ff_portfolios25!T730-ff_factors!$E730</f>
        <v>3.1227999999999999E-2</v>
      </c>
      <c r="U730" s="2">
        <f>ff_portfolios25!U730-ff_factors!$E730</f>
        <v>1.4893000000000002E-2</v>
      </c>
      <c r="V730" s="2">
        <f>ff_portfolios25!V730-ff_factors!$E730</f>
        <v>8.1440000000000002E-3</v>
      </c>
      <c r="W730" s="2">
        <f>ff_portfolios25!W730-ff_factors!$E730</f>
        <v>1.7410000000000004E-3</v>
      </c>
      <c r="X730" s="2">
        <f>ff_portfolios25!X730-ff_factors!$E730</f>
        <v>4.731E-3</v>
      </c>
      <c r="Y730" s="2">
        <f>ff_portfolios25!Y730-ff_factors!$E730</f>
        <v>3.1713999999999999E-2</v>
      </c>
      <c r="Z730" s="2">
        <f>ff_portfolios25!Z730-ff_factors!$E730</f>
        <v>6.0540000000000004E-3</v>
      </c>
      <c r="AA730" s="2">
        <f>ff_portfolios25!AA730-ff_factors!$E730</f>
        <v>-1.9139999999999999E-3</v>
      </c>
      <c r="AB730" s="2">
        <f>ff_portfolios25!AB730-ff_factors!$E730</f>
        <v>-5.6799999999999993E-4</v>
      </c>
    </row>
    <row r="731" spans="1:28" x14ac:dyDescent="0.2">
      <c r="A731">
        <v>19921030</v>
      </c>
      <c r="B731">
        <v>1992</v>
      </c>
      <c r="C731">
        <v>10</v>
      </c>
      <c r="D731" s="2">
        <f>ff_portfolios25!D731-ff_factors!$E731</f>
        <v>2.3945000000000001E-2</v>
      </c>
      <c r="E731" s="2">
        <f>ff_portfolios25!E731-ff_factors!$E731</f>
        <v>1.5345000000000001E-2</v>
      </c>
      <c r="F731" s="2">
        <f>ff_portfolios25!F731-ff_factors!$E731</f>
        <v>2.5454000000000001E-2</v>
      </c>
      <c r="G731" s="2">
        <f>ff_portfolios25!G731-ff_factors!$E731</f>
        <v>2.0222E-2</v>
      </c>
      <c r="H731" s="2">
        <f>ff_portfolios25!H731-ff_factors!$E731</f>
        <v>9.9830000000000006E-3</v>
      </c>
      <c r="I731" s="2">
        <f>ff_portfolios25!I731-ff_factors!$E731</f>
        <v>4.5641000000000001E-2</v>
      </c>
      <c r="J731" s="2">
        <f>ff_portfolios25!J731-ff_factors!$E731</f>
        <v>3.7354999999999999E-2</v>
      </c>
      <c r="K731" s="2">
        <f>ff_portfolios25!K731-ff_factors!$E731</f>
        <v>2.2929999999999999E-2</v>
      </c>
      <c r="L731" s="2">
        <f>ff_portfolios25!L731-ff_factors!$E731</f>
        <v>1.0358000000000001E-2</v>
      </c>
      <c r="M731" s="2">
        <f>ff_portfolios25!M731-ff_factors!$E731</f>
        <v>2.3524E-2</v>
      </c>
      <c r="N731" s="2">
        <f>ff_portfolios25!N731-ff_factors!$E731</f>
        <v>5.7234999999999994E-2</v>
      </c>
      <c r="O731" s="2">
        <f>ff_portfolios25!O731-ff_factors!$E731</f>
        <v>3.3074000000000006E-2</v>
      </c>
      <c r="P731" s="2">
        <f>ff_portfolios25!P731-ff_factors!$E731</f>
        <v>1.5975E-2</v>
      </c>
      <c r="Q731" s="2">
        <f>ff_portfolios25!Q731-ff_factors!$E731</f>
        <v>2.0951000000000001E-2</v>
      </c>
      <c r="R731" s="2">
        <f>ff_portfolios25!R731-ff_factors!$E731</f>
        <v>1.0234E-2</v>
      </c>
      <c r="S731" s="2">
        <f>ff_portfolios25!S731-ff_factors!$E731</f>
        <v>4.6872999999999998E-2</v>
      </c>
      <c r="T731" s="2">
        <f>ff_portfolios25!T731-ff_factors!$E731</f>
        <v>4.9500000000000004E-3</v>
      </c>
      <c r="U731" s="2">
        <f>ff_portfolios25!U731-ff_factors!$E731</f>
        <v>8.0210000000000004E-3</v>
      </c>
      <c r="V731" s="2">
        <f>ff_portfolios25!V731-ff_factors!$E731</f>
        <v>1.8676999999999999E-2</v>
      </c>
      <c r="W731" s="2">
        <f>ff_portfolios25!W731-ff_factors!$E731</f>
        <v>4.6642000000000003E-2</v>
      </c>
      <c r="X731" s="2">
        <f>ff_portfolios25!X731-ff_factors!$E731</f>
        <v>1.8020999999999999E-2</v>
      </c>
      <c r="Y731" s="2">
        <f>ff_portfolios25!Y731-ff_factors!$E731</f>
        <v>1.2897E-2</v>
      </c>
      <c r="Z731" s="2">
        <f>ff_portfolios25!Z731-ff_factors!$E731</f>
        <v>-1.9321000000000001E-2</v>
      </c>
      <c r="AA731" s="2">
        <f>ff_portfolios25!AA731-ff_factors!$E731</f>
        <v>-2.1455999999999999E-2</v>
      </c>
      <c r="AB731" s="2">
        <f>ff_portfolios25!AB731-ff_factors!$E731</f>
        <v>-3.6680000000000003E-3</v>
      </c>
    </row>
    <row r="732" spans="1:28" x14ac:dyDescent="0.2">
      <c r="A732">
        <v>19921130</v>
      </c>
      <c r="B732">
        <v>1992</v>
      </c>
      <c r="C732">
        <v>11</v>
      </c>
      <c r="D732" s="2">
        <f>ff_portfolios25!D732-ff_factors!$E732</f>
        <v>0.102714</v>
      </c>
      <c r="E732" s="2">
        <f>ff_portfolios25!E732-ff_factors!$E732</f>
        <v>0.102462</v>
      </c>
      <c r="F732" s="2">
        <f>ff_portfolios25!F732-ff_factors!$E732</f>
        <v>7.4594000000000008E-2</v>
      </c>
      <c r="G732" s="2">
        <f>ff_portfolios25!G732-ff_factors!$E732</f>
        <v>8.3587000000000009E-2</v>
      </c>
      <c r="H732" s="2">
        <f>ff_portfolios25!H732-ff_factors!$E732</f>
        <v>7.5553000000000009E-2</v>
      </c>
      <c r="I732" s="2">
        <f>ff_portfolios25!I732-ff_factors!$E732</f>
        <v>9.213600000000001E-2</v>
      </c>
      <c r="J732" s="2">
        <f>ff_portfolios25!J732-ff_factors!$E732</f>
        <v>7.9100000000000004E-2</v>
      </c>
      <c r="K732" s="2">
        <f>ff_portfolios25!K732-ff_factors!$E732</f>
        <v>6.3477000000000006E-2</v>
      </c>
      <c r="L732" s="2">
        <f>ff_portfolios25!L732-ff_factors!$E732</f>
        <v>4.2474999999999999E-2</v>
      </c>
      <c r="M732" s="2">
        <f>ff_portfolios25!M732-ff_factors!$E732</f>
        <v>6.4832000000000001E-2</v>
      </c>
      <c r="N732" s="2">
        <f>ff_portfolios25!N732-ff_factors!$E732</f>
        <v>9.541100000000001E-2</v>
      </c>
      <c r="O732" s="2">
        <f>ff_portfolios25!O732-ff_factors!$E732</f>
        <v>6.5439999999999998E-2</v>
      </c>
      <c r="P732" s="2">
        <f>ff_portfolios25!P732-ff_factors!$E732</f>
        <v>5.9420000000000001E-2</v>
      </c>
      <c r="Q732" s="2">
        <f>ff_portfolios25!Q732-ff_factors!$E732</f>
        <v>4.7756000000000007E-2</v>
      </c>
      <c r="R732" s="2">
        <f>ff_portfolios25!R732-ff_factors!$E732</f>
        <v>4.2591000000000004E-2</v>
      </c>
      <c r="S732" s="2">
        <f>ff_portfolios25!S732-ff_factors!$E732</f>
        <v>6.7574000000000009E-2</v>
      </c>
      <c r="T732" s="2">
        <f>ff_portfolios25!T732-ff_factors!$E732</f>
        <v>4.7773999999999997E-2</v>
      </c>
      <c r="U732" s="2">
        <f>ff_portfolios25!U732-ff_factors!$E732</f>
        <v>3.8646E-2</v>
      </c>
      <c r="V732" s="2">
        <f>ff_portfolios25!V732-ff_factors!$E732</f>
        <v>2.5658E-2</v>
      </c>
      <c r="W732" s="2">
        <f>ff_portfolios25!W732-ff_factors!$E732</f>
        <v>3.8314000000000001E-2</v>
      </c>
      <c r="X732" s="2">
        <f>ff_portfolios25!X732-ff_factors!$E732</f>
        <v>3.4726000000000007E-2</v>
      </c>
      <c r="Y732" s="2">
        <f>ff_portfolios25!Y732-ff_factors!$E732</f>
        <v>4.6817999999999999E-2</v>
      </c>
      <c r="Z732" s="2">
        <f>ff_portfolios25!Z732-ff_factors!$E732</f>
        <v>4.5360000000000001E-3</v>
      </c>
      <c r="AA732" s="2">
        <f>ff_portfolios25!AA732-ff_factors!$E732</f>
        <v>2.8757000000000001E-2</v>
      </c>
      <c r="AB732" s="2">
        <f>ff_portfolios25!AB732-ff_factors!$E732</f>
        <v>8.2918000000000006E-2</v>
      </c>
    </row>
    <row r="733" spans="1:28" x14ac:dyDescent="0.2">
      <c r="A733">
        <v>19921231</v>
      </c>
      <c r="B733">
        <v>1992</v>
      </c>
      <c r="C733">
        <v>12</v>
      </c>
      <c r="D733" s="2">
        <f>ff_portfolios25!D733-ff_factors!$E733</f>
        <v>1.1691E-2</v>
      </c>
      <c r="E733" s="2">
        <f>ff_portfolios25!E733-ff_factors!$E733</f>
        <v>3.2684000000000005E-2</v>
      </c>
      <c r="F733" s="2">
        <f>ff_portfolios25!F733-ff_factors!$E733</f>
        <v>4.6459E-2</v>
      </c>
      <c r="G733" s="2">
        <f>ff_portfolios25!G733-ff_factors!$E733</f>
        <v>3.5112000000000004E-2</v>
      </c>
      <c r="H733" s="2">
        <f>ff_portfolios25!H733-ff_factors!$E733</f>
        <v>4.8571000000000003E-2</v>
      </c>
      <c r="I733" s="2">
        <f>ff_portfolios25!I733-ff_factors!$E733</f>
        <v>1.3049999999999999E-2</v>
      </c>
      <c r="J733" s="2">
        <f>ff_portfolios25!J733-ff_factors!$E733</f>
        <v>2.2936999999999999E-2</v>
      </c>
      <c r="K733" s="2">
        <f>ff_portfolios25!K733-ff_factors!$E733</f>
        <v>3.0891999999999999E-2</v>
      </c>
      <c r="L733" s="2">
        <f>ff_portfolios25!L733-ff_factors!$E733</f>
        <v>5.9048000000000003E-2</v>
      </c>
      <c r="M733" s="2">
        <f>ff_portfolios25!M733-ff_factors!$E733</f>
        <v>4.7349000000000002E-2</v>
      </c>
      <c r="N733" s="2">
        <f>ff_portfolios25!N733-ff_factors!$E733</f>
        <v>2.8634999999999997E-2</v>
      </c>
      <c r="O733" s="2">
        <f>ff_portfolios25!O733-ff_factors!$E733</f>
        <v>5.4204000000000002E-2</v>
      </c>
      <c r="P733" s="2">
        <f>ff_portfolios25!P733-ff_factors!$E733</f>
        <v>2.0566999999999998E-2</v>
      </c>
      <c r="Q733" s="2">
        <f>ff_portfolios25!Q733-ff_factors!$E733</f>
        <v>3.8602000000000004E-2</v>
      </c>
      <c r="R733" s="2">
        <f>ff_portfolios25!R733-ff_factors!$E733</f>
        <v>4.1550000000000004E-2</v>
      </c>
      <c r="S733" s="2">
        <f>ff_portfolios25!S733-ff_factors!$E733</f>
        <v>1.1573999999999999E-2</v>
      </c>
      <c r="T733" s="2">
        <f>ff_portfolios25!T733-ff_factors!$E733</f>
        <v>1.6132000000000001E-2</v>
      </c>
      <c r="U733" s="2">
        <f>ff_portfolios25!U733-ff_factors!$E733</f>
        <v>3.8049000000000006E-2</v>
      </c>
      <c r="V733" s="2">
        <f>ff_portfolios25!V733-ff_factors!$E733</f>
        <v>3.9861000000000001E-2</v>
      </c>
      <c r="W733" s="2">
        <f>ff_portfolios25!W733-ff_factors!$E733</f>
        <v>4.1420000000000005E-2</v>
      </c>
      <c r="X733" s="2">
        <f>ff_portfolios25!X733-ff_factors!$E733</f>
        <v>-9.7210000000000005E-3</v>
      </c>
      <c r="Y733" s="2">
        <f>ff_portfolios25!Y733-ff_factors!$E733</f>
        <v>2.9177999999999999E-2</v>
      </c>
      <c r="Z733" s="2">
        <f>ff_portfolios25!Z733-ff_factors!$E733</f>
        <v>2.8041E-2</v>
      </c>
      <c r="AA733" s="2">
        <f>ff_portfolios25!AA733-ff_factors!$E733</f>
        <v>-3.9779999999999998E-3</v>
      </c>
      <c r="AB733" s="2">
        <f>ff_portfolios25!AB733-ff_factors!$E733</f>
        <v>2.572E-2</v>
      </c>
    </row>
    <row r="734" spans="1:28" x14ac:dyDescent="0.2">
      <c r="A734">
        <v>19930129</v>
      </c>
      <c r="B734">
        <v>1993</v>
      </c>
      <c r="C734">
        <v>1</v>
      </c>
      <c r="D734" s="2">
        <f>ff_portfolios25!D734-ff_factors!$E734</f>
        <v>2.4139000000000001E-2</v>
      </c>
      <c r="E734" s="2">
        <f>ff_portfolios25!E734-ff_factors!$E734</f>
        <v>5.4682999999999995E-2</v>
      </c>
      <c r="F734" s="2">
        <f>ff_portfolios25!F734-ff_factors!$E734</f>
        <v>3.6627000000000007E-2</v>
      </c>
      <c r="G734" s="2">
        <f>ff_portfolios25!G734-ff_factors!$E734</f>
        <v>5.5480000000000002E-2</v>
      </c>
      <c r="H734" s="2">
        <f>ff_portfolios25!H734-ff_factors!$E734</f>
        <v>8.0362000000000003E-2</v>
      </c>
      <c r="I734" s="2">
        <f>ff_portfolios25!I734-ff_factors!$E734</f>
        <v>-9.2670000000000009E-3</v>
      </c>
      <c r="J734" s="2">
        <f>ff_portfolios25!J734-ff_factors!$E734</f>
        <v>3.0159000000000002E-2</v>
      </c>
      <c r="K734" s="2">
        <f>ff_portfolios25!K734-ff_factors!$E734</f>
        <v>4.1992000000000002E-2</v>
      </c>
      <c r="L734" s="2">
        <f>ff_portfolios25!L734-ff_factors!$E734</f>
        <v>4.4328000000000006E-2</v>
      </c>
      <c r="M734" s="2">
        <f>ff_portfolios25!M734-ff_factors!$E734</f>
        <v>7.655300000000001E-2</v>
      </c>
      <c r="N734" s="2">
        <f>ff_portfolios25!N734-ff_factors!$E734</f>
        <v>-2.2485999999999999E-2</v>
      </c>
      <c r="O734" s="2">
        <f>ff_portfolios25!O734-ff_factors!$E734</f>
        <v>3.2155000000000003E-2</v>
      </c>
      <c r="P734" s="2">
        <f>ff_portfolios25!P734-ff_factors!$E734</f>
        <v>4.5415999999999998E-2</v>
      </c>
      <c r="Q734" s="2">
        <f>ff_portfolios25!Q734-ff_factors!$E734</f>
        <v>2.8634E-2</v>
      </c>
      <c r="R734" s="2">
        <f>ff_portfolios25!R734-ff_factors!$E734</f>
        <v>4.0275000000000005E-2</v>
      </c>
      <c r="S734" s="2">
        <f>ff_portfolios25!S734-ff_factors!$E734</f>
        <v>7.1730000000000006E-3</v>
      </c>
      <c r="T734" s="2">
        <f>ff_portfolios25!T734-ff_factors!$E734</f>
        <v>1.3079E-2</v>
      </c>
      <c r="U734" s="2">
        <f>ff_portfolios25!U734-ff_factors!$E734</f>
        <v>2.7167E-2</v>
      </c>
      <c r="V734" s="2">
        <f>ff_portfolios25!V734-ff_factors!$E734</f>
        <v>2.5097999999999999E-2</v>
      </c>
      <c r="W734" s="2">
        <f>ff_portfolios25!W734-ff_factors!$E734</f>
        <v>4.3373999999999996E-2</v>
      </c>
      <c r="X734" s="2">
        <f>ff_portfolios25!X734-ff_factors!$E734</f>
        <v>-2.6197999999999999E-2</v>
      </c>
      <c r="Y734" s="2">
        <f>ff_portfolios25!Y734-ff_factors!$E734</f>
        <v>7.4990000000000005E-3</v>
      </c>
      <c r="Z734" s="2">
        <f>ff_portfolios25!Z734-ff_factors!$E734</f>
        <v>5.8019999999999999E-3</v>
      </c>
      <c r="AA734" s="2">
        <f>ff_portfolios25!AA734-ff_factors!$E734</f>
        <v>3.0630000000000001E-2</v>
      </c>
      <c r="AB734" s="2">
        <f>ff_portfolios25!AB734-ff_factors!$E734</f>
        <v>9.073500000000001E-2</v>
      </c>
    </row>
    <row r="735" spans="1:28" x14ac:dyDescent="0.2">
      <c r="A735">
        <v>19930226</v>
      </c>
      <c r="B735">
        <v>1993</v>
      </c>
      <c r="C735">
        <v>2</v>
      </c>
      <c r="D735" s="2">
        <f>ff_portfolios25!D735-ff_factors!$E735</f>
        <v>-7.7786999999999995E-2</v>
      </c>
      <c r="E735" s="2">
        <f>ff_portfolios25!E735-ff_factors!$E735</f>
        <v>-5.2475000000000001E-2</v>
      </c>
      <c r="F735" s="2">
        <f>ff_portfolios25!F735-ff_factors!$E735</f>
        <v>-2.3408000000000002E-2</v>
      </c>
      <c r="G735" s="2">
        <f>ff_portfolios25!G735-ff_factors!$E735</f>
        <v>-7.2230000000000003E-3</v>
      </c>
      <c r="H735" s="2">
        <f>ff_portfolios25!H735-ff_factors!$E735</f>
        <v>5.6010000000000001E-3</v>
      </c>
      <c r="I735" s="2">
        <f>ff_portfolios25!I735-ff_factors!$E735</f>
        <v>-8.1929999999999989E-2</v>
      </c>
      <c r="J735" s="2">
        <f>ff_portfolios25!J735-ff_factors!$E735</f>
        <v>-4.8098000000000002E-2</v>
      </c>
      <c r="K735" s="2">
        <f>ff_portfolios25!K735-ff_factors!$E735</f>
        <v>-4.7720000000000002E-3</v>
      </c>
      <c r="L735" s="2">
        <f>ff_portfolios25!L735-ff_factors!$E735</f>
        <v>2.4881999999999998E-2</v>
      </c>
      <c r="M735" s="2">
        <f>ff_portfolios25!M735-ff_factors!$E735</f>
        <v>1.5479E-2</v>
      </c>
      <c r="N735" s="2">
        <f>ff_portfolios25!N735-ff_factors!$E735</f>
        <v>-8.2570999999999992E-2</v>
      </c>
      <c r="O735" s="2">
        <f>ff_portfolios25!O735-ff_factors!$E735</f>
        <v>8.92E-4</v>
      </c>
      <c r="P735" s="2">
        <f>ff_portfolios25!P735-ff_factors!$E735</f>
        <v>1.2806999999999999E-2</v>
      </c>
      <c r="Q735" s="2">
        <f>ff_portfolios25!Q735-ff_factors!$E735</f>
        <v>2.2959999999999999E-3</v>
      </c>
      <c r="R735" s="2">
        <f>ff_portfolios25!R735-ff_factors!$E735</f>
        <v>3.3313999999999996E-2</v>
      </c>
      <c r="S735" s="2">
        <f>ff_portfolios25!S735-ff_factors!$E735</f>
        <v>-5.2511000000000002E-2</v>
      </c>
      <c r="T735" s="2">
        <f>ff_portfolios25!T735-ff_factors!$E735</f>
        <v>1.532E-2</v>
      </c>
      <c r="U735" s="2">
        <f>ff_portfolios25!U735-ff_factors!$E735</f>
        <v>1.3503999999999999E-2</v>
      </c>
      <c r="V735" s="2">
        <f>ff_portfolios25!V735-ff_factors!$E735</f>
        <v>2.7198E-2</v>
      </c>
      <c r="W735" s="2">
        <f>ff_portfolios25!W735-ff_factors!$E735</f>
        <v>2.1808000000000001E-2</v>
      </c>
      <c r="X735" s="2">
        <f>ff_portfolios25!X735-ff_factors!$E735</f>
        <v>-3.2397999999999996E-2</v>
      </c>
      <c r="Y735" s="2">
        <f>ff_portfolios25!Y735-ff_factors!$E735</f>
        <v>2.0195999999999999E-2</v>
      </c>
      <c r="Z735" s="2">
        <f>ff_portfolios25!Z735-ff_factors!$E735</f>
        <v>4.8347000000000001E-2</v>
      </c>
      <c r="AA735" s="2">
        <f>ff_portfolios25!AA735-ff_factors!$E735</f>
        <v>4.6861E-2</v>
      </c>
      <c r="AB735" s="2">
        <f>ff_portfolios25!AB735-ff_factors!$E735</f>
        <v>1.8763999999999999E-2</v>
      </c>
    </row>
    <row r="736" spans="1:28" x14ac:dyDescent="0.2">
      <c r="A736">
        <v>19930331</v>
      </c>
      <c r="B736">
        <v>1993</v>
      </c>
      <c r="C736">
        <v>3</v>
      </c>
      <c r="D736" s="2">
        <f>ff_portfolios25!D736-ff_factors!$E736</f>
        <v>3.1870000000000002E-3</v>
      </c>
      <c r="E736" s="2">
        <f>ff_portfolios25!E736-ff_factors!$E736</f>
        <v>1.4781999999999998E-2</v>
      </c>
      <c r="F736" s="2">
        <f>ff_portfolios25!F736-ff_factors!$E736</f>
        <v>3.4088E-2</v>
      </c>
      <c r="G736" s="2">
        <f>ff_portfolios25!G736-ff_factors!$E736</f>
        <v>2.2958000000000003E-2</v>
      </c>
      <c r="H736" s="2">
        <f>ff_portfolios25!H736-ff_factors!$E736</f>
        <v>4.7357999999999997E-2</v>
      </c>
      <c r="I736" s="2">
        <f>ff_portfolios25!I736-ff_factors!$E736</f>
        <v>7.2139999999999999E-3</v>
      </c>
      <c r="J736" s="2">
        <f>ff_portfolios25!J736-ff_factors!$E736</f>
        <v>2.2014000000000002E-2</v>
      </c>
      <c r="K736" s="2">
        <f>ff_portfolios25!K736-ff_factors!$E736</f>
        <v>3.6635000000000001E-2</v>
      </c>
      <c r="L736" s="2">
        <f>ff_portfolios25!L736-ff_factors!$E736</f>
        <v>1.8586000000000002E-2</v>
      </c>
      <c r="M736" s="2">
        <f>ff_portfolios25!M736-ff_factors!$E736</f>
        <v>3.3950000000000001E-2</v>
      </c>
      <c r="N736" s="2">
        <f>ff_portfolios25!N736-ff_factors!$E736</f>
        <v>4.5906999999999996E-2</v>
      </c>
      <c r="O736" s="2">
        <f>ff_portfolios25!O736-ff_factors!$E736</f>
        <v>2.9412000000000004E-2</v>
      </c>
      <c r="P736" s="2">
        <f>ff_portfolios25!P736-ff_factors!$E736</f>
        <v>2.8863000000000003E-2</v>
      </c>
      <c r="Q736" s="2">
        <f>ff_portfolios25!Q736-ff_factors!$E736</f>
        <v>2.8487000000000002E-2</v>
      </c>
      <c r="R736" s="2">
        <f>ff_portfolios25!R736-ff_factors!$E736</f>
        <v>5.9998999999999997E-2</v>
      </c>
      <c r="S736" s="2">
        <f>ff_portfolios25!S736-ff_factors!$E736</f>
        <v>2.5959000000000003E-2</v>
      </c>
      <c r="T736" s="2">
        <f>ff_portfolios25!T736-ff_factors!$E736</f>
        <v>4.7019999999999999E-2</v>
      </c>
      <c r="U736" s="2">
        <f>ff_portfolios25!U736-ff_factors!$E736</f>
        <v>3.7143999999999996E-2</v>
      </c>
      <c r="V736" s="2">
        <f>ff_portfolios25!V736-ff_factors!$E736</f>
        <v>3.0530999999999999E-2</v>
      </c>
      <c r="W736" s="2">
        <f>ff_portfolios25!W736-ff_factors!$E736</f>
        <v>1.7313000000000002E-2</v>
      </c>
      <c r="X736" s="2">
        <f>ff_portfolios25!X736-ff_factors!$E736</f>
        <v>4.5419999999999992E-3</v>
      </c>
      <c r="Y736" s="2">
        <f>ff_portfolios25!Y736-ff_factors!$E736</f>
        <v>3.3165E-2</v>
      </c>
      <c r="Z736" s="2">
        <f>ff_portfolios25!Z736-ff_factors!$E736</f>
        <v>3.0687000000000002E-2</v>
      </c>
      <c r="AA736" s="2">
        <f>ff_portfolios25!AA736-ff_factors!$E736</f>
        <v>4.7760000000000007E-3</v>
      </c>
      <c r="AB736" s="2">
        <f>ff_portfolios25!AB736-ff_factors!$E736</f>
        <v>3.1826E-2</v>
      </c>
    </row>
    <row r="737" spans="1:28" x14ac:dyDescent="0.2">
      <c r="A737">
        <v>19930430</v>
      </c>
      <c r="B737">
        <v>1993</v>
      </c>
      <c r="C737">
        <v>4</v>
      </c>
      <c r="D737" s="2">
        <f>ff_portfolios25!D737-ff_factors!$E737</f>
        <v>-4.2132000000000003E-2</v>
      </c>
      <c r="E737" s="2">
        <f>ff_portfolios25!E737-ff_factors!$E737</f>
        <v>-4.7305E-2</v>
      </c>
      <c r="F737" s="2">
        <f>ff_portfolios25!F737-ff_factors!$E737</f>
        <v>-3.1615999999999998E-2</v>
      </c>
      <c r="G737" s="2">
        <f>ff_portfolios25!G737-ff_factors!$E737</f>
        <v>-2.5412999999999998E-2</v>
      </c>
      <c r="H737" s="2">
        <f>ff_portfolios25!H737-ff_factors!$E737</f>
        <v>-1.5028999999999999E-2</v>
      </c>
      <c r="I737" s="2">
        <f>ff_portfolios25!I737-ff_factors!$E737</f>
        <v>-3.4522999999999998E-2</v>
      </c>
      <c r="J737" s="2">
        <f>ff_portfolios25!J737-ff_factors!$E737</f>
        <v>-3.3946999999999998E-2</v>
      </c>
      <c r="K737" s="2">
        <f>ff_portfolios25!K737-ff_factors!$E737</f>
        <v>-1.8936999999999999E-2</v>
      </c>
      <c r="L737" s="2">
        <f>ff_portfolios25!L737-ff_factors!$E737</f>
        <v>-2.5676000000000001E-2</v>
      </c>
      <c r="M737" s="2">
        <f>ff_portfolios25!M737-ff_factors!$E737</f>
        <v>-4.5030000000000001E-2</v>
      </c>
      <c r="N737" s="2">
        <f>ff_portfolios25!N737-ff_factors!$E737</f>
        <v>-4.5975999999999996E-2</v>
      </c>
      <c r="O737" s="2">
        <f>ff_portfolios25!O737-ff_factors!$E737</f>
        <v>-3.0003999999999999E-2</v>
      </c>
      <c r="P737" s="2">
        <f>ff_portfolios25!P737-ff_factors!$E737</f>
        <v>-3.1740999999999998E-2</v>
      </c>
      <c r="Q737" s="2">
        <f>ff_portfolios25!Q737-ff_factors!$E737</f>
        <v>-1.8352999999999998E-2</v>
      </c>
      <c r="R737" s="2">
        <f>ff_portfolios25!R737-ff_factors!$E737</f>
        <v>-1.6811E-2</v>
      </c>
      <c r="S737" s="2">
        <f>ff_portfolios25!S737-ff_factors!$E737</f>
        <v>-5.2533999999999997E-2</v>
      </c>
      <c r="T737" s="2">
        <f>ff_portfolios25!T737-ff_factors!$E737</f>
        <v>-2.7768999999999999E-2</v>
      </c>
      <c r="U737" s="2">
        <f>ff_portfolios25!U737-ff_factors!$E737</f>
        <v>-2.0236000000000001E-2</v>
      </c>
      <c r="V737" s="2">
        <f>ff_portfolios25!V737-ff_factors!$E737</f>
        <v>-1.8404E-2</v>
      </c>
      <c r="W737" s="2">
        <f>ff_portfolios25!W737-ff_factors!$E737</f>
        <v>-2.1304E-2</v>
      </c>
      <c r="X737" s="2">
        <f>ff_portfolios25!X737-ff_factors!$E737</f>
        <v>-6.1992999999999999E-2</v>
      </c>
      <c r="Y737" s="2">
        <f>ff_portfolios25!Y737-ff_factors!$E737</f>
        <v>-2.4813999999999999E-2</v>
      </c>
      <c r="Z737" s="2">
        <f>ff_portfolios25!Z737-ff_factors!$E737</f>
        <v>-4.8669999999999998E-3</v>
      </c>
      <c r="AA737" s="2">
        <f>ff_portfolios25!AA737-ff_factors!$E737</f>
        <v>-1.8003000000000002E-2</v>
      </c>
      <c r="AB737" s="2">
        <f>ff_portfolios25!AB737-ff_factors!$E737</f>
        <v>8.9370000000000005E-3</v>
      </c>
    </row>
    <row r="738" spans="1:28" x14ac:dyDescent="0.2">
      <c r="A738">
        <v>19930528</v>
      </c>
      <c r="B738">
        <v>1993</v>
      </c>
      <c r="C738">
        <v>5</v>
      </c>
      <c r="D738" s="2">
        <f>ff_portfolios25!D738-ff_factors!$E738</f>
        <v>5.3006999999999999E-2</v>
      </c>
      <c r="E738" s="2">
        <f>ff_portfolios25!E738-ff_factors!$E738</f>
        <v>4.1706E-2</v>
      </c>
      <c r="F738" s="2">
        <f>ff_portfolios25!F738-ff_factors!$E738</f>
        <v>3.5091999999999998E-2</v>
      </c>
      <c r="G738" s="2">
        <f>ff_portfolios25!G738-ff_factors!$E738</f>
        <v>2.8478E-2</v>
      </c>
      <c r="H738" s="2">
        <f>ff_portfolios25!H738-ff_factors!$E738</f>
        <v>4.4760000000000001E-2</v>
      </c>
      <c r="I738" s="2">
        <f>ff_portfolios25!I738-ff_factors!$E738</f>
        <v>6.7210000000000006E-2</v>
      </c>
      <c r="J738" s="2">
        <f>ff_portfolios25!J738-ff_factors!$E738</f>
        <v>4.3595000000000002E-2</v>
      </c>
      <c r="K738" s="2">
        <f>ff_portfolios25!K738-ff_factors!$E738</f>
        <v>3.1932999999999996E-2</v>
      </c>
      <c r="L738" s="2">
        <f>ff_portfolios25!L738-ff_factors!$E738</f>
        <v>1.3617000000000001E-2</v>
      </c>
      <c r="M738" s="2">
        <f>ff_portfolios25!M738-ff_factors!$E738</f>
        <v>3.9403000000000001E-2</v>
      </c>
      <c r="N738" s="2">
        <f>ff_portfolios25!N738-ff_factors!$E738</f>
        <v>7.5474000000000013E-2</v>
      </c>
      <c r="O738" s="2">
        <f>ff_portfolios25!O738-ff_factors!$E738</f>
        <v>6.392500000000001E-2</v>
      </c>
      <c r="P738" s="2">
        <f>ff_portfolios25!P738-ff_factors!$E738</f>
        <v>3.1106000000000002E-2</v>
      </c>
      <c r="Q738" s="2">
        <f>ff_portfolios25!Q738-ff_factors!$E738</f>
        <v>1.6775999999999999E-2</v>
      </c>
      <c r="R738" s="2">
        <f>ff_portfolios25!R738-ff_factors!$E738</f>
        <v>2.0242E-2</v>
      </c>
      <c r="S738" s="2">
        <f>ff_portfolios25!S738-ff_factors!$E738</f>
        <v>6.7407000000000009E-2</v>
      </c>
      <c r="T738" s="2">
        <f>ff_portfolios25!T738-ff_factors!$E738</f>
        <v>3.8717000000000001E-2</v>
      </c>
      <c r="U738" s="2">
        <f>ff_portfolios25!U738-ff_factors!$E738</f>
        <v>1.7342E-2</v>
      </c>
      <c r="V738" s="2">
        <f>ff_portfolios25!V738-ff_factors!$E738</f>
        <v>9.4889999999999992E-3</v>
      </c>
      <c r="W738" s="2">
        <f>ff_portfolios25!W738-ff_factors!$E738</f>
        <v>2.4850999999999998E-2</v>
      </c>
      <c r="X738" s="2">
        <f>ff_portfolios25!X738-ff_factors!$E738</f>
        <v>2.9135000000000001E-2</v>
      </c>
      <c r="Y738" s="2">
        <f>ff_portfolios25!Y738-ff_factors!$E738</f>
        <v>4.2265999999999998E-2</v>
      </c>
      <c r="Z738" s="2">
        <f>ff_portfolios25!Z738-ff_factors!$E738</f>
        <v>1.1637E-2</v>
      </c>
      <c r="AA738" s="2">
        <f>ff_portfolios25!AA738-ff_factors!$E738</f>
        <v>1.5310999999999998E-2</v>
      </c>
      <c r="AB738" s="2">
        <f>ff_portfolios25!AB738-ff_factors!$E738</f>
        <v>-7.3139999999999993E-3</v>
      </c>
    </row>
    <row r="739" spans="1:28" x14ac:dyDescent="0.2">
      <c r="A739">
        <v>19930630</v>
      </c>
      <c r="B739">
        <v>1993</v>
      </c>
      <c r="C739">
        <v>6</v>
      </c>
      <c r="D739" s="2">
        <f>ff_portfolios25!D739-ff_factors!$E739</f>
        <v>-1.9923999999999997E-2</v>
      </c>
      <c r="E739" s="2">
        <f>ff_portfolios25!E739-ff_factors!$E739</f>
        <v>2.892E-3</v>
      </c>
      <c r="F739" s="2">
        <f>ff_portfolios25!F739-ff_factors!$E739</f>
        <v>-2.0739999999999999E-3</v>
      </c>
      <c r="G739" s="2">
        <f>ff_portfolios25!G739-ff_factors!$E739</f>
        <v>-9.9109999999999997E-3</v>
      </c>
      <c r="H739" s="2">
        <f>ff_portfolios25!H739-ff_factors!$E739</f>
        <v>1.78E-2</v>
      </c>
      <c r="I739" s="2">
        <f>ff_portfolios25!I739-ff_factors!$E739</f>
        <v>-6.123E-3</v>
      </c>
      <c r="J739" s="2">
        <f>ff_portfolios25!J739-ff_factors!$E739</f>
        <v>4.8929999999999998E-3</v>
      </c>
      <c r="K739" s="2">
        <f>ff_portfolios25!K739-ff_factors!$E739</f>
        <v>3.0459999999999997E-3</v>
      </c>
      <c r="L739" s="2">
        <f>ff_portfolios25!L739-ff_factors!$E739</f>
        <v>9.8700000000000003E-4</v>
      </c>
      <c r="M739" s="2">
        <f>ff_portfolios25!M739-ff_factors!$E739</f>
        <v>2.0481000000000003E-2</v>
      </c>
      <c r="N739" s="2">
        <f>ff_portfolios25!N739-ff_factors!$E739</f>
        <v>-1.0425E-2</v>
      </c>
      <c r="O739" s="2">
        <f>ff_portfolios25!O739-ff_factors!$E739</f>
        <v>1.1589999999999999E-3</v>
      </c>
      <c r="P739" s="2">
        <f>ff_portfolios25!P739-ff_factors!$E739</f>
        <v>1.4257000000000001E-2</v>
      </c>
      <c r="Q739" s="2">
        <f>ff_portfolios25!Q739-ff_factors!$E739</f>
        <v>2.3106000000000002E-2</v>
      </c>
      <c r="R739" s="2">
        <f>ff_portfolios25!R739-ff_factors!$E739</f>
        <v>7.2589999999999998E-3</v>
      </c>
      <c r="S739" s="2">
        <f>ff_portfolios25!S739-ff_factors!$E739</f>
        <v>5.6930000000000001E-3</v>
      </c>
      <c r="T739" s="2">
        <f>ff_portfolios25!T739-ff_factors!$E739</f>
        <v>3.2739999999999996E-3</v>
      </c>
      <c r="U739" s="2">
        <f>ff_portfolios25!U739-ff_factors!$E739</f>
        <v>2.0613000000000003E-2</v>
      </c>
      <c r="V739" s="2">
        <f>ff_portfolios25!V739-ff_factors!$E739</f>
        <v>9.0479999999999988E-3</v>
      </c>
      <c r="W739" s="2">
        <f>ff_portfolios25!W739-ff_factors!$E739</f>
        <v>3.5707999999999997E-2</v>
      </c>
      <c r="X739" s="2">
        <f>ff_portfolios25!X739-ff_factors!$E739</f>
        <v>-2.708E-2</v>
      </c>
      <c r="Y739" s="2">
        <f>ff_portfolios25!Y739-ff_factors!$E739</f>
        <v>7.9670000000000001E-3</v>
      </c>
      <c r="Z739" s="2">
        <f>ff_portfolios25!Z739-ff_factors!$E739</f>
        <v>1.4726999999999999E-2</v>
      </c>
      <c r="AA739" s="2">
        <f>ff_portfolios25!AA739-ff_factors!$E739</f>
        <v>1.5285999999999999E-2</v>
      </c>
      <c r="AB739" s="2">
        <f>ff_portfolios25!AB739-ff_factors!$E739</f>
        <v>4.5869E-2</v>
      </c>
    </row>
    <row r="740" spans="1:28" x14ac:dyDescent="0.2">
      <c r="A740">
        <v>19930730</v>
      </c>
      <c r="B740">
        <v>1993</v>
      </c>
      <c r="C740">
        <v>7</v>
      </c>
      <c r="D740" s="2">
        <f>ff_portfolios25!D740-ff_factors!$E740</f>
        <v>-1.789E-2</v>
      </c>
      <c r="E740" s="2">
        <f>ff_portfolios25!E740-ff_factors!$E740</f>
        <v>-7.0349999999999996E-3</v>
      </c>
      <c r="F740" s="2">
        <f>ff_portfolios25!F740-ff_factors!$E740</f>
        <v>7.051E-3</v>
      </c>
      <c r="G740" s="2">
        <f>ff_portfolios25!G740-ff_factors!$E740</f>
        <v>1.975E-2</v>
      </c>
      <c r="H740" s="2">
        <f>ff_portfolios25!H740-ff_factors!$E740</f>
        <v>3.0704000000000002E-2</v>
      </c>
      <c r="I740" s="2">
        <f>ff_portfolios25!I740-ff_factors!$E740</f>
        <v>-3.3579999999999999E-3</v>
      </c>
      <c r="J740" s="2">
        <f>ff_portfolios25!J740-ff_factors!$E740</f>
        <v>1.9689999999999998E-3</v>
      </c>
      <c r="K740" s="2">
        <f>ff_portfolios25!K740-ff_factors!$E740</f>
        <v>9.6270000000000001E-3</v>
      </c>
      <c r="L740" s="2">
        <f>ff_portfolios25!L740-ff_factors!$E740</f>
        <v>2.6239999999999999E-2</v>
      </c>
      <c r="M740" s="2">
        <f>ff_portfolios25!M740-ff_factors!$E740</f>
        <v>1.6863E-2</v>
      </c>
      <c r="N740" s="2">
        <f>ff_portfolios25!N740-ff_factors!$E740</f>
        <v>-6.038E-3</v>
      </c>
      <c r="O740" s="2">
        <f>ff_portfolios25!O740-ff_factors!$E740</f>
        <v>-1.5109999999999998E-3</v>
      </c>
      <c r="P740" s="2">
        <f>ff_portfolios25!P740-ff_factors!$E740</f>
        <v>7.7630000000000008E-3</v>
      </c>
      <c r="Q740" s="2">
        <f>ff_portfolios25!Q740-ff_factors!$E740</f>
        <v>2.0805000000000001E-2</v>
      </c>
      <c r="R740" s="2">
        <f>ff_portfolios25!R740-ff_factors!$E740</f>
        <v>-7.0179999999999999E-3</v>
      </c>
      <c r="S740" s="2">
        <f>ff_portfolios25!S740-ff_factors!$E740</f>
        <v>-2.8261999999999999E-2</v>
      </c>
      <c r="T740" s="2">
        <f>ff_portfolios25!T740-ff_factors!$E740</f>
        <v>9.8240000000000011E-3</v>
      </c>
      <c r="U740" s="2">
        <f>ff_portfolios25!U740-ff_factors!$E740</f>
        <v>8.5880000000000001E-3</v>
      </c>
      <c r="V740" s="2">
        <f>ff_portfolios25!V740-ff_factors!$E740</f>
        <v>2.0033000000000002E-2</v>
      </c>
      <c r="W740" s="2">
        <f>ff_portfolios25!W740-ff_factors!$E740</f>
        <v>9.6700000000000041E-4</v>
      </c>
      <c r="X740" s="2">
        <f>ff_portfolios25!X740-ff_factors!$E740</f>
        <v>-3.7185999999999997E-2</v>
      </c>
      <c r="Y740" s="2">
        <f>ff_portfolios25!Y740-ff_factors!$E740</f>
        <v>4.4100000000000042E-4</v>
      </c>
      <c r="Z740" s="2">
        <f>ff_portfolios25!Z740-ff_factors!$E740</f>
        <v>7.5440000000000004E-3</v>
      </c>
      <c r="AA740" s="2">
        <f>ff_portfolios25!AA740-ff_factors!$E740</f>
        <v>2.2498000000000001E-2</v>
      </c>
      <c r="AB740" s="2">
        <f>ff_portfolios25!AB740-ff_factors!$E740</f>
        <v>3.2230000000000006E-3</v>
      </c>
    </row>
    <row r="741" spans="1:28" x14ac:dyDescent="0.2">
      <c r="A741">
        <v>19930831</v>
      </c>
      <c r="B741">
        <v>1993</v>
      </c>
      <c r="C741">
        <v>8</v>
      </c>
      <c r="D741" s="2">
        <f>ff_portfolios25!D741-ff_factors!$E741</f>
        <v>3.6406999999999995E-2</v>
      </c>
      <c r="E741" s="2">
        <f>ff_portfolios25!E741-ff_factors!$E741</f>
        <v>4.8305999999999995E-2</v>
      </c>
      <c r="F741" s="2">
        <f>ff_portfolios25!F741-ff_factors!$E741</f>
        <v>3.4446999999999998E-2</v>
      </c>
      <c r="G741" s="2">
        <f>ff_portfolios25!G741-ff_factors!$E741</f>
        <v>3.1120999999999999E-2</v>
      </c>
      <c r="H741" s="2">
        <f>ff_portfolios25!H741-ff_factors!$E741</f>
        <v>2.9090000000000001E-2</v>
      </c>
      <c r="I741" s="2">
        <f>ff_portfolios25!I741-ff_factors!$E741</f>
        <v>3.3026E-2</v>
      </c>
      <c r="J741" s="2">
        <f>ff_portfolios25!J741-ff_factors!$E741</f>
        <v>5.6001999999999996E-2</v>
      </c>
      <c r="K741" s="2">
        <f>ff_portfolios25!K741-ff_factors!$E741</f>
        <v>4.6227999999999998E-2</v>
      </c>
      <c r="L741" s="2">
        <f>ff_portfolios25!L741-ff_factors!$E741</f>
        <v>5.1232E-2</v>
      </c>
      <c r="M741" s="2">
        <f>ff_portfolios25!M741-ff_factors!$E741</f>
        <v>3.1821999999999996E-2</v>
      </c>
      <c r="N741" s="2">
        <f>ff_portfolios25!N741-ff_factors!$E741</f>
        <v>3.8688E-2</v>
      </c>
      <c r="O741" s="2">
        <f>ff_portfolios25!O741-ff_factors!$E741</f>
        <v>4.5946999999999995E-2</v>
      </c>
      <c r="P741" s="2">
        <f>ff_portfolios25!P741-ff_factors!$E741</f>
        <v>3.3077999999999996E-2</v>
      </c>
      <c r="Q741" s="2">
        <f>ff_portfolios25!Q741-ff_factors!$E741</f>
        <v>2.8004000000000001E-2</v>
      </c>
      <c r="R741" s="2">
        <f>ff_portfolios25!R741-ff_factors!$E741</f>
        <v>2.6517000000000002E-2</v>
      </c>
      <c r="S741" s="2">
        <f>ff_portfolios25!S741-ff_factors!$E741</f>
        <v>5.9734999999999996E-2</v>
      </c>
      <c r="T741" s="2">
        <f>ff_portfolios25!T741-ff_factors!$E741</f>
        <v>3.2209999999999996E-2</v>
      </c>
      <c r="U741" s="2">
        <f>ff_portfolios25!U741-ff_factors!$E741</f>
        <v>4.5176999999999995E-2</v>
      </c>
      <c r="V741" s="2">
        <f>ff_portfolios25!V741-ff_factors!$E741</f>
        <v>3.2715999999999995E-2</v>
      </c>
      <c r="W741" s="2">
        <f>ff_portfolios25!W741-ff_factors!$E741</f>
        <v>4.8753999999999999E-2</v>
      </c>
      <c r="X741" s="2">
        <f>ff_portfolios25!X741-ff_factors!$E741</f>
        <v>3.4478999999999996E-2</v>
      </c>
      <c r="Y741" s="2">
        <f>ff_portfolios25!Y741-ff_factors!$E741</f>
        <v>1.8741000000000001E-2</v>
      </c>
      <c r="Z741" s="2">
        <f>ff_portfolios25!Z741-ff_factors!$E741</f>
        <v>3.8702999999999994E-2</v>
      </c>
      <c r="AA741" s="2">
        <f>ff_portfolios25!AA741-ff_factors!$E741</f>
        <v>4.0710999999999997E-2</v>
      </c>
      <c r="AB741" s="2">
        <f>ff_portfolios25!AB741-ff_factors!$E741</f>
        <v>2.1254000000000002E-2</v>
      </c>
    </row>
    <row r="742" spans="1:28" x14ac:dyDescent="0.2">
      <c r="A742">
        <v>19930930</v>
      </c>
      <c r="B742">
        <v>1993</v>
      </c>
      <c r="C742">
        <v>9</v>
      </c>
      <c r="D742" s="2">
        <f>ff_portfolios25!D742-ff_factors!$E742</f>
        <v>2.1517000000000001E-2</v>
      </c>
      <c r="E742" s="2">
        <f>ff_portfolios25!E742-ff_factors!$E742</f>
        <v>2.0194999999999998E-2</v>
      </c>
      <c r="F742" s="2">
        <f>ff_portfolios25!F742-ff_factors!$E742</f>
        <v>2.6875999999999997E-2</v>
      </c>
      <c r="G742" s="2">
        <f>ff_portfolios25!G742-ff_factors!$E742</f>
        <v>2.6507999999999997E-2</v>
      </c>
      <c r="H742" s="2">
        <f>ff_portfolios25!H742-ff_factors!$E742</f>
        <v>3.1077E-2</v>
      </c>
      <c r="I742" s="2">
        <f>ff_portfolios25!I742-ff_factors!$E742</f>
        <v>3.4328000000000004E-2</v>
      </c>
      <c r="J742" s="2">
        <f>ff_portfolios25!J742-ff_factors!$E742</f>
        <v>3.3437000000000001E-2</v>
      </c>
      <c r="K742" s="2">
        <f>ff_portfolios25!K742-ff_factors!$E742</f>
        <v>2.0853999999999998E-2</v>
      </c>
      <c r="L742" s="2">
        <f>ff_portfolios25!L742-ff_factors!$E742</f>
        <v>2.0050999999999999E-2</v>
      </c>
      <c r="M742" s="2">
        <f>ff_portfolios25!M742-ff_factors!$E742</f>
        <v>1.8796E-2</v>
      </c>
      <c r="N742" s="2">
        <f>ff_portfolios25!N742-ff_factors!$E742</f>
        <v>3.7909000000000005E-2</v>
      </c>
      <c r="O742" s="2">
        <f>ff_portfolios25!O742-ff_factors!$E742</f>
        <v>6.4130000000000003E-3</v>
      </c>
      <c r="P742" s="2">
        <f>ff_portfolios25!P742-ff_factors!$E742</f>
        <v>9.9150000000000002E-3</v>
      </c>
      <c r="Q742" s="2">
        <f>ff_portfolios25!Q742-ff_factors!$E742</f>
        <v>1.3712E-2</v>
      </c>
      <c r="R742" s="2">
        <f>ff_portfolios25!R742-ff_factors!$E742</f>
        <v>1.3500000000000005E-3</v>
      </c>
      <c r="S742" s="2">
        <f>ff_portfolios25!S742-ff_factors!$E742</f>
        <v>9.4200000000000013E-4</v>
      </c>
      <c r="T742" s="2">
        <f>ff_portfolios25!T742-ff_factors!$E742</f>
        <v>1.8357999999999999E-2</v>
      </c>
      <c r="U742" s="2">
        <f>ff_portfolios25!U742-ff_factors!$E742</f>
        <v>6.5600000000000033E-4</v>
      </c>
      <c r="V742" s="2">
        <f>ff_portfolios25!V742-ff_factors!$E742</f>
        <v>-1.1186999999999999E-2</v>
      </c>
      <c r="W742" s="2">
        <f>ff_portfolios25!W742-ff_factors!$E742</f>
        <v>-7.5509999999999996E-3</v>
      </c>
      <c r="X742" s="2">
        <f>ff_portfolios25!X742-ff_factors!$E742</f>
        <v>-1.1384999999999999E-2</v>
      </c>
      <c r="Y742" s="2">
        <f>ff_portfolios25!Y742-ff_factors!$E742</f>
        <v>-1.9186000000000002E-2</v>
      </c>
      <c r="Z742" s="2">
        <f>ff_portfolios25!Z742-ff_factors!$E742</f>
        <v>-3.2329999999999998E-3</v>
      </c>
      <c r="AA742" s="2">
        <f>ff_portfolios25!AA742-ff_factors!$E742</f>
        <v>1.1123000000000001E-2</v>
      </c>
      <c r="AB742" s="2">
        <f>ff_portfolios25!AB742-ff_factors!$E742</f>
        <v>-3.5178000000000001E-2</v>
      </c>
    </row>
    <row r="743" spans="1:28" x14ac:dyDescent="0.2">
      <c r="A743">
        <v>19931029</v>
      </c>
      <c r="B743">
        <v>1993</v>
      </c>
      <c r="C743">
        <v>10</v>
      </c>
      <c r="D743" s="2">
        <f>ff_portfolios25!D743-ff_factors!$E743</f>
        <v>4.8634999999999998E-2</v>
      </c>
      <c r="E743" s="2">
        <f>ff_portfolios25!E743-ff_factors!$E743</f>
        <v>4.5982999999999996E-2</v>
      </c>
      <c r="F743" s="2">
        <f>ff_portfolios25!F743-ff_factors!$E743</f>
        <v>4.3661999999999999E-2</v>
      </c>
      <c r="G743" s="2">
        <f>ff_portfolios25!G743-ff_factors!$E743</f>
        <v>4.0440999999999998E-2</v>
      </c>
      <c r="H743" s="2">
        <f>ff_portfolios25!H743-ff_factors!$E743</f>
        <v>4.2099999999999999E-2</v>
      </c>
      <c r="I743" s="2">
        <f>ff_portfolios25!I743-ff_factors!$E743</f>
        <v>3.7118999999999999E-2</v>
      </c>
      <c r="J743" s="2">
        <f>ff_portfolios25!J743-ff_factors!$E743</f>
        <v>1.8933999999999999E-2</v>
      </c>
      <c r="K743" s="2">
        <f>ff_portfolios25!K743-ff_factors!$E743</f>
        <v>5.7399999999999986E-3</v>
      </c>
      <c r="L743" s="2">
        <f>ff_portfolios25!L743-ff_factors!$E743</f>
        <v>1.0563999999999999E-2</v>
      </c>
      <c r="M743" s="2">
        <f>ff_portfolios25!M743-ff_factors!$E743</f>
        <v>5.7859999999999995E-3</v>
      </c>
      <c r="N743" s="2">
        <f>ff_portfolios25!N743-ff_factors!$E743</f>
        <v>1.728E-2</v>
      </c>
      <c r="O743" s="2">
        <f>ff_portfolios25!O743-ff_factors!$E743</f>
        <v>-1.4207000000000001E-2</v>
      </c>
      <c r="P743" s="2">
        <f>ff_portfolios25!P743-ff_factors!$E743</f>
        <v>4.6269999999999992E-3</v>
      </c>
      <c r="Q743" s="2">
        <f>ff_portfolios25!Q743-ff_factors!$E743</f>
        <v>-1.7480000000000002E-3</v>
      </c>
      <c r="R743" s="2">
        <f>ff_portfolios25!R743-ff_factors!$E743</f>
        <v>3.8644999999999999E-2</v>
      </c>
      <c r="S743" s="2">
        <f>ff_portfolios25!S743-ff_factors!$E743</f>
        <v>3.0831999999999998E-2</v>
      </c>
      <c r="T743" s="2">
        <f>ff_portfolios25!T743-ff_factors!$E743</f>
        <v>1.395E-3</v>
      </c>
      <c r="U743" s="2">
        <f>ff_portfolios25!U743-ff_factors!$E743</f>
        <v>-7.561E-3</v>
      </c>
      <c r="V743" s="2">
        <f>ff_portfolios25!V743-ff_factors!$E743</f>
        <v>-1.0961E-2</v>
      </c>
      <c r="W743" s="2">
        <f>ff_portfolios25!W743-ff_factors!$E743</f>
        <v>-1.4503E-2</v>
      </c>
      <c r="X743" s="2">
        <f>ff_portfolios25!X743-ff_factors!$E743</f>
        <v>3.9105000000000001E-2</v>
      </c>
      <c r="Y743" s="2">
        <f>ff_portfolios25!Y743-ff_factors!$E743</f>
        <v>3.2530000000000002E-3</v>
      </c>
      <c r="Z743" s="2">
        <f>ff_portfolios25!Z743-ff_factors!$E743</f>
        <v>-3.3379999999999998E-3</v>
      </c>
      <c r="AA743" s="2">
        <f>ff_portfolios25!AA743-ff_factors!$E743</f>
        <v>-9.7809999999999998E-3</v>
      </c>
      <c r="AB743" s="2">
        <f>ff_portfolios25!AB743-ff_factors!$E743</f>
        <v>5.5453000000000002E-2</v>
      </c>
    </row>
    <row r="744" spans="1:28" x14ac:dyDescent="0.2">
      <c r="A744">
        <v>19931130</v>
      </c>
      <c r="B744">
        <v>1993</v>
      </c>
      <c r="C744">
        <v>11</v>
      </c>
      <c r="D744" s="2">
        <f>ff_portfolios25!D744-ff_factors!$E744</f>
        <v>-4.1554000000000001E-2</v>
      </c>
      <c r="E744" s="2">
        <f>ff_portfolios25!E744-ff_factors!$E744</f>
        <v>-3.1584000000000001E-2</v>
      </c>
      <c r="F744" s="2">
        <f>ff_portfolios25!F744-ff_factors!$E744</f>
        <v>-2.2889999999999997E-2</v>
      </c>
      <c r="G744" s="2">
        <f>ff_portfolios25!G744-ff_factors!$E744</f>
        <v>-2.2446999999999998E-2</v>
      </c>
      <c r="H744" s="2">
        <f>ff_portfolios25!H744-ff_factors!$E744</f>
        <v>-2.1554E-2</v>
      </c>
      <c r="I744" s="2">
        <f>ff_portfolios25!I744-ff_factors!$E744</f>
        <v>-2.9887E-2</v>
      </c>
      <c r="J744" s="2">
        <f>ff_portfolios25!J744-ff_factors!$E744</f>
        <v>-3.4175000000000004E-2</v>
      </c>
      <c r="K744" s="2">
        <f>ff_portfolios25!K744-ff_factors!$E744</f>
        <v>-2.8072E-2</v>
      </c>
      <c r="L744" s="2">
        <f>ff_portfolios25!L744-ff_factors!$E744</f>
        <v>-4.7611000000000001E-2</v>
      </c>
      <c r="M744" s="2">
        <f>ff_portfolios25!M744-ff_factors!$E744</f>
        <v>-3.9466000000000001E-2</v>
      </c>
      <c r="N744" s="2">
        <f>ff_portfolios25!N744-ff_factors!$E744</f>
        <v>-2.8683E-2</v>
      </c>
      <c r="O744" s="2">
        <f>ff_portfolios25!O744-ff_factors!$E744</f>
        <v>-2.7257999999999998E-2</v>
      </c>
      <c r="P744" s="2">
        <f>ff_portfolios25!P744-ff_factors!$E744</f>
        <v>-3.2648999999999997E-2</v>
      </c>
      <c r="Q744" s="2">
        <f>ff_portfolios25!Q744-ff_factors!$E744</f>
        <v>-3.5598000000000005E-2</v>
      </c>
      <c r="R744" s="2">
        <f>ff_portfolios25!R744-ff_factors!$E744</f>
        <v>-1.2411E-2</v>
      </c>
      <c r="S744" s="2">
        <f>ff_portfolios25!S744-ff_factors!$E744</f>
        <v>-2.5295999999999999E-2</v>
      </c>
      <c r="T744" s="2">
        <f>ff_portfolios25!T744-ff_factors!$E744</f>
        <v>-3.2027E-2</v>
      </c>
      <c r="U744" s="2">
        <f>ff_portfolios25!U744-ff_factors!$E744</f>
        <v>-2.4038E-2</v>
      </c>
      <c r="V744" s="2">
        <f>ff_portfolios25!V744-ff_factors!$E744</f>
        <v>-2.6629999999999997E-2</v>
      </c>
      <c r="W744" s="2">
        <f>ff_portfolios25!W744-ff_factors!$E744</f>
        <v>-5.4401999999999999E-2</v>
      </c>
      <c r="X744" s="2">
        <f>ff_portfolios25!X744-ff_factors!$E744</f>
        <v>1.2216999999999999E-2</v>
      </c>
      <c r="Y744" s="2">
        <f>ff_portfolios25!Y744-ff_factors!$E744</f>
        <v>-1.9002999999999999E-2</v>
      </c>
      <c r="Z744" s="2">
        <f>ff_portfolios25!Z744-ff_factors!$E744</f>
        <v>-3.2219999999999999E-2</v>
      </c>
      <c r="AA744" s="2">
        <f>ff_portfolios25!AA744-ff_factors!$E744</f>
        <v>-3.7095000000000003E-2</v>
      </c>
      <c r="AB744" s="2">
        <f>ff_portfolios25!AB744-ff_factors!$E744</f>
        <v>3.1738999999999996E-2</v>
      </c>
    </row>
    <row r="745" spans="1:28" x14ac:dyDescent="0.2">
      <c r="A745">
        <v>19931231</v>
      </c>
      <c r="B745">
        <v>1993</v>
      </c>
      <c r="C745">
        <v>12</v>
      </c>
      <c r="D745" s="2">
        <f>ff_portfolios25!D745-ff_factors!$E745</f>
        <v>4.5240000000000002E-3</v>
      </c>
      <c r="E745" s="2">
        <f>ff_portfolios25!E745-ff_factors!$E745</f>
        <v>5.8620000000000009E-3</v>
      </c>
      <c r="F745" s="2">
        <f>ff_portfolios25!F745-ff_factors!$E745</f>
        <v>1.5207000000000002E-2</v>
      </c>
      <c r="G745" s="2">
        <f>ff_portfolios25!G745-ff_factors!$E745</f>
        <v>1.0460000000000001E-2</v>
      </c>
      <c r="H745" s="2">
        <f>ff_portfolios25!H745-ff_factors!$E745</f>
        <v>9.1889999999999993E-3</v>
      </c>
      <c r="I745" s="2">
        <f>ff_portfolios25!I745-ff_factors!$E745</f>
        <v>1.9689000000000002E-2</v>
      </c>
      <c r="J745" s="2">
        <f>ff_portfolios25!J745-ff_factors!$E745</f>
        <v>4.2659000000000002E-2</v>
      </c>
      <c r="K745" s="2">
        <f>ff_portfolios25!K745-ff_factors!$E745</f>
        <v>4.2967000000000005E-2</v>
      </c>
      <c r="L745" s="2">
        <f>ff_portfolios25!L745-ff_factors!$E745</f>
        <v>1.2385999999999999E-2</v>
      </c>
      <c r="M745" s="2">
        <f>ff_portfolios25!M745-ff_factors!$E745</f>
        <v>3.6372000000000002E-2</v>
      </c>
      <c r="N745" s="2">
        <f>ff_portfolios25!N745-ff_factors!$E745</f>
        <v>3.7975999999999996E-2</v>
      </c>
      <c r="O745" s="2">
        <f>ff_portfolios25!O745-ff_factors!$E745</f>
        <v>5.8448E-2</v>
      </c>
      <c r="P745" s="2">
        <f>ff_portfolios25!P745-ff_factors!$E745</f>
        <v>5.3393999999999997E-2</v>
      </c>
      <c r="Q745" s="2">
        <f>ff_portfolios25!Q745-ff_factors!$E745</f>
        <v>3.2745999999999997E-2</v>
      </c>
      <c r="R745" s="2">
        <f>ff_portfolios25!R745-ff_factors!$E745</f>
        <v>2.6120999999999998E-2</v>
      </c>
      <c r="S745" s="2">
        <f>ff_portfolios25!S745-ff_factors!$E745</f>
        <v>3.9746000000000004E-2</v>
      </c>
      <c r="T745" s="2">
        <f>ff_portfolios25!T745-ff_factors!$E745</f>
        <v>5.3639000000000006E-2</v>
      </c>
      <c r="U745" s="2">
        <f>ff_portfolios25!U745-ff_factors!$E745</f>
        <v>3.5962999999999995E-2</v>
      </c>
      <c r="V745" s="2">
        <f>ff_portfolios25!V745-ff_factors!$E745</f>
        <v>2.0945999999999999E-2</v>
      </c>
      <c r="W745" s="2">
        <f>ff_portfolios25!W745-ff_factors!$E745</f>
        <v>3.4897999999999998E-2</v>
      </c>
      <c r="X745" s="2">
        <f>ff_portfolios25!X745-ff_factors!$E745</f>
        <v>-1.681E-3</v>
      </c>
      <c r="Y745" s="2">
        <f>ff_portfolios25!Y745-ff_factors!$E745</f>
        <v>2.0701000000000001E-2</v>
      </c>
      <c r="Z745" s="2">
        <f>ff_portfolios25!Z745-ff_factors!$E745</f>
        <v>4.1260000000000003E-3</v>
      </c>
      <c r="AA745" s="2">
        <f>ff_portfolios25!AA745-ff_factors!$E745</f>
        <v>1.1915E-2</v>
      </c>
      <c r="AB745" s="2">
        <f>ff_portfolios25!AB745-ff_factors!$E745</f>
        <v>2.4573000000000001E-2</v>
      </c>
    </row>
    <row r="746" spans="1:28" x14ac:dyDescent="0.2">
      <c r="A746">
        <v>19940131</v>
      </c>
      <c r="B746">
        <v>1994</v>
      </c>
      <c r="C746">
        <v>1</v>
      </c>
      <c r="D746" s="2">
        <f>ff_portfolios25!D746-ff_factors!$E746</f>
        <v>2.2618000000000003E-2</v>
      </c>
      <c r="E746" s="2">
        <f>ff_portfolios25!E746-ff_factors!$E746</f>
        <v>6.1720999999999998E-2</v>
      </c>
      <c r="F746" s="2">
        <f>ff_portfolios25!F746-ff_factors!$E746</f>
        <v>4.9667999999999997E-2</v>
      </c>
      <c r="G746" s="2">
        <f>ff_portfolios25!G746-ff_factors!$E746</f>
        <v>5.3373999999999998E-2</v>
      </c>
      <c r="H746" s="2">
        <f>ff_portfolios25!H746-ff_factors!$E746</f>
        <v>5.7722999999999997E-2</v>
      </c>
      <c r="I746" s="2">
        <f>ff_portfolios25!I746-ff_factors!$E746</f>
        <v>1.1349999999999999E-2</v>
      </c>
      <c r="J746" s="2">
        <f>ff_portfolios25!J746-ff_factors!$E746</f>
        <v>1.8688E-2</v>
      </c>
      <c r="K746" s="2">
        <f>ff_portfolios25!K746-ff_factors!$E746</f>
        <v>1.584E-2</v>
      </c>
      <c r="L746" s="2">
        <f>ff_portfolios25!L746-ff_factors!$E746</f>
        <v>2.6522E-2</v>
      </c>
      <c r="M746" s="2">
        <f>ff_portfolios25!M746-ff_factors!$E746</f>
        <v>4.7529999999999996E-2</v>
      </c>
      <c r="N746" s="2">
        <f>ff_portfolios25!N746-ff_factors!$E746</f>
        <v>1.7430000000000001E-2</v>
      </c>
      <c r="O746" s="2">
        <f>ff_portfolios25!O746-ff_factors!$E746</f>
        <v>1.6154000000000002E-2</v>
      </c>
      <c r="P746" s="2">
        <f>ff_portfolios25!P746-ff_factors!$E746</f>
        <v>1.3079E-2</v>
      </c>
      <c r="Q746" s="2">
        <f>ff_portfolios25!Q746-ff_factors!$E746</f>
        <v>1.8613000000000001E-2</v>
      </c>
      <c r="R746" s="2">
        <f>ff_portfolios25!R746-ff_factors!$E746</f>
        <v>7.0443999999999993E-2</v>
      </c>
      <c r="S746" s="2">
        <f>ff_portfolios25!S746-ff_factors!$E746</f>
        <v>2.4363000000000003E-2</v>
      </c>
      <c r="T746" s="2">
        <f>ff_portfolios25!T746-ff_factors!$E746</f>
        <v>3.0328999999999998E-2</v>
      </c>
      <c r="U746" s="2">
        <f>ff_portfolios25!U746-ff_factors!$E746</f>
        <v>3.6898E-2</v>
      </c>
      <c r="V746" s="2">
        <f>ff_portfolios25!V746-ff_factors!$E746</f>
        <v>2.2882E-2</v>
      </c>
      <c r="W746" s="2">
        <f>ff_portfolios25!W746-ff_factors!$E746</f>
        <v>2.2277000000000002E-2</v>
      </c>
      <c r="X746" s="2">
        <f>ff_portfolios25!X746-ff_factors!$E746</f>
        <v>1.0888E-2</v>
      </c>
      <c r="Y746" s="2">
        <f>ff_portfolios25!Y746-ff_factors!$E746</f>
        <v>3.5666999999999997E-2</v>
      </c>
      <c r="Z746" s="2">
        <f>ff_portfolios25!Z746-ff_factors!$E746</f>
        <v>4.6032999999999998E-2</v>
      </c>
      <c r="AA746" s="2">
        <f>ff_portfolios25!AA746-ff_factors!$E746</f>
        <v>2.6485000000000002E-2</v>
      </c>
      <c r="AB746" s="2">
        <f>ff_portfolios25!AB746-ff_factors!$E746</f>
        <v>5.6590999999999995E-2</v>
      </c>
    </row>
    <row r="747" spans="1:28" x14ac:dyDescent="0.2">
      <c r="A747">
        <v>19940228</v>
      </c>
      <c r="B747">
        <v>1994</v>
      </c>
      <c r="C747">
        <v>2</v>
      </c>
      <c r="D747" s="2">
        <f>ff_portfolios25!D747-ff_factors!$E747</f>
        <v>-3.4147999999999998E-2</v>
      </c>
      <c r="E747" s="2">
        <f>ff_portfolios25!E747-ff_factors!$E747</f>
        <v>1.4007E-2</v>
      </c>
      <c r="F747" s="2">
        <f>ff_portfolios25!F747-ff_factors!$E747</f>
        <v>-6.7720000000000002E-3</v>
      </c>
      <c r="G747" s="2">
        <f>ff_portfolios25!G747-ff_factors!$E747</f>
        <v>-4.2719999999999998E-3</v>
      </c>
      <c r="H747" s="2">
        <f>ff_portfolios25!H747-ff_factors!$E747</f>
        <v>-1.787E-3</v>
      </c>
      <c r="I747" s="2">
        <f>ff_portfolios25!I747-ff_factors!$E747</f>
        <v>-5.8639999999999994E-3</v>
      </c>
      <c r="J747" s="2">
        <f>ff_portfolios25!J747-ff_factors!$E747</f>
        <v>2.0400000000000019E-4</v>
      </c>
      <c r="K747" s="2">
        <f>ff_portfolios25!K747-ff_factors!$E747</f>
        <v>2.1499999999999991E-4</v>
      </c>
      <c r="L747" s="2">
        <f>ff_portfolios25!L747-ff_factors!$E747</f>
        <v>-1.9543000000000001E-2</v>
      </c>
      <c r="M747" s="2">
        <f>ff_portfolios25!M747-ff_factors!$E747</f>
        <v>-1.7233999999999999E-2</v>
      </c>
      <c r="N747" s="2">
        <f>ff_portfolios25!N747-ff_factors!$E747</f>
        <v>-1.0631999999999999E-2</v>
      </c>
      <c r="O747" s="2">
        <f>ff_portfolios25!O747-ff_factors!$E747</f>
        <v>1.6927999999999999E-2</v>
      </c>
      <c r="P747" s="2">
        <f>ff_portfolios25!P747-ff_factors!$E747</f>
        <v>6.5009999999999998E-3</v>
      </c>
      <c r="Q747" s="2">
        <f>ff_portfolios25!Q747-ff_factors!$E747</f>
        <v>-2.0758000000000002E-2</v>
      </c>
      <c r="R747" s="2">
        <f>ff_portfolios25!R747-ff_factors!$E747</f>
        <v>-1.9062000000000003E-2</v>
      </c>
      <c r="S747" s="2">
        <f>ff_portfolios25!S747-ff_factors!$E747</f>
        <v>-1.2069999999999999E-2</v>
      </c>
      <c r="T747" s="2">
        <f>ff_portfolios25!T747-ff_factors!$E747</f>
        <v>-1.1869999999999999E-3</v>
      </c>
      <c r="U747" s="2">
        <f>ff_portfolios25!U747-ff_factors!$E747</f>
        <v>-1.9559E-2</v>
      </c>
      <c r="V747" s="2">
        <f>ff_portfolios25!V747-ff_factors!$E747</f>
        <v>-2.7506000000000003E-2</v>
      </c>
      <c r="W747" s="2">
        <f>ff_portfolios25!W747-ff_factors!$E747</f>
        <v>-5.3171999999999997E-2</v>
      </c>
      <c r="X747" s="2">
        <f>ff_portfolios25!X747-ff_factors!$E747</f>
        <v>-2.0134000000000003E-2</v>
      </c>
      <c r="Y747" s="2">
        <f>ff_portfolios25!Y747-ff_factors!$E747</f>
        <v>-2.2171E-2</v>
      </c>
      <c r="Z747" s="2">
        <f>ff_portfolios25!Z747-ff_factors!$E747</f>
        <v>-3.6188999999999999E-2</v>
      </c>
      <c r="AA747" s="2">
        <f>ff_portfolios25!AA747-ff_factors!$E747</f>
        <v>-5.1551E-2</v>
      </c>
      <c r="AB747" s="2">
        <f>ff_portfolios25!AB747-ff_factors!$E747</f>
        <v>-5.1235999999999997E-2</v>
      </c>
    </row>
    <row r="748" spans="1:28" x14ac:dyDescent="0.2">
      <c r="A748">
        <v>19940331</v>
      </c>
      <c r="B748">
        <v>1994</v>
      </c>
      <c r="C748">
        <v>3</v>
      </c>
      <c r="D748" s="2">
        <f>ff_portfolios25!D748-ff_factors!$E748</f>
        <v>-7.7755999999999992E-2</v>
      </c>
      <c r="E748" s="2">
        <f>ff_portfolios25!E748-ff_factors!$E748</f>
        <v>-5.4501000000000001E-2</v>
      </c>
      <c r="F748" s="2">
        <f>ff_portfolios25!F748-ff_factors!$E748</f>
        <v>-4.4789000000000002E-2</v>
      </c>
      <c r="G748" s="2">
        <f>ff_portfolios25!G748-ff_factors!$E748</f>
        <v>-5.3554999999999998E-2</v>
      </c>
      <c r="H748" s="2">
        <f>ff_portfolios25!H748-ff_factors!$E748</f>
        <v>-3.3389000000000002E-2</v>
      </c>
      <c r="I748" s="2">
        <f>ff_portfolios25!I748-ff_factors!$E748</f>
        <v>-7.5249999999999997E-2</v>
      </c>
      <c r="J748" s="2">
        <f>ff_portfolios25!J748-ff_factors!$E748</f>
        <v>-5.5591000000000002E-2</v>
      </c>
      <c r="K748" s="2">
        <f>ff_portfolios25!K748-ff_factors!$E748</f>
        <v>-5.3959E-2</v>
      </c>
      <c r="L748" s="2">
        <f>ff_portfolios25!L748-ff_factors!$E748</f>
        <v>-4.0353E-2</v>
      </c>
      <c r="M748" s="2">
        <f>ff_portfolios25!M748-ff_factors!$E748</f>
        <v>-6.3024999999999998E-2</v>
      </c>
      <c r="N748" s="2">
        <f>ff_portfolios25!N748-ff_factors!$E748</f>
        <v>-6.0740000000000002E-2</v>
      </c>
      <c r="O748" s="2">
        <f>ff_portfolios25!O748-ff_factors!$E748</f>
        <v>-4.9978000000000002E-2</v>
      </c>
      <c r="P748" s="2">
        <f>ff_portfolios25!P748-ff_factors!$E748</f>
        <v>-4.9083000000000002E-2</v>
      </c>
      <c r="Q748" s="2">
        <f>ff_portfolios25!Q748-ff_factors!$E748</f>
        <v>-4.2641999999999999E-2</v>
      </c>
      <c r="R748" s="2">
        <f>ff_portfolios25!R748-ff_factors!$E748</f>
        <v>-5.9653999999999999E-2</v>
      </c>
      <c r="S748" s="2">
        <f>ff_portfolios25!S748-ff_factors!$E748</f>
        <v>-5.7925999999999998E-2</v>
      </c>
      <c r="T748" s="2">
        <f>ff_portfolios25!T748-ff_factors!$E748</f>
        <v>-5.2234000000000003E-2</v>
      </c>
      <c r="U748" s="2">
        <f>ff_portfolios25!U748-ff_factors!$E748</f>
        <v>-4.8191999999999999E-2</v>
      </c>
      <c r="V748" s="2">
        <f>ff_portfolios25!V748-ff_factors!$E748</f>
        <v>-3.0210000000000001E-2</v>
      </c>
      <c r="W748" s="2">
        <f>ff_portfolios25!W748-ff_factors!$E748</f>
        <v>-2.2245000000000001E-2</v>
      </c>
      <c r="X748" s="2">
        <f>ff_portfolios25!X748-ff_factors!$E748</f>
        <v>-5.0251000000000004E-2</v>
      </c>
      <c r="Y748" s="2">
        <f>ff_portfolios25!Y748-ff_factors!$E748</f>
        <v>-4.1203999999999998E-2</v>
      </c>
      <c r="Z748" s="2">
        <f>ff_portfolios25!Z748-ff_factors!$E748</f>
        <v>-3.1063E-2</v>
      </c>
      <c r="AA748" s="2">
        <f>ff_portfolios25!AA748-ff_factors!$E748</f>
        <v>-4.8903000000000002E-2</v>
      </c>
      <c r="AB748" s="2">
        <f>ff_portfolios25!AB748-ff_factors!$E748</f>
        <v>-4.7031000000000003E-2</v>
      </c>
    </row>
    <row r="749" spans="1:28" x14ac:dyDescent="0.2">
      <c r="A749">
        <v>19940429</v>
      </c>
      <c r="B749">
        <v>1994</v>
      </c>
      <c r="C749">
        <v>4</v>
      </c>
      <c r="D749" s="2">
        <f>ff_portfolios25!D749-ff_factors!$E749</f>
        <v>-4.0128000000000004E-2</v>
      </c>
      <c r="E749" s="2">
        <f>ff_portfolios25!E749-ff_factors!$E749</f>
        <v>-8.1589999999999996E-3</v>
      </c>
      <c r="F749" s="2">
        <f>ff_portfolios25!F749-ff_factors!$E749</f>
        <v>-1.7645999999999998E-2</v>
      </c>
      <c r="G749" s="2">
        <f>ff_portfolios25!G749-ff_factors!$E749</f>
        <v>-9.1679999999999991E-3</v>
      </c>
      <c r="H749" s="2">
        <f>ff_portfolios25!H749-ff_factors!$E749</f>
        <v>4.248E-3</v>
      </c>
      <c r="I749" s="2">
        <f>ff_portfolios25!I749-ff_factors!$E749</f>
        <v>-1.1519999999999999E-2</v>
      </c>
      <c r="J749" s="2">
        <f>ff_portfolios25!J749-ff_factors!$E749</f>
        <v>3.3499999999999997E-3</v>
      </c>
      <c r="K749" s="2">
        <f>ff_portfolios25!K749-ff_factors!$E749</f>
        <v>1.4842999999999999E-2</v>
      </c>
      <c r="L749" s="2">
        <f>ff_portfolios25!L749-ff_factors!$E749</f>
        <v>1.1186000000000001E-2</v>
      </c>
      <c r="M749" s="2">
        <f>ff_portfolios25!M749-ff_factors!$E749</f>
        <v>2.0031E-2</v>
      </c>
      <c r="N749" s="2">
        <f>ff_portfolios25!N749-ff_factors!$E749</f>
        <v>-1.814E-2</v>
      </c>
      <c r="O749" s="2">
        <f>ff_portfolios25!O749-ff_factors!$E749</f>
        <v>2.0185999999999999E-2</v>
      </c>
      <c r="P749" s="2">
        <f>ff_portfolios25!P749-ff_factors!$E749</f>
        <v>5.5599999999999998E-3</v>
      </c>
      <c r="Q749" s="2">
        <f>ff_portfolios25!Q749-ff_factors!$E749</f>
        <v>6.8359999999999992E-3</v>
      </c>
      <c r="R749" s="2">
        <f>ff_portfolios25!R749-ff_factors!$E749</f>
        <v>1.4224999999999998E-2</v>
      </c>
      <c r="S749" s="2">
        <f>ff_portfolios25!S749-ff_factors!$E749</f>
        <v>-5.666E-3</v>
      </c>
      <c r="T749" s="2">
        <f>ff_portfolios25!T749-ff_factors!$E749</f>
        <v>6.6329999999999991E-3</v>
      </c>
      <c r="U749" s="2">
        <f>ff_portfolios25!U749-ff_factors!$E749</f>
        <v>1.3727E-2</v>
      </c>
      <c r="V749" s="2">
        <f>ff_portfolios25!V749-ff_factors!$E749</f>
        <v>2.0403999999999999E-2</v>
      </c>
      <c r="W749" s="2">
        <f>ff_portfolios25!W749-ff_factors!$E749</f>
        <v>1.1439000000000001E-2</v>
      </c>
      <c r="X749" s="2">
        <f>ff_portfolios25!X749-ff_factors!$E749</f>
        <v>1.1345000000000001E-2</v>
      </c>
      <c r="Y749" s="2">
        <f>ff_portfolios25!Y749-ff_factors!$E749</f>
        <v>-1.3288999999999999E-2</v>
      </c>
      <c r="Z749" s="2">
        <f>ff_portfolios25!Z749-ff_factors!$E749</f>
        <v>2.8045999999999998E-2</v>
      </c>
      <c r="AA749" s="2">
        <f>ff_portfolios25!AA749-ff_factors!$E749</f>
        <v>9.7499999999999983E-3</v>
      </c>
      <c r="AB749" s="2">
        <f>ff_portfolios25!AB749-ff_factors!$E749</f>
        <v>1.8852000000000001E-2</v>
      </c>
    </row>
    <row r="750" spans="1:28" x14ac:dyDescent="0.2">
      <c r="A750">
        <v>19940531</v>
      </c>
      <c r="B750">
        <v>1994</v>
      </c>
      <c r="C750">
        <v>5</v>
      </c>
      <c r="D750" s="2">
        <f>ff_portfolios25!D750-ff_factors!$E750</f>
        <v>-2.6258999999999998E-2</v>
      </c>
      <c r="E750" s="2">
        <f>ff_portfolios25!E750-ff_factors!$E750</f>
        <v>-2.4090999999999998E-2</v>
      </c>
      <c r="F750" s="2">
        <f>ff_portfolios25!F750-ff_factors!$E750</f>
        <v>-6.6259999999999999E-3</v>
      </c>
      <c r="G750" s="2">
        <f>ff_portfolios25!G750-ff_factors!$E750</f>
        <v>-7.1289999999999999E-3</v>
      </c>
      <c r="H750" s="2">
        <f>ff_portfolios25!H750-ff_factors!$E750</f>
        <v>-8.4569999999999992E-3</v>
      </c>
      <c r="I750" s="2">
        <f>ff_portfolios25!I750-ff_factors!$E750</f>
        <v>-2.7150999999999998E-2</v>
      </c>
      <c r="J750" s="2">
        <f>ff_portfolios25!J750-ff_factors!$E750</f>
        <v>-2.6814999999999999E-2</v>
      </c>
      <c r="K750" s="2">
        <f>ff_portfolios25!K750-ff_factors!$E750</f>
        <v>-1.5196000000000001E-2</v>
      </c>
      <c r="L750" s="2">
        <f>ff_portfolios25!L750-ff_factors!$E750</f>
        <v>-1.7089999999999998E-3</v>
      </c>
      <c r="M750" s="2">
        <f>ff_portfolios25!M750-ff_factors!$E750</f>
        <v>8.8159999999999992E-3</v>
      </c>
      <c r="N750" s="2">
        <f>ff_portfolios25!N750-ff_factors!$E750</f>
        <v>-2.4249999999999997E-2</v>
      </c>
      <c r="O750" s="2">
        <f>ff_portfolios25!O750-ff_factors!$E750</f>
        <v>-1.8700999999999999E-2</v>
      </c>
      <c r="P750" s="2">
        <f>ff_portfolios25!P750-ff_factors!$E750</f>
        <v>5.2400000000000016E-4</v>
      </c>
      <c r="Q750" s="2">
        <f>ff_portfolios25!Q750-ff_factors!$E750</f>
        <v>-1.5858999999999998E-2</v>
      </c>
      <c r="R750" s="2">
        <f>ff_portfolios25!R750-ff_factors!$E750</f>
        <v>-5.0949999999999997E-3</v>
      </c>
      <c r="S750" s="2">
        <f>ff_portfolios25!S750-ff_factors!$E750</f>
        <v>-4.8040000000000001E-3</v>
      </c>
      <c r="T750" s="2">
        <f>ff_portfolios25!T750-ff_factors!$E750</f>
        <v>-1.2149999999999999E-3</v>
      </c>
      <c r="U750" s="2">
        <f>ff_portfolios25!U750-ff_factors!$E750</f>
        <v>-6.5499999999999977E-4</v>
      </c>
      <c r="V750" s="2">
        <f>ff_portfolios25!V750-ff_factors!$E750</f>
        <v>-1.5650000000000001E-2</v>
      </c>
      <c r="W750" s="2">
        <f>ff_portfolios25!W750-ff_factors!$E750</f>
        <v>-2.0643999999999999E-2</v>
      </c>
      <c r="X750" s="2">
        <f>ff_portfolios25!X750-ff_factors!$E750</f>
        <v>8.5019999999999991E-3</v>
      </c>
      <c r="Y750" s="2">
        <f>ff_portfolios25!Y750-ff_factors!$E750</f>
        <v>3.5852000000000002E-2</v>
      </c>
      <c r="Z750" s="2">
        <f>ff_portfolios25!Z750-ff_factors!$E750</f>
        <v>1.5153999999999999E-2</v>
      </c>
      <c r="AA750" s="2">
        <f>ff_portfolios25!AA750-ff_factors!$E750</f>
        <v>3.8579999999999999E-3</v>
      </c>
      <c r="AB750" s="2">
        <f>ff_portfolios25!AB750-ff_factors!$E750</f>
        <v>8.3689999999999997E-3</v>
      </c>
    </row>
    <row r="751" spans="1:28" x14ac:dyDescent="0.2">
      <c r="A751">
        <v>19940630</v>
      </c>
      <c r="B751">
        <v>1994</v>
      </c>
      <c r="C751">
        <v>6</v>
      </c>
      <c r="D751" s="2">
        <f>ff_portfolios25!D751-ff_factors!$E751</f>
        <v>-7.0235000000000006E-2</v>
      </c>
      <c r="E751" s="2">
        <f>ff_portfolios25!E751-ff_factors!$E751</f>
        <v>-4.6905999999999996E-2</v>
      </c>
      <c r="F751" s="2">
        <f>ff_portfolios25!F751-ff_factors!$E751</f>
        <v>-4.8271000000000001E-2</v>
      </c>
      <c r="G751" s="2">
        <f>ff_portfolios25!G751-ff_factors!$E751</f>
        <v>-2.5103E-2</v>
      </c>
      <c r="H751" s="2">
        <f>ff_portfolios25!H751-ff_factors!$E751</f>
        <v>-2.0586E-2</v>
      </c>
      <c r="I751" s="2">
        <f>ff_portfolios25!I751-ff_factors!$E751</f>
        <v>-5.8265999999999998E-2</v>
      </c>
      <c r="J751" s="2">
        <f>ff_portfolios25!J751-ff_factors!$E751</f>
        <v>-3.2118000000000001E-2</v>
      </c>
      <c r="K751" s="2">
        <f>ff_portfolios25!K751-ff_factors!$E751</f>
        <v>-1.0276E-2</v>
      </c>
      <c r="L751" s="2">
        <f>ff_portfolios25!L751-ff_factors!$E751</f>
        <v>-1.5623E-2</v>
      </c>
      <c r="M751" s="2">
        <f>ff_portfolios25!M751-ff_factors!$E751</f>
        <v>-1.6267999999999998E-2</v>
      </c>
      <c r="N751" s="2">
        <f>ff_portfolios25!N751-ff_factors!$E751</f>
        <v>-4.8091999999999996E-2</v>
      </c>
      <c r="O751" s="2">
        <f>ff_portfolios25!O751-ff_factors!$E751</f>
        <v>-2.9304E-2</v>
      </c>
      <c r="P751" s="2">
        <f>ff_portfolios25!P751-ff_factors!$E751</f>
        <v>-2.2769999999999999E-3</v>
      </c>
      <c r="Q751" s="2">
        <f>ff_portfolios25!Q751-ff_factors!$E751</f>
        <v>-1.2879E-2</v>
      </c>
      <c r="R751" s="2">
        <f>ff_portfolios25!R751-ff_factors!$E751</f>
        <v>-2.0386999999999999E-2</v>
      </c>
      <c r="S751" s="2">
        <f>ff_portfolios25!S751-ff_factors!$E751</f>
        <v>-5.4854E-2</v>
      </c>
      <c r="T751" s="2">
        <f>ff_portfolios25!T751-ff_factors!$E751</f>
        <v>-3.0804999999999999E-2</v>
      </c>
      <c r="U751" s="2">
        <f>ff_portfolios25!U751-ff_factors!$E751</f>
        <v>-2.3573999999999998E-2</v>
      </c>
      <c r="V751" s="2">
        <f>ff_portfolios25!V751-ff_factors!$E751</f>
        <v>-2.0410999999999999E-2</v>
      </c>
      <c r="W751" s="2">
        <f>ff_portfolios25!W751-ff_factors!$E751</f>
        <v>-4.4941000000000002E-2</v>
      </c>
      <c r="X751" s="2">
        <f>ff_portfolios25!X751-ff_factors!$E751</f>
        <v>-2.7706999999999999E-2</v>
      </c>
      <c r="Y751" s="2">
        <f>ff_portfolios25!Y751-ff_factors!$E751</f>
        <v>-3.3881000000000001E-2</v>
      </c>
      <c r="Z751" s="2">
        <f>ff_portfolios25!Z751-ff_factors!$E751</f>
        <v>-2.4378999999999998E-2</v>
      </c>
      <c r="AA751" s="2">
        <f>ff_portfolios25!AA751-ff_factors!$E751</f>
        <v>-2.0757999999999999E-2</v>
      </c>
      <c r="AB751" s="2">
        <f>ff_portfolios25!AB751-ff_factors!$E751</f>
        <v>-3.8897000000000001E-2</v>
      </c>
    </row>
    <row r="752" spans="1:28" x14ac:dyDescent="0.2">
      <c r="A752">
        <v>19940729</v>
      </c>
      <c r="B752">
        <v>1994</v>
      </c>
      <c r="C752">
        <v>7</v>
      </c>
      <c r="D752" s="2">
        <f>ff_portfolios25!D752-ff_factors!$E752</f>
        <v>1.5730000000000002E-3</v>
      </c>
      <c r="E752" s="2">
        <f>ff_portfolios25!E752-ff_factors!$E752</f>
        <v>-4.9320000000000006E-3</v>
      </c>
      <c r="F752" s="2">
        <f>ff_portfolios25!F752-ff_factors!$E752</f>
        <v>-2.47E-3</v>
      </c>
      <c r="G752" s="2">
        <f>ff_portfolios25!G752-ff_factors!$E752</f>
        <v>2.245E-3</v>
      </c>
      <c r="H752" s="2">
        <f>ff_portfolios25!H752-ff_factors!$E752</f>
        <v>1.0669E-2</v>
      </c>
      <c r="I752" s="2">
        <f>ff_portfolios25!I752-ff_factors!$E752</f>
        <v>2.1585E-2</v>
      </c>
      <c r="J752" s="2">
        <f>ff_portfolios25!J752-ff_factors!$E752</f>
        <v>1.5903E-2</v>
      </c>
      <c r="K752" s="2">
        <f>ff_portfolios25!K752-ff_factors!$E752</f>
        <v>1.3984E-2</v>
      </c>
      <c r="L752" s="2">
        <f>ff_portfolios25!L752-ff_factors!$E752</f>
        <v>1.8682000000000001E-2</v>
      </c>
      <c r="M752" s="2">
        <f>ff_portfolios25!M752-ff_factors!$E752</f>
        <v>2.8800999999999997E-2</v>
      </c>
      <c r="N752" s="2">
        <f>ff_portfolios25!N752-ff_factors!$E752</f>
        <v>2.8195999999999999E-2</v>
      </c>
      <c r="O752" s="2">
        <f>ff_portfolios25!O752-ff_factors!$E752</f>
        <v>1.6739999999999998E-2</v>
      </c>
      <c r="P752" s="2">
        <f>ff_portfolios25!P752-ff_factors!$E752</f>
        <v>1.5647000000000001E-2</v>
      </c>
      <c r="Q752" s="2">
        <f>ff_portfolios25!Q752-ff_factors!$E752</f>
        <v>2.9201000000000001E-2</v>
      </c>
      <c r="R752" s="2">
        <f>ff_portfolios25!R752-ff_factors!$E752</f>
        <v>3.7694000000000005E-2</v>
      </c>
      <c r="S752" s="2">
        <f>ff_portfolios25!S752-ff_factors!$E752</f>
        <v>1.9740999999999998E-2</v>
      </c>
      <c r="T752" s="2">
        <f>ff_portfolios25!T752-ff_factors!$E752</f>
        <v>2.4798000000000001E-2</v>
      </c>
      <c r="U752" s="2">
        <f>ff_portfolios25!U752-ff_factors!$E752</f>
        <v>3.6113000000000006E-2</v>
      </c>
      <c r="V752" s="2">
        <f>ff_portfolios25!V752-ff_factors!$E752</f>
        <v>4.8615000000000005E-2</v>
      </c>
      <c r="W752" s="2">
        <f>ff_portfolios25!W752-ff_factors!$E752</f>
        <v>5.0107000000000006E-2</v>
      </c>
      <c r="X752" s="2">
        <f>ff_portfolios25!X752-ff_factors!$E752</f>
        <v>2.3948999999999998E-2</v>
      </c>
      <c r="Y752" s="2">
        <f>ff_portfolios25!Y752-ff_factors!$E752</f>
        <v>3.0499000000000002E-2</v>
      </c>
      <c r="Z752" s="2">
        <f>ff_portfolios25!Z752-ff_factors!$E752</f>
        <v>4.3474000000000006E-2</v>
      </c>
      <c r="AA752" s="2">
        <f>ff_portfolios25!AA752-ff_factors!$E752</f>
        <v>3.1980000000000001E-2</v>
      </c>
      <c r="AB752" s="2">
        <f>ff_portfolios25!AB752-ff_factors!$E752</f>
        <v>2.2759999999999999E-2</v>
      </c>
    </row>
    <row r="753" spans="1:28" x14ac:dyDescent="0.2">
      <c r="A753">
        <v>19940831</v>
      </c>
      <c r="B753">
        <v>1994</v>
      </c>
      <c r="C753">
        <v>8</v>
      </c>
      <c r="D753" s="2">
        <f>ff_portfolios25!D753-ff_factors!$E753</f>
        <v>3.1870999999999997E-2</v>
      </c>
      <c r="E753" s="2">
        <f>ff_portfolios25!E753-ff_factors!$E753</f>
        <v>4.0321999999999997E-2</v>
      </c>
      <c r="F753" s="2">
        <f>ff_portfolios25!F753-ff_factors!$E753</f>
        <v>3.9076E-2</v>
      </c>
      <c r="G753" s="2">
        <f>ff_portfolios25!G753-ff_factors!$E753</f>
        <v>1.9452999999999998E-2</v>
      </c>
      <c r="H753" s="2">
        <f>ff_portfolios25!H753-ff_factors!$E753</f>
        <v>2.7393000000000001E-2</v>
      </c>
      <c r="I753" s="2">
        <f>ff_portfolios25!I753-ff_factors!$E753</f>
        <v>8.8696000000000011E-2</v>
      </c>
      <c r="J753" s="2">
        <f>ff_portfolios25!J753-ff_factors!$E753</f>
        <v>5.3613999999999995E-2</v>
      </c>
      <c r="K753" s="2">
        <f>ff_portfolios25!K753-ff_factors!$E753</f>
        <v>3.3371999999999999E-2</v>
      </c>
      <c r="L753" s="2">
        <f>ff_portfolios25!L753-ff_factors!$E753</f>
        <v>4.1038999999999999E-2</v>
      </c>
      <c r="M753" s="2">
        <f>ff_portfolios25!M753-ff_factors!$E753</f>
        <v>4.5340999999999999E-2</v>
      </c>
      <c r="N753" s="2">
        <f>ff_portfolios25!N753-ff_factors!$E753</f>
        <v>9.4386000000000012E-2</v>
      </c>
      <c r="O753" s="2">
        <f>ff_portfolios25!O753-ff_factors!$E753</f>
        <v>3.8863999999999996E-2</v>
      </c>
      <c r="P753" s="2">
        <f>ff_portfolios25!P753-ff_factors!$E753</f>
        <v>5.0116999999999995E-2</v>
      </c>
      <c r="Q753" s="2">
        <f>ff_portfolios25!Q753-ff_factors!$E753</f>
        <v>1.5718999999999997E-2</v>
      </c>
      <c r="R753" s="2">
        <f>ff_portfolios25!R753-ff_factors!$E753</f>
        <v>5.8807999999999992E-2</v>
      </c>
      <c r="S753" s="2">
        <f>ff_portfolios25!S753-ff_factors!$E753</f>
        <v>7.571E-2</v>
      </c>
      <c r="T753" s="2">
        <f>ff_portfolios25!T753-ff_factors!$E753</f>
        <v>4.9319999999999996E-2</v>
      </c>
      <c r="U753" s="2">
        <f>ff_portfolios25!U753-ff_factors!$E753</f>
        <v>1.5454999999999998E-2</v>
      </c>
      <c r="V753" s="2">
        <f>ff_portfolios25!V753-ff_factors!$E753</f>
        <v>2.7334999999999998E-2</v>
      </c>
      <c r="W753" s="2">
        <f>ff_portfolios25!W753-ff_factors!$E753</f>
        <v>4.8885999999999999E-2</v>
      </c>
      <c r="X753" s="2">
        <f>ff_portfolios25!X753-ff_factors!$E753</f>
        <v>5.8610999999999996E-2</v>
      </c>
      <c r="Y753" s="2">
        <f>ff_portfolios25!Y753-ff_factors!$E753</f>
        <v>2.4353E-2</v>
      </c>
      <c r="Z753" s="2">
        <f>ff_portfolios25!Z753-ff_factors!$E753</f>
        <v>1.2655000000000001E-2</v>
      </c>
      <c r="AA753" s="2">
        <f>ff_portfolios25!AA753-ff_factors!$E753</f>
        <v>3.8657999999999998E-2</v>
      </c>
      <c r="AB753" s="2">
        <f>ff_portfolios25!AB753-ff_factors!$E753</f>
        <v>1.5861E-2</v>
      </c>
    </row>
    <row r="754" spans="1:28" x14ac:dyDescent="0.2">
      <c r="A754">
        <v>19940930</v>
      </c>
      <c r="B754">
        <v>1994</v>
      </c>
      <c r="C754">
        <v>9</v>
      </c>
      <c r="D754" s="2">
        <f>ff_portfolios25!D754-ff_factors!$E754</f>
        <v>6.7869999999999996E-3</v>
      </c>
      <c r="E754" s="2">
        <f>ff_portfolios25!E754-ff_factors!$E754</f>
        <v>1.3418999999999999E-2</v>
      </c>
      <c r="F754" s="2">
        <f>ff_portfolios25!F754-ff_factors!$E754</f>
        <v>6.3839999999999991E-3</v>
      </c>
      <c r="G754" s="2">
        <f>ff_portfolios25!G754-ff_factors!$E754</f>
        <v>2.2008E-2</v>
      </c>
      <c r="H754" s="2">
        <f>ff_portfolios25!H754-ff_factors!$E754</f>
        <v>4.0130000000000001E-3</v>
      </c>
      <c r="I754" s="2">
        <f>ff_portfolios25!I754-ff_factors!$E754</f>
        <v>-1.7100000000000001E-3</v>
      </c>
      <c r="J754" s="2">
        <f>ff_portfolios25!J754-ff_factors!$E754</f>
        <v>2.9880000000000002E-3</v>
      </c>
      <c r="K754" s="2">
        <f>ff_portfolios25!K754-ff_factors!$E754</f>
        <v>-6.0370000000000007E-3</v>
      </c>
      <c r="L754" s="2">
        <f>ff_portfolios25!L754-ff_factors!$E754</f>
        <v>-1.137E-2</v>
      </c>
      <c r="M754" s="2">
        <f>ff_portfolios25!M754-ff_factors!$E754</f>
        <v>-1.9680000000000003E-2</v>
      </c>
      <c r="N754" s="2">
        <f>ff_portfolios25!N754-ff_factors!$E754</f>
        <v>6.8599999999999998E-3</v>
      </c>
      <c r="O754" s="2">
        <f>ff_portfolios25!O754-ff_factors!$E754</f>
        <v>-2.3237000000000001E-2</v>
      </c>
      <c r="P754" s="2">
        <f>ff_portfolios25!P754-ff_factors!$E754</f>
        <v>-2.2072000000000001E-2</v>
      </c>
      <c r="Q754" s="2">
        <f>ff_portfolios25!Q754-ff_factors!$E754</f>
        <v>-1.7736000000000002E-2</v>
      </c>
      <c r="R754" s="2">
        <f>ff_portfolios25!R754-ff_factors!$E754</f>
        <v>-1.7047E-2</v>
      </c>
      <c r="S754" s="2">
        <f>ff_portfolios25!S754-ff_factors!$E754</f>
        <v>-8.8789999999999997E-3</v>
      </c>
      <c r="T754" s="2">
        <f>ff_portfolios25!T754-ff_factors!$E754</f>
        <v>-2.9477000000000003E-2</v>
      </c>
      <c r="U754" s="2">
        <f>ff_portfolios25!U754-ff_factors!$E754</f>
        <v>-2.3507E-2</v>
      </c>
      <c r="V754" s="2">
        <f>ff_portfolios25!V754-ff_factors!$E754</f>
        <v>-4.0710000000000003E-2</v>
      </c>
      <c r="W754" s="2">
        <f>ff_portfolios25!W754-ff_factors!$E754</f>
        <v>-3.1720999999999999E-2</v>
      </c>
      <c r="X754" s="2">
        <f>ff_portfolios25!X754-ff_factors!$E754</f>
        <v>-9.273E-3</v>
      </c>
      <c r="Y754" s="2">
        <f>ff_portfolios25!Y754-ff_factors!$E754</f>
        <v>-4.1406999999999999E-2</v>
      </c>
      <c r="Z754" s="2">
        <f>ff_portfolios25!Z754-ff_factors!$E754</f>
        <v>-3.4318000000000001E-2</v>
      </c>
      <c r="AA754" s="2">
        <f>ff_portfolios25!AA754-ff_factors!$E754</f>
        <v>-3.6012000000000002E-2</v>
      </c>
      <c r="AB754" s="2">
        <f>ff_portfolios25!AB754-ff_factors!$E754</f>
        <v>-6.3877000000000003E-2</v>
      </c>
    </row>
    <row r="755" spans="1:28" x14ac:dyDescent="0.2">
      <c r="A755">
        <v>19941031</v>
      </c>
      <c r="B755">
        <v>1994</v>
      </c>
      <c r="C755">
        <v>10</v>
      </c>
      <c r="D755" s="2">
        <f>ff_portfolios25!D755-ff_factors!$E755</f>
        <v>-1.3715999999999999E-2</v>
      </c>
      <c r="E755" s="2">
        <f>ff_portfolios25!E755-ff_factors!$E755</f>
        <v>8.4220000000000007E-3</v>
      </c>
      <c r="F755" s="2">
        <f>ff_portfolios25!F755-ff_factors!$E755</f>
        <v>-4.2830000000000003E-3</v>
      </c>
      <c r="G755" s="2">
        <f>ff_portfolios25!G755-ff_factors!$E755</f>
        <v>1.3342999999999999E-2</v>
      </c>
      <c r="H755" s="2">
        <f>ff_portfolios25!H755-ff_factors!$E755</f>
        <v>-6.4270000000000004E-3</v>
      </c>
      <c r="I755" s="2">
        <f>ff_portfolios25!I755-ff_factors!$E755</f>
        <v>1.2926999999999999E-2</v>
      </c>
      <c r="J755" s="2">
        <f>ff_portfolios25!J755-ff_factors!$E755</f>
        <v>-4.006E-3</v>
      </c>
      <c r="K755" s="2">
        <f>ff_portfolios25!K755-ff_factors!$E755</f>
        <v>-9.7949999999999999E-3</v>
      </c>
      <c r="L755" s="2">
        <f>ff_portfolios25!L755-ff_factors!$E755</f>
        <v>-1.3387E-2</v>
      </c>
      <c r="M755" s="2">
        <f>ff_portfolios25!M755-ff_factors!$E755</f>
        <v>-3.8575999999999999E-2</v>
      </c>
      <c r="N755" s="2">
        <f>ff_portfolios25!N755-ff_factors!$E755</f>
        <v>2.7077999999999998E-2</v>
      </c>
      <c r="O755" s="2">
        <f>ff_portfolios25!O755-ff_factors!$E755</f>
        <v>-4.2960000000000003E-3</v>
      </c>
      <c r="P755" s="2">
        <f>ff_portfolios25!P755-ff_factors!$E755</f>
        <v>-4.7590000000000002E-3</v>
      </c>
      <c r="Q755" s="2">
        <f>ff_portfolios25!Q755-ff_factors!$E755</f>
        <v>-1.7292999999999999E-2</v>
      </c>
      <c r="R755" s="2">
        <f>ff_portfolios25!R755-ff_factors!$E755</f>
        <v>-2.1608000000000002E-2</v>
      </c>
      <c r="S755" s="2">
        <f>ff_portfolios25!S755-ff_factors!$E755</f>
        <v>9.7390000000000011E-3</v>
      </c>
      <c r="T755" s="2">
        <f>ff_portfolios25!T755-ff_factors!$E755</f>
        <v>6.2050000000000004E-3</v>
      </c>
      <c r="U755" s="2">
        <f>ff_portfolios25!U755-ff_factors!$E755</f>
        <v>-4.1900000000000001E-3</v>
      </c>
      <c r="V755" s="2">
        <f>ff_portfolios25!V755-ff_factors!$E755</f>
        <v>-6.2030000000000002E-3</v>
      </c>
      <c r="W755" s="2">
        <f>ff_portfolios25!W755-ff_factors!$E755</f>
        <v>-3.1814000000000002E-2</v>
      </c>
      <c r="X755" s="2">
        <f>ff_portfolios25!X755-ff_factors!$E755</f>
        <v>2.6859999999999998E-2</v>
      </c>
      <c r="Y755" s="2">
        <f>ff_portfolios25!Y755-ff_factors!$E755</f>
        <v>1.2631000000000002E-2</v>
      </c>
      <c r="Z755" s="2">
        <f>ff_portfolios25!Z755-ff_factors!$E755</f>
        <v>3.5362000000000005E-2</v>
      </c>
      <c r="AA755" s="2">
        <f>ff_portfolios25!AA755-ff_factors!$E755</f>
        <v>1.6959999999999999E-2</v>
      </c>
      <c r="AB755" s="2">
        <f>ff_portfolios25!AB755-ff_factors!$E755</f>
        <v>-2.6389999999999999E-3</v>
      </c>
    </row>
    <row r="756" spans="1:28" x14ac:dyDescent="0.2">
      <c r="A756">
        <v>19941130</v>
      </c>
      <c r="B756">
        <v>1994</v>
      </c>
      <c r="C756">
        <v>11</v>
      </c>
      <c r="D756" s="2">
        <f>ff_portfolios25!D756-ff_factors!$E756</f>
        <v>-4.7761999999999999E-2</v>
      </c>
      <c r="E756" s="2">
        <f>ff_portfolios25!E756-ff_factors!$E756</f>
        <v>-3.6660999999999999E-2</v>
      </c>
      <c r="F756" s="2">
        <f>ff_portfolios25!F756-ff_factors!$E756</f>
        <v>-3.9664999999999999E-2</v>
      </c>
      <c r="G756" s="2">
        <f>ff_portfolios25!G756-ff_factors!$E756</f>
        <v>-3.3107999999999999E-2</v>
      </c>
      <c r="H756" s="2">
        <f>ff_portfolios25!H756-ff_factors!$E756</f>
        <v>-3.3704999999999999E-2</v>
      </c>
      <c r="I756" s="2">
        <f>ff_portfolios25!I756-ff_factors!$E756</f>
        <v>-3.0591E-2</v>
      </c>
      <c r="J756" s="2">
        <f>ff_portfolios25!J756-ff_factors!$E756</f>
        <v>-4.1751000000000003E-2</v>
      </c>
      <c r="K756" s="2">
        <f>ff_portfolios25!K756-ff_factors!$E756</f>
        <v>-4.0885999999999999E-2</v>
      </c>
      <c r="L756" s="2">
        <f>ff_portfolios25!L756-ff_factors!$E756</f>
        <v>-4.0747999999999999E-2</v>
      </c>
      <c r="M756" s="2">
        <f>ff_portfolios25!M756-ff_factors!$E756</f>
        <v>-5.7236000000000002E-2</v>
      </c>
      <c r="N756" s="2">
        <f>ff_portfolios25!N756-ff_factors!$E756</f>
        <v>-5.8888000000000003E-2</v>
      </c>
      <c r="O756" s="2">
        <f>ff_portfolios25!O756-ff_factors!$E756</f>
        <v>-4.6524000000000003E-2</v>
      </c>
      <c r="P756" s="2">
        <f>ff_portfolios25!P756-ff_factors!$E756</f>
        <v>-4.5233000000000002E-2</v>
      </c>
      <c r="Q756" s="2">
        <f>ff_portfolios25!Q756-ff_factors!$E756</f>
        <v>-3.7657000000000003E-2</v>
      </c>
      <c r="R756" s="2">
        <f>ff_portfolios25!R756-ff_factors!$E756</f>
        <v>-5.4814000000000002E-2</v>
      </c>
      <c r="S756" s="2">
        <f>ff_portfolios25!S756-ff_factors!$E756</f>
        <v>-4.1854000000000002E-2</v>
      </c>
      <c r="T756" s="2">
        <f>ff_portfolios25!T756-ff_factors!$E756</f>
        <v>-3.8776000000000005E-2</v>
      </c>
      <c r="U756" s="2">
        <f>ff_portfolios25!U756-ff_factors!$E756</f>
        <v>-4.6022E-2</v>
      </c>
      <c r="V756" s="2">
        <f>ff_portfolios25!V756-ff_factors!$E756</f>
        <v>-3.9865999999999999E-2</v>
      </c>
      <c r="W756" s="2">
        <f>ff_portfolios25!W756-ff_factors!$E756</f>
        <v>-6.6055000000000003E-2</v>
      </c>
      <c r="X756" s="2">
        <f>ff_portfolios25!X756-ff_factors!$E756</f>
        <v>-2.1521999999999999E-2</v>
      </c>
      <c r="Y756" s="2">
        <f>ff_portfolios25!Y756-ff_factors!$E756</f>
        <v>-5.1827999999999999E-2</v>
      </c>
      <c r="Z756" s="2">
        <f>ff_portfolios25!Z756-ff_factors!$E756</f>
        <v>-3.1488000000000002E-2</v>
      </c>
      <c r="AA756" s="2">
        <f>ff_portfolios25!AA756-ff_factors!$E756</f>
        <v>-5.7769000000000001E-2</v>
      </c>
      <c r="AB756" s="2">
        <f>ff_portfolios25!AB756-ff_factors!$E756</f>
        <v>-4.1988999999999999E-2</v>
      </c>
    </row>
    <row r="757" spans="1:28" x14ac:dyDescent="0.2">
      <c r="A757">
        <v>19941230</v>
      </c>
      <c r="B757">
        <v>1994</v>
      </c>
      <c r="C757">
        <v>12</v>
      </c>
      <c r="D757" s="2">
        <f>ff_portfolios25!D757-ff_factors!$E757</f>
        <v>-3.5664000000000001E-2</v>
      </c>
      <c r="E757" s="2">
        <f>ff_portfolios25!E757-ff_factors!$E757</f>
        <v>-8.822E-3</v>
      </c>
      <c r="F757" s="2">
        <f>ff_portfolios25!F757-ff_factors!$E757</f>
        <v>-7.9719999999999999E-3</v>
      </c>
      <c r="G757" s="2">
        <f>ff_portfolios25!G757-ff_factors!$E757</f>
        <v>-2.686E-3</v>
      </c>
      <c r="H757" s="2">
        <f>ff_portfolios25!H757-ff_factors!$E757</f>
        <v>-6.7679999999999997E-3</v>
      </c>
      <c r="I757" s="2">
        <f>ff_portfolios25!I757-ff_factors!$E757</f>
        <v>1.3143999999999999E-2</v>
      </c>
      <c r="J757" s="2">
        <f>ff_portfolios25!J757-ff_factors!$E757</f>
        <v>1.7467999999999997E-2</v>
      </c>
      <c r="K757" s="2">
        <f>ff_portfolios25!K757-ff_factors!$E757</f>
        <v>1.9507999999999998E-2</v>
      </c>
      <c r="L757" s="2">
        <f>ff_portfolios25!L757-ff_factors!$E757</f>
        <v>1.9223999999999998E-2</v>
      </c>
      <c r="M757" s="2">
        <f>ff_portfolios25!M757-ff_factors!$E757</f>
        <v>9.4050000000000002E-3</v>
      </c>
      <c r="N757" s="2">
        <f>ff_portfolios25!N757-ff_factors!$E757</f>
        <v>1.3263E-2</v>
      </c>
      <c r="O757" s="2">
        <f>ff_portfolios25!O757-ff_factors!$E757</f>
        <v>3.1292E-2</v>
      </c>
      <c r="P757" s="2">
        <f>ff_portfolios25!P757-ff_factors!$E757</f>
        <v>1.6268999999999999E-2</v>
      </c>
      <c r="Q757" s="2">
        <f>ff_portfolios25!Q757-ff_factors!$E757</f>
        <v>2.7295E-2</v>
      </c>
      <c r="R757" s="2">
        <f>ff_portfolios25!R757-ff_factors!$E757</f>
        <v>4.0628999999999998E-2</v>
      </c>
      <c r="S757" s="2">
        <f>ff_portfolios25!S757-ff_factors!$E757</f>
        <v>1.4758999999999998E-2</v>
      </c>
      <c r="T757" s="2">
        <f>ff_portfolios25!T757-ff_factors!$E757</f>
        <v>6.1029999999999999E-3</v>
      </c>
      <c r="U757" s="2">
        <f>ff_portfolios25!U757-ff_factors!$E757</f>
        <v>-1.1999999999999858E-5</v>
      </c>
      <c r="V757" s="2">
        <f>ff_portfolios25!V757-ff_factors!$E757</f>
        <v>3.9940000000000002E-3</v>
      </c>
      <c r="W757" s="2">
        <f>ff_portfolios25!W757-ff_factors!$E757</f>
        <v>9.9239999999999988E-3</v>
      </c>
      <c r="X757" s="2">
        <f>ff_portfolios25!X757-ff_factors!$E757</f>
        <v>2.2009999999999998E-3</v>
      </c>
      <c r="Y757" s="2">
        <f>ff_portfolios25!Y757-ff_factors!$E757</f>
        <v>1.7568E-2</v>
      </c>
      <c r="Z757" s="2">
        <f>ff_portfolios25!Z757-ff_factors!$E757</f>
        <v>2.1429999999999999E-3</v>
      </c>
      <c r="AA757" s="2">
        <f>ff_portfolios25!AA757-ff_factors!$E757</f>
        <v>1.3594999999999999E-2</v>
      </c>
      <c r="AB757" s="2">
        <f>ff_portfolios25!AB757-ff_factors!$E757</f>
        <v>1.6412E-2</v>
      </c>
    </row>
    <row r="758" spans="1:28" x14ac:dyDescent="0.2">
      <c r="A758">
        <v>19950131</v>
      </c>
      <c r="B758">
        <v>1995</v>
      </c>
      <c r="C758">
        <v>1</v>
      </c>
      <c r="D758" s="2">
        <f>ff_portfolios25!D758-ff_factors!$E758</f>
        <v>1.303E-2</v>
      </c>
      <c r="E758" s="2">
        <f>ff_portfolios25!E758-ff_factors!$E758</f>
        <v>1.7247000000000002E-2</v>
      </c>
      <c r="F758" s="2">
        <f>ff_portfolios25!F758-ff_factors!$E758</f>
        <v>3.1800999999999996E-2</v>
      </c>
      <c r="G758" s="2">
        <f>ff_portfolios25!G758-ff_factors!$E758</f>
        <v>8.5840000000000014E-3</v>
      </c>
      <c r="H758" s="2">
        <f>ff_portfolios25!H758-ff_factors!$E758</f>
        <v>2.1748E-2</v>
      </c>
      <c r="I758" s="2">
        <f>ff_portfolios25!I758-ff_factors!$E758</f>
        <v>-2.1240999999999999E-2</v>
      </c>
      <c r="J758" s="2">
        <f>ff_portfolios25!J758-ff_factors!$E758</f>
        <v>-1.3238E-2</v>
      </c>
      <c r="K758" s="2">
        <f>ff_portfolios25!K758-ff_factors!$E758</f>
        <v>-7.783E-3</v>
      </c>
      <c r="L758" s="2">
        <f>ff_portfolios25!L758-ff_factors!$E758</f>
        <v>-7.92E-3</v>
      </c>
      <c r="M758" s="2">
        <f>ff_portfolios25!M758-ff_factors!$E758</f>
        <v>-3.3049999999999998E-3</v>
      </c>
      <c r="N758" s="2">
        <f>ff_portfolios25!N758-ff_factors!$E758</f>
        <v>-2.1439E-2</v>
      </c>
      <c r="O758" s="2">
        <f>ff_portfolios25!O758-ff_factors!$E758</f>
        <v>-1.6924999999999999E-2</v>
      </c>
      <c r="P758" s="2">
        <f>ff_portfolios25!P758-ff_factors!$E758</f>
        <v>-1.3742999999999998E-2</v>
      </c>
      <c r="Q758" s="2">
        <f>ff_portfolios25!Q758-ff_factors!$E758</f>
        <v>3.954E-3</v>
      </c>
      <c r="R758" s="2">
        <f>ff_portfolios25!R758-ff_factors!$E758</f>
        <v>-6.4799999999999996E-3</v>
      </c>
      <c r="S758" s="2">
        <f>ff_portfolios25!S758-ff_factors!$E758</f>
        <v>3.2360000000000002E-3</v>
      </c>
      <c r="T758" s="2">
        <f>ff_portfolios25!T758-ff_factors!$E758</f>
        <v>6.7949999999999998E-3</v>
      </c>
      <c r="U758" s="2">
        <f>ff_portfolios25!U758-ff_factors!$E758</f>
        <v>1.1124000000000002E-2</v>
      </c>
      <c r="V758" s="2">
        <f>ff_portfolios25!V758-ff_factors!$E758</f>
        <v>3.0504E-2</v>
      </c>
      <c r="W758" s="2">
        <f>ff_portfolios25!W758-ff_factors!$E758</f>
        <v>1.9880000000000002E-2</v>
      </c>
      <c r="X758" s="2">
        <f>ff_portfolios25!X758-ff_factors!$E758</f>
        <v>2.4408000000000003E-2</v>
      </c>
      <c r="Y758" s="2">
        <f>ff_portfolios25!Y758-ff_factors!$E758</f>
        <v>2.9572999999999999E-2</v>
      </c>
      <c r="Z758" s="2">
        <f>ff_portfolios25!Z758-ff_factors!$E758</f>
        <v>3.7637999999999998E-2</v>
      </c>
      <c r="AA758" s="2">
        <f>ff_portfolios25!AA758-ff_factors!$E758</f>
        <v>1.6086E-2</v>
      </c>
      <c r="AB758" s="2">
        <f>ff_portfolios25!AB758-ff_factors!$E758</f>
        <v>9.051E-3</v>
      </c>
    </row>
    <row r="759" spans="1:28" x14ac:dyDescent="0.2">
      <c r="A759">
        <v>19950228</v>
      </c>
      <c r="B759">
        <v>1995</v>
      </c>
      <c r="C759">
        <v>2</v>
      </c>
      <c r="D759" s="2">
        <f>ff_portfolios25!D759-ff_factors!$E759</f>
        <v>1.8432E-2</v>
      </c>
      <c r="E759" s="2">
        <f>ff_portfolios25!E759-ff_factors!$E759</f>
        <v>3.0689999999999999E-2</v>
      </c>
      <c r="F759" s="2">
        <f>ff_portfolios25!F759-ff_factors!$E759</f>
        <v>1.4862E-2</v>
      </c>
      <c r="G759" s="2">
        <f>ff_portfolios25!G759-ff_factors!$E759</f>
        <v>1.6361000000000001E-2</v>
      </c>
      <c r="H759" s="2">
        <f>ff_portfolios25!H759-ff_factors!$E759</f>
        <v>3.1054000000000002E-2</v>
      </c>
      <c r="I759" s="2">
        <f>ff_portfolios25!I759-ff_factors!$E759</f>
        <v>3.1895999999999994E-2</v>
      </c>
      <c r="J759" s="2">
        <f>ff_portfolios25!J759-ff_factors!$E759</f>
        <v>3.2690999999999998E-2</v>
      </c>
      <c r="K759" s="2">
        <f>ff_portfolios25!K759-ff_factors!$E759</f>
        <v>3.1532000000000004E-2</v>
      </c>
      <c r="L759" s="2">
        <f>ff_portfolios25!L759-ff_factors!$E759</f>
        <v>3.5815E-2</v>
      </c>
      <c r="M759" s="2">
        <f>ff_portfolios25!M759-ff_factors!$E759</f>
        <v>4.9847000000000002E-2</v>
      </c>
      <c r="N759" s="2">
        <f>ff_portfolios25!N759-ff_factors!$E759</f>
        <v>5.3032999999999997E-2</v>
      </c>
      <c r="O759" s="2">
        <f>ff_portfolios25!O759-ff_factors!$E759</f>
        <v>4.1053000000000006E-2</v>
      </c>
      <c r="P759" s="2">
        <f>ff_portfolios25!P759-ff_factors!$E759</f>
        <v>3.9666999999999994E-2</v>
      </c>
      <c r="Q759" s="2">
        <f>ff_portfolios25!Q759-ff_factors!$E759</f>
        <v>4.2760999999999993E-2</v>
      </c>
      <c r="R759" s="2">
        <f>ff_portfolios25!R759-ff_factors!$E759</f>
        <v>5.3446999999999995E-2</v>
      </c>
      <c r="S759" s="2">
        <f>ff_portfolios25!S759-ff_factors!$E759</f>
        <v>3.5338999999999995E-2</v>
      </c>
      <c r="T759" s="2">
        <f>ff_portfolios25!T759-ff_factors!$E759</f>
        <v>5.0685999999999995E-2</v>
      </c>
      <c r="U759" s="2">
        <f>ff_portfolios25!U759-ff_factors!$E759</f>
        <v>4.3731000000000006E-2</v>
      </c>
      <c r="V759" s="2">
        <f>ff_portfolios25!V759-ff_factors!$E759</f>
        <v>3.3723000000000003E-2</v>
      </c>
      <c r="W759" s="2">
        <f>ff_portfolios25!W759-ff_factors!$E759</f>
        <v>4.7730999999999996E-2</v>
      </c>
      <c r="X759" s="2">
        <f>ff_portfolios25!X759-ff_factors!$E759</f>
        <v>2.9652000000000001E-2</v>
      </c>
      <c r="Y759" s="2">
        <f>ff_portfolios25!Y759-ff_factors!$E759</f>
        <v>4.1889999999999997E-2</v>
      </c>
      <c r="Z759" s="2">
        <f>ff_portfolios25!Z759-ff_factors!$E759</f>
        <v>2.2727000000000001E-2</v>
      </c>
      <c r="AA759" s="2">
        <f>ff_portfolios25!AA759-ff_factors!$E759</f>
        <v>3.9800000000000002E-2</v>
      </c>
      <c r="AB759" s="2">
        <f>ff_portfolios25!AB759-ff_factors!$E759</f>
        <v>6.0332999999999998E-2</v>
      </c>
    </row>
    <row r="760" spans="1:28" x14ac:dyDescent="0.2">
      <c r="A760">
        <v>19950331</v>
      </c>
      <c r="B760">
        <v>1995</v>
      </c>
      <c r="C760">
        <v>3</v>
      </c>
      <c r="D760" s="2">
        <f>ff_portfolios25!D760-ff_factors!$E760</f>
        <v>3.8460000000000005E-3</v>
      </c>
      <c r="E760" s="2">
        <f>ff_portfolios25!E760-ff_factors!$E760</f>
        <v>1.3965999999999999E-2</v>
      </c>
      <c r="F760" s="2">
        <f>ff_portfolios25!F760-ff_factors!$E760</f>
        <v>4.6490000000000004E-3</v>
      </c>
      <c r="G760" s="2">
        <f>ff_portfolios25!G760-ff_factors!$E760</f>
        <v>7.8329999999999997E-3</v>
      </c>
      <c r="H760" s="2">
        <f>ff_portfolios25!H760-ff_factors!$E760</f>
        <v>2.7400000000000002E-3</v>
      </c>
      <c r="I760" s="2">
        <f>ff_portfolios25!I760-ff_factors!$E760</f>
        <v>3.6114E-2</v>
      </c>
      <c r="J760" s="2">
        <f>ff_portfolios25!J760-ff_factors!$E760</f>
        <v>1.4613000000000001E-2</v>
      </c>
      <c r="K760" s="2">
        <f>ff_portfolios25!K760-ff_factors!$E760</f>
        <v>2.4693E-2</v>
      </c>
      <c r="L760" s="2">
        <f>ff_portfolios25!L760-ff_factors!$E760</f>
        <v>1.0252000000000001E-2</v>
      </c>
      <c r="M760" s="2">
        <f>ff_portfolios25!M760-ff_factors!$E760</f>
        <v>1.6403000000000001E-2</v>
      </c>
      <c r="N760" s="2">
        <f>ff_portfolios25!N760-ff_factors!$E760</f>
        <v>3.1143999999999998E-2</v>
      </c>
      <c r="O760" s="2">
        <f>ff_portfolios25!O760-ff_factors!$E760</f>
        <v>1.5952999999999998E-2</v>
      </c>
      <c r="P760" s="2">
        <f>ff_portfolios25!P760-ff_factors!$E760</f>
        <v>7.332E-3</v>
      </c>
      <c r="Q760" s="2">
        <f>ff_portfolios25!Q760-ff_factors!$E760</f>
        <v>-1.3909999999999999E-3</v>
      </c>
      <c r="R760" s="2">
        <f>ff_portfolios25!R760-ff_factors!$E760</f>
        <v>1.0829999999999999E-2</v>
      </c>
      <c r="S760" s="2">
        <f>ff_portfolios25!S760-ff_factors!$E760</f>
        <v>2.6895000000000002E-2</v>
      </c>
      <c r="T760" s="2">
        <f>ff_portfolios25!T760-ff_factors!$E760</f>
        <v>2.9463000000000003E-2</v>
      </c>
      <c r="U760" s="2">
        <f>ff_portfolios25!U760-ff_factors!$E760</f>
        <v>1.4516000000000001E-2</v>
      </c>
      <c r="V760" s="2">
        <f>ff_portfolios25!V760-ff_factors!$E760</f>
        <v>1.7694999999999999E-2</v>
      </c>
      <c r="W760" s="2">
        <f>ff_portfolios25!W760-ff_factors!$E760</f>
        <v>7.1500000000000036E-4</v>
      </c>
      <c r="X760" s="2">
        <f>ff_portfolios25!X760-ff_factors!$E760</f>
        <v>2.4569000000000001E-2</v>
      </c>
      <c r="Y760" s="2">
        <f>ff_portfolios25!Y760-ff_factors!$E760</f>
        <v>2.7423999999999997E-2</v>
      </c>
      <c r="Z760" s="2">
        <f>ff_portfolios25!Z760-ff_factors!$E760</f>
        <v>2.1486999999999999E-2</v>
      </c>
      <c r="AA760" s="2">
        <f>ff_portfolios25!AA760-ff_factors!$E760</f>
        <v>1.9060000000000001E-2</v>
      </c>
      <c r="AB760" s="2">
        <f>ff_portfolios25!AB760-ff_factors!$E760</f>
        <v>1.5774E-2</v>
      </c>
    </row>
    <row r="761" spans="1:28" x14ac:dyDescent="0.2">
      <c r="A761">
        <v>19950428</v>
      </c>
      <c r="B761">
        <v>1995</v>
      </c>
      <c r="C761">
        <v>4</v>
      </c>
      <c r="D761" s="2">
        <f>ff_portfolios25!D761-ff_factors!$E761</f>
        <v>1.2699999999999999E-2</v>
      </c>
      <c r="E761" s="2">
        <f>ff_portfolios25!E761-ff_factors!$E761</f>
        <v>2.8629000000000002E-2</v>
      </c>
      <c r="F761" s="2">
        <f>ff_portfolios25!F761-ff_factors!$E761</f>
        <v>2.1647E-2</v>
      </c>
      <c r="G761" s="2">
        <f>ff_portfolios25!G761-ff_factors!$E761</f>
        <v>1.6836E-2</v>
      </c>
      <c r="H761" s="2">
        <f>ff_portfolios25!H761-ff_factors!$E761</f>
        <v>3.8828000000000001E-2</v>
      </c>
      <c r="I761" s="2">
        <f>ff_portfolios25!I761-ff_factors!$E761</f>
        <v>-1.3130000000000004E-3</v>
      </c>
      <c r="J761" s="2">
        <f>ff_portfolios25!J761-ff_factors!$E761</f>
        <v>5.4559999999999999E-3</v>
      </c>
      <c r="K761" s="2">
        <f>ff_portfolios25!K761-ff_factors!$E761</f>
        <v>3.2784000000000001E-2</v>
      </c>
      <c r="L761" s="2">
        <f>ff_portfolios25!L761-ff_factors!$E761</f>
        <v>2.5113E-2</v>
      </c>
      <c r="M761" s="2">
        <f>ff_portfolios25!M761-ff_factors!$E761</f>
        <v>2.6404E-2</v>
      </c>
      <c r="N761" s="2">
        <f>ff_portfolios25!N761-ff_factors!$E761</f>
        <v>-1.6100000000000003E-3</v>
      </c>
      <c r="O761" s="2">
        <f>ff_portfolios25!O761-ff_factors!$E761</f>
        <v>2.6899999999999997E-3</v>
      </c>
      <c r="P761" s="2">
        <f>ff_portfolios25!P761-ff_factors!$E761</f>
        <v>1.9061999999999999E-2</v>
      </c>
      <c r="Q761" s="2">
        <f>ff_portfolios25!Q761-ff_factors!$E761</f>
        <v>3.2906999999999999E-2</v>
      </c>
      <c r="R761" s="2">
        <f>ff_portfolios25!R761-ff_factors!$E761</f>
        <v>2.1082E-2</v>
      </c>
      <c r="S761" s="2">
        <f>ff_portfolios25!S761-ff_factors!$E761</f>
        <v>6.6080000000000002E-3</v>
      </c>
      <c r="T761" s="2">
        <f>ff_portfolios25!T761-ff_factors!$E761</f>
        <v>1.3089E-2</v>
      </c>
      <c r="U761" s="2">
        <f>ff_portfolios25!U761-ff_factors!$E761</f>
        <v>2.6224999999999998E-2</v>
      </c>
      <c r="V761" s="2">
        <f>ff_portfolios25!V761-ff_factors!$E761</f>
        <v>8.3410000000000012E-3</v>
      </c>
      <c r="W761" s="2">
        <f>ff_portfolios25!W761-ff_factors!$E761</f>
        <v>2.7505999999999996E-2</v>
      </c>
      <c r="X761" s="2">
        <f>ff_portfolios25!X761-ff_factors!$E761</f>
        <v>2.0740999999999999E-2</v>
      </c>
      <c r="Y761" s="2">
        <f>ff_portfolios25!Y761-ff_factors!$E761</f>
        <v>2.0635000000000001E-2</v>
      </c>
      <c r="Z761" s="2">
        <f>ff_portfolios25!Z761-ff_factors!$E761</f>
        <v>2.3931999999999998E-2</v>
      </c>
      <c r="AA761" s="2">
        <f>ff_portfolios25!AA761-ff_factors!$E761</f>
        <v>3.2286999999999996E-2</v>
      </c>
      <c r="AB761" s="2">
        <f>ff_portfolios25!AB761-ff_factors!$E761</f>
        <v>4.6738999999999996E-2</v>
      </c>
    </row>
    <row r="762" spans="1:28" x14ac:dyDescent="0.2">
      <c r="A762">
        <v>19950531</v>
      </c>
      <c r="B762">
        <v>1995</v>
      </c>
      <c r="C762">
        <v>5</v>
      </c>
      <c r="D762" s="2">
        <f>ff_portfolios25!D762-ff_factors!$E762</f>
        <v>1.1656000000000001E-2</v>
      </c>
      <c r="E762" s="2">
        <f>ff_portfolios25!E762-ff_factors!$E762</f>
        <v>2.1857000000000001E-2</v>
      </c>
      <c r="F762" s="2">
        <f>ff_portfolios25!F762-ff_factors!$E762</f>
        <v>7.3469999999999994E-3</v>
      </c>
      <c r="G762" s="2">
        <f>ff_portfolios25!G762-ff_factors!$E762</f>
        <v>9.3109999999999998E-3</v>
      </c>
      <c r="H762" s="2">
        <f>ff_portfolios25!H762-ff_factors!$E762</f>
        <v>2.8156E-2</v>
      </c>
      <c r="I762" s="2">
        <f>ff_portfolios25!I762-ff_factors!$E762</f>
        <v>7.3460000000000001E-3</v>
      </c>
      <c r="J762" s="2">
        <f>ff_portfolios25!J762-ff_factors!$E762</f>
        <v>7.4349999999999989E-3</v>
      </c>
      <c r="K762" s="2">
        <f>ff_portfolios25!K762-ff_factors!$E762</f>
        <v>9.016999999999999E-3</v>
      </c>
      <c r="L762" s="2">
        <f>ff_portfolios25!L762-ff_factors!$E762</f>
        <v>2.1398E-2</v>
      </c>
      <c r="M762" s="2">
        <f>ff_portfolios25!M762-ff_factors!$E762</f>
        <v>2.3514E-2</v>
      </c>
      <c r="N762" s="2">
        <f>ff_portfolios25!N762-ff_factors!$E762</f>
        <v>1.5991999999999999E-2</v>
      </c>
      <c r="O762" s="2">
        <f>ff_portfolios25!O762-ff_factors!$E762</f>
        <v>-1.0968E-2</v>
      </c>
      <c r="P762" s="2">
        <f>ff_portfolios25!P762-ff_factors!$E762</f>
        <v>2.35E-2</v>
      </c>
      <c r="Q762" s="2">
        <f>ff_portfolios25!Q762-ff_factors!$E762</f>
        <v>2.2341E-2</v>
      </c>
      <c r="R762" s="2">
        <f>ff_portfolios25!R762-ff_factors!$E762</f>
        <v>1.9129E-2</v>
      </c>
      <c r="S762" s="2">
        <f>ff_portfolios25!S762-ff_factors!$E762</f>
        <v>1.5323999999999999E-2</v>
      </c>
      <c r="T762" s="2">
        <f>ff_portfolios25!T762-ff_factors!$E762</f>
        <v>1.2137E-2</v>
      </c>
      <c r="U762" s="2">
        <f>ff_portfolios25!U762-ff_factors!$E762</f>
        <v>1.6286000000000002E-2</v>
      </c>
      <c r="V762" s="2">
        <f>ff_portfolios25!V762-ff_factors!$E762</f>
        <v>3.1817999999999999E-2</v>
      </c>
      <c r="W762" s="2">
        <f>ff_portfolios25!W762-ff_factors!$E762</f>
        <v>4.2366999999999995E-2</v>
      </c>
      <c r="X762" s="2">
        <f>ff_portfolios25!X762-ff_factors!$E762</f>
        <v>3.2601999999999999E-2</v>
      </c>
      <c r="Y762" s="2">
        <f>ff_portfolios25!Y762-ff_factors!$E762</f>
        <v>2.4349999999999997E-2</v>
      </c>
      <c r="Z762" s="2">
        <f>ff_portfolios25!Z762-ff_factors!$E762</f>
        <v>4.2337E-2</v>
      </c>
      <c r="AA762" s="2">
        <f>ff_portfolios25!AA762-ff_factors!$E762</f>
        <v>4.616E-2</v>
      </c>
      <c r="AB762" s="2">
        <f>ff_portfolios25!AB762-ff_factors!$E762</f>
        <v>5.4741999999999999E-2</v>
      </c>
    </row>
    <row r="763" spans="1:28" x14ac:dyDescent="0.2">
      <c r="A763">
        <v>19950630</v>
      </c>
      <c r="B763">
        <v>1995</v>
      </c>
      <c r="C763">
        <v>6</v>
      </c>
      <c r="D763" s="2">
        <f>ff_portfolios25!D763-ff_factors!$E763</f>
        <v>7.2825000000000001E-2</v>
      </c>
      <c r="E763" s="2">
        <f>ff_portfolios25!E763-ff_factors!$E763</f>
        <v>7.4955000000000008E-2</v>
      </c>
      <c r="F763" s="2">
        <f>ff_portfolios25!F763-ff_factors!$E763</f>
        <v>5.3676999999999996E-2</v>
      </c>
      <c r="G763" s="2">
        <f>ff_portfolios25!G763-ff_factors!$E763</f>
        <v>3.8643999999999998E-2</v>
      </c>
      <c r="H763" s="2">
        <f>ff_portfolios25!H763-ff_factors!$E763</f>
        <v>4.7449999999999999E-2</v>
      </c>
      <c r="I763" s="2">
        <f>ff_portfolios25!I763-ff_factors!$E763</f>
        <v>9.1323000000000001E-2</v>
      </c>
      <c r="J763" s="2">
        <f>ff_portfolios25!J763-ff_factors!$E763</f>
        <v>3.9069E-2</v>
      </c>
      <c r="K763" s="2">
        <f>ff_portfolios25!K763-ff_factors!$E763</f>
        <v>3.6229999999999998E-2</v>
      </c>
      <c r="L763" s="2">
        <f>ff_portfolios25!L763-ff_factors!$E763</f>
        <v>4.4742999999999998E-2</v>
      </c>
      <c r="M763" s="2">
        <f>ff_portfolios25!M763-ff_factors!$E763</f>
        <v>3.8286000000000001E-2</v>
      </c>
      <c r="N763" s="2">
        <f>ff_portfolios25!N763-ff_factors!$E763</f>
        <v>5.9878999999999995E-2</v>
      </c>
      <c r="O763" s="2">
        <f>ff_portfolios25!O763-ff_factors!$E763</f>
        <v>2.0123000000000002E-2</v>
      </c>
      <c r="P763" s="2">
        <f>ff_portfolios25!P763-ff_factors!$E763</f>
        <v>3.2733999999999999E-2</v>
      </c>
      <c r="Q763" s="2">
        <f>ff_portfolios25!Q763-ff_factors!$E763</f>
        <v>2.7396E-2</v>
      </c>
      <c r="R763" s="2">
        <f>ff_portfolios25!R763-ff_factors!$E763</f>
        <v>1.9474999999999999E-2</v>
      </c>
      <c r="S763" s="2">
        <f>ff_portfolios25!S763-ff_factors!$E763</f>
        <v>6.2975000000000003E-2</v>
      </c>
      <c r="T763" s="2">
        <f>ff_portfolios25!T763-ff_factors!$E763</f>
        <v>3.3695999999999997E-2</v>
      </c>
      <c r="U763" s="2">
        <f>ff_portfolios25!U763-ff_factors!$E763</f>
        <v>1.6491000000000002E-2</v>
      </c>
      <c r="V763" s="2">
        <f>ff_portfolios25!V763-ff_factors!$E763</f>
        <v>1.9658999999999999E-2</v>
      </c>
      <c r="W763" s="2">
        <f>ff_portfolios25!W763-ff_factors!$E763</f>
        <v>2.5930999999999999E-2</v>
      </c>
      <c r="X763" s="2">
        <f>ff_portfolios25!X763-ff_factors!$E763</f>
        <v>3.4872999999999994E-2</v>
      </c>
      <c r="Y763" s="2">
        <f>ff_portfolios25!Y763-ff_factors!$E763</f>
        <v>1.1952000000000001E-2</v>
      </c>
      <c r="Z763" s="2">
        <f>ff_portfolios25!Z763-ff_factors!$E763</f>
        <v>-2.4450000000000001E-3</v>
      </c>
      <c r="AA763" s="2">
        <f>ff_portfolios25!AA763-ff_factors!$E763</f>
        <v>1.6805E-2</v>
      </c>
      <c r="AB763" s="2">
        <f>ff_portfolios25!AB763-ff_factors!$E763</f>
        <v>1.0790999999999999E-2</v>
      </c>
    </row>
    <row r="764" spans="1:28" x14ac:dyDescent="0.2">
      <c r="A764">
        <v>19950731</v>
      </c>
      <c r="B764">
        <v>1995</v>
      </c>
      <c r="C764">
        <v>7</v>
      </c>
      <c r="D764" s="2">
        <f>ff_portfolios25!D764-ff_factors!$E764</f>
        <v>6.5646999999999997E-2</v>
      </c>
      <c r="E764" s="2">
        <f>ff_portfolios25!E764-ff_factors!$E764</f>
        <v>5.7355000000000003E-2</v>
      </c>
      <c r="F764" s="2">
        <f>ff_portfolios25!F764-ff_factors!$E764</f>
        <v>5.4166000000000006E-2</v>
      </c>
      <c r="G764" s="2">
        <f>ff_portfolios25!G764-ff_factors!$E764</f>
        <v>3.8217000000000001E-2</v>
      </c>
      <c r="H764" s="2">
        <f>ff_portfolios25!H764-ff_factors!$E764</f>
        <v>4.5468000000000001E-2</v>
      </c>
      <c r="I764" s="2">
        <f>ff_portfolios25!I764-ff_factors!$E764</f>
        <v>8.374899999999999E-2</v>
      </c>
      <c r="J764" s="2">
        <f>ff_portfolios25!J764-ff_factors!$E764</f>
        <v>5.5586000000000003E-2</v>
      </c>
      <c r="K764" s="2">
        <f>ff_portfolios25!K764-ff_factors!$E764</f>
        <v>3.2891000000000004E-2</v>
      </c>
      <c r="L764" s="2">
        <f>ff_portfolios25!L764-ff_factors!$E764</f>
        <v>5.7276000000000001E-2</v>
      </c>
      <c r="M764" s="2">
        <f>ff_portfolios25!M764-ff_factors!$E764</f>
        <v>4.2671000000000001E-2</v>
      </c>
      <c r="N764" s="2">
        <f>ff_portfolios25!N764-ff_factors!$E764</f>
        <v>7.7804999999999999E-2</v>
      </c>
      <c r="O764" s="2">
        <f>ff_portfolios25!O764-ff_factors!$E764</f>
        <v>3.7108000000000002E-2</v>
      </c>
      <c r="P764" s="2">
        <f>ff_portfolios25!P764-ff_factors!$E764</f>
        <v>4.0175000000000002E-2</v>
      </c>
      <c r="Q764" s="2">
        <f>ff_portfolios25!Q764-ff_factors!$E764</f>
        <v>4.1813000000000003E-2</v>
      </c>
      <c r="R764" s="2">
        <f>ff_portfolios25!R764-ff_factors!$E764</f>
        <v>5.0889000000000004E-2</v>
      </c>
      <c r="S764" s="2">
        <f>ff_portfolios25!S764-ff_factors!$E764</f>
        <v>7.9072999999999991E-2</v>
      </c>
      <c r="T764" s="2">
        <f>ff_portfolios25!T764-ff_factors!$E764</f>
        <v>4.9533000000000001E-2</v>
      </c>
      <c r="U764" s="2">
        <f>ff_portfolios25!U764-ff_factors!$E764</f>
        <v>3.2211000000000004E-2</v>
      </c>
      <c r="V764" s="2">
        <f>ff_portfolios25!V764-ff_factors!$E764</f>
        <v>3.6473999999999999E-2</v>
      </c>
      <c r="W764" s="2">
        <f>ff_portfolios25!W764-ff_factors!$E764</f>
        <v>2.7100999999999997E-2</v>
      </c>
      <c r="X764" s="2">
        <f>ff_portfolios25!X764-ff_factors!$E764</f>
        <v>2.5107000000000001E-2</v>
      </c>
      <c r="Y764" s="2">
        <f>ff_portfolios25!Y764-ff_factors!$E764</f>
        <v>2.9835999999999998E-2</v>
      </c>
      <c r="Z764" s="2">
        <f>ff_portfolios25!Z764-ff_factors!$E764</f>
        <v>3.6974E-2</v>
      </c>
      <c r="AA764" s="2">
        <f>ff_portfolios25!AA764-ff_factors!$E764</f>
        <v>3.3912000000000005E-2</v>
      </c>
      <c r="AB764" s="2">
        <f>ff_portfolios25!AB764-ff_factors!$E764</f>
        <v>2.5430999999999999E-2</v>
      </c>
    </row>
    <row r="765" spans="1:28" x14ac:dyDescent="0.2">
      <c r="A765">
        <v>19950831</v>
      </c>
      <c r="B765">
        <v>1995</v>
      </c>
      <c r="C765">
        <v>8</v>
      </c>
      <c r="D765" s="2">
        <f>ff_portfolios25!D765-ff_factors!$E765</f>
        <v>3.7253999999999995E-2</v>
      </c>
      <c r="E765" s="2">
        <f>ff_portfolios25!E765-ff_factors!$E765</f>
        <v>4.3288999999999994E-2</v>
      </c>
      <c r="F765" s="2">
        <f>ff_portfolios25!F765-ff_factors!$E765</f>
        <v>3.8048999999999999E-2</v>
      </c>
      <c r="G765" s="2">
        <f>ff_portfolios25!G765-ff_factors!$E765</f>
        <v>3.4192999999999994E-2</v>
      </c>
      <c r="H765" s="2">
        <f>ff_portfolios25!H765-ff_factors!$E765</f>
        <v>3.6502999999999994E-2</v>
      </c>
      <c r="I765" s="2">
        <f>ff_portfolios25!I765-ff_factors!$E765</f>
        <v>2.1599999999999996E-3</v>
      </c>
      <c r="J765" s="2">
        <f>ff_portfolios25!J765-ff_factors!$E765</f>
        <v>9.7569999999999983E-3</v>
      </c>
      <c r="K765" s="2">
        <f>ff_portfolios25!K765-ff_factors!$E765</f>
        <v>1.4315000000000001E-2</v>
      </c>
      <c r="L765" s="2">
        <f>ff_portfolios25!L765-ff_factors!$E765</f>
        <v>2.7705000000000004E-2</v>
      </c>
      <c r="M765" s="2">
        <f>ff_portfolios25!M765-ff_factors!$E765</f>
        <v>3.2346999999999994E-2</v>
      </c>
      <c r="N765" s="2">
        <f>ff_portfolios25!N765-ff_factors!$E765</f>
        <v>-7.5799999999999999E-4</v>
      </c>
      <c r="O765" s="2">
        <f>ff_portfolios25!O765-ff_factors!$E765</f>
        <v>1.0385999999999999E-2</v>
      </c>
      <c r="P765" s="2">
        <f>ff_portfolios25!P765-ff_factors!$E765</f>
        <v>1.3755E-2</v>
      </c>
      <c r="Q765" s="2">
        <f>ff_portfolios25!Q765-ff_factors!$E765</f>
        <v>2.9198999999999999E-2</v>
      </c>
      <c r="R765" s="2">
        <f>ff_portfolios25!R765-ff_factors!$E765</f>
        <v>3.4870999999999999E-2</v>
      </c>
      <c r="S765" s="2">
        <f>ff_portfolios25!S765-ff_factors!$E765</f>
        <v>-3.5140000000000002E-3</v>
      </c>
      <c r="T765" s="2">
        <f>ff_portfolios25!T765-ff_factors!$E765</f>
        <v>1.3930000000000001E-2</v>
      </c>
      <c r="U765" s="2">
        <f>ff_portfolios25!U765-ff_factors!$E765</f>
        <v>1.3670999999999999E-2</v>
      </c>
      <c r="V765" s="2">
        <f>ff_portfolios25!V765-ff_factors!$E765</f>
        <v>1.5891000000000002E-2</v>
      </c>
      <c r="W765" s="2">
        <f>ff_portfolios25!W765-ff_factors!$E765</f>
        <v>2.9703999999999998E-2</v>
      </c>
      <c r="X765" s="2">
        <f>ff_portfolios25!X765-ff_factors!$E765</f>
        <v>-4.627E-3</v>
      </c>
      <c r="Y765" s="2">
        <f>ff_portfolios25!Y765-ff_factors!$E765</f>
        <v>3.2869999999999991E-3</v>
      </c>
      <c r="Z765" s="2">
        <f>ff_portfolios25!Z765-ff_factors!$E765</f>
        <v>-6.8479999999999999E-3</v>
      </c>
      <c r="AA765" s="2">
        <f>ff_portfolios25!AA765-ff_factors!$E765</f>
        <v>1.1068999999999999E-2</v>
      </c>
      <c r="AB765" s="2">
        <f>ff_portfolios25!AB765-ff_factors!$E765</f>
        <v>3.7470999999999997E-2</v>
      </c>
    </row>
    <row r="766" spans="1:28" x14ac:dyDescent="0.2">
      <c r="A766">
        <v>19950929</v>
      </c>
      <c r="B766">
        <v>1995</v>
      </c>
      <c r="C766">
        <v>9</v>
      </c>
      <c r="D766" s="2">
        <f>ff_portfolios25!D766-ff_factors!$E766</f>
        <v>2.8209000000000005E-2</v>
      </c>
      <c r="E766" s="2">
        <f>ff_portfolios25!E766-ff_factors!$E766</f>
        <v>2.4315000000000003E-2</v>
      </c>
      <c r="F766" s="2">
        <f>ff_portfolios25!F766-ff_factors!$E766</f>
        <v>1.2734000000000001E-2</v>
      </c>
      <c r="G766" s="2">
        <f>ff_portfolios25!G766-ff_factors!$E766</f>
        <v>1.8807999999999998E-2</v>
      </c>
      <c r="H766" s="2">
        <f>ff_portfolios25!H766-ff_factors!$E766</f>
        <v>1.9526000000000002E-2</v>
      </c>
      <c r="I766" s="2">
        <f>ff_portfolios25!I766-ff_factors!$E766</f>
        <v>1.5688000000000001E-2</v>
      </c>
      <c r="J766" s="2">
        <f>ff_portfolios25!J766-ff_factors!$E766</f>
        <v>1.6746999999999998E-2</v>
      </c>
      <c r="K766" s="2">
        <f>ff_portfolios25!K766-ff_factors!$E766</f>
        <v>1.4909E-2</v>
      </c>
      <c r="L766" s="2">
        <f>ff_portfolios25!L766-ff_factors!$E766</f>
        <v>2.0864000000000001E-2</v>
      </c>
      <c r="M766" s="2">
        <f>ff_portfolios25!M766-ff_factors!$E766</f>
        <v>-3.418E-3</v>
      </c>
      <c r="N766" s="2">
        <f>ff_portfolios25!N766-ff_factors!$E766</f>
        <v>2.3434000000000003E-2</v>
      </c>
      <c r="O766" s="2">
        <f>ff_portfolios25!O766-ff_factors!$E766</f>
        <v>1.2779999999999996E-3</v>
      </c>
      <c r="P766" s="2">
        <f>ff_portfolios25!P766-ff_factors!$E766</f>
        <v>1.6982999999999998E-2</v>
      </c>
      <c r="Q766" s="2">
        <f>ff_portfolios25!Q766-ff_factors!$E766</f>
        <v>1.8024999999999999E-2</v>
      </c>
      <c r="R766" s="2">
        <f>ff_portfolios25!R766-ff_factors!$E766</f>
        <v>-1.1092000000000001E-2</v>
      </c>
      <c r="S766" s="2">
        <f>ff_portfolios25!S766-ff_factors!$E766</f>
        <v>3.5274E-2</v>
      </c>
      <c r="T766" s="2">
        <f>ff_portfolios25!T766-ff_factors!$E766</f>
        <v>1.1354999999999999E-2</v>
      </c>
      <c r="U766" s="2">
        <f>ff_portfolios25!U766-ff_factors!$E766</f>
        <v>1.4773E-2</v>
      </c>
      <c r="V766" s="2">
        <f>ff_portfolios25!V766-ff_factors!$E766</f>
        <v>2.0256000000000003E-2</v>
      </c>
      <c r="W766" s="2">
        <f>ff_portfolios25!W766-ff_factors!$E766</f>
        <v>8.3750000000000005E-3</v>
      </c>
      <c r="X766" s="2">
        <f>ff_portfolios25!X766-ff_factors!$E766</f>
        <v>5.4015000000000001E-2</v>
      </c>
      <c r="Y766" s="2">
        <f>ff_portfolios25!Y766-ff_factors!$E766</f>
        <v>3.5156E-2</v>
      </c>
      <c r="Z766" s="2">
        <f>ff_portfolios25!Z766-ff_factors!$E766</f>
        <v>1.7987999999999997E-2</v>
      </c>
      <c r="AA766" s="2">
        <f>ff_portfolios25!AA766-ff_factors!$E766</f>
        <v>5.1201000000000003E-2</v>
      </c>
      <c r="AB766" s="2">
        <f>ff_portfolios25!AB766-ff_factors!$E766</f>
        <v>3.5071999999999999E-2</v>
      </c>
    </row>
    <row r="767" spans="1:28" x14ac:dyDescent="0.2">
      <c r="A767">
        <v>19951031</v>
      </c>
      <c r="B767">
        <v>1995</v>
      </c>
      <c r="C767">
        <v>10</v>
      </c>
      <c r="D767" s="2">
        <f>ff_portfolios25!D767-ff_factors!$E767</f>
        <v>-6.5705E-2</v>
      </c>
      <c r="E767" s="2">
        <f>ff_portfolios25!E767-ff_factors!$E767</f>
        <v>-6.6845000000000002E-2</v>
      </c>
      <c r="F767" s="2">
        <f>ff_portfolios25!F767-ff_factors!$E767</f>
        <v>-5.5263E-2</v>
      </c>
      <c r="G767" s="2">
        <f>ff_portfolios25!G767-ff_factors!$E767</f>
        <v>-3.0237E-2</v>
      </c>
      <c r="H767" s="2">
        <f>ff_portfolios25!H767-ff_factors!$E767</f>
        <v>-3.3336000000000005E-2</v>
      </c>
      <c r="I767" s="2">
        <f>ff_portfolios25!I767-ff_factors!$E767</f>
        <v>-7.4132999999999991E-2</v>
      </c>
      <c r="J767" s="2">
        <f>ff_portfolios25!J767-ff_factors!$E767</f>
        <v>-7.2025999999999993E-2</v>
      </c>
      <c r="K767" s="2">
        <f>ff_portfolios25!K767-ff_factors!$E767</f>
        <v>-5.9468E-2</v>
      </c>
      <c r="L767" s="2">
        <f>ff_portfolios25!L767-ff_factors!$E767</f>
        <v>-4.9122000000000006E-2</v>
      </c>
      <c r="M767" s="2">
        <f>ff_portfolios25!M767-ff_factors!$E767</f>
        <v>-5.6596E-2</v>
      </c>
      <c r="N767" s="2">
        <f>ff_portfolios25!N767-ff_factors!$E767</f>
        <v>-3.0987999999999998E-2</v>
      </c>
      <c r="O767" s="2">
        <f>ff_portfolios25!O767-ff_factors!$E767</f>
        <v>-4.4237000000000005E-2</v>
      </c>
      <c r="P767" s="2">
        <f>ff_portfolios25!P767-ff_factors!$E767</f>
        <v>-2.8781999999999999E-2</v>
      </c>
      <c r="Q767" s="2">
        <f>ff_portfolios25!Q767-ff_factors!$E767</f>
        <v>-3.8543000000000001E-2</v>
      </c>
      <c r="R767" s="2">
        <f>ff_portfolios25!R767-ff_factors!$E767</f>
        <v>-3.9085000000000002E-2</v>
      </c>
      <c r="S767" s="2">
        <f>ff_portfolios25!S767-ff_factors!$E767</f>
        <v>-2.1239999999999998E-2</v>
      </c>
      <c r="T767" s="2">
        <f>ff_portfolios25!T767-ff_factors!$E767</f>
        <v>-4.9132000000000002E-2</v>
      </c>
      <c r="U767" s="2">
        <f>ff_portfolios25!U767-ff_factors!$E767</f>
        <v>-2.9676999999999999E-2</v>
      </c>
      <c r="V767" s="2">
        <f>ff_portfolios25!V767-ff_factors!$E767</f>
        <v>-5.6640000000000006E-3</v>
      </c>
      <c r="W767" s="2">
        <f>ff_portfolios25!W767-ff_factors!$E767</f>
        <v>-3.3165E-2</v>
      </c>
      <c r="X767" s="2">
        <f>ff_portfolios25!X767-ff_factors!$E767</f>
        <v>9.4900000000000019E-4</v>
      </c>
      <c r="Y767" s="2">
        <f>ff_portfolios25!Y767-ff_factors!$E767</f>
        <v>6.3600000000000002E-3</v>
      </c>
      <c r="Z767" s="2">
        <f>ff_portfolios25!Z767-ff_factors!$E767</f>
        <v>9.7299999999999991E-4</v>
      </c>
      <c r="AA767" s="2">
        <f>ff_portfolios25!AA767-ff_factors!$E767</f>
        <v>-3.7546000000000003E-2</v>
      </c>
      <c r="AB767" s="2">
        <f>ff_portfolios25!AB767-ff_factors!$E767</f>
        <v>-4.2967000000000005E-2</v>
      </c>
    </row>
    <row r="768" spans="1:28" x14ac:dyDescent="0.2">
      <c r="A768">
        <v>19951130</v>
      </c>
      <c r="B768">
        <v>1995</v>
      </c>
      <c r="C768">
        <v>11</v>
      </c>
      <c r="D768" s="2">
        <f>ff_portfolios25!D768-ff_factors!$E768</f>
        <v>1.4203E-2</v>
      </c>
      <c r="E768" s="2">
        <f>ff_portfolios25!E768-ff_factors!$E768</f>
        <v>1.8709E-2</v>
      </c>
      <c r="F768" s="2">
        <f>ff_portfolios25!F768-ff_factors!$E768</f>
        <v>6.051E-3</v>
      </c>
      <c r="G768" s="2">
        <f>ff_portfolios25!G768-ff_factors!$E768</f>
        <v>1.9241000000000001E-2</v>
      </c>
      <c r="H768" s="2">
        <f>ff_portfolios25!H768-ff_factors!$E768</f>
        <v>1.0374999999999999E-2</v>
      </c>
      <c r="I768" s="2">
        <f>ff_portfolios25!I768-ff_factors!$E768</f>
        <v>4.2417999999999997E-2</v>
      </c>
      <c r="J768" s="2">
        <f>ff_portfolios25!J768-ff_factors!$E768</f>
        <v>4.2308999999999999E-2</v>
      </c>
      <c r="K768" s="2">
        <f>ff_portfolios25!K768-ff_factors!$E768</f>
        <v>3.3565999999999999E-2</v>
      </c>
      <c r="L768" s="2">
        <f>ff_portfolios25!L768-ff_factors!$E768</f>
        <v>4.9082999999999995E-2</v>
      </c>
      <c r="M768" s="2">
        <f>ff_portfolios25!M768-ff_factors!$E768</f>
        <v>5.3357999999999996E-2</v>
      </c>
      <c r="N768" s="2">
        <f>ff_portfolios25!N768-ff_factors!$E768</f>
        <v>5.8941E-2</v>
      </c>
      <c r="O768" s="2">
        <f>ff_portfolios25!O768-ff_factors!$E768</f>
        <v>2.8210000000000002E-2</v>
      </c>
      <c r="P768" s="2">
        <f>ff_portfolios25!P768-ff_factors!$E768</f>
        <v>3.1819E-2</v>
      </c>
      <c r="Q768" s="2">
        <f>ff_portfolios25!Q768-ff_factors!$E768</f>
        <v>4.2153999999999997E-2</v>
      </c>
      <c r="R768" s="2">
        <f>ff_portfolios25!R768-ff_factors!$E768</f>
        <v>5.9184999999999995E-2</v>
      </c>
      <c r="S768" s="2">
        <f>ff_portfolios25!S768-ff_factors!$E768</f>
        <v>4.0594999999999999E-2</v>
      </c>
      <c r="T768" s="2">
        <f>ff_portfolios25!T768-ff_factors!$E768</f>
        <v>3.1281999999999997E-2</v>
      </c>
      <c r="U768" s="2">
        <f>ff_portfolios25!U768-ff_factors!$E768</f>
        <v>3.7537000000000001E-2</v>
      </c>
      <c r="V768" s="2">
        <f>ff_portfolios25!V768-ff_factors!$E768</f>
        <v>4.1568999999999995E-2</v>
      </c>
      <c r="W768" s="2">
        <f>ff_portfolios25!W768-ff_factors!$E768</f>
        <v>5.5263E-2</v>
      </c>
      <c r="X768" s="2">
        <f>ff_portfolios25!X768-ff_factors!$E768</f>
        <v>4.1527999999999995E-2</v>
      </c>
      <c r="Y768" s="2">
        <f>ff_portfolios25!Y768-ff_factors!$E768</f>
        <v>2.0992E-2</v>
      </c>
      <c r="Z768" s="2">
        <f>ff_portfolios25!Z768-ff_factors!$E768</f>
        <v>3.9302999999999998E-2</v>
      </c>
      <c r="AA768" s="2">
        <f>ff_portfolios25!AA768-ff_factors!$E768</f>
        <v>6.5365000000000006E-2</v>
      </c>
      <c r="AB768" s="2">
        <f>ff_portfolios25!AB768-ff_factors!$E768</f>
        <v>4.6539999999999998E-2</v>
      </c>
    </row>
    <row r="769" spans="1:28" x14ac:dyDescent="0.2">
      <c r="A769">
        <v>19951229</v>
      </c>
      <c r="B769">
        <v>1995</v>
      </c>
      <c r="C769">
        <v>12</v>
      </c>
      <c r="D769" s="2">
        <f>ff_portfolios25!D769-ff_factors!$E769</f>
        <v>1.8276000000000001E-2</v>
      </c>
      <c r="E769" s="2">
        <f>ff_portfolios25!E769-ff_factors!$E769</f>
        <v>2.7811999999999996E-2</v>
      </c>
      <c r="F769" s="2">
        <f>ff_portfolios25!F769-ff_factors!$E769</f>
        <v>1.0305E-2</v>
      </c>
      <c r="G769" s="2">
        <f>ff_portfolios25!G769-ff_factors!$E769</f>
        <v>1.0740999999999999E-2</v>
      </c>
      <c r="H769" s="2">
        <f>ff_portfolios25!H769-ff_factors!$E769</f>
        <v>8.8669999999999999E-3</v>
      </c>
      <c r="I769" s="2">
        <f>ff_portfolios25!I769-ff_factors!$E769</f>
        <v>2.2400999999999997E-2</v>
      </c>
      <c r="J769" s="2">
        <f>ff_portfolios25!J769-ff_factors!$E769</f>
        <v>2.8677000000000001E-2</v>
      </c>
      <c r="K769" s="2">
        <f>ff_portfolios25!K769-ff_factors!$E769</f>
        <v>2.8315E-2</v>
      </c>
      <c r="L769" s="2">
        <f>ff_portfolios25!L769-ff_factors!$E769</f>
        <v>2.2275000000000003E-2</v>
      </c>
      <c r="M769" s="2">
        <f>ff_portfolios25!M769-ff_factors!$E769</f>
        <v>2.7927E-2</v>
      </c>
      <c r="N769" s="2">
        <f>ff_portfolios25!N769-ff_factors!$E769</f>
        <v>1.103E-2</v>
      </c>
      <c r="O769" s="2">
        <f>ff_portfolios25!O769-ff_factors!$E769</f>
        <v>1.5833E-2</v>
      </c>
      <c r="P769" s="2">
        <f>ff_portfolios25!P769-ff_factors!$E769</f>
        <v>2.4140000000000002E-2</v>
      </c>
      <c r="Q769" s="2">
        <f>ff_portfolios25!Q769-ff_factors!$E769</f>
        <v>2.4296999999999999E-2</v>
      </c>
      <c r="R769" s="2">
        <f>ff_portfolios25!R769-ff_factors!$E769</f>
        <v>2.2459999999999997E-3</v>
      </c>
      <c r="S769" s="2">
        <f>ff_portfolios25!S769-ff_factors!$E769</f>
        <v>-2.513E-2</v>
      </c>
      <c r="T769" s="2">
        <f>ff_portfolios25!T769-ff_factors!$E769</f>
        <v>3.8119999999999994E-3</v>
      </c>
      <c r="U769" s="2">
        <f>ff_portfolios25!U769-ff_factors!$E769</f>
        <v>1.0436000000000001E-2</v>
      </c>
      <c r="V769" s="2">
        <f>ff_portfolios25!V769-ff_factors!$E769</f>
        <v>7.1230000000000009E-3</v>
      </c>
      <c r="W769" s="2">
        <f>ff_portfolios25!W769-ff_factors!$E769</f>
        <v>-1.1828999999999999E-2</v>
      </c>
      <c r="X769" s="2">
        <f>ff_portfolios25!X769-ff_factors!$E769</f>
        <v>8.2000000000000042E-4</v>
      </c>
      <c r="Y769" s="2">
        <f>ff_portfolios25!Y769-ff_factors!$E769</f>
        <v>1.5959000000000001E-2</v>
      </c>
      <c r="Z769" s="2">
        <f>ff_portfolios25!Z769-ff_factors!$E769</f>
        <v>3.0450999999999999E-2</v>
      </c>
      <c r="AA769" s="2">
        <f>ff_portfolios25!AA769-ff_factors!$E769</f>
        <v>8.345E-3</v>
      </c>
      <c r="AB769" s="2">
        <f>ff_portfolios25!AB769-ff_factors!$E769</f>
        <v>2.5342999999999997E-2</v>
      </c>
    </row>
    <row r="770" spans="1:28" x14ac:dyDescent="0.2">
      <c r="A770">
        <v>19960131</v>
      </c>
      <c r="B770">
        <v>1996</v>
      </c>
      <c r="C770">
        <v>1</v>
      </c>
      <c r="D770" s="2">
        <f>ff_portfolios25!D770-ff_factors!$E770</f>
        <v>1.6259999999999997E-2</v>
      </c>
      <c r="E770" s="2">
        <f>ff_portfolios25!E770-ff_factors!$E770</f>
        <v>-5.2820000000000002E-3</v>
      </c>
      <c r="F770" s="2">
        <f>ff_portfolios25!F770-ff_factors!$E770</f>
        <v>7.443E-3</v>
      </c>
      <c r="G770" s="2">
        <f>ff_portfolios25!G770-ff_factors!$E770</f>
        <v>4.4410000000000005E-3</v>
      </c>
      <c r="H770" s="2">
        <f>ff_portfolios25!H770-ff_factors!$E770</f>
        <v>6.9510000000000006E-3</v>
      </c>
      <c r="I770" s="2">
        <f>ff_portfolios25!I770-ff_factors!$E770</f>
        <v>-1.0062E-2</v>
      </c>
      <c r="J770" s="2">
        <f>ff_portfolios25!J770-ff_factors!$E770</f>
        <v>-1.3646999999999999E-2</v>
      </c>
      <c r="K770" s="2">
        <f>ff_portfolios25!K770-ff_factors!$E770</f>
        <v>-2.7899999999999973E-4</v>
      </c>
      <c r="L770" s="2">
        <f>ff_portfolios25!L770-ff_factors!$E770</f>
        <v>-9.7350000000000006E-3</v>
      </c>
      <c r="M770" s="2">
        <f>ff_portfolios25!M770-ff_factors!$E770</f>
        <v>7.2820000000000003E-3</v>
      </c>
      <c r="N770" s="2">
        <f>ff_portfolios25!N770-ff_factors!$E770</f>
        <v>-2.9484999999999997E-2</v>
      </c>
      <c r="O770" s="2">
        <f>ff_portfolios25!O770-ff_factors!$E770</f>
        <v>1.4520000000000002E-3</v>
      </c>
      <c r="P770" s="2">
        <f>ff_portfolios25!P770-ff_factors!$E770</f>
        <v>-5.6189999999999999E-3</v>
      </c>
      <c r="Q770" s="2">
        <f>ff_portfolios25!Q770-ff_factors!$E770</f>
        <v>1.0697999999999999E-2</v>
      </c>
      <c r="R770" s="2">
        <f>ff_portfolios25!R770-ff_factors!$E770</f>
        <v>-1.83E-3</v>
      </c>
      <c r="S770" s="2">
        <f>ff_portfolios25!S770-ff_factors!$E770</f>
        <v>1.1471E-2</v>
      </c>
      <c r="T770" s="2">
        <f>ff_portfolios25!T770-ff_factors!$E770</f>
        <v>1.8034000000000001E-2</v>
      </c>
      <c r="U770" s="2">
        <f>ff_portfolios25!U770-ff_factors!$E770</f>
        <v>1.5815999999999997E-2</v>
      </c>
      <c r="V770" s="2">
        <f>ff_portfolios25!V770-ff_factors!$E770</f>
        <v>1.1819999999999999E-2</v>
      </c>
      <c r="W770" s="2">
        <f>ff_portfolios25!W770-ff_factors!$E770</f>
        <v>1.7569000000000001E-2</v>
      </c>
      <c r="X770" s="2">
        <f>ff_portfolios25!X770-ff_factors!$E770</f>
        <v>3.4914000000000001E-2</v>
      </c>
      <c r="Y770" s="2">
        <f>ff_portfolios25!Y770-ff_factors!$E770</f>
        <v>2.5718999999999999E-2</v>
      </c>
      <c r="Z770" s="2">
        <f>ff_portfolios25!Z770-ff_factors!$E770</f>
        <v>2.6238999999999998E-2</v>
      </c>
      <c r="AA770" s="2">
        <f>ff_portfolios25!AA770-ff_factors!$E770</f>
        <v>3.1359000000000005E-2</v>
      </c>
      <c r="AB770" s="2">
        <f>ff_portfolios25!AB770-ff_factors!$E770</f>
        <v>3.0207999999999999E-2</v>
      </c>
    </row>
    <row r="771" spans="1:28" x14ac:dyDescent="0.2">
      <c r="A771">
        <v>19960229</v>
      </c>
      <c r="B771">
        <v>1996</v>
      </c>
      <c r="C771">
        <v>2</v>
      </c>
      <c r="D771" s="2">
        <f>ff_portfolios25!D771-ff_factors!$E771</f>
        <v>3.0211000000000002E-2</v>
      </c>
      <c r="E771" s="2">
        <f>ff_portfolios25!E771-ff_factors!$E771</f>
        <v>1.6028000000000001E-2</v>
      </c>
      <c r="F771" s="2">
        <f>ff_portfolios25!F771-ff_factors!$E771</f>
        <v>2.9018000000000002E-2</v>
      </c>
      <c r="G771" s="2">
        <f>ff_portfolios25!G771-ff_factors!$E771</f>
        <v>2.3313999999999998E-2</v>
      </c>
      <c r="H771" s="2">
        <f>ff_portfolios25!H771-ff_factors!$E771</f>
        <v>2.9365000000000002E-2</v>
      </c>
      <c r="I771" s="2">
        <f>ff_portfolios25!I771-ff_factors!$E771</f>
        <v>4.6856000000000002E-2</v>
      </c>
      <c r="J771" s="2">
        <f>ff_portfolios25!J771-ff_factors!$E771</f>
        <v>4.3471999999999997E-2</v>
      </c>
      <c r="K771" s="2">
        <f>ff_portfolios25!K771-ff_factors!$E771</f>
        <v>1.3662000000000001E-2</v>
      </c>
      <c r="L771" s="2">
        <f>ff_portfolios25!L771-ff_factors!$E771</f>
        <v>1.8318999999999998E-2</v>
      </c>
      <c r="M771" s="2">
        <f>ff_portfolios25!M771-ff_factors!$E771</f>
        <v>1.2968999999999998E-2</v>
      </c>
      <c r="N771" s="2">
        <f>ff_portfolios25!N771-ff_factors!$E771</f>
        <v>5.4195E-2</v>
      </c>
      <c r="O771" s="2">
        <f>ff_portfolios25!O771-ff_factors!$E771</f>
        <v>3.4143E-2</v>
      </c>
      <c r="P771" s="2">
        <f>ff_portfolios25!P771-ff_factors!$E771</f>
        <v>1.6972999999999999E-2</v>
      </c>
      <c r="Q771" s="2">
        <f>ff_portfolios25!Q771-ff_factors!$E771</f>
        <v>1.8428E-2</v>
      </c>
      <c r="R771" s="2">
        <f>ff_portfolios25!R771-ff_factors!$E771</f>
        <v>1.3132999999999999E-2</v>
      </c>
      <c r="S771" s="2">
        <f>ff_portfolios25!S771-ff_factors!$E771</f>
        <v>4.8203999999999997E-2</v>
      </c>
      <c r="T771" s="2">
        <f>ff_portfolios25!T771-ff_factors!$E771</f>
        <v>4.1649999999999994E-3</v>
      </c>
      <c r="U771" s="2">
        <f>ff_portfolios25!U771-ff_factors!$E771</f>
        <v>9.833999999999999E-3</v>
      </c>
      <c r="V771" s="2">
        <f>ff_portfolios25!V771-ff_factors!$E771</f>
        <v>5.5800000000000008E-3</v>
      </c>
      <c r="W771" s="2">
        <f>ff_portfolios25!W771-ff_factors!$E771</f>
        <v>-1.4754E-2</v>
      </c>
      <c r="X771" s="2">
        <f>ff_portfolios25!X771-ff_factors!$E771</f>
        <v>6.2049999999999996E-3</v>
      </c>
      <c r="Y771" s="2">
        <f>ff_portfolios25!Y771-ff_factors!$E771</f>
        <v>1.2507000000000001E-2</v>
      </c>
      <c r="Z771" s="2">
        <f>ff_portfolios25!Z771-ff_factors!$E771</f>
        <v>1.1377999999999999E-2</v>
      </c>
      <c r="AA771" s="2">
        <f>ff_portfolios25!AA771-ff_factors!$E771</f>
        <v>8.6409999999999994E-3</v>
      </c>
      <c r="AB771" s="2">
        <f>ff_portfolios25!AB771-ff_factors!$E771</f>
        <v>1.8314999999999998E-2</v>
      </c>
    </row>
    <row r="772" spans="1:28" x14ac:dyDescent="0.2">
      <c r="A772">
        <v>19960329</v>
      </c>
      <c r="B772">
        <v>1996</v>
      </c>
      <c r="C772">
        <v>3</v>
      </c>
      <c r="D772" s="2">
        <f>ff_portfolios25!D772-ff_factors!$E772</f>
        <v>2.4715000000000001E-2</v>
      </c>
      <c r="E772" s="2">
        <f>ff_portfolios25!E772-ff_factors!$E772</f>
        <v>3.3418999999999997E-2</v>
      </c>
      <c r="F772" s="2">
        <f>ff_portfolios25!F772-ff_factors!$E772</f>
        <v>2.0461E-2</v>
      </c>
      <c r="G772" s="2">
        <f>ff_portfolios25!G772-ff_factors!$E772</f>
        <v>4.2745999999999999E-2</v>
      </c>
      <c r="H772" s="2">
        <f>ff_portfolios25!H772-ff_factors!$E772</f>
        <v>1.6816999999999999E-2</v>
      </c>
      <c r="I772" s="2">
        <f>ff_portfolios25!I772-ff_factors!$E772</f>
        <v>2.0281999999999998E-2</v>
      </c>
      <c r="J772" s="2">
        <f>ff_portfolios25!J772-ff_factors!$E772</f>
        <v>1.6732E-2</v>
      </c>
      <c r="K772" s="2">
        <f>ff_portfolios25!K772-ff_factors!$E772</f>
        <v>9.9130000000000017E-3</v>
      </c>
      <c r="L772" s="2">
        <f>ff_portfolios25!L772-ff_factors!$E772</f>
        <v>1.4033999999999998E-2</v>
      </c>
      <c r="M772" s="2">
        <f>ff_portfolios25!M772-ff_factors!$E772</f>
        <v>3.5194999999999997E-2</v>
      </c>
      <c r="N772" s="2">
        <f>ff_portfolios25!N772-ff_factors!$E772</f>
        <v>2.1746999999999999E-2</v>
      </c>
      <c r="O772" s="2">
        <f>ff_portfolios25!O772-ff_factors!$E772</f>
        <v>1.2229E-2</v>
      </c>
      <c r="P772" s="2">
        <f>ff_portfolios25!P772-ff_factors!$E772</f>
        <v>3.2115999999999999E-2</v>
      </c>
      <c r="Q772" s="2">
        <f>ff_portfolios25!Q772-ff_factors!$E772</f>
        <v>2.7367000000000002E-2</v>
      </c>
      <c r="R772" s="2">
        <f>ff_portfolios25!R772-ff_factors!$E772</f>
        <v>1.7165E-2</v>
      </c>
      <c r="S772" s="2">
        <f>ff_portfolios25!S772-ff_factors!$E772</f>
        <v>7.7240000000000008E-3</v>
      </c>
      <c r="T772" s="2">
        <f>ff_portfolios25!T772-ff_factors!$E772</f>
        <v>7.8219999999999991E-3</v>
      </c>
      <c r="U772" s="2">
        <f>ff_portfolios25!U772-ff_factors!$E772</f>
        <v>1.5963999999999999E-2</v>
      </c>
      <c r="V772" s="2">
        <f>ff_portfolios25!V772-ff_factors!$E772</f>
        <v>2.6030000000000003E-3</v>
      </c>
      <c r="W772" s="2">
        <f>ff_portfolios25!W772-ff_factors!$E772</f>
        <v>2.2513999999999999E-2</v>
      </c>
      <c r="X772" s="2">
        <f>ff_portfolios25!X772-ff_factors!$E772</f>
        <v>-7.0239999999999999E-3</v>
      </c>
      <c r="Y772" s="2">
        <f>ff_portfolios25!Y772-ff_factors!$E772</f>
        <v>9.214E-3</v>
      </c>
      <c r="Z772" s="2">
        <f>ff_portfolios25!Z772-ff_factors!$E772</f>
        <v>6.3279999999999994E-3</v>
      </c>
      <c r="AA772" s="2">
        <f>ff_portfolios25!AA772-ff_factors!$E772</f>
        <v>1.8831000000000001E-2</v>
      </c>
      <c r="AB772" s="2">
        <f>ff_portfolios25!AB772-ff_factors!$E772</f>
        <v>2.2869E-2</v>
      </c>
    </row>
    <row r="773" spans="1:28" x14ac:dyDescent="0.2">
      <c r="A773">
        <v>19960430</v>
      </c>
      <c r="B773">
        <v>1996</v>
      </c>
      <c r="C773">
        <v>4</v>
      </c>
      <c r="D773" s="2">
        <f>ff_portfolios25!D773-ff_factors!$E773</f>
        <v>8.1514000000000003E-2</v>
      </c>
      <c r="E773" s="2">
        <f>ff_portfolios25!E773-ff_factors!$E773</f>
        <v>9.0323999999999988E-2</v>
      </c>
      <c r="F773" s="2">
        <f>ff_portfolios25!F773-ff_factors!$E773</f>
        <v>8.663499999999999E-2</v>
      </c>
      <c r="G773" s="2">
        <f>ff_portfolios25!G773-ff_factors!$E773</f>
        <v>5.1597999999999998E-2</v>
      </c>
      <c r="H773" s="2">
        <f>ff_portfolios25!H773-ff_factors!$E773</f>
        <v>5.1871E-2</v>
      </c>
      <c r="I773" s="2">
        <f>ff_portfolios25!I773-ff_factors!$E773</f>
        <v>9.9948000000000009E-2</v>
      </c>
      <c r="J773" s="2">
        <f>ff_portfolios25!J773-ff_factors!$E773</f>
        <v>7.4608000000000008E-2</v>
      </c>
      <c r="K773" s="2">
        <f>ff_portfolios25!K773-ff_factors!$E773</f>
        <v>2.2266000000000001E-2</v>
      </c>
      <c r="L773" s="2">
        <f>ff_portfolios25!L773-ff_factors!$E773</f>
        <v>3.5602000000000002E-2</v>
      </c>
      <c r="M773" s="2">
        <f>ff_portfolios25!M773-ff_factors!$E773</f>
        <v>5.7955E-2</v>
      </c>
      <c r="N773" s="2">
        <f>ff_portfolios25!N773-ff_factors!$E773</f>
        <v>5.9698999999999995E-2</v>
      </c>
      <c r="O773" s="2">
        <f>ff_portfolios25!O773-ff_factors!$E773</f>
        <v>2.9855E-2</v>
      </c>
      <c r="P773" s="2">
        <f>ff_portfolios25!P773-ff_factors!$E773</f>
        <v>1.49E-2</v>
      </c>
      <c r="Q773" s="2">
        <f>ff_portfolios25!Q773-ff_factors!$E773</f>
        <v>1.1872000000000001E-2</v>
      </c>
      <c r="R773" s="2">
        <f>ff_portfolios25!R773-ff_factors!$E773</f>
        <v>1.7700000000000007E-4</v>
      </c>
      <c r="S773" s="2">
        <f>ff_portfolios25!S773-ff_factors!$E773</f>
        <v>5.8807000000000005E-2</v>
      </c>
      <c r="T773" s="2">
        <f>ff_portfolios25!T773-ff_factors!$E773</f>
        <v>4.5560000000000003E-2</v>
      </c>
      <c r="U773" s="2">
        <f>ff_portfolios25!U773-ff_factors!$E773</f>
        <v>2.7944999999999998E-2</v>
      </c>
      <c r="V773" s="2">
        <f>ff_portfolios25!V773-ff_factors!$E773</f>
        <v>-2.7139999999999998E-3</v>
      </c>
      <c r="W773" s="2">
        <f>ff_portfolios25!W773-ff_factors!$E773</f>
        <v>-2.4004999999999999E-2</v>
      </c>
      <c r="X773" s="2">
        <f>ff_portfolios25!X773-ff_factors!$E773</f>
        <v>9.8790000000000006E-3</v>
      </c>
      <c r="Y773" s="2">
        <f>ff_portfolios25!Y773-ff_factors!$E773</f>
        <v>2.2648999999999999E-2</v>
      </c>
      <c r="Z773" s="2">
        <f>ff_portfolios25!Z773-ff_factors!$E773</f>
        <v>1.0508E-2</v>
      </c>
      <c r="AA773" s="2">
        <f>ff_portfolios25!AA773-ff_factors!$E773</f>
        <v>-1.3889E-2</v>
      </c>
      <c r="AB773" s="2">
        <f>ff_portfolios25!AB773-ff_factors!$E773</f>
        <v>-1.9970000000000001E-3</v>
      </c>
    </row>
    <row r="774" spans="1:28" x14ac:dyDescent="0.2">
      <c r="A774">
        <v>19960531</v>
      </c>
      <c r="B774">
        <v>1996</v>
      </c>
      <c r="C774">
        <v>5</v>
      </c>
      <c r="D774" s="2">
        <f>ff_portfolios25!D774-ff_factors!$E774</f>
        <v>7.6346000000000011E-2</v>
      </c>
      <c r="E774" s="2">
        <f>ff_portfolios25!E774-ff_factors!$E774</f>
        <v>5.5917999999999995E-2</v>
      </c>
      <c r="F774" s="2">
        <f>ff_portfolios25!F774-ff_factors!$E774</f>
        <v>8.0479000000000009E-2</v>
      </c>
      <c r="G774" s="2">
        <f>ff_portfolios25!G774-ff_factors!$E774</f>
        <v>6.8751000000000007E-2</v>
      </c>
      <c r="H774" s="2">
        <f>ff_portfolios25!H774-ff_factors!$E774</f>
        <v>4.6100999999999996E-2</v>
      </c>
      <c r="I774" s="2">
        <f>ff_portfolios25!I774-ff_factors!$E774</f>
        <v>5.8439999999999999E-2</v>
      </c>
      <c r="J774" s="2">
        <f>ff_portfolios25!J774-ff_factors!$E774</f>
        <v>3.4190999999999999E-2</v>
      </c>
      <c r="K774" s="2">
        <f>ff_portfolios25!K774-ff_factors!$E774</f>
        <v>3.9987999999999996E-2</v>
      </c>
      <c r="L774" s="2">
        <f>ff_portfolios25!L774-ff_factors!$E774</f>
        <v>4.2809E-2</v>
      </c>
      <c r="M774" s="2">
        <f>ff_portfolios25!M774-ff_factors!$E774</f>
        <v>7.1384000000000003E-2</v>
      </c>
      <c r="N774" s="2">
        <f>ff_portfolios25!N774-ff_factors!$E774</f>
        <v>3.1161999999999999E-2</v>
      </c>
      <c r="O774" s="2">
        <f>ff_portfolios25!O774-ff_factors!$E774</f>
        <v>2.7399000000000003E-2</v>
      </c>
      <c r="P774" s="2">
        <f>ff_portfolios25!P774-ff_factors!$E774</f>
        <v>1.1455E-2</v>
      </c>
      <c r="Q774" s="2">
        <f>ff_portfolios25!Q774-ff_factors!$E774</f>
        <v>1.4696000000000001E-2</v>
      </c>
      <c r="R774" s="2">
        <f>ff_portfolios25!R774-ff_factors!$E774</f>
        <v>2.647E-3</v>
      </c>
      <c r="S774" s="2">
        <f>ff_portfolios25!S774-ff_factors!$E774</f>
        <v>2.5931000000000003E-2</v>
      </c>
      <c r="T774" s="2">
        <f>ff_portfolios25!T774-ff_factors!$E774</f>
        <v>-2.9609999999999997E-3</v>
      </c>
      <c r="U774" s="2">
        <f>ff_portfolios25!U774-ff_factors!$E774</f>
        <v>8.8640000000000004E-3</v>
      </c>
      <c r="V774" s="2">
        <f>ff_portfolios25!V774-ff_factors!$E774</f>
        <v>8.0819999999999989E-3</v>
      </c>
      <c r="W774" s="2">
        <f>ff_portfolios25!W774-ff_factors!$E774</f>
        <v>-2.0999999999999318E-5</v>
      </c>
      <c r="X774" s="2">
        <f>ff_portfolios25!X774-ff_factors!$E774</f>
        <v>4.1172999999999994E-2</v>
      </c>
      <c r="Y774" s="2">
        <f>ff_portfolios25!Y774-ff_factors!$E774</f>
        <v>5.922000000000001E-3</v>
      </c>
      <c r="Z774" s="2">
        <f>ff_portfolios25!Z774-ff_factors!$E774</f>
        <v>-6.0199999999999967E-4</v>
      </c>
      <c r="AA774" s="2">
        <f>ff_portfolios25!AA774-ff_factors!$E774</f>
        <v>2.0724000000000003E-2</v>
      </c>
      <c r="AB774" s="2">
        <f>ff_portfolios25!AB774-ff_factors!$E774</f>
        <v>2.2991000000000001E-2</v>
      </c>
    </row>
    <row r="775" spans="1:28" x14ac:dyDescent="0.2">
      <c r="A775">
        <v>19960628</v>
      </c>
      <c r="B775">
        <v>1996</v>
      </c>
      <c r="C775">
        <v>6</v>
      </c>
      <c r="D775" s="2">
        <f>ff_portfolios25!D775-ff_factors!$E775</f>
        <v>-7.8869000000000009E-2</v>
      </c>
      <c r="E775" s="2">
        <f>ff_portfolios25!E775-ff_factors!$E775</f>
        <v>-6.2330999999999998E-2</v>
      </c>
      <c r="F775" s="2">
        <f>ff_portfolios25!F775-ff_factors!$E775</f>
        <v>-5.3645999999999999E-2</v>
      </c>
      <c r="G775" s="2">
        <f>ff_portfolios25!G775-ff_factors!$E775</f>
        <v>-3.6607000000000001E-2</v>
      </c>
      <c r="H775" s="2">
        <f>ff_portfolios25!H775-ff_factors!$E775</f>
        <v>-2.7445000000000001E-2</v>
      </c>
      <c r="I775" s="2">
        <f>ff_portfolios25!I775-ff_factors!$E775</f>
        <v>-7.0696000000000009E-2</v>
      </c>
      <c r="J775" s="2">
        <f>ff_portfolios25!J775-ff_factors!$E775</f>
        <v>-4.2549000000000003E-2</v>
      </c>
      <c r="K775" s="2">
        <f>ff_portfolios25!K775-ff_factors!$E775</f>
        <v>-2.3102000000000001E-2</v>
      </c>
      <c r="L775" s="2">
        <f>ff_portfolios25!L775-ff_factors!$E775</f>
        <v>-7.1319999999999995E-3</v>
      </c>
      <c r="M775" s="2">
        <f>ff_portfolios25!M775-ff_factors!$E775</f>
        <v>-5.8313000000000004E-2</v>
      </c>
      <c r="N775" s="2">
        <f>ff_portfolios25!N775-ff_factors!$E775</f>
        <v>-8.1922000000000009E-2</v>
      </c>
      <c r="O775" s="2">
        <f>ff_portfolios25!O775-ff_factors!$E775</f>
        <v>-1.7764000000000002E-2</v>
      </c>
      <c r="P775" s="2">
        <f>ff_portfolios25!P775-ff_factors!$E775</f>
        <v>-1.6420000000000001E-2</v>
      </c>
      <c r="Q775" s="2">
        <f>ff_portfolios25!Q775-ff_factors!$E775</f>
        <v>-9.2250000000000006E-3</v>
      </c>
      <c r="R775" s="2">
        <f>ff_portfolios25!R775-ff_factors!$E775</f>
        <v>-1.4857E-2</v>
      </c>
      <c r="S775" s="2">
        <f>ff_portfolios25!S775-ff_factors!$E775</f>
        <v>-4.5019000000000003E-2</v>
      </c>
      <c r="T775" s="2">
        <f>ff_portfolios25!T775-ff_factors!$E775</f>
        <v>-2.5840999999999999E-2</v>
      </c>
      <c r="U775" s="2">
        <f>ff_portfolios25!U775-ff_factors!$E775</f>
        <v>-1.6964E-2</v>
      </c>
      <c r="V775" s="2">
        <f>ff_portfolios25!V775-ff_factors!$E775</f>
        <v>5.5390000000000005E-3</v>
      </c>
      <c r="W775" s="2">
        <f>ff_portfolios25!W775-ff_factors!$E775</f>
        <v>1.3249999999999998E-3</v>
      </c>
      <c r="X775" s="2">
        <f>ff_portfolios25!X775-ff_factors!$E775</f>
        <v>1.0527E-2</v>
      </c>
      <c r="Y775" s="2">
        <f>ff_portfolios25!Y775-ff_factors!$E775</f>
        <v>-2.114E-3</v>
      </c>
      <c r="Z775" s="2">
        <f>ff_portfolios25!Z775-ff_factors!$E775</f>
        <v>4.2899999999999969E-4</v>
      </c>
      <c r="AA775" s="2">
        <f>ff_portfolios25!AA775-ff_factors!$E775</f>
        <v>-1.0286E-2</v>
      </c>
      <c r="AB775" s="2">
        <f>ff_portfolios25!AB775-ff_factors!$E775</f>
        <v>-2.9635999999999999E-2</v>
      </c>
    </row>
    <row r="776" spans="1:28" x14ac:dyDescent="0.2">
      <c r="A776">
        <v>19960731</v>
      </c>
      <c r="B776">
        <v>1996</v>
      </c>
      <c r="C776">
        <v>7</v>
      </c>
      <c r="D776" s="2">
        <f>ff_portfolios25!D776-ff_factors!$E776</f>
        <v>-0.150169</v>
      </c>
      <c r="E776" s="2">
        <f>ff_portfolios25!E776-ff_factors!$E776</f>
        <v>-0.10325200000000001</v>
      </c>
      <c r="F776" s="2">
        <f>ff_portfolios25!F776-ff_factors!$E776</f>
        <v>-8.0666000000000002E-2</v>
      </c>
      <c r="G776" s="2">
        <f>ff_portfolios25!G776-ff_factors!$E776</f>
        <v>-4.7208E-2</v>
      </c>
      <c r="H776" s="2">
        <f>ff_portfolios25!H776-ff_factors!$E776</f>
        <v>-6.1806E-2</v>
      </c>
      <c r="I776" s="2">
        <f>ff_portfolios25!I776-ff_factors!$E776</f>
        <v>-0.15867700000000001</v>
      </c>
      <c r="J776" s="2">
        <f>ff_portfolios25!J776-ff_factors!$E776</f>
        <v>-9.8021999999999998E-2</v>
      </c>
      <c r="K776" s="2">
        <f>ff_portfolios25!K776-ff_factors!$E776</f>
        <v>-7.5111999999999998E-2</v>
      </c>
      <c r="L776" s="2">
        <f>ff_portfolios25!L776-ff_factors!$E776</f>
        <v>-5.4122999999999998E-2</v>
      </c>
      <c r="M776" s="2">
        <f>ff_portfolios25!M776-ff_factors!$E776</f>
        <v>-6.5978999999999996E-2</v>
      </c>
      <c r="N776" s="2">
        <f>ff_portfolios25!N776-ff_factors!$E776</f>
        <v>-0.122116</v>
      </c>
      <c r="O776" s="2">
        <f>ff_portfolios25!O776-ff_factors!$E776</f>
        <v>-7.6384000000000007E-2</v>
      </c>
      <c r="P776" s="2">
        <f>ff_portfolios25!P776-ff_factors!$E776</f>
        <v>-5.3393999999999997E-2</v>
      </c>
      <c r="Q776" s="2">
        <f>ff_portfolios25!Q776-ff_factors!$E776</f>
        <v>-6.5720000000000001E-2</v>
      </c>
      <c r="R776" s="2">
        <f>ff_portfolios25!R776-ff_factors!$E776</f>
        <v>-6.5105999999999997E-2</v>
      </c>
      <c r="S776" s="2">
        <f>ff_portfolios25!S776-ff_factors!$E776</f>
        <v>-9.3806E-2</v>
      </c>
      <c r="T776" s="2">
        <f>ff_portfolios25!T776-ff_factors!$E776</f>
        <v>-5.5100999999999997E-2</v>
      </c>
      <c r="U776" s="2">
        <f>ff_portfolios25!U776-ff_factors!$E776</f>
        <v>-5.6723999999999997E-2</v>
      </c>
      <c r="V776" s="2">
        <f>ff_portfolios25!V776-ff_factors!$E776</f>
        <v>-4.6509999999999996E-2</v>
      </c>
      <c r="W776" s="2">
        <f>ff_portfolios25!W776-ff_factors!$E776</f>
        <v>-5.7593999999999999E-2</v>
      </c>
      <c r="X776" s="2">
        <f>ff_portfolios25!X776-ff_factors!$E776</f>
        <v>-5.6401999999999994E-2</v>
      </c>
      <c r="Y776" s="2">
        <f>ff_portfolios25!Y776-ff_factors!$E776</f>
        <v>-4.9274999999999999E-2</v>
      </c>
      <c r="Z776" s="2">
        <f>ff_portfolios25!Z776-ff_factors!$E776</f>
        <v>-3.2350999999999998E-2</v>
      </c>
      <c r="AA776" s="2">
        <f>ff_portfolios25!AA776-ff_factors!$E776</f>
        <v>-4.4227999999999996E-2</v>
      </c>
      <c r="AB776" s="2">
        <f>ff_portfolios25!AB776-ff_factors!$E776</f>
        <v>-5.1067999999999995E-2</v>
      </c>
    </row>
    <row r="777" spans="1:28" x14ac:dyDescent="0.2">
      <c r="A777">
        <v>19960830</v>
      </c>
      <c r="B777">
        <v>1996</v>
      </c>
      <c r="C777">
        <v>8</v>
      </c>
      <c r="D777" s="2">
        <f>ff_portfolios25!D777-ff_factors!$E777</f>
        <v>4.2334999999999998E-2</v>
      </c>
      <c r="E777" s="2">
        <f>ff_portfolios25!E777-ff_factors!$E777</f>
        <v>4.1731999999999998E-2</v>
      </c>
      <c r="F777" s="2">
        <f>ff_portfolios25!F777-ff_factors!$E777</f>
        <v>3.5295E-2</v>
      </c>
      <c r="G777" s="2">
        <f>ff_portfolios25!G777-ff_factors!$E777</f>
        <v>3.6191000000000001E-2</v>
      </c>
      <c r="H777" s="2">
        <f>ff_portfolios25!H777-ff_factors!$E777</f>
        <v>3.524E-2</v>
      </c>
      <c r="I777" s="2">
        <f>ff_portfolios25!I777-ff_factors!$E777</f>
        <v>7.3112999999999997E-2</v>
      </c>
      <c r="J777" s="2">
        <f>ff_portfolios25!J777-ff_factors!$E777</f>
        <v>5.9085000000000006E-2</v>
      </c>
      <c r="K777" s="2">
        <f>ff_portfolios25!K777-ff_factors!$E777</f>
        <v>2.1325E-2</v>
      </c>
      <c r="L777" s="2">
        <f>ff_portfolios25!L777-ff_factors!$E777</f>
        <v>4.3914000000000002E-2</v>
      </c>
      <c r="M777" s="2">
        <f>ff_portfolios25!M777-ff_factors!$E777</f>
        <v>4.8446000000000003E-2</v>
      </c>
      <c r="N777" s="2">
        <f>ff_portfolios25!N777-ff_factors!$E777</f>
        <v>7.7914999999999998E-2</v>
      </c>
      <c r="O777" s="2">
        <f>ff_portfolios25!O777-ff_factors!$E777</f>
        <v>5.9648E-2</v>
      </c>
      <c r="P777" s="2">
        <f>ff_portfolios25!P777-ff_factors!$E777</f>
        <v>5.3615000000000003E-2</v>
      </c>
      <c r="Q777" s="2">
        <f>ff_portfolios25!Q777-ff_factors!$E777</f>
        <v>6.6091999999999998E-2</v>
      </c>
      <c r="R777" s="2">
        <f>ff_portfolios25!R777-ff_factors!$E777</f>
        <v>3.9148000000000002E-2</v>
      </c>
      <c r="S777" s="2">
        <f>ff_portfolios25!S777-ff_factors!$E777</f>
        <v>5.2865000000000002E-2</v>
      </c>
      <c r="T777" s="2">
        <f>ff_portfolios25!T777-ff_factors!$E777</f>
        <v>5.3145999999999999E-2</v>
      </c>
      <c r="U777" s="2">
        <f>ff_portfolios25!U777-ff_factors!$E777</f>
        <v>4.6273000000000002E-2</v>
      </c>
      <c r="V777" s="2">
        <f>ff_portfolios25!V777-ff_factors!$E777</f>
        <v>4.3958999999999998E-2</v>
      </c>
      <c r="W777" s="2">
        <f>ff_portfolios25!W777-ff_factors!$E777</f>
        <v>4.1564999999999998E-2</v>
      </c>
      <c r="X777" s="2">
        <f>ff_portfolios25!X777-ff_factors!$E777</f>
        <v>1.0488000000000001E-2</v>
      </c>
      <c r="Y777" s="2">
        <f>ff_portfolios25!Y777-ff_factors!$E777</f>
        <v>1.2969999999999999E-2</v>
      </c>
      <c r="Z777" s="2">
        <f>ff_portfolios25!Z777-ff_factors!$E777</f>
        <v>3.7046000000000003E-2</v>
      </c>
      <c r="AA777" s="2">
        <f>ff_portfolios25!AA777-ff_factors!$E777</f>
        <v>1.9629000000000001E-2</v>
      </c>
      <c r="AB777" s="2">
        <f>ff_portfolios25!AB777-ff_factors!$E777</f>
        <v>2.4124E-2</v>
      </c>
    </row>
    <row r="778" spans="1:28" x14ac:dyDescent="0.2">
      <c r="A778">
        <v>19960930</v>
      </c>
      <c r="B778">
        <v>1996</v>
      </c>
      <c r="C778">
        <v>9</v>
      </c>
      <c r="D778" s="2">
        <f>ff_portfolios25!D778-ff_factors!$E778</f>
        <v>2.3760999999999997E-2</v>
      </c>
      <c r="E778" s="2">
        <f>ff_portfolios25!E778-ff_factors!$E778</f>
        <v>2.1401E-2</v>
      </c>
      <c r="F778" s="2">
        <f>ff_portfolios25!F778-ff_factors!$E778</f>
        <v>1.8984999999999998E-2</v>
      </c>
      <c r="G778" s="2">
        <f>ff_portfolios25!G778-ff_factors!$E778</f>
        <v>2.5787999999999998E-2</v>
      </c>
      <c r="H778" s="2">
        <f>ff_portfolios25!H778-ff_factors!$E778</f>
        <v>2.4827999999999999E-2</v>
      </c>
      <c r="I778" s="2">
        <f>ff_portfolios25!I778-ff_factors!$E778</f>
        <v>5.2677999999999996E-2</v>
      </c>
      <c r="J778" s="2">
        <f>ff_portfolios25!J778-ff_factors!$E778</f>
        <v>2.3805E-2</v>
      </c>
      <c r="K778" s="2">
        <f>ff_portfolios25!K778-ff_factors!$E778</f>
        <v>1.8331E-2</v>
      </c>
      <c r="L778" s="2">
        <f>ff_portfolios25!L778-ff_factors!$E778</f>
        <v>3.2382000000000001E-2</v>
      </c>
      <c r="M778" s="2">
        <f>ff_portfolios25!M778-ff_factors!$E778</f>
        <v>3.7073999999999996E-2</v>
      </c>
      <c r="N778" s="2">
        <f>ff_portfolios25!N778-ff_factors!$E778</f>
        <v>7.5295000000000001E-2</v>
      </c>
      <c r="O778" s="2">
        <f>ff_portfolios25!O778-ff_factors!$E778</f>
        <v>3.8891999999999996E-2</v>
      </c>
      <c r="P778" s="2">
        <f>ff_portfolios25!P778-ff_factors!$E778</f>
        <v>2.7071999999999999E-2</v>
      </c>
      <c r="Q778" s="2">
        <f>ff_portfolios25!Q778-ff_factors!$E778</f>
        <v>1.5611999999999997E-2</v>
      </c>
      <c r="R778" s="2">
        <f>ff_portfolios25!R778-ff_factors!$E778</f>
        <v>2.0007E-2</v>
      </c>
      <c r="S778" s="2">
        <f>ff_portfolios25!S778-ff_factors!$E778</f>
        <v>5.3036E-2</v>
      </c>
      <c r="T778" s="2">
        <f>ff_portfolios25!T778-ff_factors!$E778</f>
        <v>4.1132000000000002E-2</v>
      </c>
      <c r="U778" s="2">
        <f>ff_portfolios25!U778-ff_factors!$E778</f>
        <v>2.6367999999999999E-2</v>
      </c>
      <c r="V778" s="2">
        <f>ff_portfolios25!V778-ff_factors!$E778</f>
        <v>3.6767000000000001E-2</v>
      </c>
      <c r="W778" s="2">
        <f>ff_portfolios25!W778-ff_factors!$E778</f>
        <v>3.3091999999999996E-2</v>
      </c>
      <c r="X778" s="2">
        <f>ff_portfolios25!X778-ff_factors!$E778</f>
        <v>6.8527000000000005E-2</v>
      </c>
      <c r="Y778" s="2">
        <f>ff_portfolios25!Y778-ff_factors!$E778</f>
        <v>4.3785999999999999E-2</v>
      </c>
      <c r="Z778" s="2">
        <f>ff_portfolios25!Z778-ff_factors!$E778</f>
        <v>4.2756000000000002E-2</v>
      </c>
      <c r="AA778" s="2">
        <f>ff_portfolios25!AA778-ff_factors!$E778</f>
        <v>3.0898000000000002E-2</v>
      </c>
      <c r="AB778" s="2">
        <f>ff_portfolios25!AB778-ff_factors!$E778</f>
        <v>1.0471999999999999E-2</v>
      </c>
    </row>
    <row r="779" spans="1:28" x14ac:dyDescent="0.2">
      <c r="A779">
        <v>19961031</v>
      </c>
      <c r="B779">
        <v>1996</v>
      </c>
      <c r="C779">
        <v>10</v>
      </c>
      <c r="D779" s="2">
        <f>ff_portfolios25!D779-ff_factors!$E779</f>
        <v>-6.0236000000000005E-2</v>
      </c>
      <c r="E779" s="2">
        <f>ff_portfolios25!E779-ff_factors!$E779</f>
        <v>-2.6314999999999998E-2</v>
      </c>
      <c r="F779" s="2">
        <f>ff_portfolios25!F779-ff_factors!$E779</f>
        <v>-1.6858999999999999E-2</v>
      </c>
      <c r="G779" s="2">
        <f>ff_portfolios25!G779-ff_factors!$E779</f>
        <v>8.5159999999999993E-3</v>
      </c>
      <c r="H779" s="2">
        <f>ff_portfolios25!H779-ff_factors!$E779</f>
        <v>4.6830000000000005E-3</v>
      </c>
      <c r="I779" s="2">
        <f>ff_portfolios25!I779-ff_factors!$E779</f>
        <v>-5.6821000000000003E-2</v>
      </c>
      <c r="J779" s="2">
        <f>ff_portfolios25!J779-ff_factors!$E779</f>
        <v>-2.4419E-2</v>
      </c>
      <c r="K779" s="2">
        <f>ff_portfolios25!K779-ff_factors!$E779</f>
        <v>7.6E-3</v>
      </c>
      <c r="L779" s="2">
        <f>ff_portfolios25!L779-ff_factors!$E779</f>
        <v>1.6338000000000002E-2</v>
      </c>
      <c r="M779" s="2">
        <f>ff_portfolios25!M779-ff_factors!$E779</f>
        <v>7.0280000000000004E-3</v>
      </c>
      <c r="N779" s="2">
        <f>ff_portfolios25!N779-ff_factors!$E779</f>
        <v>-6.8935999999999997E-2</v>
      </c>
      <c r="O779" s="2">
        <f>ff_portfolios25!O779-ff_factors!$E779</f>
        <v>-3.0632E-2</v>
      </c>
      <c r="P779" s="2">
        <f>ff_portfolios25!P779-ff_factors!$E779</f>
        <v>-5.2299999999999959E-4</v>
      </c>
      <c r="Q779" s="2">
        <f>ff_portfolios25!Q779-ff_factors!$E779</f>
        <v>1.7861000000000002E-2</v>
      </c>
      <c r="R779" s="2">
        <f>ff_portfolios25!R779-ff_factors!$E779</f>
        <v>-6.522E-3</v>
      </c>
      <c r="S779" s="2">
        <f>ff_portfolios25!S779-ff_factors!$E779</f>
        <v>-4.1793000000000004E-2</v>
      </c>
      <c r="T779" s="2">
        <f>ff_portfolios25!T779-ff_factors!$E779</f>
        <v>1.4087000000000002E-2</v>
      </c>
      <c r="U779" s="2">
        <f>ff_portfolios25!U779-ff_factors!$E779</f>
        <v>1.1255999999999999E-2</v>
      </c>
      <c r="V779" s="2">
        <f>ff_portfolios25!V779-ff_factors!$E779</f>
        <v>2.2555000000000002E-2</v>
      </c>
      <c r="W779" s="2">
        <f>ff_portfolios25!W779-ff_factors!$E779</f>
        <v>2.7288000000000003E-2</v>
      </c>
      <c r="X779" s="2">
        <f>ff_portfolios25!X779-ff_factors!$E779</f>
        <v>1.0385000000000002E-2</v>
      </c>
      <c r="Y779" s="2">
        <f>ff_portfolios25!Y779-ff_factors!$E779</f>
        <v>1.3549000000000002E-2</v>
      </c>
      <c r="Z779" s="2">
        <f>ff_portfolios25!Z779-ff_factors!$E779</f>
        <v>4.0222000000000001E-2</v>
      </c>
      <c r="AA779" s="2">
        <f>ff_portfolios25!AA779-ff_factors!$E779</f>
        <v>4.5199999999999997E-2</v>
      </c>
      <c r="AB779" s="2">
        <f>ff_portfolios25!AB779-ff_factors!$E779</f>
        <v>5.5375999999999995E-2</v>
      </c>
    </row>
    <row r="780" spans="1:28" x14ac:dyDescent="0.2">
      <c r="A780">
        <v>19961129</v>
      </c>
      <c r="B780">
        <v>1996</v>
      </c>
      <c r="C780">
        <v>11</v>
      </c>
      <c r="D780" s="2">
        <f>ff_portfolios25!D780-ff_factors!$E780</f>
        <v>-1.1296E-2</v>
      </c>
      <c r="E780" s="2">
        <f>ff_portfolios25!E780-ff_factors!$E780</f>
        <v>1.8248E-2</v>
      </c>
      <c r="F780" s="2">
        <f>ff_portfolios25!F780-ff_factors!$E780</f>
        <v>3.0157000000000003E-2</v>
      </c>
      <c r="G780" s="2">
        <f>ff_portfolios25!G780-ff_factors!$E780</f>
        <v>4.1300999999999997E-2</v>
      </c>
      <c r="H780" s="2">
        <f>ff_portfolios25!H780-ff_factors!$E780</f>
        <v>3.7880999999999998E-2</v>
      </c>
      <c r="I780" s="2">
        <f>ff_portfolios25!I780-ff_factors!$E780</f>
        <v>9.8299999999999985E-3</v>
      </c>
      <c r="J780" s="2">
        <f>ff_portfolios25!J780-ff_factors!$E780</f>
        <v>2.7959999999999999E-2</v>
      </c>
      <c r="K780" s="2">
        <f>ff_portfolios25!K780-ff_factors!$E780</f>
        <v>4.6086000000000002E-2</v>
      </c>
      <c r="L780" s="2">
        <f>ff_portfolios25!L780-ff_factors!$E780</f>
        <v>3.6735000000000004E-2</v>
      </c>
      <c r="M780" s="2">
        <f>ff_portfolios25!M780-ff_factors!$E780</f>
        <v>3.8127000000000001E-2</v>
      </c>
      <c r="N780" s="2">
        <f>ff_portfolios25!N780-ff_factors!$E780</f>
        <v>1.3609E-2</v>
      </c>
      <c r="O780" s="2">
        <f>ff_portfolios25!O780-ff_factors!$E780</f>
        <v>6.0163000000000001E-2</v>
      </c>
      <c r="P780" s="2">
        <f>ff_portfolios25!P780-ff_factors!$E780</f>
        <v>5.8774E-2</v>
      </c>
      <c r="Q780" s="2">
        <f>ff_portfolios25!Q780-ff_factors!$E780</f>
        <v>5.8236999999999997E-2</v>
      </c>
      <c r="R780" s="2">
        <f>ff_portfolios25!R780-ff_factors!$E780</f>
        <v>4.1738999999999998E-2</v>
      </c>
      <c r="S780" s="2">
        <f>ff_portfolios25!S780-ff_factors!$E780</f>
        <v>5.2520999999999998E-2</v>
      </c>
      <c r="T780" s="2">
        <f>ff_portfolios25!T780-ff_factors!$E780</f>
        <v>4.8086000000000004E-2</v>
      </c>
      <c r="U780" s="2">
        <f>ff_portfolios25!U780-ff_factors!$E780</f>
        <v>6.0932000000000007E-2</v>
      </c>
      <c r="V780" s="2">
        <f>ff_portfolios25!V780-ff_factors!$E780</f>
        <v>5.4258000000000001E-2</v>
      </c>
      <c r="W780" s="2">
        <f>ff_portfolios25!W780-ff_factors!$E780</f>
        <v>8.2199999999999995E-2</v>
      </c>
      <c r="X780" s="2">
        <f>ff_portfolios25!X780-ff_factors!$E780</f>
        <v>7.3950999999999989E-2</v>
      </c>
      <c r="Y780" s="2">
        <f>ff_portfolios25!Y780-ff_factors!$E780</f>
        <v>6.5742999999999996E-2</v>
      </c>
      <c r="Z780" s="2">
        <f>ff_portfolios25!Z780-ff_factors!$E780</f>
        <v>7.4349999999999999E-2</v>
      </c>
      <c r="AA780" s="2">
        <f>ff_portfolios25!AA780-ff_factors!$E780</f>
        <v>8.0589999999999995E-2</v>
      </c>
      <c r="AB780" s="2">
        <f>ff_portfolios25!AB780-ff_factors!$E780</f>
        <v>6.5012E-2</v>
      </c>
    </row>
    <row r="781" spans="1:28" x14ac:dyDescent="0.2">
      <c r="A781">
        <v>19961231</v>
      </c>
      <c r="B781">
        <v>1996</v>
      </c>
      <c r="C781">
        <v>12</v>
      </c>
      <c r="D781" s="2">
        <f>ff_portfolios25!D781-ff_factors!$E781</f>
        <v>-1.3394E-2</v>
      </c>
      <c r="E781" s="2">
        <f>ff_portfolios25!E781-ff_factors!$E781</f>
        <v>1.4689000000000001E-2</v>
      </c>
      <c r="F781" s="2">
        <f>ff_portfolios25!F781-ff_factors!$E781</f>
        <v>1.8353999999999999E-2</v>
      </c>
      <c r="G781" s="2">
        <f>ff_portfolios25!G781-ff_factors!$E781</f>
        <v>1.8062999999999999E-2</v>
      </c>
      <c r="H781" s="2">
        <f>ff_portfolios25!H781-ff_factors!$E781</f>
        <v>1.3099E-2</v>
      </c>
      <c r="I781" s="2">
        <f>ff_portfolios25!I781-ff_factors!$E781</f>
        <v>1.0467000000000001E-2</v>
      </c>
      <c r="J781" s="2">
        <f>ff_portfolios25!J781-ff_factors!$E781</f>
        <v>1.1139E-2</v>
      </c>
      <c r="K781" s="2">
        <f>ff_portfolios25!K781-ff_factors!$E781</f>
        <v>3.1699999999999999E-2</v>
      </c>
      <c r="L781" s="2">
        <f>ff_portfolios25!L781-ff_factors!$E781</f>
        <v>3.2988000000000003E-2</v>
      </c>
      <c r="M781" s="2">
        <f>ff_portfolios25!M781-ff_factors!$E781</f>
        <v>1.5205E-2</v>
      </c>
      <c r="N781" s="2">
        <f>ff_portfolios25!N781-ff_factors!$E781</f>
        <v>-9.6359999999999987E-3</v>
      </c>
      <c r="O781" s="2">
        <f>ff_portfolios25!O781-ff_factors!$E781</f>
        <v>2.6300000000000021E-4</v>
      </c>
      <c r="P781" s="2">
        <f>ff_portfolios25!P781-ff_factors!$E781</f>
        <v>1.4919000000000002E-2</v>
      </c>
      <c r="Q781" s="2">
        <f>ff_portfolios25!Q781-ff_factors!$E781</f>
        <v>1.5950000000000001E-3</v>
      </c>
      <c r="R781" s="2">
        <f>ff_portfolios25!R781-ff_factors!$E781</f>
        <v>1.4134000000000001E-2</v>
      </c>
      <c r="S781" s="2">
        <f>ff_portfolios25!S781-ff_factors!$E781</f>
        <v>-2.6689999999999998E-2</v>
      </c>
      <c r="T781" s="2">
        <f>ff_portfolios25!T781-ff_factors!$E781</f>
        <v>-3.0019999999999999E-3</v>
      </c>
      <c r="U781" s="2">
        <f>ff_portfolios25!U781-ff_factors!$E781</f>
        <v>-7.169E-3</v>
      </c>
      <c r="V781" s="2">
        <f>ff_portfolios25!V781-ff_factors!$E781</f>
        <v>-4.4099999999999955E-4</v>
      </c>
      <c r="W781" s="2">
        <f>ff_portfolios25!W781-ff_factors!$E781</f>
        <v>1.3416000000000001E-2</v>
      </c>
      <c r="X781" s="2">
        <f>ff_portfolios25!X781-ff_factors!$E781</f>
        <v>-2.6601E-2</v>
      </c>
      <c r="Y781" s="2">
        <f>ff_portfolios25!Y781-ff_factors!$E781</f>
        <v>-9.2160000000000002E-3</v>
      </c>
      <c r="Z781" s="2">
        <f>ff_portfolios25!Z781-ff_factors!$E781</f>
        <v>-2.8840999999999999E-2</v>
      </c>
      <c r="AA781" s="2">
        <f>ff_portfolios25!AA781-ff_factors!$E781</f>
        <v>-2.1793E-2</v>
      </c>
      <c r="AB781" s="2">
        <f>ff_portfolios25!AB781-ff_factors!$E781</f>
        <v>-2.8346E-2</v>
      </c>
    </row>
    <row r="782" spans="1:28" x14ac:dyDescent="0.2">
      <c r="A782">
        <v>19970131</v>
      </c>
      <c r="B782">
        <v>1997</v>
      </c>
      <c r="C782">
        <v>1</v>
      </c>
      <c r="D782" s="2">
        <f>ff_portfolios25!D782-ff_factors!$E782</f>
        <v>5.7888000000000002E-2</v>
      </c>
      <c r="E782" s="2">
        <f>ff_portfolios25!E782-ff_factors!$E782</f>
        <v>5.1424000000000004E-2</v>
      </c>
      <c r="F782" s="2">
        <f>ff_portfolios25!F782-ff_factors!$E782</f>
        <v>6.0181000000000005E-2</v>
      </c>
      <c r="G782" s="2">
        <f>ff_portfolios25!G782-ff_factors!$E782</f>
        <v>4.2745000000000005E-2</v>
      </c>
      <c r="H782" s="2">
        <f>ff_portfolios25!H782-ff_factors!$E782</f>
        <v>3.3348000000000003E-2</v>
      </c>
      <c r="I782" s="2">
        <f>ff_portfolios25!I782-ff_factors!$E782</f>
        <v>3.3834000000000003E-2</v>
      </c>
      <c r="J782" s="2">
        <f>ff_portfolios25!J782-ff_factors!$E782</f>
        <v>3.0838000000000001E-2</v>
      </c>
      <c r="K782" s="2">
        <f>ff_portfolios25!K782-ff_factors!$E782</f>
        <v>7.7869999999999997E-3</v>
      </c>
      <c r="L782" s="2">
        <f>ff_portfolios25!L782-ff_factors!$E782</f>
        <v>6.4350000000000006E-3</v>
      </c>
      <c r="M782" s="2">
        <f>ff_portfolios25!M782-ff_factors!$E782</f>
        <v>1.4433999999999999E-2</v>
      </c>
      <c r="N782" s="2">
        <f>ff_portfolios25!N782-ff_factors!$E782</f>
        <v>-2.1759999999999995E-3</v>
      </c>
      <c r="O782" s="2">
        <f>ff_portfolios25!O782-ff_factors!$E782</f>
        <v>3.0898999999999999E-2</v>
      </c>
      <c r="P782" s="2">
        <f>ff_portfolios25!P782-ff_factors!$E782</f>
        <v>1.6569999999999998E-2</v>
      </c>
      <c r="Q782" s="2">
        <f>ff_portfolios25!Q782-ff_factors!$E782</f>
        <v>2.4083E-2</v>
      </c>
      <c r="R782" s="2">
        <f>ff_portfolios25!R782-ff_factors!$E782</f>
        <v>4.1102E-2</v>
      </c>
      <c r="S782" s="2">
        <f>ff_portfolios25!S782-ff_factors!$E782</f>
        <v>1.8849999999999999E-2</v>
      </c>
      <c r="T782" s="2">
        <f>ff_portfolios25!T782-ff_factors!$E782</f>
        <v>3.5362000000000005E-2</v>
      </c>
      <c r="U782" s="2">
        <f>ff_portfolios25!U782-ff_factors!$E782</f>
        <v>3.0485000000000002E-2</v>
      </c>
      <c r="V782" s="2">
        <f>ff_portfolios25!V782-ff_factors!$E782</f>
        <v>1.1234999999999998E-2</v>
      </c>
      <c r="W782" s="2">
        <f>ff_portfolios25!W782-ff_factors!$E782</f>
        <v>4.5534000000000005E-2</v>
      </c>
      <c r="X782" s="2">
        <f>ff_portfolios25!X782-ff_factors!$E782</f>
        <v>7.4779999999999999E-2</v>
      </c>
      <c r="Y782" s="2">
        <f>ff_portfolios25!Y782-ff_factors!$E782</f>
        <v>5.1393000000000001E-2</v>
      </c>
      <c r="Z782" s="2">
        <f>ff_portfolios25!Z782-ff_factors!$E782</f>
        <v>4.6152000000000006E-2</v>
      </c>
      <c r="AA782" s="2">
        <f>ff_portfolios25!AA782-ff_factors!$E782</f>
        <v>4.4862000000000006E-2</v>
      </c>
      <c r="AB782" s="2">
        <f>ff_portfolios25!AB782-ff_factors!$E782</f>
        <v>3.3247000000000006E-2</v>
      </c>
    </row>
    <row r="783" spans="1:28" x14ac:dyDescent="0.2">
      <c r="A783">
        <v>19970228</v>
      </c>
      <c r="B783">
        <v>1997</v>
      </c>
      <c r="C783">
        <v>2</v>
      </c>
      <c r="D783" s="2">
        <f>ff_portfolios25!D783-ff_factors!$E783</f>
        <v>-6.2737000000000001E-2</v>
      </c>
      <c r="E783" s="2">
        <f>ff_portfolios25!E783-ff_factors!$E783</f>
        <v>-5.4632E-2</v>
      </c>
      <c r="F783" s="2">
        <f>ff_portfolios25!F783-ff_factors!$E783</f>
        <v>-2.1901E-2</v>
      </c>
      <c r="G783" s="2">
        <f>ff_portfolios25!G783-ff_factors!$E783</f>
        <v>-1.0209999999999998E-3</v>
      </c>
      <c r="H783" s="2">
        <f>ff_portfolios25!H783-ff_factors!$E783</f>
        <v>6.9030000000000003E-3</v>
      </c>
      <c r="I783" s="2">
        <f>ff_portfolios25!I783-ff_factors!$E783</f>
        <v>-9.5617000000000008E-2</v>
      </c>
      <c r="J783" s="2">
        <f>ff_portfolios25!J783-ff_factors!$E783</f>
        <v>-2.3304000000000002E-2</v>
      </c>
      <c r="K783" s="2">
        <f>ff_portfolios25!K783-ff_factors!$E783</f>
        <v>-1.4315999999999999E-2</v>
      </c>
      <c r="L783" s="2">
        <f>ff_portfolios25!L783-ff_factors!$E783</f>
        <v>8.5049999999999987E-3</v>
      </c>
      <c r="M783" s="2">
        <f>ff_portfolios25!M783-ff_factors!$E783</f>
        <v>1.8877999999999999E-2</v>
      </c>
      <c r="N783" s="2">
        <f>ff_portfolios25!N783-ff_factors!$E783</f>
        <v>-7.0013000000000006E-2</v>
      </c>
      <c r="O783" s="2">
        <f>ff_portfolios25!O783-ff_factors!$E783</f>
        <v>-8.7360000000000007E-3</v>
      </c>
      <c r="P783" s="2">
        <f>ff_portfolios25!P783-ff_factors!$E783</f>
        <v>1.3290000000000003E-3</v>
      </c>
      <c r="Q783" s="2">
        <f>ff_portfolios25!Q783-ff_factors!$E783</f>
        <v>5.744E-3</v>
      </c>
      <c r="R783" s="2">
        <f>ff_portfolios25!R783-ff_factors!$E783</f>
        <v>1.0468999999999999E-2</v>
      </c>
      <c r="S783" s="2">
        <f>ff_portfolios25!S783-ff_factors!$E783</f>
        <v>-4.3156E-2</v>
      </c>
      <c r="T783" s="2">
        <f>ff_portfolios25!T783-ff_factors!$E783</f>
        <v>1.0318000000000001E-2</v>
      </c>
      <c r="U783" s="2">
        <f>ff_portfolios25!U783-ff_factors!$E783</f>
        <v>5.6359999999999995E-3</v>
      </c>
      <c r="V783" s="2">
        <f>ff_portfolios25!V783-ff_factors!$E783</f>
        <v>1.9553000000000001E-2</v>
      </c>
      <c r="W783" s="2">
        <f>ff_portfolios25!W783-ff_factors!$E783</f>
        <v>3.1576E-2</v>
      </c>
      <c r="X783" s="2">
        <f>ff_portfolios25!X783-ff_factors!$E783</f>
        <v>2.3620000000000004E-3</v>
      </c>
      <c r="Y783" s="2">
        <f>ff_portfolios25!Y783-ff_factors!$E783</f>
        <v>-1.2011999999999998E-2</v>
      </c>
      <c r="Z783" s="2">
        <f>ff_portfolios25!Z783-ff_factors!$E783</f>
        <v>-3.3469999999999997E-3</v>
      </c>
      <c r="AA783" s="2">
        <f>ff_portfolios25!AA783-ff_factors!$E783</f>
        <v>2.7338999999999999E-2</v>
      </c>
      <c r="AB783" s="2">
        <f>ff_portfolios25!AB783-ff_factors!$E783</f>
        <v>2.6297999999999998E-2</v>
      </c>
    </row>
    <row r="784" spans="1:28" x14ac:dyDescent="0.2">
      <c r="A784">
        <v>19970331</v>
      </c>
      <c r="B784">
        <v>1997</v>
      </c>
      <c r="C784">
        <v>3</v>
      </c>
      <c r="D784" s="2">
        <f>ff_portfolios25!D784-ff_factors!$E784</f>
        <v>-0.10087699999999999</v>
      </c>
      <c r="E784" s="2">
        <f>ff_portfolios25!E784-ff_factors!$E784</f>
        <v>-6.9115999999999997E-2</v>
      </c>
      <c r="F784" s="2">
        <f>ff_portfolios25!F784-ff_factors!$E784</f>
        <v>-3.8358999999999997E-2</v>
      </c>
      <c r="G784" s="2">
        <f>ff_portfolios25!G784-ff_factors!$E784</f>
        <v>-2.4006E-2</v>
      </c>
      <c r="H784" s="2">
        <f>ff_portfolios25!H784-ff_factors!$E784</f>
        <v>-2.6030999999999999E-2</v>
      </c>
      <c r="I784" s="2">
        <f>ff_portfolios25!I784-ff_factors!$E784</f>
        <v>-9.5604999999999996E-2</v>
      </c>
      <c r="J784" s="2">
        <f>ff_portfolios25!J784-ff_factors!$E784</f>
        <v>-6.2343999999999997E-2</v>
      </c>
      <c r="K784" s="2">
        <f>ff_portfolios25!K784-ff_factors!$E784</f>
        <v>-2.6995999999999999E-2</v>
      </c>
      <c r="L784" s="2">
        <f>ff_portfolios25!L784-ff_factors!$E784</f>
        <v>-3.1488000000000002E-2</v>
      </c>
      <c r="M784" s="2">
        <f>ff_portfolios25!M784-ff_factors!$E784</f>
        <v>-1.8284999999999999E-2</v>
      </c>
      <c r="N784" s="2">
        <f>ff_portfolios25!N784-ff_factors!$E784</f>
        <v>-8.3735000000000004E-2</v>
      </c>
      <c r="O784" s="2">
        <f>ff_portfolios25!O784-ff_factors!$E784</f>
        <v>-4.1839999999999995E-2</v>
      </c>
      <c r="P784" s="2">
        <f>ff_portfolios25!P784-ff_factors!$E784</f>
        <v>-3.5867999999999997E-2</v>
      </c>
      <c r="Q784" s="2">
        <f>ff_portfolios25!Q784-ff_factors!$E784</f>
        <v>-2.7004E-2</v>
      </c>
      <c r="R784" s="2">
        <f>ff_portfolios25!R784-ff_factors!$E784</f>
        <v>-3.0915999999999999E-2</v>
      </c>
      <c r="S784" s="2">
        <f>ff_portfolios25!S784-ff_factors!$E784</f>
        <v>-7.6433000000000001E-2</v>
      </c>
      <c r="T784" s="2">
        <f>ff_portfolios25!T784-ff_factors!$E784</f>
        <v>-5.2455000000000002E-2</v>
      </c>
      <c r="U784" s="2">
        <f>ff_portfolios25!U784-ff_factors!$E784</f>
        <v>-2.8142E-2</v>
      </c>
      <c r="V784" s="2">
        <f>ff_portfolios25!V784-ff_factors!$E784</f>
        <v>-4.7236E-2</v>
      </c>
      <c r="W784" s="2">
        <f>ff_portfolios25!W784-ff_factors!$E784</f>
        <v>-4.0600999999999998E-2</v>
      </c>
      <c r="X784" s="2">
        <f>ff_portfolios25!X784-ff_factors!$E784</f>
        <v>-5.8921000000000001E-2</v>
      </c>
      <c r="Y784" s="2">
        <f>ff_portfolios25!Y784-ff_factors!$E784</f>
        <v>-2.9857000000000002E-2</v>
      </c>
      <c r="Z784" s="2">
        <f>ff_portfolios25!Z784-ff_factors!$E784</f>
        <v>-3.0849000000000001E-2</v>
      </c>
      <c r="AA784" s="2">
        <f>ff_portfolios25!AA784-ff_factors!$E784</f>
        <v>-5.7015999999999997E-2</v>
      </c>
      <c r="AB784" s="2">
        <f>ff_portfolios25!AB784-ff_factors!$E784</f>
        <v>-5.9864000000000001E-2</v>
      </c>
    </row>
    <row r="785" spans="1:28" x14ac:dyDescent="0.2">
      <c r="A785">
        <v>19970430</v>
      </c>
      <c r="B785">
        <v>1997</v>
      </c>
      <c r="C785">
        <v>4</v>
      </c>
      <c r="D785" s="2">
        <f>ff_portfolios25!D785-ff_factors!$E785</f>
        <v>-5.5982999999999998E-2</v>
      </c>
      <c r="E785" s="2">
        <f>ff_portfolios25!E785-ff_factors!$E785</f>
        <v>-4.2081E-2</v>
      </c>
      <c r="F785" s="2">
        <f>ff_portfolios25!F785-ff_factors!$E785</f>
        <v>-3.5658999999999996E-2</v>
      </c>
      <c r="G785" s="2">
        <f>ff_portfolios25!G785-ff_factors!$E785</f>
        <v>-1.9653999999999998E-2</v>
      </c>
      <c r="H785" s="2">
        <f>ff_portfolios25!H785-ff_factors!$E785</f>
        <v>-2.9588999999999997E-2</v>
      </c>
      <c r="I785" s="2">
        <f>ff_portfolios25!I785-ff_factors!$E785</f>
        <v>-4.5925000000000001E-2</v>
      </c>
      <c r="J785" s="2">
        <f>ff_portfolios25!J785-ff_factors!$E785</f>
        <v>-3.5609999999999999E-3</v>
      </c>
      <c r="K785" s="2">
        <f>ff_portfolios25!K785-ff_factors!$E785</f>
        <v>-1.0773E-2</v>
      </c>
      <c r="L785" s="2">
        <f>ff_portfolios25!L785-ff_factors!$E785</f>
        <v>1.6469999999999999E-2</v>
      </c>
      <c r="M785" s="2">
        <f>ff_portfolios25!M785-ff_factors!$E785</f>
        <v>1.3930000000000001E-3</v>
      </c>
      <c r="N785" s="2">
        <f>ff_portfolios25!N785-ff_factors!$E785</f>
        <v>-1.7354000000000001E-2</v>
      </c>
      <c r="O785" s="2">
        <f>ff_portfolios25!O785-ff_factors!$E785</f>
        <v>2.4334000000000001E-2</v>
      </c>
      <c r="P785" s="2">
        <f>ff_portfolios25!P785-ff_factors!$E785</f>
        <v>2.9706000000000003E-2</v>
      </c>
      <c r="Q785" s="2">
        <f>ff_portfolios25!Q785-ff_factors!$E785</f>
        <v>2.8389000000000005E-2</v>
      </c>
      <c r="R785" s="2">
        <f>ff_portfolios25!R785-ff_factors!$E785</f>
        <v>1.1239000000000001E-2</v>
      </c>
      <c r="S785" s="2">
        <f>ff_portfolios25!S785-ff_factors!$E785</f>
        <v>1.4884E-2</v>
      </c>
      <c r="T785" s="2">
        <f>ff_portfolios25!T785-ff_factors!$E785</f>
        <v>2.4620999999999997E-2</v>
      </c>
      <c r="U785" s="2">
        <f>ff_portfolios25!U785-ff_factors!$E785</f>
        <v>2.2941999999999997E-2</v>
      </c>
      <c r="V785" s="2">
        <f>ff_portfolios25!V785-ff_factors!$E785</f>
        <v>2.3318999999999999E-2</v>
      </c>
      <c r="W785" s="2">
        <f>ff_portfolios25!W785-ff_factors!$E785</f>
        <v>1.4882999999999999E-2</v>
      </c>
      <c r="X785" s="2">
        <f>ff_portfolios25!X785-ff_factors!$E785</f>
        <v>7.7537999999999996E-2</v>
      </c>
      <c r="Y785" s="2">
        <f>ff_portfolios25!Y785-ff_factors!$E785</f>
        <v>2.9144000000000003E-2</v>
      </c>
      <c r="Z785" s="2">
        <f>ff_portfolios25!Z785-ff_factors!$E785</f>
        <v>4.6991000000000005E-2</v>
      </c>
      <c r="AA785" s="2">
        <f>ff_portfolios25!AA785-ff_factors!$E785</f>
        <v>3.3012E-2</v>
      </c>
      <c r="AB785" s="2">
        <f>ff_portfolios25!AB785-ff_factors!$E785</f>
        <v>3.5135E-2</v>
      </c>
    </row>
    <row r="786" spans="1:28" x14ac:dyDescent="0.2">
      <c r="A786">
        <v>19970530</v>
      </c>
      <c r="B786">
        <v>1997</v>
      </c>
      <c r="C786">
        <v>5</v>
      </c>
      <c r="D786" s="2">
        <f>ff_portfolios25!D786-ff_factors!$E786</f>
        <v>0.117286</v>
      </c>
      <c r="E786" s="2">
        <f>ff_portfolios25!E786-ff_factors!$E786</f>
        <v>0.119933</v>
      </c>
      <c r="F786" s="2">
        <f>ff_portfolios25!F786-ff_factors!$E786</f>
        <v>9.8297999999999996E-2</v>
      </c>
      <c r="G786" s="2">
        <f>ff_portfolios25!G786-ff_factors!$E786</f>
        <v>7.8252000000000002E-2</v>
      </c>
      <c r="H786" s="2">
        <f>ff_portfolios25!H786-ff_factors!$E786</f>
        <v>7.6725000000000002E-2</v>
      </c>
      <c r="I786" s="2">
        <f>ff_portfolios25!I786-ff_factors!$E786</f>
        <v>0.17211500000000002</v>
      </c>
      <c r="J786" s="2">
        <f>ff_portfolios25!J786-ff_factors!$E786</f>
        <v>0.123322</v>
      </c>
      <c r="K786" s="2">
        <f>ff_portfolios25!K786-ff_factors!$E786</f>
        <v>9.1754000000000002E-2</v>
      </c>
      <c r="L786" s="2">
        <f>ff_portfolios25!L786-ff_factors!$E786</f>
        <v>9.3017000000000002E-2</v>
      </c>
      <c r="M786" s="2">
        <f>ff_portfolios25!M786-ff_factors!$E786</f>
        <v>7.5338000000000002E-2</v>
      </c>
      <c r="N786" s="2">
        <f>ff_portfolios25!N786-ff_factors!$E786</f>
        <v>0.14925000000000002</v>
      </c>
      <c r="O786" s="2">
        <f>ff_portfolios25!O786-ff_factors!$E786</f>
        <v>0.102418</v>
      </c>
      <c r="P786" s="2">
        <f>ff_portfolios25!P786-ff_factors!$E786</f>
        <v>6.2076999999999993E-2</v>
      </c>
      <c r="Q786" s="2">
        <f>ff_portfolios25!Q786-ff_factors!$E786</f>
        <v>6.547E-2</v>
      </c>
      <c r="R786" s="2">
        <f>ff_portfolios25!R786-ff_factors!$E786</f>
        <v>7.7928999999999998E-2</v>
      </c>
      <c r="S786" s="2">
        <f>ff_portfolios25!S786-ff_factors!$E786</f>
        <v>9.2737E-2</v>
      </c>
      <c r="T786" s="2">
        <f>ff_portfolios25!T786-ff_factors!$E786</f>
        <v>6.7894999999999997E-2</v>
      </c>
      <c r="U786" s="2">
        <f>ff_portfolios25!U786-ff_factors!$E786</f>
        <v>4.9388000000000001E-2</v>
      </c>
      <c r="V786" s="2">
        <f>ff_portfolios25!V786-ff_factors!$E786</f>
        <v>6.6706000000000001E-2</v>
      </c>
      <c r="W786" s="2">
        <f>ff_portfolios25!W786-ff_factors!$E786</f>
        <v>7.2607999999999992E-2</v>
      </c>
      <c r="X786" s="2">
        <f>ff_portfolios25!X786-ff_factors!$E786</f>
        <v>5.8783000000000002E-2</v>
      </c>
      <c r="Y786" s="2">
        <f>ff_portfolios25!Y786-ff_factors!$E786</f>
        <v>6.4073999999999992E-2</v>
      </c>
      <c r="Z786" s="2">
        <f>ff_portfolios25!Z786-ff_factors!$E786</f>
        <v>4.9876999999999998E-2</v>
      </c>
      <c r="AA786" s="2">
        <f>ff_portfolios25!AA786-ff_factors!$E786</f>
        <v>4.7764999999999995E-2</v>
      </c>
      <c r="AB786" s="2">
        <f>ff_portfolios25!AB786-ff_factors!$E786</f>
        <v>4.9862999999999998E-2</v>
      </c>
    </row>
    <row r="787" spans="1:28" x14ac:dyDescent="0.2">
      <c r="A787">
        <v>19970630</v>
      </c>
      <c r="B787">
        <v>1997</v>
      </c>
      <c r="C787">
        <v>6</v>
      </c>
      <c r="D787" s="2">
        <f>ff_portfolios25!D787-ff_factors!$E787</f>
        <v>3.6183E-2</v>
      </c>
      <c r="E787" s="2">
        <f>ff_portfolios25!E787-ff_factors!$E787</f>
        <v>4.3358999999999995E-2</v>
      </c>
      <c r="F787" s="2">
        <f>ff_portfolios25!F787-ff_factors!$E787</f>
        <v>5.4560999999999998E-2</v>
      </c>
      <c r="G787" s="2">
        <f>ff_portfolios25!G787-ff_factors!$E787</f>
        <v>7.4953000000000006E-2</v>
      </c>
      <c r="H787" s="2">
        <f>ff_portfolios25!H787-ff_factors!$E787</f>
        <v>6.7011000000000001E-2</v>
      </c>
      <c r="I787" s="2">
        <f>ff_portfolios25!I787-ff_factors!$E787</f>
        <v>2.5905999999999998E-2</v>
      </c>
      <c r="J787" s="2">
        <f>ff_portfolios25!J787-ff_factors!$E787</f>
        <v>4.2721999999999996E-2</v>
      </c>
      <c r="K787" s="2">
        <f>ff_portfolios25!K787-ff_factors!$E787</f>
        <v>5.9603999999999997E-2</v>
      </c>
      <c r="L787" s="2">
        <f>ff_portfolios25!L787-ff_factors!$E787</f>
        <v>5.4515999999999995E-2</v>
      </c>
      <c r="M787" s="2">
        <f>ff_portfolios25!M787-ff_factors!$E787</f>
        <v>6.0430999999999992E-2</v>
      </c>
      <c r="N787" s="2">
        <f>ff_portfolios25!N787-ff_factors!$E787</f>
        <v>3.6338999999999996E-2</v>
      </c>
      <c r="O787" s="2">
        <f>ff_portfolios25!O787-ff_factors!$E787</f>
        <v>3.0582999999999999E-2</v>
      </c>
      <c r="P787" s="2">
        <f>ff_portfolios25!P787-ff_factors!$E787</f>
        <v>4.8999999999999995E-2</v>
      </c>
      <c r="Q787" s="2">
        <f>ff_portfolios25!Q787-ff_factors!$E787</f>
        <v>4.7333E-2</v>
      </c>
      <c r="R787" s="2">
        <f>ff_portfolios25!R787-ff_factors!$E787</f>
        <v>5.3662000000000001E-2</v>
      </c>
      <c r="S787" s="2">
        <f>ff_portfolios25!S787-ff_factors!$E787</f>
        <v>1.7243000000000001E-2</v>
      </c>
      <c r="T787" s="2">
        <f>ff_portfolios25!T787-ff_factors!$E787</f>
        <v>3.8781999999999997E-2</v>
      </c>
      <c r="U787" s="2">
        <f>ff_portfolios25!U787-ff_factors!$E787</f>
        <v>3.6778999999999999E-2</v>
      </c>
      <c r="V787" s="2">
        <f>ff_portfolios25!V787-ff_factors!$E787</f>
        <v>3.2465999999999995E-2</v>
      </c>
      <c r="W787" s="2">
        <f>ff_portfolios25!W787-ff_factors!$E787</f>
        <v>3.8147E-2</v>
      </c>
      <c r="X787" s="2">
        <f>ff_portfolios25!X787-ff_factors!$E787</f>
        <v>4.0073999999999999E-2</v>
      </c>
      <c r="Y787" s="2">
        <f>ff_portfolios25!Y787-ff_factors!$E787</f>
        <v>3.1813000000000001E-2</v>
      </c>
      <c r="Z787" s="2">
        <f>ff_portfolios25!Z787-ff_factors!$E787</f>
        <v>4.7789999999999999E-2</v>
      </c>
      <c r="AA787" s="2">
        <f>ff_portfolios25!AA787-ff_factors!$E787</f>
        <v>4.4405E-2</v>
      </c>
      <c r="AB787" s="2">
        <f>ff_portfolios25!AB787-ff_factors!$E787</f>
        <v>1.7133000000000002E-2</v>
      </c>
    </row>
    <row r="788" spans="1:28" x14ac:dyDescent="0.2">
      <c r="A788">
        <v>19970731</v>
      </c>
      <c r="B788">
        <v>1997</v>
      </c>
      <c r="C788">
        <v>7</v>
      </c>
      <c r="D788" s="2">
        <f>ff_portfolios25!D788-ff_factors!$E788</f>
        <v>3.4197999999999999E-2</v>
      </c>
      <c r="E788" s="2">
        <f>ff_portfolios25!E788-ff_factors!$E788</f>
        <v>4.8048E-2</v>
      </c>
      <c r="F788" s="2">
        <f>ff_portfolios25!F788-ff_factors!$E788</f>
        <v>5.5621000000000004E-2</v>
      </c>
      <c r="G788" s="2">
        <f>ff_portfolios25!G788-ff_factors!$E788</f>
        <v>5.6016000000000003E-2</v>
      </c>
      <c r="H788" s="2">
        <f>ff_portfolios25!H788-ff_factors!$E788</f>
        <v>5.4651999999999999E-2</v>
      </c>
      <c r="I788" s="2">
        <f>ff_portfolios25!I788-ff_factors!$E788</f>
        <v>4.5540000000000004E-2</v>
      </c>
      <c r="J788" s="2">
        <f>ff_portfolios25!J788-ff_factors!$E788</f>
        <v>5.3814000000000001E-2</v>
      </c>
      <c r="K788" s="2">
        <f>ff_portfolios25!K788-ff_factors!$E788</f>
        <v>3.4416000000000002E-2</v>
      </c>
      <c r="L788" s="2">
        <f>ff_portfolios25!L788-ff_factors!$E788</f>
        <v>4.7719000000000004E-2</v>
      </c>
      <c r="M788" s="2">
        <f>ff_portfolios25!M788-ff_factors!$E788</f>
        <v>5.0719E-2</v>
      </c>
      <c r="N788" s="2">
        <f>ff_portfolios25!N788-ff_factors!$E788</f>
        <v>4.7123000000000005E-2</v>
      </c>
      <c r="O788" s="2">
        <f>ff_portfolios25!O788-ff_factors!$E788</f>
        <v>6.3938999999999996E-2</v>
      </c>
      <c r="P788" s="2">
        <f>ff_portfolios25!P788-ff_factors!$E788</f>
        <v>6.0399999999999995E-2</v>
      </c>
      <c r="Q788" s="2">
        <f>ff_portfolios25!Q788-ff_factors!$E788</f>
        <v>5.1935000000000002E-2</v>
      </c>
      <c r="R788" s="2">
        <f>ff_portfolios25!R788-ff_factors!$E788</f>
        <v>5.8513999999999997E-2</v>
      </c>
      <c r="S788" s="2">
        <f>ff_portfolios25!S788-ff_factors!$E788</f>
        <v>6.3732999999999998E-2</v>
      </c>
      <c r="T788" s="2">
        <f>ff_portfolios25!T788-ff_factors!$E788</f>
        <v>6.4683000000000004E-2</v>
      </c>
      <c r="U788" s="2">
        <f>ff_portfolios25!U788-ff_factors!$E788</f>
        <v>6.6636000000000001E-2</v>
      </c>
      <c r="V788" s="2">
        <f>ff_portfolios25!V788-ff_factors!$E788</f>
        <v>6.7851000000000009E-2</v>
      </c>
      <c r="W788" s="2">
        <f>ff_portfolios25!W788-ff_factors!$E788</f>
        <v>5.6294000000000004E-2</v>
      </c>
      <c r="X788" s="2">
        <f>ff_portfolios25!X788-ff_factors!$E788</f>
        <v>7.6777999999999999E-2</v>
      </c>
      <c r="Y788" s="2">
        <f>ff_portfolios25!Y788-ff_factors!$E788</f>
        <v>7.3051000000000005E-2</v>
      </c>
      <c r="Z788" s="2">
        <f>ff_portfolios25!Z788-ff_factors!$E788</f>
        <v>9.5991000000000007E-2</v>
      </c>
      <c r="AA788" s="2">
        <f>ff_portfolios25!AA788-ff_factors!$E788</f>
        <v>6.0998999999999998E-2</v>
      </c>
      <c r="AB788" s="2">
        <f>ff_portfolios25!AB788-ff_factors!$E788</f>
        <v>8.949E-2</v>
      </c>
    </row>
    <row r="789" spans="1:28" x14ac:dyDescent="0.2">
      <c r="A789">
        <v>19970829</v>
      </c>
      <c r="B789">
        <v>1997</v>
      </c>
      <c r="C789">
        <v>8</v>
      </c>
      <c r="D789" s="2">
        <f>ff_portfolios25!D789-ff_factors!$E789</f>
        <v>5.3635000000000002E-2</v>
      </c>
      <c r="E789" s="2">
        <f>ff_portfolios25!E789-ff_factors!$E789</f>
        <v>4.1363999999999998E-2</v>
      </c>
      <c r="F789" s="2">
        <f>ff_portfolios25!F789-ff_factors!$E789</f>
        <v>2.7882999999999998E-2</v>
      </c>
      <c r="G789" s="2">
        <f>ff_portfolios25!G789-ff_factors!$E789</f>
        <v>3.6180999999999998E-2</v>
      </c>
      <c r="H789" s="2">
        <f>ff_portfolios25!H789-ff_factors!$E789</f>
        <v>3.8945E-2</v>
      </c>
      <c r="I789" s="2">
        <f>ff_portfolios25!I789-ff_factors!$E789</f>
        <v>3.4597000000000003E-2</v>
      </c>
      <c r="J789" s="2">
        <f>ff_portfolios25!J789-ff_factors!$E789</f>
        <v>1.0284999999999999E-2</v>
      </c>
      <c r="K789" s="2">
        <f>ff_portfolios25!K789-ff_factors!$E789</f>
        <v>3.8748999999999999E-2</v>
      </c>
      <c r="L789" s="2">
        <f>ff_portfolios25!L789-ff_factors!$E789</f>
        <v>1.9737000000000001E-2</v>
      </c>
      <c r="M789" s="2">
        <f>ff_portfolios25!M789-ff_factors!$E789</f>
        <v>3.1442999999999999E-2</v>
      </c>
      <c r="N789" s="2">
        <f>ff_portfolios25!N789-ff_factors!$E789</f>
        <v>2.3549E-2</v>
      </c>
      <c r="O789" s="2">
        <f>ff_portfolios25!O789-ff_factors!$E789</f>
        <v>2.8215000000000004E-2</v>
      </c>
      <c r="P789" s="2">
        <f>ff_portfolios25!P789-ff_factors!$E789</f>
        <v>6.4369999999999991E-3</v>
      </c>
      <c r="Q789" s="2">
        <f>ff_portfolios25!Q789-ff_factors!$E789</f>
        <v>-5.9990000000000009E-3</v>
      </c>
      <c r="R789" s="2">
        <f>ff_portfolios25!R789-ff_factors!$E789</f>
        <v>5.9280000000000001E-3</v>
      </c>
      <c r="S789" s="2">
        <f>ff_portfolios25!S789-ff_factors!$E789</f>
        <v>-1.9160000000000002E-3</v>
      </c>
      <c r="T789" s="2">
        <f>ff_portfolios25!T789-ff_factors!$E789</f>
        <v>-2.6810000000000002E-3</v>
      </c>
      <c r="U789" s="2">
        <f>ff_portfolios25!U789-ff_factors!$E789</f>
        <v>-2.0380000000000003E-3</v>
      </c>
      <c r="V789" s="2">
        <f>ff_portfolios25!V789-ff_factors!$E789</f>
        <v>-1.4154E-2</v>
      </c>
      <c r="W789" s="2">
        <f>ff_portfolios25!W789-ff_factors!$E789</f>
        <v>-8.5000000000000006E-5</v>
      </c>
      <c r="X789" s="2">
        <f>ff_portfolios25!X789-ff_factors!$E789</f>
        <v>-7.6213000000000003E-2</v>
      </c>
      <c r="Y789" s="2">
        <f>ff_portfolios25!Y789-ff_factors!$E789</f>
        <v>-3.9996999999999998E-2</v>
      </c>
      <c r="Z789" s="2">
        <f>ff_portfolios25!Z789-ff_factors!$E789</f>
        <v>-6.1247000000000003E-2</v>
      </c>
      <c r="AA789" s="2">
        <f>ff_portfolios25!AA789-ff_factors!$E789</f>
        <v>-5.8746E-2</v>
      </c>
      <c r="AB789" s="2">
        <f>ff_portfolios25!AB789-ff_factors!$E789</f>
        <v>-3.3589000000000001E-2</v>
      </c>
    </row>
    <row r="790" spans="1:28" x14ac:dyDescent="0.2">
      <c r="A790">
        <v>19970930</v>
      </c>
      <c r="B790">
        <v>1997</v>
      </c>
      <c r="C790">
        <v>9</v>
      </c>
      <c r="D790" s="2">
        <f>ff_portfolios25!D790-ff_factors!$E790</f>
        <v>0.10009799999999999</v>
      </c>
      <c r="E790" s="2">
        <f>ff_portfolios25!E790-ff_factors!$E790</f>
        <v>9.4295000000000004E-2</v>
      </c>
      <c r="F790" s="2">
        <f>ff_portfolios25!F790-ff_factors!$E790</f>
        <v>9.3460000000000001E-2</v>
      </c>
      <c r="G790" s="2">
        <f>ff_portfolios25!G790-ff_factors!$E790</f>
        <v>7.6509999999999995E-2</v>
      </c>
      <c r="H790" s="2">
        <f>ff_portfolios25!H790-ff_factors!$E790</f>
        <v>8.3638000000000004E-2</v>
      </c>
      <c r="I790" s="2">
        <f>ff_portfolios25!I790-ff_factors!$E790</f>
        <v>7.1398000000000003E-2</v>
      </c>
      <c r="J790" s="2">
        <f>ff_portfolios25!J790-ff_factors!$E790</f>
        <v>7.5427999999999995E-2</v>
      </c>
      <c r="K790" s="2">
        <f>ff_portfolios25!K790-ff_factors!$E790</f>
        <v>7.4193999999999996E-2</v>
      </c>
      <c r="L790" s="2">
        <f>ff_portfolios25!L790-ff_factors!$E790</f>
        <v>7.5977000000000003E-2</v>
      </c>
      <c r="M790" s="2">
        <f>ff_portfolios25!M790-ff_factors!$E790</f>
        <v>6.1781000000000003E-2</v>
      </c>
      <c r="N790" s="2">
        <f>ff_portfolios25!N790-ff_factors!$E790</f>
        <v>6.6200999999999996E-2</v>
      </c>
      <c r="O790" s="2">
        <f>ff_portfolios25!O790-ff_factors!$E790</f>
        <v>6.5047999999999995E-2</v>
      </c>
      <c r="P790" s="2">
        <f>ff_portfolios25!P790-ff_factors!$E790</f>
        <v>7.0069999999999993E-2</v>
      </c>
      <c r="Q790" s="2">
        <f>ff_portfolios25!Q790-ff_factors!$E790</f>
        <v>6.2145000000000006E-2</v>
      </c>
      <c r="R790" s="2">
        <f>ff_portfolios25!R790-ff_factors!$E790</f>
        <v>5.9916999999999998E-2</v>
      </c>
      <c r="S790" s="2">
        <f>ff_portfolios25!S790-ff_factors!$E790</f>
        <v>4.7678999999999999E-2</v>
      </c>
      <c r="T790" s="2">
        <f>ff_portfolios25!T790-ff_factors!$E790</f>
        <v>4.4377E-2</v>
      </c>
      <c r="U790" s="2">
        <f>ff_portfolios25!U790-ff_factors!$E790</f>
        <v>5.5287999999999997E-2</v>
      </c>
      <c r="V790" s="2">
        <f>ff_portfolios25!V790-ff_factors!$E790</f>
        <v>5.5917000000000001E-2</v>
      </c>
      <c r="W790" s="2">
        <f>ff_portfolios25!W790-ff_factors!$E790</f>
        <v>3.5685999999999996E-2</v>
      </c>
      <c r="X790" s="2">
        <f>ff_portfolios25!X790-ff_factors!$E790</f>
        <v>4.4281000000000001E-2</v>
      </c>
      <c r="Y790" s="2">
        <f>ff_portfolios25!Y790-ff_factors!$E790</f>
        <v>5.0873999999999996E-2</v>
      </c>
      <c r="Z790" s="2">
        <f>ff_portfolios25!Z790-ff_factors!$E790</f>
        <v>5.6271999999999996E-2</v>
      </c>
      <c r="AA790" s="2">
        <f>ff_portfolios25!AA790-ff_factors!$E790</f>
        <v>6.2480999999999995E-2</v>
      </c>
      <c r="AB790" s="2">
        <f>ff_portfolios25!AB790-ff_factors!$E790</f>
        <v>5.9031E-2</v>
      </c>
    </row>
    <row r="791" spans="1:28" x14ac:dyDescent="0.2">
      <c r="A791">
        <v>19971031</v>
      </c>
      <c r="B791">
        <v>1997</v>
      </c>
      <c r="C791">
        <v>10</v>
      </c>
      <c r="D791" s="2">
        <f>ff_portfolios25!D791-ff_factors!$E791</f>
        <v>-6.0323000000000002E-2</v>
      </c>
      <c r="E791" s="2">
        <f>ff_portfolios25!E791-ff_factors!$E791</f>
        <v>-3.9947000000000003E-2</v>
      </c>
      <c r="F791" s="2">
        <f>ff_portfolios25!F791-ff_factors!$E791</f>
        <v>-4.3189999999999999E-2</v>
      </c>
      <c r="G791" s="2">
        <f>ff_portfolios25!G791-ff_factors!$E791</f>
        <v>-1.5307999999999999E-2</v>
      </c>
      <c r="H791" s="2">
        <f>ff_portfolios25!H791-ff_factors!$E791</f>
        <v>-1.507E-2</v>
      </c>
      <c r="I791" s="2">
        <f>ff_portfolios25!I791-ff_factors!$E791</f>
        <v>-6.6066E-2</v>
      </c>
      <c r="J791" s="2">
        <f>ff_portfolios25!J791-ff_factors!$E791</f>
        <v>-5.0827000000000004E-2</v>
      </c>
      <c r="K791" s="2">
        <f>ff_portfolios25!K791-ff_factors!$E791</f>
        <v>-4.3071999999999999E-2</v>
      </c>
      <c r="L791" s="2">
        <f>ff_portfolios25!L791-ff_factors!$E791</f>
        <v>-3.3671E-2</v>
      </c>
      <c r="M791" s="2">
        <f>ff_portfolios25!M791-ff_factors!$E791</f>
        <v>-3.8970000000000005E-2</v>
      </c>
      <c r="N791" s="2">
        <f>ff_portfolios25!N791-ff_factors!$E791</f>
        <v>-6.6914000000000001E-2</v>
      </c>
      <c r="O791" s="2">
        <f>ff_portfolios25!O791-ff_factors!$E791</f>
        <v>-4.0299000000000001E-2</v>
      </c>
      <c r="P791" s="2">
        <f>ff_portfolios25!P791-ff_factors!$E791</f>
        <v>-4.0308000000000004E-2</v>
      </c>
      <c r="Q791" s="2">
        <f>ff_portfolios25!Q791-ff_factors!$E791</f>
        <v>-2.6530999999999999E-2</v>
      </c>
      <c r="R791" s="2">
        <f>ff_portfolios25!R791-ff_factors!$E791</f>
        <v>-4.1437000000000002E-2</v>
      </c>
      <c r="S791" s="2">
        <f>ff_portfolios25!S791-ff_factors!$E791</f>
        <v>-7.0132E-2</v>
      </c>
      <c r="T791" s="2">
        <f>ff_portfolios25!T791-ff_factors!$E791</f>
        <v>-6.1544000000000001E-2</v>
      </c>
      <c r="U791" s="2">
        <f>ff_portfolios25!U791-ff_factors!$E791</f>
        <v>-2.8135E-2</v>
      </c>
      <c r="V791" s="2">
        <f>ff_portfolios25!V791-ff_factors!$E791</f>
        <v>-4.2544999999999999E-2</v>
      </c>
      <c r="W791" s="2">
        <f>ff_portfolios25!W791-ff_factors!$E791</f>
        <v>-6.4476999999999993E-2</v>
      </c>
      <c r="X791" s="2">
        <f>ff_portfolios25!X791-ff_factors!$E791</f>
        <v>-2.7812E-2</v>
      </c>
      <c r="Y791" s="2">
        <f>ff_portfolios25!Y791-ff_factors!$E791</f>
        <v>-4.4269000000000003E-2</v>
      </c>
      <c r="Z791" s="2">
        <f>ff_portfolios25!Z791-ff_factors!$E791</f>
        <v>-3.5959999999999999E-2</v>
      </c>
      <c r="AA791" s="2">
        <f>ff_portfolios25!AA791-ff_factors!$E791</f>
        <v>-2.5495999999999998E-2</v>
      </c>
      <c r="AB791" s="2">
        <f>ff_portfolios25!AB791-ff_factors!$E791</f>
        <v>-3.5146999999999998E-2</v>
      </c>
    </row>
    <row r="792" spans="1:28" x14ac:dyDescent="0.2">
      <c r="A792">
        <v>19971128</v>
      </c>
      <c r="B792">
        <v>1997</v>
      </c>
      <c r="C792">
        <v>11</v>
      </c>
      <c r="D792" s="2">
        <f>ff_portfolios25!D792-ff_factors!$E792</f>
        <v>-3.8526999999999999E-2</v>
      </c>
      <c r="E792" s="2">
        <f>ff_portfolios25!E792-ff_factors!$E792</f>
        <v>-3.6215999999999998E-2</v>
      </c>
      <c r="F792" s="2">
        <f>ff_portfolios25!F792-ff_factors!$E792</f>
        <v>-2.4399000000000001E-2</v>
      </c>
      <c r="G792" s="2">
        <f>ff_portfolios25!G792-ff_factors!$E792</f>
        <v>-5.3839999999999999E-3</v>
      </c>
      <c r="H792" s="2">
        <f>ff_portfolios25!H792-ff_factors!$E792</f>
        <v>-8.2920000000000008E-3</v>
      </c>
      <c r="I792" s="2">
        <f>ff_portfolios25!I792-ff_factors!$E792</f>
        <v>-3.7097999999999999E-2</v>
      </c>
      <c r="J792" s="2">
        <f>ff_portfolios25!J792-ff_factors!$E792</f>
        <v>-2.7574000000000001E-2</v>
      </c>
      <c r="K792" s="2">
        <f>ff_portfolios25!K792-ff_factors!$E792</f>
        <v>-1.2247999999999998E-2</v>
      </c>
      <c r="L792" s="2">
        <f>ff_portfolios25!L792-ff_factors!$E792</f>
        <v>1.5669999999999998E-3</v>
      </c>
      <c r="M792" s="2">
        <f>ff_portfolios25!M792-ff_factors!$E792</f>
        <v>-9.7719999999999994E-3</v>
      </c>
      <c r="N792" s="2">
        <f>ff_portfolios25!N792-ff_factors!$E792</f>
        <v>-3.6672999999999997E-2</v>
      </c>
      <c r="O792" s="2">
        <f>ff_portfolios25!O792-ff_factors!$E792</f>
        <v>-3.1098000000000001E-2</v>
      </c>
      <c r="P792" s="2">
        <f>ff_portfolios25!P792-ff_factors!$E792</f>
        <v>1.5984999999999999E-2</v>
      </c>
      <c r="Q792" s="2">
        <f>ff_portfolios25!Q792-ff_factors!$E792</f>
        <v>2.2537999999999999E-2</v>
      </c>
      <c r="R792" s="2">
        <f>ff_portfolios25!R792-ff_factors!$E792</f>
        <v>2.065E-3</v>
      </c>
      <c r="S792" s="2">
        <f>ff_portfolios25!S792-ff_factors!$E792</f>
        <v>3.4879999999999998E-3</v>
      </c>
      <c r="T792" s="2">
        <f>ff_portfolios25!T792-ff_factors!$E792</f>
        <v>2.8999999999999998E-3</v>
      </c>
      <c r="U792" s="2">
        <f>ff_portfolios25!U792-ff_factors!$E792</f>
        <v>3.1453000000000002E-2</v>
      </c>
      <c r="V792" s="2">
        <f>ff_portfolios25!V792-ff_factors!$E792</f>
        <v>3.4196999999999998E-2</v>
      </c>
      <c r="W792" s="2">
        <f>ff_portfolios25!W792-ff_factors!$E792</f>
        <v>2.5298999999999999E-2</v>
      </c>
      <c r="X792" s="2">
        <f>ff_portfolios25!X792-ff_factors!$E792</f>
        <v>4.9576000000000002E-2</v>
      </c>
      <c r="Y792" s="2">
        <f>ff_portfolios25!Y792-ff_factors!$E792</f>
        <v>4.8245999999999997E-2</v>
      </c>
      <c r="Z792" s="2">
        <f>ff_portfolios25!Z792-ff_factors!$E792</f>
        <v>2.5676000000000001E-2</v>
      </c>
      <c r="AA792" s="2">
        <f>ff_portfolios25!AA792-ff_factors!$E792</f>
        <v>4.2789000000000001E-2</v>
      </c>
      <c r="AB792" s="2">
        <f>ff_portfolios25!AB792-ff_factors!$E792</f>
        <v>1.8994999999999998E-2</v>
      </c>
    </row>
    <row r="793" spans="1:28" x14ac:dyDescent="0.2">
      <c r="A793">
        <v>19971231</v>
      </c>
      <c r="B793">
        <v>1997</v>
      </c>
      <c r="C793">
        <v>12</v>
      </c>
      <c r="D793" s="2">
        <f>ff_portfolios25!D793-ff_factors!$E793</f>
        <v>-6.5156000000000006E-2</v>
      </c>
      <c r="E793" s="2">
        <f>ff_portfolios25!E793-ff_factors!$E793</f>
        <v>-3.7426000000000001E-2</v>
      </c>
      <c r="F793" s="2">
        <f>ff_portfolios25!F793-ff_factors!$E793</f>
        <v>-1.2442999999999999E-2</v>
      </c>
      <c r="G793" s="2">
        <f>ff_portfolios25!G793-ff_factors!$E793</f>
        <v>-3.9109999999999995E-3</v>
      </c>
      <c r="H793" s="2">
        <f>ff_portfolios25!H793-ff_factors!$E793</f>
        <v>9.946E-3</v>
      </c>
      <c r="I793" s="2">
        <f>ff_portfolios25!I793-ff_factors!$E793</f>
        <v>-1.1939E-2</v>
      </c>
      <c r="J793" s="2">
        <f>ff_portfolios25!J793-ff_factors!$E793</f>
        <v>-2.3496999999999997E-2</v>
      </c>
      <c r="K793" s="2">
        <f>ff_portfolios25!K793-ff_factors!$E793</f>
        <v>1.1624000000000002E-2</v>
      </c>
      <c r="L793" s="2">
        <f>ff_portfolios25!L793-ff_factors!$E793</f>
        <v>3.2689000000000003E-2</v>
      </c>
      <c r="M793" s="2">
        <f>ff_portfolios25!M793-ff_factors!$E793</f>
        <v>1.8048000000000002E-2</v>
      </c>
      <c r="N793" s="2">
        <f>ff_portfolios25!N793-ff_factors!$E793</f>
        <v>4.2010000000000007E-3</v>
      </c>
      <c r="O793" s="2">
        <f>ff_portfolios25!O793-ff_factors!$E793</f>
        <v>-1.0049999999999994E-3</v>
      </c>
      <c r="P793" s="2">
        <f>ff_portfolios25!P793-ff_factors!$E793</f>
        <v>2.4418000000000002E-2</v>
      </c>
      <c r="Q793" s="2">
        <f>ff_portfolios25!Q793-ff_factors!$E793</f>
        <v>4.2930000000000003E-2</v>
      </c>
      <c r="R793" s="2">
        <f>ff_portfolios25!R793-ff_factors!$E793</f>
        <v>2.3829000000000003E-2</v>
      </c>
      <c r="S793" s="2">
        <f>ff_portfolios25!S793-ff_factors!$E793</f>
        <v>-2.2234999999999998E-2</v>
      </c>
      <c r="T793" s="2">
        <f>ff_portfolios25!T793-ff_factors!$E793</f>
        <v>1.4711000000000002E-2</v>
      </c>
      <c r="U793" s="2">
        <f>ff_portfolios25!U793-ff_factors!$E793</f>
        <v>3.0381999999999999E-2</v>
      </c>
      <c r="V793" s="2">
        <f>ff_portfolios25!V793-ff_factors!$E793</f>
        <v>5.6995000000000004E-2</v>
      </c>
      <c r="W793" s="2">
        <f>ff_portfolios25!W793-ff_factors!$E793</f>
        <v>4.7270000000000012E-3</v>
      </c>
      <c r="X793" s="2">
        <f>ff_portfolios25!X793-ff_factors!$E793</f>
        <v>6.928000000000001E-3</v>
      </c>
      <c r="Y793" s="2">
        <f>ff_portfolios25!Y793-ff_factors!$E793</f>
        <v>1.1783000000000002E-2</v>
      </c>
      <c r="Z793" s="2">
        <f>ff_portfolios25!Z793-ff_factors!$E793</f>
        <v>3.0249999999999999E-2</v>
      </c>
      <c r="AA793" s="2">
        <f>ff_portfolios25!AA793-ff_factors!$E793</f>
        <v>2.6865E-2</v>
      </c>
      <c r="AB793" s="2">
        <f>ff_portfolios25!AB793-ff_factors!$E793</f>
        <v>4.5421000000000003E-2</v>
      </c>
    </row>
    <row r="794" spans="1:28" x14ac:dyDescent="0.2">
      <c r="A794">
        <v>19980130</v>
      </c>
      <c r="B794">
        <v>1998</v>
      </c>
      <c r="C794">
        <v>1</v>
      </c>
      <c r="D794" s="2">
        <f>ff_portfolios25!D794-ff_factors!$E794</f>
        <v>-2.0209999999999998E-3</v>
      </c>
      <c r="E794" s="2">
        <f>ff_portfolios25!E794-ff_factors!$E794</f>
        <v>-1.2012E-2</v>
      </c>
      <c r="F794" s="2">
        <f>ff_portfolios25!F794-ff_factors!$E794</f>
        <v>-1.6309000000000001E-2</v>
      </c>
      <c r="G794" s="2">
        <f>ff_portfolios25!G794-ff_factors!$E794</f>
        <v>-1.5775000000000001E-2</v>
      </c>
      <c r="H794" s="2">
        <f>ff_portfolios25!H794-ff_factors!$E794</f>
        <v>-1.0395E-2</v>
      </c>
      <c r="I794" s="2">
        <f>ff_portfolios25!I794-ff_factors!$E794</f>
        <v>-4.444E-3</v>
      </c>
      <c r="J794" s="2">
        <f>ff_portfolios25!J794-ff_factors!$E794</f>
        <v>-1.5459000000000001E-2</v>
      </c>
      <c r="K794" s="2">
        <f>ff_portfolios25!K794-ff_factors!$E794</f>
        <v>-2.8688999999999999E-2</v>
      </c>
      <c r="L794" s="2">
        <f>ff_portfolios25!L794-ff_factors!$E794</f>
        <v>-2.5944000000000002E-2</v>
      </c>
      <c r="M794" s="2">
        <f>ff_portfolios25!M794-ff_factors!$E794</f>
        <v>-2.0039000000000001E-2</v>
      </c>
      <c r="N794" s="2">
        <f>ff_portfolios25!N794-ff_factors!$E794</f>
        <v>-8.4460000000000004E-3</v>
      </c>
      <c r="O794" s="2">
        <f>ff_portfolios25!O794-ff_factors!$E794</f>
        <v>-2.4537999999999997E-2</v>
      </c>
      <c r="P794" s="2">
        <f>ff_portfolios25!P794-ff_factors!$E794</f>
        <v>-2.1380000000000003E-2</v>
      </c>
      <c r="Q794" s="2">
        <f>ff_portfolios25!Q794-ff_factors!$E794</f>
        <v>-4.8868000000000002E-2</v>
      </c>
      <c r="R794" s="2">
        <f>ff_portfolios25!R794-ff_factors!$E794</f>
        <v>2.2579000000000002E-2</v>
      </c>
      <c r="S794" s="2">
        <f>ff_portfolios25!S794-ff_factors!$E794</f>
        <v>-2.2855E-2</v>
      </c>
      <c r="T794" s="2">
        <f>ff_portfolios25!T794-ff_factors!$E794</f>
        <v>-4.5469999999999998E-3</v>
      </c>
      <c r="U794" s="2">
        <f>ff_portfolios25!U794-ff_factors!$E794</f>
        <v>-2.8535999999999999E-2</v>
      </c>
      <c r="V794" s="2">
        <f>ff_portfolios25!V794-ff_factors!$E794</f>
        <v>-1.7035000000000002E-2</v>
      </c>
      <c r="W794" s="2">
        <f>ff_portfolios25!W794-ff_factors!$E794</f>
        <v>9.2119999999999997E-3</v>
      </c>
      <c r="X794" s="2">
        <f>ff_portfolios25!X794-ff_factors!$E794</f>
        <v>3.5168000000000005E-2</v>
      </c>
      <c r="Y794" s="2">
        <f>ff_portfolios25!Y794-ff_factors!$E794</f>
        <v>-6.5139999999999998E-3</v>
      </c>
      <c r="Z794" s="2">
        <f>ff_portfolios25!Z794-ff_factors!$E794</f>
        <v>-3.8040999999999998E-2</v>
      </c>
      <c r="AA794" s="2">
        <f>ff_portfolios25!AA794-ff_factors!$E794</f>
        <v>-2.702E-3</v>
      </c>
      <c r="AB794" s="2">
        <f>ff_portfolios25!AB794-ff_factors!$E794</f>
        <v>1.8549999999999999E-3</v>
      </c>
    </row>
    <row r="795" spans="1:28" x14ac:dyDescent="0.2">
      <c r="A795">
        <v>19980227</v>
      </c>
      <c r="B795">
        <v>1998</v>
      </c>
      <c r="C795">
        <v>2</v>
      </c>
      <c r="D795" s="2">
        <f>ff_portfolios25!D795-ff_factors!$E795</f>
        <v>5.6585999999999997E-2</v>
      </c>
      <c r="E795" s="2">
        <f>ff_portfolios25!E795-ff_factors!$E795</f>
        <v>6.4976000000000006E-2</v>
      </c>
      <c r="F795" s="2">
        <f>ff_portfolios25!F795-ff_factors!$E795</f>
        <v>5.2437999999999999E-2</v>
      </c>
      <c r="G795" s="2">
        <f>ff_portfolios25!G795-ff_factors!$E795</f>
        <v>5.4552999999999997E-2</v>
      </c>
      <c r="H795" s="2">
        <f>ff_portfolios25!H795-ff_factors!$E795</f>
        <v>6.2170000000000003E-2</v>
      </c>
      <c r="I795" s="2">
        <f>ff_portfolios25!I795-ff_factors!$E795</f>
        <v>8.6970999999999993E-2</v>
      </c>
      <c r="J795" s="2">
        <f>ff_portfolios25!J795-ff_factors!$E795</f>
        <v>7.8700000000000006E-2</v>
      </c>
      <c r="K795" s="2">
        <f>ff_portfolios25!K795-ff_factors!$E795</f>
        <v>8.9337E-2</v>
      </c>
      <c r="L795" s="2">
        <f>ff_portfolios25!L795-ff_factors!$E795</f>
        <v>6.6435999999999995E-2</v>
      </c>
      <c r="M795" s="2">
        <f>ff_portfolios25!M795-ff_factors!$E795</f>
        <v>6.6966999999999999E-2</v>
      </c>
      <c r="N795" s="2">
        <f>ff_portfolios25!N795-ff_factors!$E795</f>
        <v>8.6092000000000002E-2</v>
      </c>
      <c r="O795" s="2">
        <f>ff_portfolios25!O795-ff_factors!$E795</f>
        <v>8.9550000000000005E-2</v>
      </c>
      <c r="P795" s="2">
        <f>ff_portfolios25!P795-ff_factors!$E795</f>
        <v>6.6123000000000001E-2</v>
      </c>
      <c r="Q795" s="2">
        <f>ff_portfolios25!Q795-ff_factors!$E795</f>
        <v>8.3916000000000004E-2</v>
      </c>
      <c r="R795" s="2">
        <f>ff_portfolios25!R795-ff_factors!$E795</f>
        <v>8.3515000000000006E-2</v>
      </c>
      <c r="S795" s="2">
        <f>ff_portfolios25!S795-ff_factors!$E795</f>
        <v>9.2326999999999992E-2</v>
      </c>
      <c r="T795" s="2">
        <f>ff_portfolios25!T795-ff_factors!$E795</f>
        <v>7.1978E-2</v>
      </c>
      <c r="U795" s="2">
        <f>ff_portfolios25!U795-ff_factors!$E795</f>
        <v>6.6584000000000004E-2</v>
      </c>
      <c r="V795" s="2">
        <f>ff_portfolios25!V795-ff_factors!$E795</f>
        <v>5.4078000000000001E-2</v>
      </c>
      <c r="W795" s="2">
        <f>ff_portfolios25!W795-ff_factors!$E795</f>
        <v>6.0767000000000002E-2</v>
      </c>
      <c r="X795" s="2">
        <f>ff_portfolios25!X795-ff_factors!$E795</f>
        <v>6.8458000000000005E-2</v>
      </c>
      <c r="Y795" s="2">
        <f>ff_portfolios25!Y795-ff_factors!$E795</f>
        <v>5.7707000000000001E-2</v>
      </c>
      <c r="Z795" s="2">
        <f>ff_portfolios25!Z795-ff_factors!$E795</f>
        <v>8.7262999999999993E-2</v>
      </c>
      <c r="AA795" s="2">
        <f>ff_portfolios25!AA795-ff_factors!$E795</f>
        <v>6.6501000000000005E-2</v>
      </c>
      <c r="AB795" s="2">
        <f>ff_portfolios25!AB795-ff_factors!$E795</f>
        <v>9.0090000000000003E-2</v>
      </c>
    </row>
    <row r="796" spans="1:28" x14ac:dyDescent="0.2">
      <c r="A796">
        <v>19980331</v>
      </c>
      <c r="B796">
        <v>1998</v>
      </c>
      <c r="C796">
        <v>3</v>
      </c>
      <c r="D796" s="2">
        <f>ff_portfolios25!D796-ff_factors!$E796</f>
        <v>4.7946999999999997E-2</v>
      </c>
      <c r="E796" s="2">
        <f>ff_portfolios25!E796-ff_factors!$E796</f>
        <v>4.7008000000000001E-2</v>
      </c>
      <c r="F796" s="2">
        <f>ff_portfolios25!F796-ff_factors!$E796</f>
        <v>5.0767E-2</v>
      </c>
      <c r="G796" s="2">
        <f>ff_portfolios25!G796-ff_factors!$E796</f>
        <v>4.3560000000000001E-2</v>
      </c>
      <c r="H796" s="2">
        <f>ff_portfolios25!H796-ff_factors!$E796</f>
        <v>4.5721999999999999E-2</v>
      </c>
      <c r="I796" s="2">
        <f>ff_portfolios25!I796-ff_factors!$E796</f>
        <v>4.1815999999999999E-2</v>
      </c>
      <c r="J796" s="2">
        <f>ff_portfolios25!J796-ff_factors!$E796</f>
        <v>5.5806000000000001E-2</v>
      </c>
      <c r="K796" s="2">
        <f>ff_portfolios25!K796-ff_factors!$E796</f>
        <v>2.2785E-2</v>
      </c>
      <c r="L796" s="2">
        <f>ff_portfolios25!L796-ff_factors!$E796</f>
        <v>3.9370000000000002E-2</v>
      </c>
      <c r="M796" s="2">
        <f>ff_portfolios25!M796-ff_factors!$E796</f>
        <v>4.2964999999999996E-2</v>
      </c>
      <c r="N796" s="2">
        <f>ff_portfolios25!N796-ff_factors!$E796</f>
        <v>3.7981000000000001E-2</v>
      </c>
      <c r="O796" s="2">
        <f>ff_portfolios25!O796-ff_factors!$E796</f>
        <v>2.6952E-2</v>
      </c>
      <c r="P796" s="2">
        <f>ff_portfolios25!P796-ff_factors!$E796</f>
        <v>4.5011000000000002E-2</v>
      </c>
      <c r="Q796" s="2">
        <f>ff_portfolios25!Q796-ff_factors!$E796</f>
        <v>3.9233999999999998E-2</v>
      </c>
      <c r="R796" s="2">
        <f>ff_portfolios25!R796-ff_factors!$E796</f>
        <v>6.0759999999999995E-2</v>
      </c>
      <c r="S796" s="2">
        <f>ff_portfolios25!S796-ff_factors!$E796</f>
        <v>3.3208000000000001E-2</v>
      </c>
      <c r="T796" s="2">
        <f>ff_portfolios25!T796-ff_factors!$E796</f>
        <v>5.0393E-2</v>
      </c>
      <c r="U796" s="2">
        <f>ff_portfolios25!U796-ff_factors!$E796</f>
        <v>4.7447999999999997E-2</v>
      </c>
      <c r="V796" s="2">
        <f>ff_portfolios25!V796-ff_factors!$E796</f>
        <v>3.6976000000000002E-2</v>
      </c>
      <c r="W796" s="2">
        <f>ff_portfolios25!W796-ff_factors!$E796</f>
        <v>7.1535000000000001E-2</v>
      </c>
      <c r="X796" s="2">
        <f>ff_portfolios25!X796-ff_factors!$E796</f>
        <v>4.1917999999999997E-2</v>
      </c>
      <c r="Y796" s="2">
        <f>ff_portfolios25!Y796-ff_factors!$E796</f>
        <v>4.7481000000000002E-2</v>
      </c>
      <c r="Z796" s="2">
        <f>ff_portfolios25!Z796-ff_factors!$E796</f>
        <v>5.1249999999999997E-2</v>
      </c>
      <c r="AA796" s="2">
        <f>ff_portfolios25!AA796-ff_factors!$E796</f>
        <v>7.0455000000000004E-2</v>
      </c>
      <c r="AB796" s="2">
        <f>ff_portfolios25!AB796-ff_factors!$E796</f>
        <v>7.0041999999999993E-2</v>
      </c>
    </row>
    <row r="797" spans="1:28" x14ac:dyDescent="0.2">
      <c r="A797">
        <v>19980430</v>
      </c>
      <c r="B797">
        <v>1998</v>
      </c>
      <c r="C797">
        <v>4</v>
      </c>
      <c r="D797" s="2">
        <f>ff_portfolios25!D797-ff_factors!$E797</f>
        <v>1.797E-2</v>
      </c>
      <c r="E797" s="2">
        <f>ff_portfolios25!E797-ff_factors!$E797</f>
        <v>2.4363000000000003E-2</v>
      </c>
      <c r="F797" s="2">
        <f>ff_portfolios25!F797-ff_factors!$E797</f>
        <v>3.1703000000000002E-2</v>
      </c>
      <c r="G797" s="2">
        <f>ff_portfolios25!G797-ff_factors!$E797</f>
        <v>2.3399000000000003E-2</v>
      </c>
      <c r="H797" s="2">
        <f>ff_portfolios25!H797-ff_factors!$E797</f>
        <v>1.9569000000000003E-2</v>
      </c>
      <c r="I797" s="2">
        <f>ff_portfolios25!I797-ff_factors!$E797</f>
        <v>-7.0299999999999998E-3</v>
      </c>
      <c r="J797" s="2">
        <f>ff_portfolios25!J797-ff_factors!$E797</f>
        <v>1.1476999999999999E-2</v>
      </c>
      <c r="K797" s="2">
        <f>ff_portfolios25!K797-ff_factors!$E797</f>
        <v>5.6909999999999999E-3</v>
      </c>
      <c r="L797" s="2">
        <f>ff_portfolios25!L797-ff_factors!$E797</f>
        <v>2.1421999999999997E-2</v>
      </c>
      <c r="M797" s="2">
        <f>ff_portfolios25!M797-ff_factors!$E797</f>
        <v>1.4494000000000002E-2</v>
      </c>
      <c r="N797" s="2">
        <f>ff_portfolios25!N797-ff_factors!$E797</f>
        <v>6.9549999999999994E-3</v>
      </c>
      <c r="O797" s="2">
        <f>ff_portfolios25!O797-ff_factors!$E797</f>
        <v>-7.4590000000000004E-3</v>
      </c>
      <c r="P797" s="2">
        <f>ff_portfolios25!P797-ff_factors!$E797</f>
        <v>1.3979999999999999E-3</v>
      </c>
      <c r="Q797" s="2">
        <f>ff_portfolios25!Q797-ff_factors!$E797</f>
        <v>-5.9709999999999997E-3</v>
      </c>
      <c r="R797" s="2">
        <f>ff_portfolios25!R797-ff_factors!$E797</f>
        <v>7.6690000000000005E-3</v>
      </c>
      <c r="S797" s="2">
        <f>ff_portfolios25!S797-ff_factors!$E797</f>
        <v>-5.4199999999999995E-3</v>
      </c>
      <c r="T797" s="2">
        <f>ff_portfolios25!T797-ff_factors!$E797</f>
        <v>-5.0679999999999996E-3</v>
      </c>
      <c r="U797" s="2">
        <f>ff_portfolios25!U797-ff_factors!$E797</f>
        <v>-2.1800000000000001E-3</v>
      </c>
      <c r="V797" s="2">
        <f>ff_portfolios25!V797-ff_factors!$E797</f>
        <v>-3.885E-3</v>
      </c>
      <c r="W797" s="2">
        <f>ff_portfolios25!W797-ff_factors!$E797</f>
        <v>7.535E-3</v>
      </c>
      <c r="X797" s="2">
        <f>ff_portfolios25!X797-ff_factors!$E797</f>
        <v>7.5099999999999993E-3</v>
      </c>
      <c r="Y797" s="2">
        <f>ff_portfolios25!Y797-ff_factors!$E797</f>
        <v>1.3359000000000001E-2</v>
      </c>
      <c r="Z797" s="2">
        <f>ff_portfolios25!Z797-ff_factors!$E797</f>
        <v>1.1244000000000001E-2</v>
      </c>
      <c r="AA797" s="2">
        <f>ff_portfolios25!AA797-ff_factors!$E797</f>
        <v>5.5429999999999993E-3</v>
      </c>
      <c r="AB797" s="2">
        <f>ff_portfolios25!AB797-ff_factors!$E797</f>
        <v>9.7470000000000005E-3</v>
      </c>
    </row>
    <row r="798" spans="1:28" x14ac:dyDescent="0.2">
      <c r="A798">
        <v>19980529</v>
      </c>
      <c r="B798">
        <v>1998</v>
      </c>
      <c r="C798">
        <v>5</v>
      </c>
      <c r="D798" s="2">
        <f>ff_portfolios25!D798-ff_factors!$E798</f>
        <v>-6.6460000000000005E-2</v>
      </c>
      <c r="E798" s="2">
        <f>ff_portfolios25!E798-ff_factors!$E798</f>
        <v>-7.4840000000000004E-2</v>
      </c>
      <c r="F798" s="2">
        <f>ff_portfolios25!F798-ff_factors!$E798</f>
        <v>-3.7630999999999998E-2</v>
      </c>
      <c r="G798" s="2">
        <f>ff_portfolios25!G798-ff_factors!$E798</f>
        <v>-3.3017000000000005E-2</v>
      </c>
      <c r="H798" s="2">
        <f>ff_portfolios25!H798-ff_factors!$E798</f>
        <v>-2.9947000000000001E-2</v>
      </c>
      <c r="I798" s="2">
        <f>ff_portfolios25!I798-ff_factors!$E798</f>
        <v>-9.0356000000000006E-2</v>
      </c>
      <c r="J798" s="2">
        <f>ff_portfolios25!J798-ff_factors!$E798</f>
        <v>-6.3466999999999996E-2</v>
      </c>
      <c r="K798" s="2">
        <f>ff_portfolios25!K798-ff_factors!$E798</f>
        <v>-5.5676000000000003E-2</v>
      </c>
      <c r="L798" s="2">
        <f>ff_portfolios25!L798-ff_factors!$E798</f>
        <v>-3.1692999999999999E-2</v>
      </c>
      <c r="M798" s="2">
        <f>ff_portfolios25!M798-ff_factors!$E798</f>
        <v>-4.1225999999999999E-2</v>
      </c>
      <c r="N798" s="2">
        <f>ff_portfolios25!N798-ff_factors!$E798</f>
        <v>-7.7730000000000007E-2</v>
      </c>
      <c r="O798" s="2">
        <f>ff_portfolios25!O798-ff_factors!$E798</f>
        <v>-6.713100000000001E-2</v>
      </c>
      <c r="P798" s="2">
        <f>ff_portfolios25!P798-ff_factors!$E798</f>
        <v>-5.1838999999999996E-2</v>
      </c>
      <c r="Q798" s="2">
        <f>ff_portfolios25!Q798-ff_factors!$E798</f>
        <v>-4.7334000000000001E-2</v>
      </c>
      <c r="R798" s="2">
        <f>ff_portfolios25!R798-ff_factors!$E798</f>
        <v>-3.6385000000000001E-2</v>
      </c>
      <c r="S798" s="2">
        <f>ff_portfolios25!S798-ff_factors!$E798</f>
        <v>-5.7987999999999998E-2</v>
      </c>
      <c r="T798" s="2">
        <f>ff_portfolios25!T798-ff_factors!$E798</f>
        <v>-3.3697000000000005E-2</v>
      </c>
      <c r="U798" s="2">
        <f>ff_portfolios25!U798-ff_factors!$E798</f>
        <v>-4.0265999999999996E-2</v>
      </c>
      <c r="V798" s="2">
        <f>ff_portfolios25!V798-ff_factors!$E798</f>
        <v>-2.5749999999999999E-2</v>
      </c>
      <c r="W798" s="2">
        <f>ff_portfolios25!W798-ff_factors!$E798</f>
        <v>-3.9400000000000004E-2</v>
      </c>
      <c r="X798" s="2">
        <f>ff_portfolios25!X798-ff_factors!$E798</f>
        <v>-2.7470999999999999E-2</v>
      </c>
      <c r="Y798" s="2">
        <f>ff_portfolios25!Y798-ff_factors!$E798</f>
        <v>-2.052E-2</v>
      </c>
      <c r="Z798" s="2">
        <f>ff_portfolios25!Z798-ff_factors!$E798</f>
        <v>-3.1126999999999998E-2</v>
      </c>
      <c r="AA798" s="2">
        <f>ff_portfolios25!AA798-ff_factors!$E798</f>
        <v>-1.2779E-2</v>
      </c>
      <c r="AB798" s="2">
        <f>ff_portfolios25!AB798-ff_factors!$E798</f>
        <v>3.8973999999999995E-2</v>
      </c>
    </row>
    <row r="799" spans="1:28" x14ac:dyDescent="0.2">
      <c r="A799">
        <v>19980630</v>
      </c>
      <c r="B799">
        <v>1998</v>
      </c>
      <c r="C799">
        <v>6</v>
      </c>
      <c r="D799" s="2">
        <f>ff_portfolios25!D799-ff_factors!$E799</f>
        <v>-9.1299999999999992E-3</v>
      </c>
      <c r="E799" s="2">
        <f>ff_portfolios25!E799-ff_factors!$E799</f>
        <v>8.1309999999999993E-3</v>
      </c>
      <c r="F799" s="2">
        <f>ff_portfolios25!F799-ff_factors!$E799</f>
        <v>-1.8992000000000002E-2</v>
      </c>
      <c r="G799" s="2">
        <f>ff_portfolios25!G799-ff_factors!$E799</f>
        <v>-1.2730999999999999E-2</v>
      </c>
      <c r="H799" s="2">
        <f>ff_portfolios25!H799-ff_factors!$E799</f>
        <v>-2.0798000000000001E-2</v>
      </c>
      <c r="I799" s="2">
        <f>ff_portfolios25!I799-ff_factors!$E799</f>
        <v>1.4699E-2</v>
      </c>
      <c r="J799" s="2">
        <f>ff_portfolios25!J799-ff_factors!$E799</f>
        <v>-1.6612000000000002E-2</v>
      </c>
      <c r="K799" s="2">
        <f>ff_portfolios25!K799-ff_factors!$E799</f>
        <v>-1.1738E-2</v>
      </c>
      <c r="L799" s="2">
        <f>ff_portfolios25!L799-ff_factors!$E799</f>
        <v>-1.2518999999999999E-2</v>
      </c>
      <c r="M799" s="2">
        <f>ff_portfolios25!M799-ff_factors!$E799</f>
        <v>-5.816E-3</v>
      </c>
      <c r="N799" s="2">
        <f>ff_portfolios25!N799-ff_factors!$E799</f>
        <v>3.3696000000000004E-2</v>
      </c>
      <c r="O799" s="2">
        <f>ff_portfolios25!O799-ff_factors!$E799</f>
        <v>-2.2105E-2</v>
      </c>
      <c r="P799" s="2">
        <f>ff_portfolios25!P799-ff_factors!$E799</f>
        <v>-1.8534000000000002E-2</v>
      </c>
      <c r="Q799" s="2">
        <f>ff_portfolios25!Q799-ff_factors!$E799</f>
        <v>1.1389999999999994E-3</v>
      </c>
      <c r="R799" s="2">
        <f>ff_portfolios25!R799-ff_factors!$E799</f>
        <v>-6.8310000000000003E-3</v>
      </c>
      <c r="S799" s="2">
        <f>ff_portfolios25!S799-ff_factors!$E799</f>
        <v>7.0549999999999996E-3</v>
      </c>
      <c r="T799" s="2">
        <f>ff_portfolios25!T799-ff_factors!$E799</f>
        <v>-4.8830000000000002E-3</v>
      </c>
      <c r="U799" s="2">
        <f>ff_portfolios25!U799-ff_factors!$E799</f>
        <v>6.3899999999999981E-4</v>
      </c>
      <c r="V799" s="2">
        <f>ff_portfolios25!V799-ff_factors!$E799</f>
        <v>8.0450000000000001E-3</v>
      </c>
      <c r="W799" s="2">
        <f>ff_portfolios25!W799-ff_factors!$E799</f>
        <v>-5.6220000000000003E-3</v>
      </c>
      <c r="X799" s="2">
        <f>ff_portfolios25!X799-ff_factors!$E799</f>
        <v>7.255099999999999E-2</v>
      </c>
      <c r="Y799" s="2">
        <f>ff_portfolios25!Y799-ff_factors!$E799</f>
        <v>9.9589999999999991E-3</v>
      </c>
      <c r="Z799" s="2">
        <f>ff_portfolios25!Z799-ff_factors!$E799</f>
        <v>2.3847E-2</v>
      </c>
      <c r="AA799" s="2">
        <f>ff_portfolios25!AA799-ff_factors!$E799</f>
        <v>2.8823000000000001E-2</v>
      </c>
      <c r="AB799" s="2">
        <f>ff_portfolios25!AB799-ff_factors!$E799</f>
        <v>2.5825000000000001E-2</v>
      </c>
    </row>
    <row r="800" spans="1:28" x14ac:dyDescent="0.2">
      <c r="A800">
        <v>19980731</v>
      </c>
      <c r="B800">
        <v>1998</v>
      </c>
      <c r="C800">
        <v>7</v>
      </c>
      <c r="D800" s="2">
        <f>ff_portfolios25!D800-ff_factors!$E800</f>
        <v>-8.0236000000000002E-2</v>
      </c>
      <c r="E800" s="2">
        <f>ff_portfolios25!E800-ff_factors!$E800</f>
        <v>-8.0007000000000009E-2</v>
      </c>
      <c r="F800" s="2">
        <f>ff_portfolios25!F800-ff_factors!$E800</f>
        <v>-5.9759000000000007E-2</v>
      </c>
      <c r="G800" s="2">
        <f>ff_portfolios25!G800-ff_factors!$E800</f>
        <v>-6.5935999999999995E-2</v>
      </c>
      <c r="H800" s="2">
        <f>ff_portfolios25!H800-ff_factors!$E800</f>
        <v>-6.3148999999999997E-2</v>
      </c>
      <c r="I800" s="2">
        <f>ff_portfolios25!I800-ff_factors!$E800</f>
        <v>-7.9841000000000009E-2</v>
      </c>
      <c r="J800" s="2">
        <f>ff_portfolios25!J800-ff_factors!$E800</f>
        <v>-7.681700000000001E-2</v>
      </c>
      <c r="K800" s="2">
        <f>ff_portfolios25!K800-ff_factors!$E800</f>
        <v>-9.9754000000000009E-2</v>
      </c>
      <c r="L800" s="2">
        <f>ff_portfolios25!L800-ff_factors!$E800</f>
        <v>-8.6114999999999997E-2</v>
      </c>
      <c r="M800" s="2">
        <f>ff_portfolios25!M800-ff_factors!$E800</f>
        <v>-7.7043E-2</v>
      </c>
      <c r="N800" s="2">
        <f>ff_portfolios25!N800-ff_factors!$E800</f>
        <v>-8.5433000000000009E-2</v>
      </c>
      <c r="O800" s="2">
        <f>ff_portfolios25!O800-ff_factors!$E800</f>
        <v>-7.6919000000000001E-2</v>
      </c>
      <c r="P800" s="2">
        <f>ff_portfolios25!P800-ff_factors!$E800</f>
        <v>-8.4644999999999998E-2</v>
      </c>
      <c r="Q800" s="2">
        <f>ff_portfolios25!Q800-ff_factors!$E800</f>
        <v>-9.3299000000000007E-2</v>
      </c>
      <c r="R800" s="2">
        <f>ff_portfolios25!R800-ff_factors!$E800</f>
        <v>-7.7317999999999998E-2</v>
      </c>
      <c r="S800" s="2">
        <f>ff_portfolios25!S800-ff_factors!$E800</f>
        <v>-6.1316999999999997E-2</v>
      </c>
      <c r="T800" s="2">
        <f>ff_portfolios25!T800-ff_factors!$E800</f>
        <v>-6.2558000000000002E-2</v>
      </c>
      <c r="U800" s="2">
        <f>ff_portfolios25!U800-ff_factors!$E800</f>
        <v>-5.7577000000000003E-2</v>
      </c>
      <c r="V800" s="2">
        <f>ff_portfolios25!V800-ff_factors!$E800</f>
        <v>-5.4430999999999993E-2</v>
      </c>
      <c r="W800" s="2">
        <f>ff_portfolios25!W800-ff_factors!$E800</f>
        <v>-4.6606999999999996E-2</v>
      </c>
      <c r="X800" s="2">
        <f>ff_portfolios25!X800-ff_factors!$E800</f>
        <v>-4.0249999999999999E-3</v>
      </c>
      <c r="Y800" s="2">
        <f>ff_portfolios25!Y800-ff_factors!$E800</f>
        <v>-7.1219999999999999E-3</v>
      </c>
      <c r="Z800" s="2">
        <f>ff_portfolios25!Z800-ff_factors!$E800</f>
        <v>-2.9557E-2</v>
      </c>
      <c r="AA800" s="2">
        <f>ff_portfolios25!AA800-ff_factors!$E800</f>
        <v>-4.4965000000000005E-2</v>
      </c>
      <c r="AB800" s="2">
        <f>ff_portfolios25!AB800-ff_factors!$E800</f>
        <v>-9.783E-3</v>
      </c>
    </row>
    <row r="801" spans="1:28" x14ac:dyDescent="0.2">
      <c r="A801">
        <v>19980831</v>
      </c>
      <c r="B801">
        <v>1998</v>
      </c>
      <c r="C801">
        <v>8</v>
      </c>
      <c r="D801" s="2">
        <f>ff_portfolios25!D801-ff_factors!$E801</f>
        <v>-0.27847100000000002</v>
      </c>
      <c r="E801" s="2">
        <f>ff_portfolios25!E801-ff_factors!$E801</f>
        <v>-0.21749299999999999</v>
      </c>
      <c r="F801" s="2">
        <f>ff_portfolios25!F801-ff_factors!$E801</f>
        <v>-0.21163399999999999</v>
      </c>
      <c r="G801" s="2">
        <f>ff_portfolios25!G801-ff_factors!$E801</f>
        <v>-0.19454299999999999</v>
      </c>
      <c r="H801" s="2">
        <f>ff_portfolios25!H801-ff_factors!$E801</f>
        <v>-0.187914</v>
      </c>
      <c r="I801" s="2">
        <f>ff_portfolios25!I801-ff_factors!$E801</f>
        <v>-0.25789100000000004</v>
      </c>
      <c r="J801" s="2">
        <f>ff_portfolios25!J801-ff_factors!$E801</f>
        <v>-0.20238400000000001</v>
      </c>
      <c r="K801" s="2">
        <f>ff_portfolios25!K801-ff_factors!$E801</f>
        <v>-0.18062</v>
      </c>
      <c r="L801" s="2">
        <f>ff_portfolios25!L801-ff_factors!$E801</f>
        <v>-0.17882699999999999</v>
      </c>
      <c r="M801" s="2">
        <f>ff_portfolios25!M801-ff_factors!$E801</f>
        <v>-0.17685400000000001</v>
      </c>
      <c r="N801" s="2">
        <f>ff_portfolios25!N801-ff_factors!$E801</f>
        <v>-0.23774000000000001</v>
      </c>
      <c r="O801" s="2">
        <f>ff_portfolios25!O801-ff_factors!$E801</f>
        <v>-0.218413</v>
      </c>
      <c r="P801" s="2">
        <f>ff_portfolios25!P801-ff_factors!$E801</f>
        <v>-0.174564</v>
      </c>
      <c r="Q801" s="2">
        <f>ff_portfolios25!Q801-ff_factors!$E801</f>
        <v>-0.16690199999999999</v>
      </c>
      <c r="R801" s="2">
        <f>ff_portfolios25!R801-ff_factors!$E801</f>
        <v>-0.17421800000000001</v>
      </c>
      <c r="S801" s="2">
        <f>ff_portfolios25!S801-ff_factors!$E801</f>
        <v>-0.21035299999999998</v>
      </c>
      <c r="T801" s="2">
        <f>ff_portfolios25!T801-ff_factors!$E801</f>
        <v>-0.193078</v>
      </c>
      <c r="U801" s="2">
        <f>ff_portfolios25!U801-ff_factors!$E801</f>
        <v>-0.17385200000000001</v>
      </c>
      <c r="V801" s="2">
        <f>ff_portfolios25!V801-ff_factors!$E801</f>
        <v>-0.122626</v>
      </c>
      <c r="W801" s="2">
        <f>ff_portfolios25!W801-ff_factors!$E801</f>
        <v>-0.13466400000000001</v>
      </c>
      <c r="X801" s="2">
        <f>ff_portfolios25!X801-ff_factors!$E801</f>
        <v>-0.135462</v>
      </c>
      <c r="Y801" s="2">
        <f>ff_portfolios25!Y801-ff_factors!$E801</f>
        <v>-0.16520699999999999</v>
      </c>
      <c r="Z801" s="2">
        <f>ff_portfolios25!Z801-ff_factors!$E801</f>
        <v>-0.17627100000000001</v>
      </c>
      <c r="AA801" s="2">
        <f>ff_portfolios25!AA801-ff_factors!$E801</f>
        <v>-0.13423299999999999</v>
      </c>
      <c r="AB801" s="2">
        <f>ff_portfolios25!AB801-ff_factors!$E801</f>
        <v>-0.16031599999999999</v>
      </c>
    </row>
    <row r="802" spans="1:28" x14ac:dyDescent="0.2">
      <c r="A802">
        <v>19980930</v>
      </c>
      <c r="B802">
        <v>1998</v>
      </c>
      <c r="C802">
        <v>9</v>
      </c>
      <c r="D802" s="2">
        <f>ff_portfolios25!D802-ff_factors!$E802</f>
        <v>6.0514000000000005E-2</v>
      </c>
      <c r="E802" s="2">
        <f>ff_portfolios25!E802-ff_factors!$E802</f>
        <v>3.4847999999999997E-2</v>
      </c>
      <c r="F802" s="2">
        <f>ff_portfolios25!F802-ff_factors!$E802</f>
        <v>3.4118000000000002E-2</v>
      </c>
      <c r="G802" s="2">
        <f>ff_portfolios25!G802-ff_factors!$E802</f>
        <v>2.5035999999999999E-2</v>
      </c>
      <c r="H802" s="2">
        <f>ff_portfolios25!H802-ff_factors!$E802</f>
        <v>1.0156E-2</v>
      </c>
      <c r="I802" s="2">
        <f>ff_portfolios25!I802-ff_factors!$E802</f>
        <v>0.11493900000000001</v>
      </c>
      <c r="J802" s="2">
        <f>ff_portfolios25!J802-ff_factors!$E802</f>
        <v>7.2664000000000006E-2</v>
      </c>
      <c r="K802" s="2">
        <f>ff_portfolios25!K802-ff_factors!$E802</f>
        <v>4.6778E-2</v>
      </c>
      <c r="L802" s="2">
        <f>ff_portfolios25!L802-ff_factors!$E802</f>
        <v>4.2786999999999999E-2</v>
      </c>
      <c r="M802" s="2">
        <f>ff_portfolios25!M802-ff_factors!$E802</f>
        <v>4.5359999999999998E-2</v>
      </c>
      <c r="N802" s="2">
        <f>ff_portfolios25!N802-ff_factors!$E802</f>
        <v>0.114345</v>
      </c>
      <c r="O802" s="2">
        <f>ff_portfolios25!O802-ff_factors!$E802</f>
        <v>4.3839999999999997E-2</v>
      </c>
      <c r="P802" s="2">
        <f>ff_portfolios25!P802-ff_factors!$E802</f>
        <v>8.2467000000000013E-2</v>
      </c>
      <c r="Q802" s="2">
        <f>ff_portfolios25!Q802-ff_factors!$E802</f>
        <v>4.4087000000000001E-2</v>
      </c>
      <c r="R802" s="2">
        <f>ff_portfolios25!R802-ff_factors!$E802</f>
        <v>1.5296000000000001E-2</v>
      </c>
      <c r="S802" s="2">
        <f>ff_portfolios25!S802-ff_factors!$E802</f>
        <v>6.3189999999999996E-2</v>
      </c>
      <c r="T802" s="2">
        <f>ff_portfolios25!T802-ff_factors!$E802</f>
        <v>6.3966999999999996E-2</v>
      </c>
      <c r="U802" s="2">
        <f>ff_portfolios25!U802-ff_factors!$E802</f>
        <v>6.3827999999999996E-2</v>
      </c>
      <c r="V802" s="2">
        <f>ff_portfolios25!V802-ff_factors!$E802</f>
        <v>4.6362E-2</v>
      </c>
      <c r="W802" s="2">
        <f>ff_portfolios25!W802-ff_factors!$E802</f>
        <v>5.6493000000000002E-2</v>
      </c>
      <c r="X802" s="2">
        <f>ff_portfolios25!X802-ff_factors!$E802</f>
        <v>8.0117999999999995E-2</v>
      </c>
      <c r="Y802" s="2">
        <f>ff_portfolios25!Y802-ff_factors!$E802</f>
        <v>3.7506999999999999E-2</v>
      </c>
      <c r="Z802" s="2">
        <f>ff_portfolios25!Z802-ff_factors!$E802</f>
        <v>4.0853E-2</v>
      </c>
      <c r="AA802" s="2">
        <f>ff_portfolios25!AA802-ff_factors!$E802</f>
        <v>1.5351E-2</v>
      </c>
      <c r="AB802" s="2">
        <f>ff_portfolios25!AB802-ff_factors!$E802</f>
        <v>6.7598999999999992E-2</v>
      </c>
    </row>
    <row r="803" spans="1:28" x14ac:dyDescent="0.2">
      <c r="A803">
        <v>19981030</v>
      </c>
      <c r="B803">
        <v>1998</v>
      </c>
      <c r="C803">
        <v>10</v>
      </c>
      <c r="D803" s="2">
        <f>ff_portfolios25!D803-ff_factors!$E803</f>
        <v>3.0716E-2</v>
      </c>
      <c r="E803" s="2">
        <f>ff_portfolios25!E803-ff_factors!$E803</f>
        <v>2.5040999999999997E-2</v>
      </c>
      <c r="F803" s="2">
        <f>ff_portfolios25!F803-ff_factors!$E803</f>
        <v>1.3636000000000001E-2</v>
      </c>
      <c r="G803" s="2">
        <f>ff_portfolios25!G803-ff_factors!$E803</f>
        <v>2.6546999999999998E-2</v>
      </c>
      <c r="H803" s="2">
        <f>ff_portfolios25!H803-ff_factors!$E803</f>
        <v>6.5210000000000008E-3</v>
      </c>
      <c r="I803" s="2">
        <f>ff_portfolios25!I803-ff_factors!$E803</f>
        <v>4.3825999999999997E-2</v>
      </c>
      <c r="J803" s="2">
        <f>ff_portfolios25!J803-ff_factors!$E803</f>
        <v>5.6881000000000001E-2</v>
      </c>
      <c r="K803" s="2">
        <f>ff_portfolios25!K803-ff_factors!$E803</f>
        <v>3.1486E-2</v>
      </c>
      <c r="L803" s="2">
        <f>ff_portfolios25!L803-ff_factors!$E803</f>
        <v>2.7219999999999998E-2</v>
      </c>
      <c r="M803" s="2">
        <f>ff_portfolios25!M803-ff_factors!$E803</f>
        <v>2.307E-2</v>
      </c>
      <c r="N803" s="2">
        <f>ff_portfolios25!N803-ff_factors!$E803</f>
        <v>4.0496999999999998E-2</v>
      </c>
      <c r="O803" s="2">
        <f>ff_portfolios25!O803-ff_factors!$E803</f>
        <v>6.3895000000000007E-2</v>
      </c>
      <c r="P803" s="2">
        <f>ff_portfolios25!P803-ff_factors!$E803</f>
        <v>3.882E-2</v>
      </c>
      <c r="Q803" s="2">
        <f>ff_portfolios25!Q803-ff_factors!$E803</f>
        <v>3.5213999999999995E-2</v>
      </c>
      <c r="R803" s="2">
        <f>ff_portfolios25!R803-ff_factors!$E803</f>
        <v>4.1125999999999996E-2</v>
      </c>
      <c r="S803" s="2">
        <f>ff_portfolios25!S803-ff_factors!$E803</f>
        <v>8.2225000000000006E-2</v>
      </c>
      <c r="T803" s="2">
        <f>ff_portfolios25!T803-ff_factors!$E803</f>
        <v>9.3203000000000008E-2</v>
      </c>
      <c r="U803" s="2">
        <f>ff_portfolios25!U803-ff_factors!$E803</f>
        <v>5.6093999999999998E-2</v>
      </c>
      <c r="V803" s="2">
        <f>ff_portfolios25!V803-ff_factors!$E803</f>
        <v>3.5358000000000001E-2</v>
      </c>
      <c r="W803" s="2">
        <f>ff_portfolios25!W803-ff_factors!$E803</f>
        <v>3.8093000000000002E-2</v>
      </c>
      <c r="X803" s="2">
        <f>ff_portfolios25!X803-ff_factors!$E803</f>
        <v>7.3579000000000006E-2</v>
      </c>
      <c r="Y803" s="2">
        <f>ff_portfolios25!Y803-ff_factors!$E803</f>
        <v>8.8215000000000002E-2</v>
      </c>
      <c r="Z803" s="2">
        <f>ff_portfolios25!Z803-ff_factors!$E803</f>
        <v>7.9357000000000011E-2</v>
      </c>
      <c r="AA803" s="2">
        <f>ff_portfolios25!AA803-ff_factors!$E803</f>
        <v>6.7708000000000004E-2</v>
      </c>
      <c r="AB803" s="2">
        <f>ff_portfolios25!AB803-ff_factors!$E803</f>
        <v>6.5137E-2</v>
      </c>
    </row>
    <row r="804" spans="1:28" x14ac:dyDescent="0.2">
      <c r="A804">
        <v>19981130</v>
      </c>
      <c r="B804">
        <v>1998</v>
      </c>
      <c r="C804">
        <v>11</v>
      </c>
      <c r="D804" s="2">
        <f>ff_portfolios25!D804-ff_factors!$E804</f>
        <v>9.7098999999999991E-2</v>
      </c>
      <c r="E804" s="2">
        <f>ff_portfolios25!E804-ff_factors!$E804</f>
        <v>8.1352999999999995E-2</v>
      </c>
      <c r="F804" s="2">
        <f>ff_portfolios25!F804-ff_factors!$E804</f>
        <v>6.1155000000000008E-2</v>
      </c>
      <c r="G804" s="2">
        <f>ff_portfolios25!G804-ff_factors!$E804</f>
        <v>6.6738999999999993E-2</v>
      </c>
      <c r="H804" s="2">
        <f>ff_portfolios25!H804-ff_factors!$E804</f>
        <v>8.0545999999999993E-2</v>
      </c>
      <c r="I804" s="2">
        <f>ff_portfolios25!I804-ff_factors!$E804</f>
        <v>9.3757999999999994E-2</v>
      </c>
      <c r="J804" s="2">
        <f>ff_portfolios25!J804-ff_factors!$E804</f>
        <v>5.9448000000000008E-2</v>
      </c>
      <c r="K804" s="2">
        <f>ff_portfolios25!K804-ff_factors!$E804</f>
        <v>3.5101E-2</v>
      </c>
      <c r="L804" s="2">
        <f>ff_portfolios25!L804-ff_factors!$E804</f>
        <v>4.2154000000000004E-2</v>
      </c>
      <c r="M804" s="2">
        <f>ff_portfolios25!M804-ff_factors!$E804</f>
        <v>4.7836000000000004E-2</v>
      </c>
      <c r="N804" s="2">
        <f>ff_portfolios25!N804-ff_factors!$E804</f>
        <v>8.5758999999999988E-2</v>
      </c>
      <c r="O804" s="2">
        <f>ff_portfolios25!O804-ff_factors!$E804</f>
        <v>5.8805000000000003E-2</v>
      </c>
      <c r="P804" s="2">
        <f>ff_portfolios25!P804-ff_factors!$E804</f>
        <v>3.3288999999999999E-2</v>
      </c>
      <c r="Q804" s="2">
        <f>ff_portfolios25!Q804-ff_factors!$E804</f>
        <v>1.66E-2</v>
      </c>
      <c r="R804" s="2">
        <f>ff_portfolios25!R804-ff_factors!$E804</f>
        <v>3.6355999999999999E-2</v>
      </c>
      <c r="S804" s="2">
        <f>ff_portfolios25!S804-ff_factors!$E804</f>
        <v>7.0553999999999992E-2</v>
      </c>
      <c r="T804" s="2">
        <f>ff_portfolios25!T804-ff_factors!$E804</f>
        <v>2.0397000000000002E-2</v>
      </c>
      <c r="U804" s="2">
        <f>ff_portfolios25!U804-ff_factors!$E804</f>
        <v>3.6837000000000002E-2</v>
      </c>
      <c r="V804" s="2">
        <f>ff_portfolios25!V804-ff_factors!$E804</f>
        <v>3.8559000000000003E-2</v>
      </c>
      <c r="W804" s="2">
        <f>ff_portfolios25!W804-ff_factors!$E804</f>
        <v>3.0066000000000002E-2</v>
      </c>
      <c r="X804" s="2">
        <f>ff_portfolios25!X804-ff_factors!$E804</f>
        <v>7.3114999999999999E-2</v>
      </c>
      <c r="Y804" s="2">
        <f>ff_portfolios25!Y804-ff_factors!$E804</f>
        <v>6.2575999999999993E-2</v>
      </c>
      <c r="Z804" s="2">
        <f>ff_portfolios25!Z804-ff_factors!$E804</f>
        <v>4.0475999999999998E-2</v>
      </c>
      <c r="AA804" s="2">
        <f>ff_portfolios25!AA804-ff_factors!$E804</f>
        <v>5.0139000000000003E-2</v>
      </c>
      <c r="AB804" s="2">
        <f>ff_portfolios25!AB804-ff_factors!$E804</f>
        <v>4.8968000000000005E-2</v>
      </c>
    </row>
    <row r="805" spans="1:28" x14ac:dyDescent="0.2">
      <c r="A805">
        <v>19981231</v>
      </c>
      <c r="B805">
        <v>1998</v>
      </c>
      <c r="C805">
        <v>12</v>
      </c>
      <c r="D805" s="2">
        <f>ff_portfolios25!D805-ff_factors!$E805</f>
        <v>3.959E-2</v>
      </c>
      <c r="E805" s="2">
        <f>ff_portfolios25!E805-ff_factors!$E805</f>
        <v>1.3356000000000002E-2</v>
      </c>
      <c r="F805" s="2">
        <f>ff_portfolios25!F805-ff_factors!$E805</f>
        <v>3.1625E-2</v>
      </c>
      <c r="G805" s="2">
        <f>ff_portfolios25!G805-ff_factors!$E805</f>
        <v>-2.3900000000000006E-4</v>
      </c>
      <c r="H805" s="2">
        <f>ff_portfolios25!H805-ff_factors!$E805</f>
        <v>1.2877999999999999E-2</v>
      </c>
      <c r="I805" s="2">
        <f>ff_portfolios25!I805-ff_factors!$E805</f>
        <v>6.7954000000000001E-2</v>
      </c>
      <c r="J805" s="2">
        <f>ff_portfolios25!J805-ff_factors!$E805</f>
        <v>4.8715000000000001E-2</v>
      </c>
      <c r="K805" s="2">
        <f>ff_portfolios25!K805-ff_factors!$E805</f>
        <v>2.1932E-2</v>
      </c>
      <c r="L805" s="2">
        <f>ff_portfolios25!L805-ff_factors!$E805</f>
        <v>3.9098000000000001E-2</v>
      </c>
      <c r="M805" s="2">
        <f>ff_portfolios25!M805-ff_factors!$E805</f>
        <v>4.6362E-2</v>
      </c>
      <c r="N805" s="2">
        <f>ff_portfolios25!N805-ff_factors!$E805</f>
        <v>0.115123</v>
      </c>
      <c r="O805" s="2">
        <f>ff_portfolios25!O805-ff_factors!$E805</f>
        <v>6.7198000000000008E-2</v>
      </c>
      <c r="P805" s="2">
        <f>ff_portfolios25!P805-ff_factors!$E805</f>
        <v>3.6303000000000002E-2</v>
      </c>
      <c r="Q805" s="2">
        <f>ff_portfolios25!Q805-ff_factors!$E805</f>
        <v>3.5344E-2</v>
      </c>
      <c r="R805" s="2">
        <f>ff_portfolios25!R805-ff_factors!$E805</f>
        <v>3.3422E-2</v>
      </c>
      <c r="S805" s="2">
        <f>ff_portfolios25!S805-ff_factors!$E805</f>
        <v>0.10258200000000001</v>
      </c>
      <c r="T805" s="2">
        <f>ff_portfolios25!T805-ff_factors!$E805</f>
        <v>3.8851000000000004E-2</v>
      </c>
      <c r="U805" s="2">
        <f>ff_portfolios25!U805-ff_factors!$E805</f>
        <v>2.9614999999999999E-2</v>
      </c>
      <c r="V805" s="2">
        <f>ff_portfolios25!V805-ff_factors!$E805</f>
        <v>3.0327999999999997E-2</v>
      </c>
      <c r="W805" s="2">
        <f>ff_portfolios25!W805-ff_factors!$E805</f>
        <v>1.6853999999999997E-2</v>
      </c>
      <c r="X805" s="2">
        <f>ff_portfolios25!X805-ff_factors!$E805</f>
        <v>8.9092000000000005E-2</v>
      </c>
      <c r="Y805" s="2">
        <f>ff_portfolios25!Y805-ff_factors!$E805</f>
        <v>3.6037E-2</v>
      </c>
      <c r="Z805" s="2">
        <f>ff_portfolios25!Z805-ff_factors!$E805</f>
        <v>1.4952999999999999E-2</v>
      </c>
      <c r="AA805" s="2">
        <f>ff_portfolios25!AA805-ff_factors!$E805</f>
        <v>7.137000000000001E-3</v>
      </c>
      <c r="AB805" s="2">
        <f>ff_portfolios25!AB805-ff_factors!$E805</f>
        <v>4.4402000000000004E-2</v>
      </c>
    </row>
    <row r="806" spans="1:28" x14ac:dyDescent="0.2">
      <c r="A806">
        <v>19990129</v>
      </c>
      <c r="B806">
        <v>1999</v>
      </c>
      <c r="C806">
        <v>1</v>
      </c>
      <c r="D806" s="2">
        <f>ff_portfolios25!D806-ff_factors!$E806</f>
        <v>7.7759999999999996E-2</v>
      </c>
      <c r="E806" s="2">
        <f>ff_portfolios25!E806-ff_factors!$E806</f>
        <v>4.2852999999999995E-2</v>
      </c>
      <c r="F806" s="2">
        <f>ff_portfolios25!F806-ff_factors!$E806</f>
        <v>5.1277999999999997E-2</v>
      </c>
      <c r="G806" s="2">
        <f>ff_portfolios25!G806-ff_factors!$E806</f>
        <v>3.2792999999999996E-2</v>
      </c>
      <c r="H806" s="2">
        <f>ff_portfolios25!H806-ff_factors!$E806</f>
        <v>3.9767999999999998E-2</v>
      </c>
      <c r="I806" s="2">
        <f>ff_portfolios25!I806-ff_factors!$E806</f>
        <v>5.6432999999999997E-2</v>
      </c>
      <c r="J806" s="2">
        <f>ff_portfolios25!J806-ff_factors!$E806</f>
        <v>7.4260000000000003E-3</v>
      </c>
      <c r="K806" s="2">
        <f>ff_portfolios25!K806-ff_factors!$E806</f>
        <v>-2.7002999999999999E-2</v>
      </c>
      <c r="L806" s="2">
        <f>ff_portfolios25!L806-ff_factors!$E806</f>
        <v>-2.6786999999999998E-2</v>
      </c>
      <c r="M806" s="2">
        <f>ff_portfolios25!M806-ff_factors!$E806</f>
        <v>3.3910000000000004E-3</v>
      </c>
      <c r="N806" s="2">
        <f>ff_portfolios25!N806-ff_factors!$E806</f>
        <v>4.3302999999999994E-2</v>
      </c>
      <c r="O806" s="2">
        <f>ff_portfolios25!O806-ff_factors!$E806</f>
        <v>1.2879999999999999E-2</v>
      </c>
      <c r="P806" s="2">
        <f>ff_portfolios25!P806-ff_factors!$E806</f>
        <v>-2.7411999999999999E-2</v>
      </c>
      <c r="Q806" s="2">
        <f>ff_portfolios25!Q806-ff_factors!$E806</f>
        <v>-2.6173999999999999E-2</v>
      </c>
      <c r="R806" s="2">
        <f>ff_portfolios25!R806-ff_factors!$E806</f>
        <v>-3.3595E-2</v>
      </c>
      <c r="S806" s="2">
        <f>ff_portfolios25!S806-ff_factors!$E806</f>
        <v>1.0957E-2</v>
      </c>
      <c r="T806" s="2">
        <f>ff_portfolios25!T806-ff_factors!$E806</f>
        <v>-2.6332000000000001E-2</v>
      </c>
      <c r="U806" s="2">
        <f>ff_portfolios25!U806-ff_factors!$E806</f>
        <v>-3.1018E-2</v>
      </c>
      <c r="V806" s="2">
        <f>ff_portfolios25!V806-ff_factors!$E806</f>
        <v>-4.0388E-2</v>
      </c>
      <c r="W806" s="2">
        <f>ff_portfolios25!W806-ff_factors!$E806</f>
        <v>-2.8191000000000001E-2</v>
      </c>
      <c r="X806" s="2">
        <f>ff_portfolios25!X806-ff_factors!$E806</f>
        <v>5.7478999999999995E-2</v>
      </c>
      <c r="Y806" s="2">
        <f>ff_portfolios25!Y806-ff_factors!$E806</f>
        <v>2.7417E-2</v>
      </c>
      <c r="Z806" s="2">
        <f>ff_portfolios25!Z806-ff_factors!$E806</f>
        <v>-8.9929999999999993E-3</v>
      </c>
      <c r="AA806" s="2">
        <f>ff_portfolios25!AA806-ff_factors!$E806</f>
        <v>-4.8850000000000005E-3</v>
      </c>
      <c r="AB806" s="2">
        <f>ff_portfolios25!AB806-ff_factors!$E806</f>
        <v>4.4109999999999996E-2</v>
      </c>
    </row>
    <row r="807" spans="1:28" x14ac:dyDescent="0.2">
      <c r="A807">
        <v>19990226</v>
      </c>
      <c r="B807">
        <v>1999</v>
      </c>
      <c r="C807">
        <v>2</v>
      </c>
      <c r="D807" s="2">
        <f>ff_portfolios25!D807-ff_factors!$E807</f>
        <v>-7.9677999999999999E-2</v>
      </c>
      <c r="E807" s="2">
        <f>ff_portfolios25!E807-ff_factors!$E807</f>
        <v>-7.9901E-2</v>
      </c>
      <c r="F807" s="2">
        <f>ff_portfolios25!F807-ff_factors!$E807</f>
        <v>-6.8839999999999998E-2</v>
      </c>
      <c r="G807" s="2">
        <f>ff_portfolios25!G807-ff_factors!$E807</f>
        <v>-5.6369000000000002E-2</v>
      </c>
      <c r="H807" s="2">
        <f>ff_portfolios25!H807-ff_factors!$E807</f>
        <v>-6.2080000000000003E-2</v>
      </c>
      <c r="I807" s="2">
        <f>ff_portfolios25!I807-ff_factors!$E807</f>
        <v>-9.6190999999999999E-2</v>
      </c>
      <c r="J807" s="2">
        <f>ff_portfolios25!J807-ff_factors!$E807</f>
        <v>-0.10183200000000001</v>
      </c>
      <c r="K807" s="2">
        <f>ff_portfolios25!K807-ff_factors!$E807</f>
        <v>-6.7237000000000005E-2</v>
      </c>
      <c r="L807" s="2">
        <f>ff_portfolios25!L807-ff_factors!$E807</f>
        <v>-8.6868000000000001E-2</v>
      </c>
      <c r="M807" s="2">
        <f>ff_portfolios25!M807-ff_factors!$E807</f>
        <v>-0.109349</v>
      </c>
      <c r="N807" s="2">
        <f>ff_portfolios25!N807-ff_factors!$E807</f>
        <v>-9.4829999999999998E-2</v>
      </c>
      <c r="O807" s="2">
        <f>ff_portfolios25!O807-ff_factors!$E807</f>
        <v>-9.4042000000000001E-2</v>
      </c>
      <c r="P807" s="2">
        <f>ff_portfolios25!P807-ff_factors!$E807</f>
        <v>-5.6954000000000005E-2</v>
      </c>
      <c r="Q807" s="2">
        <f>ff_portfolios25!Q807-ff_factors!$E807</f>
        <v>-7.8252000000000002E-2</v>
      </c>
      <c r="R807" s="2">
        <f>ff_portfolios25!R807-ff_factors!$E807</f>
        <v>-5.1875000000000004E-2</v>
      </c>
      <c r="S807" s="2">
        <f>ff_portfolios25!S807-ff_factors!$E807</f>
        <v>-5.7499000000000001E-2</v>
      </c>
      <c r="T807" s="2">
        <f>ff_portfolios25!T807-ff_factors!$E807</f>
        <v>-3.8718000000000002E-2</v>
      </c>
      <c r="U807" s="2">
        <f>ff_portfolios25!U807-ff_factors!$E807</f>
        <v>-3.3283E-2</v>
      </c>
      <c r="V807" s="2">
        <f>ff_portfolios25!V807-ff_factors!$E807</f>
        <v>-4.2978000000000002E-2</v>
      </c>
      <c r="W807" s="2">
        <f>ff_portfolios25!W807-ff_factors!$E807</f>
        <v>-2.4579E-2</v>
      </c>
      <c r="X807" s="2">
        <f>ff_portfolios25!X807-ff_factors!$E807</f>
        <v>-5.1007000000000004E-2</v>
      </c>
      <c r="Y807" s="2">
        <f>ff_portfolios25!Y807-ff_factors!$E807</f>
        <v>-2.3472E-2</v>
      </c>
      <c r="Z807" s="2">
        <f>ff_portfolios25!Z807-ff_factors!$E807</f>
        <v>1.5390000000000001E-2</v>
      </c>
      <c r="AA807" s="2">
        <f>ff_portfolios25!AA807-ff_factors!$E807</f>
        <v>-1.6784E-2</v>
      </c>
      <c r="AB807" s="2">
        <f>ff_portfolios25!AB807-ff_factors!$E807</f>
        <v>-3.1167E-2</v>
      </c>
    </row>
    <row r="808" spans="1:28" x14ac:dyDescent="0.2">
      <c r="A808">
        <v>19990331</v>
      </c>
      <c r="B808">
        <v>1999</v>
      </c>
      <c r="C808">
        <v>3</v>
      </c>
      <c r="D808" s="2">
        <f>ff_portfolios25!D808-ff_factors!$E808</f>
        <v>-3.6292999999999999E-2</v>
      </c>
      <c r="E808" s="2">
        <f>ff_portfolios25!E808-ff_factors!$E808</f>
        <v>-6.7083000000000004E-2</v>
      </c>
      <c r="F808" s="2">
        <f>ff_portfolios25!F808-ff_factors!$E808</f>
        <v>-2.2298999999999999E-2</v>
      </c>
      <c r="G808" s="2">
        <f>ff_portfolios25!G808-ff_factors!$E808</f>
        <v>-3.8650999999999998E-2</v>
      </c>
      <c r="H808" s="2">
        <f>ff_portfolios25!H808-ff_factors!$E808</f>
        <v>-3.6232E-2</v>
      </c>
      <c r="I808" s="2">
        <f>ff_portfolios25!I808-ff_factors!$E808</f>
        <v>1.4679999999999997E-3</v>
      </c>
      <c r="J808" s="2">
        <f>ff_portfolios25!J808-ff_factors!$E808</f>
        <v>-5.3629999999999997E-3</v>
      </c>
      <c r="K808" s="2">
        <f>ff_portfolios25!K808-ff_factors!$E808</f>
        <v>4.1989999999999996E-3</v>
      </c>
      <c r="L808" s="2">
        <f>ff_portfolios25!L808-ff_factors!$E808</f>
        <v>-1.0704E-2</v>
      </c>
      <c r="M808" s="2">
        <f>ff_portfolios25!M808-ff_factors!$E808</f>
        <v>-3.4021000000000003E-2</v>
      </c>
      <c r="N808" s="2">
        <f>ff_portfolios25!N808-ff_factors!$E808</f>
        <v>3.6098000000000005E-2</v>
      </c>
      <c r="O808" s="2">
        <f>ff_portfolios25!O808-ff_factors!$E808</f>
        <v>3.0478000000000005E-2</v>
      </c>
      <c r="P808" s="2">
        <f>ff_portfolios25!P808-ff_factors!$E808</f>
        <v>2.2471999999999999E-2</v>
      </c>
      <c r="Q808" s="2">
        <f>ff_portfolios25!Q808-ff_factors!$E808</f>
        <v>-2.5936000000000001E-2</v>
      </c>
      <c r="R808" s="2">
        <f>ff_portfolios25!R808-ff_factors!$E808</f>
        <v>-8.7840000000000001E-3</v>
      </c>
      <c r="S808" s="2">
        <f>ff_portfolios25!S808-ff_factors!$E808</f>
        <v>2.8597999999999998E-2</v>
      </c>
      <c r="T808" s="2">
        <f>ff_portfolios25!T808-ff_factors!$E808</f>
        <v>3.6509E-2</v>
      </c>
      <c r="U808" s="2">
        <f>ff_portfolios25!U808-ff_factors!$E808</f>
        <v>9.7389999999999994E-3</v>
      </c>
      <c r="V808" s="2">
        <f>ff_portfolios25!V808-ff_factors!$E808</f>
        <v>2.5500000000000002E-4</v>
      </c>
      <c r="W808" s="2">
        <f>ff_portfolios25!W808-ff_factors!$E808</f>
        <v>-7.3309999999999998E-3</v>
      </c>
      <c r="X808" s="2">
        <f>ff_portfolios25!X808-ff_factors!$E808</f>
        <v>4.3819000000000004E-2</v>
      </c>
      <c r="Y808" s="2">
        <f>ff_portfolios25!Y808-ff_factors!$E808</f>
        <v>1.1500999999999999E-2</v>
      </c>
      <c r="Z808" s="2">
        <f>ff_portfolios25!Z808-ff_factors!$E808</f>
        <v>5.4122000000000003E-2</v>
      </c>
      <c r="AA808" s="2">
        <f>ff_portfolios25!AA808-ff_factors!$E808</f>
        <v>3.8267000000000002E-2</v>
      </c>
      <c r="AB808" s="2">
        <f>ff_portfolios25!AB808-ff_factors!$E808</f>
        <v>1.1734E-2</v>
      </c>
    </row>
    <row r="809" spans="1:28" x14ac:dyDescent="0.2">
      <c r="A809">
        <v>19990430</v>
      </c>
      <c r="B809">
        <v>1999</v>
      </c>
      <c r="C809">
        <v>4</v>
      </c>
      <c r="D809" s="2">
        <f>ff_portfolios25!D809-ff_factors!$E809</f>
        <v>7.4022000000000004E-2</v>
      </c>
      <c r="E809" s="2">
        <f>ff_portfolios25!E809-ff_factors!$E809</f>
        <v>8.3230999999999999E-2</v>
      </c>
      <c r="F809" s="2">
        <f>ff_portfolios25!F809-ff_factors!$E809</f>
        <v>0.12076000000000001</v>
      </c>
      <c r="G809" s="2">
        <f>ff_portfolios25!G809-ff_factors!$E809</f>
        <v>0.10033800000000001</v>
      </c>
      <c r="H809" s="2">
        <f>ff_portfolios25!H809-ff_factors!$E809</f>
        <v>8.7850999999999999E-2</v>
      </c>
      <c r="I809" s="2">
        <f>ff_portfolios25!I809-ff_factors!$E809</f>
        <v>0.104965</v>
      </c>
      <c r="J809" s="2">
        <f>ff_portfolios25!J809-ff_factors!$E809</f>
        <v>9.0128E-2</v>
      </c>
      <c r="K809" s="2">
        <f>ff_portfolios25!K809-ff_factors!$E809</f>
        <v>7.1889000000000008E-2</v>
      </c>
      <c r="L809" s="2">
        <f>ff_portfolios25!L809-ff_factors!$E809</f>
        <v>7.7262000000000011E-2</v>
      </c>
      <c r="M809" s="2">
        <f>ff_portfolios25!M809-ff_factors!$E809</f>
        <v>8.0430000000000001E-2</v>
      </c>
      <c r="N809" s="2">
        <f>ff_portfolios25!N809-ff_factors!$E809</f>
        <v>7.2053000000000006E-2</v>
      </c>
      <c r="O809" s="2">
        <f>ff_portfolios25!O809-ff_factors!$E809</f>
        <v>0.12768399999999999</v>
      </c>
      <c r="P809" s="2">
        <f>ff_portfolios25!P809-ff_factors!$E809</f>
        <v>0.100702</v>
      </c>
      <c r="Q809" s="2">
        <f>ff_portfolios25!Q809-ff_factors!$E809</f>
        <v>7.8552000000000011E-2</v>
      </c>
      <c r="R809" s="2">
        <f>ff_portfolios25!R809-ff_factors!$E809</f>
        <v>9.4481000000000009E-2</v>
      </c>
      <c r="S809" s="2">
        <f>ff_portfolios25!S809-ff_factors!$E809</f>
        <v>6.6489000000000006E-2</v>
      </c>
      <c r="T809" s="2">
        <f>ff_portfolios25!T809-ff_factors!$E809</f>
        <v>9.8115000000000008E-2</v>
      </c>
      <c r="U809" s="2">
        <f>ff_portfolios25!U809-ff_factors!$E809</f>
        <v>9.1393000000000002E-2</v>
      </c>
      <c r="V809" s="2">
        <f>ff_portfolios25!V809-ff_factors!$E809</f>
        <v>9.5488000000000003E-2</v>
      </c>
      <c r="W809" s="2">
        <f>ff_portfolios25!W809-ff_factors!$E809</f>
        <v>0.10605500000000001</v>
      </c>
      <c r="X809" s="2">
        <f>ff_portfolios25!X809-ff_factors!$E809</f>
        <v>-7.365E-3</v>
      </c>
      <c r="Y809" s="2">
        <f>ff_portfolios25!Y809-ff_factors!$E809</f>
        <v>8.7411000000000003E-2</v>
      </c>
      <c r="Z809" s="2">
        <f>ff_portfolios25!Z809-ff_factors!$E809</f>
        <v>7.2590000000000002E-2</v>
      </c>
      <c r="AA809" s="2">
        <f>ff_portfolios25!AA809-ff_factors!$E809</f>
        <v>7.4321999999999999E-2</v>
      </c>
      <c r="AB809" s="2">
        <f>ff_portfolios25!AB809-ff_factors!$E809</f>
        <v>4.5294999999999995E-2</v>
      </c>
    </row>
    <row r="810" spans="1:28" x14ac:dyDescent="0.2">
      <c r="A810">
        <v>19990528</v>
      </c>
      <c r="B810">
        <v>1999</v>
      </c>
      <c r="C810">
        <v>5</v>
      </c>
      <c r="D810" s="2">
        <f>ff_portfolios25!D810-ff_factors!$E810</f>
        <v>1.4935E-2</v>
      </c>
      <c r="E810" s="2">
        <f>ff_portfolios25!E810-ff_factors!$E810</f>
        <v>3.9627999999999997E-2</v>
      </c>
      <c r="F810" s="2">
        <f>ff_portfolios25!F810-ff_factors!$E810</f>
        <v>3.690000000000004E-4</v>
      </c>
      <c r="G810" s="2">
        <f>ff_portfolios25!G810-ff_factors!$E810</f>
        <v>2.9597999999999999E-2</v>
      </c>
      <c r="H810" s="2">
        <f>ff_portfolios25!H810-ff_factors!$E810</f>
        <v>4.2870999999999999E-2</v>
      </c>
      <c r="I810" s="2">
        <f>ff_portfolios25!I810-ff_factors!$E810</f>
        <v>1.0874999999999999E-2</v>
      </c>
      <c r="J810" s="2">
        <f>ff_portfolios25!J810-ff_factors!$E810</f>
        <v>1.4690000000000003E-3</v>
      </c>
      <c r="K810" s="2">
        <f>ff_portfolios25!K810-ff_factors!$E810</f>
        <v>1.9217000000000001E-2</v>
      </c>
      <c r="L810" s="2">
        <f>ff_portfolios25!L810-ff_factors!$E810</f>
        <v>4.2611999999999997E-2</v>
      </c>
      <c r="M810" s="2">
        <f>ff_portfolios25!M810-ff_factors!$E810</f>
        <v>3.7970999999999998E-2</v>
      </c>
      <c r="N810" s="2">
        <f>ff_portfolios25!N810-ff_factors!$E810</f>
        <v>-5.7489999999999998E-3</v>
      </c>
      <c r="O810" s="2">
        <f>ff_portfolios25!O810-ff_factors!$E810</f>
        <v>-9.2890000000000004E-3</v>
      </c>
      <c r="P810" s="2">
        <f>ff_portfolios25!P810-ff_factors!$E810</f>
        <v>8.114999999999999E-3</v>
      </c>
      <c r="Q810" s="2">
        <f>ff_portfolios25!Q810-ff_factors!$E810</f>
        <v>2.1579000000000001E-2</v>
      </c>
      <c r="R810" s="2">
        <f>ff_portfolios25!R810-ff_factors!$E810</f>
        <v>2.2554000000000001E-2</v>
      </c>
      <c r="S810" s="2">
        <f>ff_portfolios25!S810-ff_factors!$E810</f>
        <v>2.6894000000000001E-2</v>
      </c>
      <c r="T810" s="2">
        <f>ff_portfolios25!T810-ff_factors!$E810</f>
        <v>-8.1440000000000002E-3</v>
      </c>
      <c r="U810" s="2">
        <f>ff_portfolios25!U810-ff_factors!$E810</f>
        <v>9.6699999999999998E-3</v>
      </c>
      <c r="V810" s="2">
        <f>ff_portfolios25!V810-ff_factors!$E810</f>
        <v>2.1944999999999999E-2</v>
      </c>
      <c r="W810" s="2">
        <f>ff_portfolios25!W810-ff_factors!$E810</f>
        <v>-2.9389999999999998E-3</v>
      </c>
      <c r="X810" s="2">
        <f>ff_portfolios25!X810-ff_factors!$E810</f>
        <v>-4.0878999999999999E-2</v>
      </c>
      <c r="Y810" s="2">
        <f>ff_portfolios25!Y810-ff_factors!$E810</f>
        <v>-5.6159999999999995E-3</v>
      </c>
      <c r="Z810" s="2">
        <f>ff_portfolios25!Z810-ff_factors!$E810</f>
        <v>-2.2756999999999999E-2</v>
      </c>
      <c r="AA810" s="2">
        <f>ff_portfolios25!AA810-ff_factors!$E810</f>
        <v>-3.8449999999999999E-3</v>
      </c>
      <c r="AB810" s="2">
        <f>ff_portfolios25!AB810-ff_factors!$E810</f>
        <v>-1.6247999999999999E-2</v>
      </c>
    </row>
    <row r="811" spans="1:28" x14ac:dyDescent="0.2">
      <c r="A811">
        <v>19990630</v>
      </c>
      <c r="B811">
        <v>1999</v>
      </c>
      <c r="C811">
        <v>6</v>
      </c>
      <c r="D811" s="2">
        <f>ff_portfolios25!D811-ff_factors!$E811</f>
        <v>6.1626E-2</v>
      </c>
      <c r="E811" s="2">
        <f>ff_portfolios25!E811-ff_factors!$E811</f>
        <v>7.9271999999999995E-2</v>
      </c>
      <c r="F811" s="2">
        <f>ff_portfolios25!F811-ff_factors!$E811</f>
        <v>7.9308999999999991E-2</v>
      </c>
      <c r="G811" s="2">
        <f>ff_portfolios25!G811-ff_factors!$E811</f>
        <v>5.6786000000000003E-2</v>
      </c>
      <c r="H811" s="2">
        <f>ff_portfolios25!H811-ff_factors!$E811</f>
        <v>5.5879999999999999E-2</v>
      </c>
      <c r="I811" s="2">
        <f>ff_portfolios25!I811-ff_factors!$E811</f>
        <v>7.7456999999999998E-2</v>
      </c>
      <c r="J811" s="2">
        <f>ff_portfolios25!J811-ff_factors!$E811</f>
        <v>7.1115999999999999E-2</v>
      </c>
      <c r="K811" s="2">
        <f>ff_portfolios25!K811-ff_factors!$E811</f>
        <v>6.9436999999999999E-2</v>
      </c>
      <c r="L811" s="2">
        <f>ff_portfolios25!L811-ff_factors!$E811</f>
        <v>4.2860999999999996E-2</v>
      </c>
      <c r="M811" s="2">
        <f>ff_portfolios25!M811-ff_factors!$E811</f>
        <v>6.1176999999999995E-2</v>
      </c>
      <c r="N811" s="2">
        <f>ff_portfolios25!N811-ff_factors!$E811</f>
        <v>4.2194999999999996E-2</v>
      </c>
      <c r="O811" s="2">
        <f>ff_portfolios25!O811-ff_factors!$E811</f>
        <v>3.9091000000000001E-2</v>
      </c>
      <c r="P811" s="2">
        <f>ff_portfolios25!P811-ff_factors!$E811</f>
        <v>2.3954E-2</v>
      </c>
      <c r="Q811" s="2">
        <f>ff_portfolios25!Q811-ff_factors!$E811</f>
        <v>2.4112000000000001E-2</v>
      </c>
      <c r="R811" s="2">
        <f>ff_portfolios25!R811-ff_factors!$E811</f>
        <v>4.5761999999999997E-2</v>
      </c>
      <c r="S811" s="2">
        <f>ff_portfolios25!S811-ff_factors!$E811</f>
        <v>7.3664999999999994E-2</v>
      </c>
      <c r="T811" s="2">
        <f>ff_portfolios25!T811-ff_factors!$E811</f>
        <v>8.3654999999999993E-2</v>
      </c>
      <c r="U811" s="2">
        <f>ff_portfolios25!U811-ff_factors!$E811</f>
        <v>2.2564999999999998E-2</v>
      </c>
      <c r="V811" s="2">
        <f>ff_portfolios25!V811-ff_factors!$E811</f>
        <v>1.9938999999999998E-2</v>
      </c>
      <c r="W811" s="2">
        <f>ff_portfolios25!W811-ff_factors!$E811</f>
        <v>3.7325999999999998E-2</v>
      </c>
      <c r="X811" s="2">
        <f>ff_portfolios25!X811-ff_factors!$E811</f>
        <v>6.3440999999999997E-2</v>
      </c>
      <c r="Y811" s="2">
        <f>ff_portfolios25!Y811-ff_factors!$E811</f>
        <v>4.5739000000000002E-2</v>
      </c>
      <c r="Z811" s="2">
        <f>ff_portfolios25!Z811-ff_factors!$E811</f>
        <v>1.9753E-2</v>
      </c>
      <c r="AA811" s="2">
        <f>ff_portfolios25!AA811-ff_factors!$E811</f>
        <v>-3.2460000000000002E-3</v>
      </c>
      <c r="AB811" s="2">
        <f>ff_portfolios25!AB811-ff_factors!$E811</f>
        <v>-1.0388999999999999E-2</v>
      </c>
    </row>
    <row r="812" spans="1:28" x14ac:dyDescent="0.2">
      <c r="A812">
        <v>19990730</v>
      </c>
      <c r="B812">
        <v>1999</v>
      </c>
      <c r="C812">
        <v>7</v>
      </c>
      <c r="D812" s="2">
        <f>ff_portfolios25!D812-ff_factors!$E812</f>
        <v>4.216000000000001E-3</v>
      </c>
      <c r="E812" s="2">
        <f>ff_portfolios25!E812-ff_factors!$E812</f>
        <v>2.0645E-2</v>
      </c>
      <c r="F812" s="2">
        <f>ff_portfolios25!F812-ff_factors!$E812</f>
        <v>6.9779999999999998E-3</v>
      </c>
      <c r="G812" s="2">
        <f>ff_portfolios25!G812-ff_factors!$E812</f>
        <v>8.9110000000000005E-3</v>
      </c>
      <c r="H812" s="2">
        <f>ff_portfolios25!H812-ff_factors!$E812</f>
        <v>1.4487999999999999E-2</v>
      </c>
      <c r="I812" s="2">
        <f>ff_portfolios25!I812-ff_factors!$E812</f>
        <v>-2.7341000000000001E-2</v>
      </c>
      <c r="J812" s="2">
        <f>ff_portfolios25!J812-ff_factors!$E812</f>
        <v>-7.4140000000000005E-3</v>
      </c>
      <c r="K812" s="2">
        <f>ff_portfolios25!K812-ff_factors!$E812</f>
        <v>-1.7536E-2</v>
      </c>
      <c r="L812" s="2">
        <f>ff_portfolios25!L812-ff_factors!$E812</f>
        <v>-2.3586000000000003E-2</v>
      </c>
      <c r="M812" s="2">
        <f>ff_portfolios25!M812-ff_factors!$E812</f>
        <v>-4.2886999999999995E-2</v>
      </c>
      <c r="N812" s="2">
        <f>ff_portfolios25!N812-ff_factors!$E812</f>
        <v>-3.4595000000000001E-2</v>
      </c>
      <c r="O812" s="2">
        <f>ff_portfolios25!O812-ff_factors!$E812</f>
        <v>-2.4847000000000001E-2</v>
      </c>
      <c r="P812" s="2">
        <f>ff_portfolios25!P812-ff_factors!$E812</f>
        <v>-2.1287E-2</v>
      </c>
      <c r="Q812" s="2">
        <f>ff_portfolios25!Q812-ff_factors!$E812</f>
        <v>-2.2399000000000002E-2</v>
      </c>
      <c r="R812" s="2">
        <f>ff_portfolios25!R812-ff_factors!$E812</f>
        <v>-1.2258E-2</v>
      </c>
      <c r="S812" s="2">
        <f>ff_portfolios25!S812-ff_factors!$E812</f>
        <v>-2.9138000000000001E-2</v>
      </c>
      <c r="T812" s="2">
        <f>ff_portfolios25!T812-ff_factors!$E812</f>
        <v>-2.8971E-2</v>
      </c>
      <c r="U812" s="2">
        <f>ff_portfolios25!U812-ff_factors!$E812</f>
        <v>-2.7239999999999999E-3</v>
      </c>
      <c r="V812" s="2">
        <f>ff_portfolios25!V812-ff_factors!$E812</f>
        <v>-1.7956E-2</v>
      </c>
      <c r="W812" s="2">
        <f>ff_portfolios25!W812-ff_factors!$E812</f>
        <v>-2.1993000000000002E-2</v>
      </c>
      <c r="X812" s="2">
        <f>ff_portfolios25!X812-ff_factors!$E812</f>
        <v>-3.3875000000000002E-2</v>
      </c>
      <c r="Y812" s="2">
        <f>ff_portfolios25!Y812-ff_factors!$E812</f>
        <v>-4.0591999999999996E-2</v>
      </c>
      <c r="Z812" s="2">
        <f>ff_portfolios25!Z812-ff_factors!$E812</f>
        <v>-5.1962000000000001E-2</v>
      </c>
      <c r="AA812" s="2">
        <f>ff_portfolios25!AA812-ff_factors!$E812</f>
        <v>-3.1637999999999999E-2</v>
      </c>
      <c r="AB812" s="2">
        <f>ff_portfolios25!AB812-ff_factors!$E812</f>
        <v>-8.0394999999999994E-2</v>
      </c>
    </row>
    <row r="813" spans="1:28" x14ac:dyDescent="0.2">
      <c r="A813">
        <v>19990831</v>
      </c>
      <c r="B813">
        <v>1999</v>
      </c>
      <c r="C813">
        <v>8</v>
      </c>
      <c r="D813" s="2">
        <f>ff_portfolios25!D813-ff_factors!$E813</f>
        <v>-3.6774000000000001E-2</v>
      </c>
      <c r="E813" s="2">
        <f>ff_portfolios25!E813-ff_factors!$E813</f>
        <v>-1.6604000000000001E-2</v>
      </c>
      <c r="F813" s="2">
        <f>ff_portfolios25!F813-ff_factors!$E813</f>
        <v>-3.2223000000000002E-2</v>
      </c>
      <c r="G813" s="2">
        <f>ff_portfolios25!G813-ff_factors!$E813</f>
        <v>-2.0383999999999999E-2</v>
      </c>
      <c r="H813" s="2">
        <f>ff_portfolios25!H813-ff_factors!$E813</f>
        <v>-3.7472999999999999E-2</v>
      </c>
      <c r="I813" s="2">
        <f>ff_portfolios25!I813-ff_factors!$E813</f>
        <v>-3.5930000000000004E-2</v>
      </c>
      <c r="J813" s="2">
        <f>ff_portfolios25!J813-ff_factors!$E813</f>
        <v>-4.3340999999999998E-2</v>
      </c>
      <c r="K813" s="2">
        <f>ff_portfolios25!K813-ff_factors!$E813</f>
        <v>-4.5551000000000001E-2</v>
      </c>
      <c r="L813" s="2">
        <f>ff_portfolios25!L813-ff_factors!$E813</f>
        <v>-3.7305999999999999E-2</v>
      </c>
      <c r="M813" s="2">
        <f>ff_portfolios25!M813-ff_factors!$E813</f>
        <v>-4.5607000000000002E-2</v>
      </c>
      <c r="N813" s="2">
        <f>ff_portfolios25!N813-ff_factors!$E813</f>
        <v>-2.6668000000000001E-2</v>
      </c>
      <c r="O813" s="2">
        <f>ff_portfolios25!O813-ff_factors!$E813</f>
        <v>-5.9834999999999999E-2</v>
      </c>
      <c r="P813" s="2">
        <f>ff_portfolios25!P813-ff_factors!$E813</f>
        <v>-4.2341000000000004E-2</v>
      </c>
      <c r="Q813" s="2">
        <f>ff_portfolios25!Q813-ff_factors!$E813</f>
        <v>-3.6555999999999998E-2</v>
      </c>
      <c r="R813" s="2">
        <f>ff_portfolios25!R813-ff_factors!$E813</f>
        <v>-1.3680000000000001E-2</v>
      </c>
      <c r="S813" s="2">
        <f>ff_portfolios25!S813-ff_factors!$E813</f>
        <v>-2.2290000000000001E-2</v>
      </c>
      <c r="T813" s="2">
        <f>ff_portfolios25!T813-ff_factors!$E813</f>
        <v>-4.8569000000000001E-2</v>
      </c>
      <c r="U813" s="2">
        <f>ff_portfolios25!U813-ff_factors!$E813</f>
        <v>-2.8999E-2</v>
      </c>
      <c r="V813" s="2">
        <f>ff_portfolios25!V813-ff_factors!$E813</f>
        <v>-2.7747000000000001E-2</v>
      </c>
      <c r="W813" s="2">
        <f>ff_portfolios25!W813-ff_factors!$E813</f>
        <v>-6.6267999999999994E-2</v>
      </c>
      <c r="X813" s="2">
        <f>ff_portfolios25!X813-ff_factors!$E813</f>
        <v>4.1059999999999994E-3</v>
      </c>
      <c r="Y813" s="2">
        <f>ff_portfolios25!Y813-ff_factors!$E813</f>
        <v>-4.0299000000000001E-2</v>
      </c>
      <c r="Z813" s="2">
        <f>ff_portfolios25!Z813-ff_factors!$E813</f>
        <v>-2.4055E-2</v>
      </c>
      <c r="AA813" s="2">
        <f>ff_portfolios25!AA813-ff_factors!$E813</f>
        <v>-4.8537000000000004E-2</v>
      </c>
      <c r="AB813" s="2">
        <f>ff_portfolios25!AB813-ff_factors!$E813</f>
        <v>2.1366E-2</v>
      </c>
    </row>
    <row r="814" spans="1:28" x14ac:dyDescent="0.2">
      <c r="A814">
        <v>19990930</v>
      </c>
      <c r="B814">
        <v>1999</v>
      </c>
      <c r="C814">
        <v>9</v>
      </c>
      <c r="D814" s="2">
        <f>ff_portfolios25!D814-ff_factors!$E814</f>
        <v>1.4748000000000001E-2</v>
      </c>
      <c r="E814" s="2">
        <f>ff_portfolios25!E814-ff_factors!$E814</f>
        <v>-6.4130000000000003E-3</v>
      </c>
      <c r="F814" s="2">
        <f>ff_portfolios25!F814-ff_factors!$E814</f>
        <v>-1.5911999999999999E-2</v>
      </c>
      <c r="G814" s="2">
        <f>ff_portfolios25!G814-ff_factors!$E814</f>
        <v>-3.0145999999999999E-2</v>
      </c>
      <c r="H814" s="2">
        <f>ff_portfolios25!H814-ff_factors!$E814</f>
        <v>-4.2846000000000002E-2</v>
      </c>
      <c r="I814" s="2">
        <f>ff_portfolios25!I814-ff_factors!$E814</f>
        <v>9.0000000000003272E-6</v>
      </c>
      <c r="J814" s="2">
        <f>ff_portfolios25!J814-ff_factors!$E814</f>
        <v>6.4440000000000009E-3</v>
      </c>
      <c r="K814" s="2">
        <f>ff_portfolios25!K814-ff_factors!$E814</f>
        <v>-1.2271999999999998E-2</v>
      </c>
      <c r="L814" s="2">
        <f>ff_portfolios25!L814-ff_factors!$E814</f>
        <v>-2.6831000000000001E-2</v>
      </c>
      <c r="M814" s="2">
        <f>ff_portfolios25!M814-ff_factors!$E814</f>
        <v>-1.7971000000000001E-2</v>
      </c>
      <c r="N814" s="2">
        <f>ff_portfolios25!N814-ff_factors!$E814</f>
        <v>2.7713000000000002E-2</v>
      </c>
      <c r="O814" s="2">
        <f>ff_portfolios25!O814-ff_factors!$E814</f>
        <v>8.5789999999999998E-3</v>
      </c>
      <c r="P814" s="2">
        <f>ff_portfolios25!P814-ff_factors!$E814</f>
        <v>-3.7522E-2</v>
      </c>
      <c r="Q814" s="2">
        <f>ff_portfolios25!Q814-ff_factors!$E814</f>
        <v>-3.1961999999999997E-2</v>
      </c>
      <c r="R814" s="2">
        <f>ff_portfolios25!R814-ff_factors!$E814</f>
        <v>-3.1842000000000002E-2</v>
      </c>
      <c r="S814" s="2">
        <f>ff_portfolios25!S814-ff_factors!$E814</f>
        <v>1.5040999999999999E-2</v>
      </c>
      <c r="T814" s="2">
        <f>ff_portfolios25!T814-ff_factors!$E814</f>
        <v>-4.1044000000000004E-2</v>
      </c>
      <c r="U814" s="2">
        <f>ff_portfolios25!U814-ff_factors!$E814</f>
        <v>-4.0135000000000004E-2</v>
      </c>
      <c r="V814" s="2">
        <f>ff_portfolios25!V814-ff_factors!$E814</f>
        <v>-5.2047000000000003E-2</v>
      </c>
      <c r="W814" s="2">
        <f>ff_portfolios25!W814-ff_factors!$E814</f>
        <v>-1.9139E-2</v>
      </c>
      <c r="X814" s="2">
        <f>ff_portfolios25!X814-ff_factors!$E814</f>
        <v>-2.3290000000000002E-2</v>
      </c>
      <c r="Y814" s="2">
        <f>ff_portfolios25!Y814-ff_factors!$E814</f>
        <v>-3.5893000000000001E-2</v>
      </c>
      <c r="Z814" s="2">
        <f>ff_portfolios25!Z814-ff_factors!$E814</f>
        <v>-7.2868000000000002E-2</v>
      </c>
      <c r="AA814" s="2">
        <f>ff_portfolios25!AA814-ff_factors!$E814</f>
        <v>-9.3806E-2</v>
      </c>
      <c r="AB814" s="2">
        <f>ff_portfolios25!AB814-ff_factors!$E814</f>
        <v>-8.0282000000000006E-2</v>
      </c>
    </row>
    <row r="815" spans="1:28" x14ac:dyDescent="0.2">
      <c r="A815">
        <v>19991029</v>
      </c>
      <c r="B815">
        <v>1999</v>
      </c>
      <c r="C815">
        <v>10</v>
      </c>
      <c r="D815" s="2">
        <f>ff_portfolios25!D815-ff_factors!$E815</f>
        <v>-6.5799999999999999E-3</v>
      </c>
      <c r="E815" s="2">
        <f>ff_portfolios25!E815-ff_factors!$E815</f>
        <v>9.6180000000000015E-3</v>
      </c>
      <c r="F815" s="2">
        <f>ff_portfolios25!F815-ff_factors!$E815</f>
        <v>-2.7171000000000001E-2</v>
      </c>
      <c r="G815" s="2">
        <f>ff_portfolios25!G815-ff_factors!$E815</f>
        <v>-8.209000000000001E-3</v>
      </c>
      <c r="H815" s="2">
        <f>ff_portfolios25!H815-ff_factors!$E815</f>
        <v>-3.0980000000000001E-2</v>
      </c>
      <c r="I815" s="2">
        <f>ff_portfolios25!I815-ff_factors!$E815</f>
        <v>2.5124999999999998E-2</v>
      </c>
      <c r="J815" s="2">
        <f>ff_portfolios25!J815-ff_factors!$E815</f>
        <v>-1.0404E-2</v>
      </c>
      <c r="K815" s="2">
        <f>ff_portfolios25!K815-ff_factors!$E815</f>
        <v>-1.1552E-2</v>
      </c>
      <c r="L815" s="2">
        <f>ff_portfolios25!L815-ff_factors!$E815</f>
        <v>-1.8974000000000001E-2</v>
      </c>
      <c r="M815" s="2">
        <f>ff_portfolios25!M815-ff_factors!$E815</f>
        <v>-5.62E-2</v>
      </c>
      <c r="N815" s="2">
        <f>ff_portfolios25!N815-ff_factors!$E815</f>
        <v>2.3184E-2</v>
      </c>
      <c r="O815" s="2">
        <f>ff_portfolios25!O815-ff_factors!$E815</f>
        <v>1.1559999999999999E-3</v>
      </c>
      <c r="P815" s="2">
        <f>ff_portfolios25!P815-ff_factors!$E815</f>
        <v>-1.2976000000000001E-2</v>
      </c>
      <c r="Q815" s="2">
        <f>ff_portfolios25!Q815-ff_factors!$E815</f>
        <v>-1.5082999999999999E-2</v>
      </c>
      <c r="R815" s="2">
        <f>ff_portfolios25!R815-ff_factors!$E815</f>
        <v>-7.0809999999999996E-3</v>
      </c>
      <c r="S815" s="2">
        <f>ff_portfolios25!S815-ff_factors!$E815</f>
        <v>7.8703999999999996E-2</v>
      </c>
      <c r="T815" s="2">
        <f>ff_portfolios25!T815-ff_factors!$E815</f>
        <v>8.4159999999999999E-3</v>
      </c>
      <c r="U815" s="2">
        <f>ff_portfolios25!U815-ff_factors!$E815</f>
        <v>2.0864000000000001E-2</v>
      </c>
      <c r="V815" s="2">
        <f>ff_portfolios25!V815-ff_factors!$E815</f>
        <v>2.4375999999999998E-2</v>
      </c>
      <c r="W815" s="2">
        <f>ff_portfolios25!W815-ff_factors!$E815</f>
        <v>4.5201999999999999E-2</v>
      </c>
      <c r="X815" s="2">
        <f>ff_portfolios25!X815-ff_factors!$E815</f>
        <v>6.0955999999999996E-2</v>
      </c>
      <c r="Y815" s="2">
        <f>ff_portfolios25!Y815-ff_factors!$E815</f>
        <v>0.100317</v>
      </c>
      <c r="Z815" s="2">
        <f>ff_portfolios25!Z815-ff_factors!$E815</f>
        <v>6.7979999999999999E-2</v>
      </c>
      <c r="AA815" s="2">
        <f>ff_portfolios25!AA815-ff_factors!$E815</f>
        <v>2.6797999999999999E-2</v>
      </c>
      <c r="AB815" s="2">
        <f>ff_portfolios25!AB815-ff_factors!$E815</f>
        <v>6.9793999999999995E-2</v>
      </c>
    </row>
    <row r="816" spans="1:28" x14ac:dyDescent="0.2">
      <c r="A816">
        <v>19991130</v>
      </c>
      <c r="B816">
        <v>1999</v>
      </c>
      <c r="C816">
        <v>11</v>
      </c>
      <c r="D816" s="2">
        <f>ff_portfolios25!D816-ff_factors!$E816</f>
        <v>0.19578900000000002</v>
      </c>
      <c r="E816" s="2">
        <f>ff_portfolios25!E816-ff_factors!$E816</f>
        <v>0.11020099999999999</v>
      </c>
      <c r="F816" s="2">
        <f>ff_portfolios25!F816-ff_factors!$E816</f>
        <v>0.10125099999999999</v>
      </c>
      <c r="G816" s="2">
        <f>ff_portfolios25!G816-ff_factors!$E816</f>
        <v>6.7492999999999997E-2</v>
      </c>
      <c r="H816" s="2">
        <f>ff_portfolios25!H816-ff_factors!$E816</f>
        <v>6.3620999999999997E-2</v>
      </c>
      <c r="I816" s="2">
        <f>ff_portfolios25!I816-ff_factors!$E816</f>
        <v>0.120293</v>
      </c>
      <c r="J816" s="2">
        <f>ff_portfolios25!J816-ff_factors!$E816</f>
        <v>7.5236999999999998E-2</v>
      </c>
      <c r="K816" s="2">
        <f>ff_portfolios25!K816-ff_factors!$E816</f>
        <v>4.9786000000000004E-2</v>
      </c>
      <c r="L816" s="2">
        <f>ff_portfolios25!L816-ff_factors!$E816</f>
        <v>2.5920000000000002E-2</v>
      </c>
      <c r="M816" s="2">
        <f>ff_portfolios25!M816-ff_factors!$E816</f>
        <v>2.9250999999999999E-2</v>
      </c>
      <c r="N816" s="2">
        <f>ff_portfolios25!N816-ff_factors!$E816</f>
        <v>0.11430899999999999</v>
      </c>
      <c r="O816" s="2">
        <f>ff_portfolios25!O816-ff_factors!$E816</f>
        <v>6.7575999999999997E-2</v>
      </c>
      <c r="P816" s="2">
        <f>ff_portfolios25!P816-ff_factors!$E816</f>
        <v>-1.8585999999999998E-2</v>
      </c>
      <c r="Q816" s="2">
        <f>ff_portfolios25!Q816-ff_factors!$E816</f>
        <v>-1.0159999999999999E-2</v>
      </c>
      <c r="R816" s="2">
        <f>ff_portfolios25!R816-ff_factors!$E816</f>
        <v>6.0799999999999995E-3</v>
      </c>
      <c r="S816" s="2">
        <f>ff_portfolios25!S816-ff_factors!$E816</f>
        <v>0.112245</v>
      </c>
      <c r="T816" s="2">
        <f>ff_portfolios25!T816-ff_factors!$E816</f>
        <v>-1.5755999999999999E-2</v>
      </c>
      <c r="U816" s="2">
        <f>ff_portfolios25!U816-ff_factors!$E816</f>
        <v>-1.5181E-2</v>
      </c>
      <c r="V816" s="2">
        <f>ff_portfolios25!V816-ff_factors!$E816</f>
        <v>-2.4239999999999999E-3</v>
      </c>
      <c r="W816" s="2">
        <f>ff_portfolios25!W816-ff_factors!$E816</f>
        <v>2.5744E-2</v>
      </c>
      <c r="X816" s="2">
        <f>ff_portfolios25!X816-ff_factors!$E816</f>
        <v>4.2008999999999998E-2</v>
      </c>
      <c r="Y816" s="2">
        <f>ff_portfolios25!Y816-ff_factors!$E816</f>
        <v>-1.2102999999999999E-2</v>
      </c>
      <c r="Z816" s="2">
        <f>ff_portfolios25!Z816-ff_factors!$E816</f>
        <v>-4.4247000000000002E-2</v>
      </c>
      <c r="AA816" s="2">
        <f>ff_portfolios25!AA816-ff_factors!$E816</f>
        <v>-6.1713999999999998E-2</v>
      </c>
      <c r="AB816" s="2">
        <f>ff_portfolios25!AB816-ff_factors!$E816</f>
        <v>-5.2799999999999982E-4</v>
      </c>
    </row>
    <row r="817" spans="1:28" x14ac:dyDescent="0.2">
      <c r="A817">
        <v>19991231</v>
      </c>
      <c r="B817">
        <v>1999</v>
      </c>
      <c r="C817">
        <v>12</v>
      </c>
      <c r="D817" s="2">
        <f>ff_portfolios25!D817-ff_factors!$E817</f>
        <v>0.244092</v>
      </c>
      <c r="E817" s="2">
        <f>ff_portfolios25!E817-ff_factors!$E817</f>
        <v>0.25134400000000001</v>
      </c>
      <c r="F817" s="2">
        <f>ff_portfolios25!F817-ff_factors!$E817</f>
        <v>7.4446999999999999E-2</v>
      </c>
      <c r="G817" s="2">
        <f>ff_portfolios25!G817-ff_factors!$E817</f>
        <v>0.11554199999999999</v>
      </c>
      <c r="H817" s="2">
        <f>ff_portfolios25!H817-ff_factors!$E817</f>
        <v>7.2302000000000005E-2</v>
      </c>
      <c r="I817" s="2">
        <f>ff_portfolios25!I817-ff_factors!$E817</f>
        <v>0.17025300000000002</v>
      </c>
      <c r="J817" s="2">
        <f>ff_portfolios25!J817-ff_factors!$E817</f>
        <v>0.114721</v>
      </c>
      <c r="K817" s="2">
        <f>ff_portfolios25!K817-ff_factors!$E817</f>
        <v>4.2931999999999998E-2</v>
      </c>
      <c r="L817" s="2">
        <f>ff_portfolios25!L817-ff_factors!$E817</f>
        <v>3.4242999999999996E-2</v>
      </c>
      <c r="M817" s="2">
        <f>ff_portfolios25!M817-ff_factors!$E817</f>
        <v>6.2550999999999995E-2</v>
      </c>
      <c r="N817" s="2">
        <f>ff_portfolios25!N817-ff_factors!$E817</f>
        <v>0.155446</v>
      </c>
      <c r="O817" s="2">
        <f>ff_portfolios25!O817-ff_factors!$E817</f>
        <v>8.9134000000000005E-2</v>
      </c>
      <c r="P817" s="2">
        <f>ff_portfolios25!P817-ff_factors!$E817</f>
        <v>-4.6350000000000002E-3</v>
      </c>
      <c r="Q817" s="2">
        <f>ff_portfolios25!Q817-ff_factors!$E817</f>
        <v>3.6021999999999998E-2</v>
      </c>
      <c r="R817" s="2">
        <f>ff_portfolios25!R817-ff_factors!$E817</f>
        <v>3.1691999999999998E-2</v>
      </c>
      <c r="S817" s="2">
        <f>ff_portfolios25!S817-ff_factors!$E817</f>
        <v>0.20775200000000002</v>
      </c>
      <c r="T817" s="2">
        <f>ff_portfolios25!T817-ff_factors!$E817</f>
        <v>2.8830999999999996E-2</v>
      </c>
      <c r="U817" s="2">
        <f>ff_portfolios25!U817-ff_factors!$E817</f>
        <v>3.522E-3</v>
      </c>
      <c r="V817" s="2">
        <f>ff_portfolios25!V817-ff_factors!$E817</f>
        <v>6.2815999999999997E-2</v>
      </c>
      <c r="W817" s="2">
        <f>ff_portfolios25!W817-ff_factors!$E817</f>
        <v>4.2611999999999997E-2</v>
      </c>
      <c r="X817" s="2">
        <f>ff_portfolios25!X817-ff_factors!$E817</f>
        <v>7.7642000000000003E-2</v>
      </c>
      <c r="Y817" s="2">
        <f>ff_portfolios25!Y817-ff_factors!$E817</f>
        <v>1.4453999999999998E-2</v>
      </c>
      <c r="Z817" s="2">
        <f>ff_portfolios25!Z817-ff_factors!$E817</f>
        <v>1.3127E-2</v>
      </c>
      <c r="AA817" s="2">
        <f>ff_portfolios25!AA817-ff_factors!$E817</f>
        <v>-4.8460000000000005E-3</v>
      </c>
      <c r="AB817" s="2">
        <f>ff_portfolios25!AB817-ff_factors!$E817</f>
        <v>-5.7320000000000001E-3</v>
      </c>
    </row>
    <row r="818" spans="1:28" x14ac:dyDescent="0.2">
      <c r="A818">
        <v>20000131</v>
      </c>
      <c r="B818">
        <v>2000</v>
      </c>
      <c r="C818">
        <v>1</v>
      </c>
      <c r="D818" s="2">
        <f>ff_portfolios25!D818-ff_factors!$E818</f>
        <v>9.5323999999999992E-2</v>
      </c>
      <c r="E818" s="2">
        <f>ff_portfolios25!E818-ff_factors!$E818</f>
        <v>5.0082000000000002E-2</v>
      </c>
      <c r="F818" s="2">
        <f>ff_portfolios25!F818-ff_factors!$E818</f>
        <v>4.4019000000000003E-2</v>
      </c>
      <c r="G818" s="2">
        <f>ff_portfolios25!G818-ff_factors!$E818</f>
        <v>3.1E-2</v>
      </c>
      <c r="H818" s="2">
        <f>ff_portfolios25!H818-ff_factors!$E818</f>
        <v>4.6379000000000004E-2</v>
      </c>
      <c r="I818" s="2">
        <f>ff_portfolios25!I818-ff_factors!$E818</f>
        <v>3.8999999999999972E-5</v>
      </c>
      <c r="J818" s="2">
        <f>ff_portfolios25!J818-ff_factors!$E818</f>
        <v>-2.5849999999999998E-2</v>
      </c>
      <c r="K818" s="2">
        <f>ff_portfolios25!K818-ff_factors!$E818</f>
        <v>-2.5908999999999998E-2</v>
      </c>
      <c r="L818" s="2">
        <f>ff_portfolios25!L818-ff_factors!$E818</f>
        <v>1.8119999999999994E-3</v>
      </c>
      <c r="M818" s="2">
        <f>ff_portfolios25!M818-ff_factors!$E818</f>
        <v>-3.3010999999999999E-2</v>
      </c>
      <c r="N818" s="2">
        <f>ff_portfolios25!N818-ff_factors!$E818</f>
        <v>-3.7919000000000001E-2</v>
      </c>
      <c r="O818" s="2">
        <f>ff_portfolios25!O818-ff_factors!$E818</f>
        <v>-5.2767000000000001E-2</v>
      </c>
      <c r="P818" s="2">
        <f>ff_portfolios25!P818-ff_factors!$E818</f>
        <v>-2.1904E-2</v>
      </c>
      <c r="Q818" s="2">
        <f>ff_portfolios25!Q818-ff_factors!$E818</f>
        <v>-4.1262E-2</v>
      </c>
      <c r="R818" s="2">
        <f>ff_portfolios25!R818-ff_factors!$E818</f>
        <v>-7.221000000000001E-2</v>
      </c>
      <c r="S818" s="2">
        <f>ff_portfolios25!S818-ff_factors!$E818</f>
        <v>-4.3082000000000002E-2</v>
      </c>
      <c r="T818" s="2">
        <f>ff_portfolios25!T818-ff_factors!$E818</f>
        <v>-3.4633000000000004E-2</v>
      </c>
      <c r="U818" s="2">
        <f>ff_portfolios25!U818-ff_factors!$E818</f>
        <v>-3.5313000000000004E-2</v>
      </c>
      <c r="V818" s="2">
        <f>ff_portfolios25!V818-ff_factors!$E818</f>
        <v>-5.0953999999999999E-2</v>
      </c>
      <c r="W818" s="2">
        <f>ff_portfolios25!W818-ff_factors!$E818</f>
        <v>-0.113126</v>
      </c>
      <c r="X818" s="2">
        <f>ff_portfolios25!X818-ff_factors!$E818</f>
        <v>-5.4442999999999998E-2</v>
      </c>
      <c r="Y818" s="2">
        <f>ff_portfolios25!Y818-ff_factors!$E818</f>
        <v>-3.6223999999999999E-2</v>
      </c>
      <c r="Z818" s="2">
        <f>ff_portfolios25!Z818-ff_factors!$E818</f>
        <v>-6.1265E-2</v>
      </c>
      <c r="AA818" s="2">
        <f>ff_portfolios25!AA818-ff_factors!$E818</f>
        <v>-7.6467000000000007E-2</v>
      </c>
      <c r="AB818" s="2">
        <f>ff_portfolios25!AB818-ff_factors!$E818</f>
        <v>-2.0392E-2</v>
      </c>
    </row>
    <row r="819" spans="1:28" x14ac:dyDescent="0.2">
      <c r="A819">
        <v>20000229</v>
      </c>
      <c r="B819">
        <v>2000</v>
      </c>
      <c r="C819">
        <v>2</v>
      </c>
      <c r="D819" s="2">
        <f>ff_portfolios25!D819-ff_factors!$E819</f>
        <v>0.38476199999999999</v>
      </c>
      <c r="E819" s="2">
        <f>ff_portfolios25!E819-ff_factors!$E819</f>
        <v>0.40621599999999997</v>
      </c>
      <c r="F819" s="2">
        <f>ff_portfolios25!F819-ff_factors!$E819</f>
        <v>0.21432500000000002</v>
      </c>
      <c r="G819" s="2">
        <f>ff_portfolios25!G819-ff_factors!$E819</f>
        <v>0.24970400000000001</v>
      </c>
      <c r="H819" s="2">
        <f>ff_portfolios25!H819-ff_factors!$E819</f>
        <v>0.143565</v>
      </c>
      <c r="I819" s="2">
        <f>ff_portfolios25!I819-ff_factors!$E819</f>
        <v>0.27745699999999995</v>
      </c>
      <c r="J819" s="2">
        <f>ff_portfolios25!J819-ff_factors!$E819</f>
        <v>0.17192099999999999</v>
      </c>
      <c r="K819" s="2">
        <f>ff_portfolios25!K819-ff_factors!$E819</f>
        <v>6.3095999999999999E-2</v>
      </c>
      <c r="L819" s="2">
        <f>ff_portfolios25!L819-ff_factors!$E819</f>
        <v>7.1822999999999998E-2</v>
      </c>
      <c r="M819" s="2">
        <f>ff_portfolios25!M819-ff_factors!$E819</f>
        <v>0.14104800000000001</v>
      </c>
      <c r="N819" s="2">
        <f>ff_portfolios25!N819-ff_factors!$E819</f>
        <v>0.24176500000000001</v>
      </c>
      <c r="O819" s="2">
        <f>ff_portfolios25!O819-ff_factors!$E819</f>
        <v>9.5930000000000001E-2</v>
      </c>
      <c r="P819" s="2">
        <f>ff_portfolios25!P819-ff_factors!$E819</f>
        <v>1.4161000000000002E-2</v>
      </c>
      <c r="Q819" s="2">
        <f>ff_portfolios25!Q819-ff_factors!$E819</f>
        <v>-1.0054E-2</v>
      </c>
      <c r="R819" s="2">
        <f>ff_portfolios25!R819-ff_factors!$E819</f>
        <v>-9.6270000000000001E-3</v>
      </c>
      <c r="S819" s="2">
        <f>ff_portfolios25!S819-ff_factors!$E819</f>
        <v>0.25791899999999995</v>
      </c>
      <c r="T819" s="2">
        <f>ff_portfolios25!T819-ff_factors!$E819</f>
        <v>-5.2630000000000003E-3</v>
      </c>
      <c r="U819" s="2">
        <f>ff_portfolios25!U819-ff_factors!$E819</f>
        <v>-1.7648E-2</v>
      </c>
      <c r="V819" s="2">
        <f>ff_portfolios25!V819-ff_factors!$E819</f>
        <v>2.1493999999999999E-2</v>
      </c>
      <c r="W819" s="2">
        <f>ff_portfolios25!W819-ff_factors!$E819</f>
        <v>-5.7876999999999998E-2</v>
      </c>
      <c r="X819" s="2">
        <f>ff_portfolios25!X819-ff_factors!$E819</f>
        <v>1.1219999999999997E-3</v>
      </c>
      <c r="Y819" s="2">
        <f>ff_portfolios25!Y819-ff_factors!$E819</f>
        <v>-5.7433999999999999E-2</v>
      </c>
      <c r="Z819" s="2">
        <f>ff_portfolios25!Z819-ff_factors!$E819</f>
        <v>-0.104309</v>
      </c>
      <c r="AA819" s="2">
        <f>ff_portfolios25!AA819-ff_factors!$E819</f>
        <v>-0.106214</v>
      </c>
      <c r="AB819" s="2">
        <f>ff_portfolios25!AB819-ff_factors!$E819</f>
        <v>-8.6928999999999992E-2</v>
      </c>
    </row>
    <row r="820" spans="1:28" x14ac:dyDescent="0.2">
      <c r="A820">
        <v>20000331</v>
      </c>
      <c r="B820">
        <v>2000</v>
      </c>
      <c r="C820">
        <v>3</v>
      </c>
      <c r="D820" s="2">
        <f>ff_portfolios25!D820-ff_factors!$E820</f>
        <v>-0.138236</v>
      </c>
      <c r="E820" s="2">
        <f>ff_portfolios25!E820-ff_factors!$E820</f>
        <v>-0.20372000000000001</v>
      </c>
      <c r="F820" s="2">
        <f>ff_portfolios25!F820-ff_factors!$E820</f>
        <v>-9.1176999999999994E-2</v>
      </c>
      <c r="G820" s="2">
        <f>ff_portfolios25!G820-ff_factors!$E820</f>
        <v>-6.8976999999999997E-2</v>
      </c>
      <c r="H820" s="2">
        <f>ff_portfolios25!H820-ff_factors!$E820</f>
        <v>-3.5042000000000004E-2</v>
      </c>
      <c r="I820" s="2">
        <f>ff_portfolios25!I820-ff_factors!$E820</f>
        <v>-0.13919300000000001</v>
      </c>
      <c r="J820" s="2">
        <f>ff_portfolios25!J820-ff_factors!$E820</f>
        <v>-5.1732E-2</v>
      </c>
      <c r="K820" s="2">
        <f>ff_portfolios25!K820-ff_factors!$E820</f>
        <v>-2.3536999999999999E-2</v>
      </c>
      <c r="L820" s="2">
        <f>ff_portfolios25!L820-ff_factors!$E820</f>
        <v>-5.9410000000000001E-3</v>
      </c>
      <c r="M820" s="2">
        <f>ff_portfolios25!M820-ff_factors!$E820</f>
        <v>-2.0159E-2</v>
      </c>
      <c r="N820" s="2">
        <f>ff_portfolios25!N820-ff_factors!$E820</f>
        <v>-0.15460700000000002</v>
      </c>
      <c r="O820" s="2">
        <f>ff_portfolios25!O820-ff_factors!$E820</f>
        <v>3.6731999999999994E-2</v>
      </c>
      <c r="P820" s="2">
        <f>ff_portfolios25!P820-ff_factors!$E820</f>
        <v>0.10050000000000001</v>
      </c>
      <c r="Q820" s="2">
        <f>ff_portfolios25!Q820-ff_factors!$E820</f>
        <v>6.3349000000000003E-2</v>
      </c>
      <c r="R820" s="2">
        <f>ff_portfolios25!R820-ff_factors!$E820</f>
        <v>0.114525</v>
      </c>
      <c r="S820" s="2">
        <f>ff_portfolios25!S820-ff_factors!$E820</f>
        <v>-3.7500000000000006E-2</v>
      </c>
      <c r="T820" s="2">
        <f>ff_portfolios25!T820-ff_factors!$E820</f>
        <v>0.129328</v>
      </c>
      <c r="U820" s="2">
        <f>ff_portfolios25!U820-ff_factors!$E820</f>
        <v>0.135404</v>
      </c>
      <c r="V820" s="2">
        <f>ff_portfolios25!V820-ff_factors!$E820</f>
        <v>9.7695000000000004E-2</v>
      </c>
      <c r="W820" s="2">
        <f>ff_portfolios25!W820-ff_factors!$E820</f>
        <v>0.12633799999999998</v>
      </c>
      <c r="X820" s="2">
        <f>ff_portfolios25!X820-ff_factors!$E820</f>
        <v>8.7868000000000002E-2</v>
      </c>
      <c r="Y820" s="2">
        <f>ff_portfolios25!Y820-ff_factors!$E820</f>
        <v>0.109984</v>
      </c>
      <c r="Z820" s="2">
        <f>ff_portfolios25!Z820-ff_factors!$E820</f>
        <v>9.2993000000000006E-2</v>
      </c>
      <c r="AA820" s="2">
        <f>ff_portfolios25!AA820-ff_factors!$E820</f>
        <v>0.15624199999999999</v>
      </c>
      <c r="AB820" s="2">
        <f>ff_portfolios25!AB820-ff_factors!$E820</f>
        <v>0.15177299999999999</v>
      </c>
    </row>
    <row r="821" spans="1:28" x14ac:dyDescent="0.2">
      <c r="A821">
        <v>20000428</v>
      </c>
      <c r="B821">
        <v>2000</v>
      </c>
      <c r="C821">
        <v>4</v>
      </c>
      <c r="D821" s="2">
        <f>ff_portfolios25!D821-ff_factors!$E821</f>
        <v>-0.240589</v>
      </c>
      <c r="E821" s="2">
        <f>ff_portfolios25!E821-ff_factors!$E821</f>
        <v>-0.18182299999999998</v>
      </c>
      <c r="F821" s="2">
        <f>ff_portfolios25!F821-ff_factors!$E821</f>
        <v>-0.10190199999999999</v>
      </c>
      <c r="G821" s="2">
        <f>ff_portfolios25!G821-ff_factors!$E821</f>
        <v>-0.11806900000000001</v>
      </c>
      <c r="H821" s="2">
        <f>ff_portfolios25!H821-ff_factors!$E821</f>
        <v>-0.10214999999999999</v>
      </c>
      <c r="I821" s="2">
        <f>ff_portfolios25!I821-ff_factors!$E821</f>
        <v>-0.128997</v>
      </c>
      <c r="J821" s="2">
        <f>ff_portfolios25!J821-ff_factors!$E821</f>
        <v>-8.8627000000000011E-2</v>
      </c>
      <c r="K821" s="2">
        <f>ff_portfolios25!K821-ff_factors!$E821</f>
        <v>-4.6989999999999997E-2</v>
      </c>
      <c r="L821" s="2">
        <f>ff_portfolios25!L821-ff_factors!$E821</f>
        <v>-3.2399999999999998E-2</v>
      </c>
      <c r="M821" s="2">
        <f>ff_portfolios25!M821-ff_factors!$E821</f>
        <v>-3.0799E-2</v>
      </c>
      <c r="N821" s="2">
        <f>ff_portfolios25!N821-ff_factors!$E821</f>
        <v>-0.10341600000000001</v>
      </c>
      <c r="O821" s="2">
        <f>ff_portfolios25!O821-ff_factors!$E821</f>
        <v>-9.7999999999999997E-4</v>
      </c>
      <c r="P821" s="2">
        <f>ff_portfolios25!P821-ff_factors!$E821</f>
        <v>-3.3786999999999998E-2</v>
      </c>
      <c r="Q821" s="2">
        <f>ff_portfolios25!Q821-ff_factors!$E821</f>
        <v>3.4548000000000002E-2</v>
      </c>
      <c r="R821" s="2">
        <f>ff_portfolios25!R821-ff_factors!$E821</f>
        <v>-3.277E-3</v>
      </c>
      <c r="S821" s="2">
        <f>ff_portfolios25!S821-ff_factors!$E821</f>
        <v>-7.9037999999999997E-2</v>
      </c>
      <c r="T821" s="2">
        <f>ff_portfolios25!T821-ff_factors!$E821</f>
        <v>-2.7861E-2</v>
      </c>
      <c r="U821" s="2">
        <f>ff_portfolios25!U821-ff_factors!$E821</f>
        <v>3.2134000000000003E-2</v>
      </c>
      <c r="V821" s="2">
        <f>ff_portfolios25!V821-ff_factors!$E821</f>
        <v>-5.5319999999999996E-3</v>
      </c>
      <c r="W821" s="2">
        <f>ff_portfolios25!W821-ff_factors!$E821</f>
        <v>1.5793999999999999E-2</v>
      </c>
      <c r="X821" s="2">
        <f>ff_portfolios25!X821-ff_factors!$E821</f>
        <v>-4.9325000000000001E-2</v>
      </c>
      <c r="Y821" s="2">
        <f>ff_portfolios25!Y821-ff_factors!$E821</f>
        <v>-3.7955999999999997E-2</v>
      </c>
      <c r="Z821" s="2">
        <f>ff_portfolios25!Z821-ff_factors!$E821</f>
        <v>2.8269000000000002E-2</v>
      </c>
      <c r="AA821" s="2">
        <f>ff_portfolios25!AA821-ff_factors!$E821</f>
        <v>2.2436999999999999E-2</v>
      </c>
      <c r="AB821" s="2">
        <f>ff_portfolios25!AB821-ff_factors!$E821</f>
        <v>6.2097000000000006E-2</v>
      </c>
    </row>
    <row r="822" spans="1:28" x14ac:dyDescent="0.2">
      <c r="A822">
        <v>20000531</v>
      </c>
      <c r="B822">
        <v>2000</v>
      </c>
      <c r="C822">
        <v>5</v>
      </c>
      <c r="D822" s="2">
        <f>ff_portfolios25!D822-ff_factors!$E822</f>
        <v>-0.14480300000000002</v>
      </c>
      <c r="E822" s="2">
        <f>ff_portfolios25!E822-ff_factors!$E822</f>
        <v>-0.1018</v>
      </c>
      <c r="F822" s="2">
        <f>ff_portfolios25!F822-ff_factors!$E822</f>
        <v>-5.2600000000000001E-2</v>
      </c>
      <c r="G822" s="2">
        <f>ff_portfolios25!G822-ff_factors!$E822</f>
        <v>-8.535100000000001E-2</v>
      </c>
      <c r="H822" s="2">
        <f>ff_portfolios25!H822-ff_factors!$E822</f>
        <v>-7.2169000000000011E-2</v>
      </c>
      <c r="I822" s="2">
        <f>ff_portfolios25!I822-ff_factors!$E822</f>
        <v>-0.10705300000000001</v>
      </c>
      <c r="J822" s="2">
        <f>ff_portfolios25!J822-ff_factors!$E822</f>
        <v>-5.3942999999999998E-2</v>
      </c>
      <c r="K822" s="2">
        <f>ff_portfolios25!K822-ff_factors!$E822</f>
        <v>-6.447E-2</v>
      </c>
      <c r="L822" s="2">
        <f>ff_portfolios25!L822-ff_factors!$E822</f>
        <v>-8.0208000000000002E-2</v>
      </c>
      <c r="M822" s="2">
        <f>ff_portfolios25!M822-ff_factors!$E822</f>
        <v>-1.4005E-2</v>
      </c>
      <c r="N822" s="2">
        <f>ff_portfolios25!N822-ff_factors!$E822</f>
        <v>-5.4321999999999995E-2</v>
      </c>
      <c r="O822" s="2">
        <f>ff_portfolios25!O822-ff_factors!$E822</f>
        <v>-4.0573999999999999E-2</v>
      </c>
      <c r="P822" s="2">
        <f>ff_portfolios25!P822-ff_factors!$E822</f>
        <v>-1.5858000000000001E-2</v>
      </c>
      <c r="Q822" s="2">
        <f>ff_portfolios25!Q822-ff_factors!$E822</f>
        <v>-9.1460000000000014E-3</v>
      </c>
      <c r="R822" s="2">
        <f>ff_portfolios25!R822-ff_factors!$E822</f>
        <v>1.9643999999999998E-2</v>
      </c>
      <c r="S822" s="2">
        <f>ff_portfolios25!S822-ff_factors!$E822</f>
        <v>-8.2604000000000011E-2</v>
      </c>
      <c r="T822" s="2">
        <f>ff_portfolios25!T822-ff_factors!$E822</f>
        <v>7.1740000000000007E-3</v>
      </c>
      <c r="U822" s="2">
        <f>ff_portfolios25!U822-ff_factors!$E822</f>
        <v>-2.3499000000000003E-2</v>
      </c>
      <c r="V822" s="2">
        <f>ff_portfolios25!V822-ff_factors!$E822</f>
        <v>-4.4279999999999996E-3</v>
      </c>
      <c r="W822" s="2">
        <f>ff_portfolios25!W822-ff_factors!$E822</f>
        <v>-3.6420000000000003E-3</v>
      </c>
      <c r="X822" s="2">
        <f>ff_portfolios25!X822-ff_factors!$E822</f>
        <v>-4.2171999999999994E-2</v>
      </c>
      <c r="Y822" s="2">
        <f>ff_portfolios25!Y822-ff_factors!$E822</f>
        <v>-3.591E-3</v>
      </c>
      <c r="Z822" s="2">
        <f>ff_portfolios25!Z822-ff_factors!$E822</f>
        <v>3.7558000000000001E-2</v>
      </c>
      <c r="AA822" s="2">
        <f>ff_portfolios25!AA822-ff_factors!$E822</f>
        <v>-4.0100000000000031E-4</v>
      </c>
      <c r="AB822" s="2">
        <f>ff_portfolios25!AB822-ff_factors!$E822</f>
        <v>-5.2118999999999999E-2</v>
      </c>
    </row>
    <row r="823" spans="1:28" x14ac:dyDescent="0.2">
      <c r="A823">
        <v>20000630</v>
      </c>
      <c r="B823">
        <v>2000</v>
      </c>
      <c r="C823">
        <v>6</v>
      </c>
      <c r="D823" s="2">
        <f>ff_portfolios25!D823-ff_factors!$E823</f>
        <v>0.29541000000000001</v>
      </c>
      <c r="E823" s="2">
        <f>ff_portfolios25!E823-ff_factors!$E823</f>
        <v>0.26606099999999999</v>
      </c>
      <c r="F823" s="2">
        <f>ff_portfolios25!F823-ff_factors!$E823</f>
        <v>0.16977600000000001</v>
      </c>
      <c r="G823" s="2">
        <f>ff_portfolios25!G823-ff_factors!$E823</f>
        <v>0.17919599999999999</v>
      </c>
      <c r="H823" s="2">
        <f>ff_portfolios25!H823-ff_factors!$E823</f>
        <v>0.10266699999999999</v>
      </c>
      <c r="I823" s="2">
        <f>ff_portfolios25!I823-ff_factors!$E823</f>
        <v>0.136875</v>
      </c>
      <c r="J823" s="2">
        <f>ff_portfolios25!J823-ff_factors!$E823</f>
        <v>0.105986</v>
      </c>
      <c r="K823" s="2">
        <f>ff_portfolios25!K823-ff_factors!$E823</f>
        <v>3.5754999999999995E-2</v>
      </c>
      <c r="L823" s="2">
        <f>ff_portfolios25!L823-ff_factors!$E823</f>
        <v>4.4658000000000003E-2</v>
      </c>
      <c r="M823" s="2">
        <f>ff_portfolios25!M823-ff_factors!$E823</f>
        <v>8.9165999999999995E-2</v>
      </c>
      <c r="N823" s="2">
        <f>ff_portfolios25!N823-ff_factors!$E823</f>
        <v>0.14906700000000001</v>
      </c>
      <c r="O823" s="2">
        <f>ff_portfolios25!O823-ff_factors!$E823</f>
        <v>1.1408E-2</v>
      </c>
      <c r="P823" s="2">
        <f>ff_portfolios25!P823-ff_factors!$E823</f>
        <v>-1.1900000000000018E-4</v>
      </c>
      <c r="Q823" s="2">
        <f>ff_portfolios25!Q823-ff_factors!$E823</f>
        <v>-1.3823999999999999E-2</v>
      </c>
      <c r="R823" s="2">
        <f>ff_portfolios25!R823-ff_factors!$E823</f>
        <v>2.0135E-2</v>
      </c>
      <c r="S823" s="2">
        <f>ff_portfolios25!S823-ff_factors!$E823</f>
        <v>0.10561999999999999</v>
      </c>
      <c r="T823" s="2">
        <f>ff_portfolios25!T823-ff_factors!$E823</f>
        <v>2.402E-2</v>
      </c>
      <c r="U823" s="2">
        <f>ff_portfolios25!U823-ff_factors!$E823</f>
        <v>-3.8014999999999993E-2</v>
      </c>
      <c r="V823" s="2">
        <f>ff_portfolios25!V823-ff_factors!$E823</f>
        <v>-3.6935999999999997E-2</v>
      </c>
      <c r="W823" s="2">
        <f>ff_portfolios25!W823-ff_factors!$E823</f>
        <v>-4.8180000000000001E-2</v>
      </c>
      <c r="X823" s="2">
        <f>ff_portfolios25!X823-ff_factors!$E823</f>
        <v>5.4572999999999997E-2</v>
      </c>
      <c r="Y823" s="2">
        <f>ff_portfolios25!Y823-ff_factors!$E823</f>
        <v>-4.6138999999999999E-2</v>
      </c>
      <c r="Z823" s="2">
        <f>ff_portfolios25!Z823-ff_factors!$E823</f>
        <v>-7.9305E-2</v>
      </c>
      <c r="AA823" s="2">
        <f>ff_portfolios25!AA823-ff_factors!$E823</f>
        <v>-8.9470000000000008E-2</v>
      </c>
      <c r="AB823" s="2">
        <f>ff_portfolios25!AB823-ff_factors!$E823</f>
        <v>-8.1356999999999999E-2</v>
      </c>
    </row>
    <row r="824" spans="1:28" x14ac:dyDescent="0.2">
      <c r="A824">
        <v>20000731</v>
      </c>
      <c r="B824">
        <v>2000</v>
      </c>
      <c r="C824">
        <v>7</v>
      </c>
      <c r="D824" s="2">
        <f>ff_portfolios25!D824-ff_factors!$E824</f>
        <v>-9.1368999999999992E-2</v>
      </c>
      <c r="E824" s="2">
        <f>ff_portfolios25!E824-ff_factors!$E824</f>
        <v>-1.7044E-2</v>
      </c>
      <c r="F824" s="2">
        <f>ff_portfolios25!F824-ff_factors!$E824</f>
        <v>2.7470000000000003E-3</v>
      </c>
      <c r="G824" s="2">
        <f>ff_portfolios25!G824-ff_factors!$E824</f>
        <v>7.8280000000000016E-3</v>
      </c>
      <c r="H824" s="2">
        <f>ff_portfolios25!H824-ff_factors!$E824</f>
        <v>8.9219999999999994E-3</v>
      </c>
      <c r="I824" s="2">
        <f>ff_portfolios25!I824-ff_factors!$E824</f>
        <v>-8.1683000000000006E-2</v>
      </c>
      <c r="J824" s="2">
        <f>ff_portfolios25!J824-ff_factors!$E824</f>
        <v>-1.5209E-2</v>
      </c>
      <c r="K824" s="2">
        <f>ff_portfolios25!K824-ff_factors!$E824</f>
        <v>1.1273000000000002E-2</v>
      </c>
      <c r="L824" s="2">
        <f>ff_portfolios25!L824-ff_factors!$E824</f>
        <v>4.2760000000000012E-3</v>
      </c>
      <c r="M824" s="2">
        <f>ff_portfolios25!M824-ff_factors!$E824</f>
        <v>1.6804000000000003E-2</v>
      </c>
      <c r="N824" s="2">
        <f>ff_portfolios25!N824-ff_factors!$E824</f>
        <v>-0.107997</v>
      </c>
      <c r="O824" s="2">
        <f>ff_portfolios25!O824-ff_factors!$E824</f>
        <v>-1.2140999999999999E-2</v>
      </c>
      <c r="P824" s="2">
        <f>ff_portfolios25!P824-ff_factors!$E824</f>
        <v>2.7066E-2</v>
      </c>
      <c r="Q824" s="2">
        <f>ff_portfolios25!Q824-ff_factors!$E824</f>
        <v>3.5326000000000003E-2</v>
      </c>
      <c r="R824" s="2">
        <f>ff_portfolios25!R824-ff_factors!$E824</f>
        <v>7.8868999999999995E-2</v>
      </c>
      <c r="S824" s="2">
        <f>ff_portfolios25!S824-ff_factors!$E824</f>
        <v>-7.5610999999999998E-2</v>
      </c>
      <c r="T824" s="2">
        <f>ff_portfolios25!T824-ff_factors!$E824</f>
        <v>-1.7169E-2</v>
      </c>
      <c r="U824" s="2">
        <f>ff_portfolios25!U824-ff_factors!$E824</f>
        <v>2.5174000000000002E-2</v>
      </c>
      <c r="V824" s="2">
        <f>ff_portfolios25!V824-ff_factors!$E824</f>
        <v>2.8729000000000005E-2</v>
      </c>
      <c r="W824" s="2">
        <f>ff_portfolios25!W824-ff_factors!$E824</f>
        <v>8.0430000000000015E-3</v>
      </c>
      <c r="X824" s="2">
        <f>ff_portfolios25!X824-ff_factors!$E824</f>
        <v>-3.4440999999999999E-2</v>
      </c>
      <c r="Y824" s="2">
        <f>ff_portfolios25!Y824-ff_factors!$E824</f>
        <v>-3.5439999999999994E-3</v>
      </c>
      <c r="Z824" s="2">
        <f>ff_portfolios25!Z824-ff_factors!$E824</f>
        <v>5.2527000000000004E-2</v>
      </c>
      <c r="AA824" s="2">
        <f>ff_portfolios25!AA824-ff_factors!$E824</f>
        <v>7.8024999999999997E-2</v>
      </c>
      <c r="AB824" s="2">
        <f>ff_portfolios25!AB824-ff_factors!$E824</f>
        <v>6.5130000000000006E-3</v>
      </c>
    </row>
    <row r="825" spans="1:28" x14ac:dyDescent="0.2">
      <c r="A825">
        <v>20000831</v>
      </c>
      <c r="B825">
        <v>2000</v>
      </c>
      <c r="C825">
        <v>8</v>
      </c>
      <c r="D825" s="2">
        <f>ff_portfolios25!D825-ff_factors!$E825</f>
        <v>8.7426999999999991E-2</v>
      </c>
      <c r="E825" s="2">
        <f>ff_portfolios25!E825-ff_factors!$E825</f>
        <v>8.0851999999999993E-2</v>
      </c>
      <c r="F825" s="2">
        <f>ff_portfolios25!F825-ff_factors!$E825</f>
        <v>3.4515000000000004E-2</v>
      </c>
      <c r="G825" s="2">
        <f>ff_portfolios25!G825-ff_factors!$E825</f>
        <v>5.0087E-2</v>
      </c>
      <c r="H825" s="2">
        <f>ff_portfolios25!H825-ff_factors!$E825</f>
        <v>4.6261000000000004E-2</v>
      </c>
      <c r="I825" s="2">
        <f>ff_portfolios25!I825-ff_factors!$E825</f>
        <v>7.5323000000000001E-2</v>
      </c>
      <c r="J825" s="2">
        <f>ff_portfolios25!J825-ff_factors!$E825</f>
        <v>3.2308000000000003E-2</v>
      </c>
      <c r="K825" s="2">
        <f>ff_portfolios25!K825-ff_factors!$E825</f>
        <v>4.5302000000000002E-2</v>
      </c>
      <c r="L825" s="2">
        <f>ff_portfolios25!L825-ff_factors!$E825</f>
        <v>5.6396000000000002E-2</v>
      </c>
      <c r="M825" s="2">
        <f>ff_portfolios25!M825-ff_factors!$E825</f>
        <v>6.5063999999999997E-2</v>
      </c>
      <c r="N825" s="2">
        <f>ff_portfolios25!N825-ff_factors!$E825</f>
        <v>8.2264999999999991E-2</v>
      </c>
      <c r="O825" s="2">
        <f>ff_portfolios25!O825-ff_factors!$E825</f>
        <v>8.9062999999999989E-2</v>
      </c>
      <c r="P825" s="2">
        <f>ff_portfolios25!P825-ff_factors!$E825</f>
        <v>6.3878999999999991E-2</v>
      </c>
      <c r="Q825" s="2">
        <f>ff_portfolios25!Q825-ff_factors!$E825</f>
        <v>6.0999000000000005E-2</v>
      </c>
      <c r="R825" s="2">
        <f>ff_portfolios25!R825-ff_factors!$E825</f>
        <v>7.2098999999999996E-2</v>
      </c>
      <c r="S825" s="2">
        <f>ff_portfolios25!S825-ff_factors!$E825</f>
        <v>0.131081</v>
      </c>
      <c r="T825" s="2">
        <f>ff_portfolios25!T825-ff_factors!$E825</f>
        <v>6.1732000000000002E-2</v>
      </c>
      <c r="U825" s="2">
        <f>ff_portfolios25!U825-ff_factors!$E825</f>
        <v>4.6142000000000002E-2</v>
      </c>
      <c r="V825" s="2">
        <f>ff_portfolios25!V825-ff_factors!$E825</f>
        <v>7.0582999999999993E-2</v>
      </c>
      <c r="W825" s="2">
        <f>ff_portfolios25!W825-ff_factors!$E825</f>
        <v>4.9526000000000001E-2</v>
      </c>
      <c r="X825" s="2">
        <f>ff_portfolios25!X825-ff_factors!$E825</f>
        <v>6.937299999999999E-2</v>
      </c>
      <c r="Y825" s="2">
        <f>ff_portfolios25!Y825-ff_factors!$E825</f>
        <v>6.9048999999999999E-2</v>
      </c>
      <c r="Z825" s="2">
        <f>ff_portfolios25!Z825-ff_factors!$E825</f>
        <v>9.6729999999999997E-2</v>
      </c>
      <c r="AA825" s="2">
        <f>ff_portfolios25!AA825-ff_factors!$E825</f>
        <v>1.3781999999999999E-2</v>
      </c>
      <c r="AB825" s="2">
        <f>ff_portfolios25!AB825-ff_factors!$E825</f>
        <v>0.12357099999999999</v>
      </c>
    </row>
    <row r="826" spans="1:28" x14ac:dyDescent="0.2">
      <c r="A826">
        <v>20000929</v>
      </c>
      <c r="B826">
        <v>2000</v>
      </c>
      <c r="C826">
        <v>9</v>
      </c>
      <c r="D826" s="2">
        <f>ff_portfolios25!D826-ff_factors!$E826</f>
        <v>-0.10839399999999999</v>
      </c>
      <c r="E826" s="2">
        <f>ff_portfolios25!E826-ff_factors!$E826</f>
        <v>-1.4563E-2</v>
      </c>
      <c r="F826" s="2">
        <f>ff_portfolios25!F826-ff_factors!$E826</f>
        <v>-4.2810000000000001E-2</v>
      </c>
      <c r="G826" s="2">
        <f>ff_portfolios25!G826-ff_factors!$E826</f>
        <v>-6.2460000000000007E-3</v>
      </c>
      <c r="H826" s="2">
        <f>ff_portfolios25!H826-ff_factors!$E826</f>
        <v>-1.3742000000000001E-2</v>
      </c>
      <c r="I826" s="2">
        <f>ff_portfolios25!I826-ff_factors!$E826</f>
        <v>-5.1605999999999999E-2</v>
      </c>
      <c r="J826" s="2">
        <f>ff_portfolios25!J826-ff_factors!$E826</f>
        <v>-3.4548999999999996E-2</v>
      </c>
      <c r="K826" s="2">
        <f>ff_portfolios25!K826-ff_factors!$E826</f>
        <v>-3.3230000000000004E-3</v>
      </c>
      <c r="L826" s="2">
        <f>ff_portfolios25!L826-ff_factors!$E826</f>
        <v>-1.7118000000000001E-2</v>
      </c>
      <c r="M826" s="2">
        <f>ff_portfolios25!M826-ff_factors!$E826</f>
        <v>-2.7418999999999999E-2</v>
      </c>
      <c r="N826" s="2">
        <f>ff_portfolios25!N826-ff_factors!$E826</f>
        <v>-0.10849500000000001</v>
      </c>
      <c r="O826" s="2">
        <f>ff_portfolios25!O826-ff_factors!$E826</f>
        <v>-3.1461000000000003E-2</v>
      </c>
      <c r="P826" s="2">
        <f>ff_portfolios25!P826-ff_factors!$E826</f>
        <v>1.0809999999999995E-3</v>
      </c>
      <c r="Q826" s="2">
        <f>ff_portfolios25!Q826-ff_factors!$E826</f>
        <v>2.1715999999999999E-2</v>
      </c>
      <c r="R826" s="2">
        <f>ff_portfolios25!R826-ff_factors!$E826</f>
        <v>-1.6847000000000001E-2</v>
      </c>
      <c r="S826" s="2">
        <f>ff_portfolios25!S826-ff_factors!$E826</f>
        <v>-9.9326999999999999E-2</v>
      </c>
      <c r="T826" s="2">
        <f>ff_portfolios25!T826-ff_factors!$E826</f>
        <v>-6.9110000000000005E-3</v>
      </c>
      <c r="U826" s="2">
        <f>ff_portfolios25!U826-ff_factors!$E826</f>
        <v>-1.4058000000000001E-2</v>
      </c>
      <c r="V826" s="2">
        <f>ff_portfolios25!V826-ff_factors!$E826</f>
        <v>2.1448999999999999E-2</v>
      </c>
      <c r="W826" s="2">
        <f>ff_portfolios25!W826-ff_factors!$E826</f>
        <v>-3.6532000000000002E-2</v>
      </c>
      <c r="X826" s="2">
        <f>ff_portfolios25!X826-ff_factors!$E826</f>
        <v>-6.5773999999999999E-2</v>
      </c>
      <c r="Y826" s="2">
        <f>ff_portfolios25!Y826-ff_factors!$E826</f>
        <v>-3.2101000000000005E-2</v>
      </c>
      <c r="Z826" s="2">
        <f>ff_portfolios25!Z826-ff_factors!$E826</f>
        <v>3.8483999999999997E-2</v>
      </c>
      <c r="AA826" s="2">
        <f>ff_portfolios25!AA826-ff_factors!$E826</f>
        <v>6.2877999999999989E-2</v>
      </c>
      <c r="AB826" s="2">
        <f>ff_portfolios25!AB826-ff_factors!$E826</f>
        <v>-4.3228000000000003E-2</v>
      </c>
    </row>
    <row r="827" spans="1:28" x14ac:dyDescent="0.2">
      <c r="A827">
        <v>20001031</v>
      </c>
      <c r="B827">
        <v>2000</v>
      </c>
      <c r="C827">
        <v>10</v>
      </c>
      <c r="D827" s="2">
        <f>ff_portfolios25!D827-ff_factors!$E827</f>
        <v>-0.12538299999999999</v>
      </c>
      <c r="E827" s="2">
        <f>ff_portfolios25!E827-ff_factors!$E827</f>
        <v>-0.110666</v>
      </c>
      <c r="F827" s="2">
        <f>ff_portfolios25!F827-ff_factors!$E827</f>
        <v>-3.0078000000000001E-2</v>
      </c>
      <c r="G827" s="2">
        <f>ff_portfolios25!G827-ff_factors!$E827</f>
        <v>-6.4501000000000003E-2</v>
      </c>
      <c r="H827" s="2">
        <f>ff_portfolios25!H827-ff_factors!$E827</f>
        <v>-4.7586000000000003E-2</v>
      </c>
      <c r="I827" s="2">
        <f>ff_portfolios25!I827-ff_factors!$E827</f>
        <v>-9.6707999999999988E-2</v>
      </c>
      <c r="J827" s="2">
        <f>ff_portfolios25!J827-ff_factors!$E827</f>
        <v>-1.3483999999999999E-2</v>
      </c>
      <c r="K827" s="2">
        <f>ff_portfolios25!K827-ff_factors!$E827</f>
        <v>-1.5401000000000001E-2</v>
      </c>
      <c r="L827" s="2">
        <f>ff_portfolios25!L827-ff_factors!$E827</f>
        <v>-4.2629999999999994E-3</v>
      </c>
      <c r="M827" s="2">
        <f>ff_portfolios25!M827-ff_factors!$E827</f>
        <v>-2.3635E-2</v>
      </c>
      <c r="N827" s="2">
        <f>ff_portfolios25!N827-ff_factors!$E827</f>
        <v>-0.11053099999999999</v>
      </c>
      <c r="O827" s="2">
        <f>ff_portfolios25!O827-ff_factors!$E827</f>
        <v>-2.0265999999999999E-2</v>
      </c>
      <c r="P827" s="2">
        <f>ff_portfolios25!P827-ff_factors!$E827</f>
        <v>-1.9553000000000001E-2</v>
      </c>
      <c r="Q827" s="2">
        <f>ff_portfolios25!Q827-ff_factors!$E827</f>
        <v>-6.6599999999999993E-4</v>
      </c>
      <c r="R827" s="2">
        <f>ff_portfolios25!R827-ff_factors!$E827</f>
        <v>2.2324E-2</v>
      </c>
      <c r="S827" s="2">
        <f>ff_portfolios25!S827-ff_factors!$E827</f>
        <v>-6.1374999999999999E-2</v>
      </c>
      <c r="T827" s="2">
        <f>ff_portfolios25!T827-ff_factors!$E827</f>
        <v>1.2822E-2</v>
      </c>
      <c r="U827" s="2">
        <f>ff_portfolios25!U827-ff_factors!$E827</f>
        <v>2.3474999999999999E-2</v>
      </c>
      <c r="V827" s="2">
        <f>ff_portfolios25!V827-ff_factors!$E827</f>
        <v>-2.4198000000000001E-2</v>
      </c>
      <c r="W827" s="2">
        <f>ff_portfolios25!W827-ff_factors!$E827</f>
        <v>3.6367999999999998E-2</v>
      </c>
      <c r="X827" s="2">
        <f>ff_portfolios25!X827-ff_factors!$E827</f>
        <v>-2.7209000000000001E-2</v>
      </c>
      <c r="Y827" s="2">
        <f>ff_portfolios25!Y827-ff_factors!$E827</f>
        <v>1.2954999999999998E-2</v>
      </c>
      <c r="Z827" s="2">
        <f>ff_portfolios25!Z827-ff_factors!$E827</f>
        <v>-4.5477000000000004E-2</v>
      </c>
      <c r="AA827" s="2">
        <f>ff_portfolios25!AA827-ff_factors!$E827</f>
        <v>3.6006999999999997E-2</v>
      </c>
      <c r="AB827" s="2">
        <f>ff_portfolios25!AB827-ff_factors!$E827</f>
        <v>-3.7109999999999999E-3</v>
      </c>
    </row>
    <row r="828" spans="1:28" x14ac:dyDescent="0.2">
      <c r="A828">
        <v>20001130</v>
      </c>
      <c r="B828">
        <v>2000</v>
      </c>
      <c r="C828">
        <v>11</v>
      </c>
      <c r="D828" s="2">
        <f>ff_portfolios25!D828-ff_factors!$E828</f>
        <v>-0.21401899999999999</v>
      </c>
      <c r="E828" s="2">
        <f>ff_portfolios25!E828-ff_factors!$E828</f>
        <v>-0.1298</v>
      </c>
      <c r="F828" s="2">
        <f>ff_portfolios25!F828-ff_factors!$E828</f>
        <v>-7.1843999999999991E-2</v>
      </c>
      <c r="G828" s="2">
        <f>ff_portfolios25!G828-ff_factors!$E828</f>
        <v>-4.8306000000000002E-2</v>
      </c>
      <c r="H828" s="2">
        <f>ff_portfolios25!H828-ff_factors!$E828</f>
        <v>-4.9947999999999999E-2</v>
      </c>
      <c r="I828" s="2">
        <f>ff_portfolios25!I828-ff_factors!$E828</f>
        <v>-0.18573899999999999</v>
      </c>
      <c r="J828" s="2">
        <f>ff_portfolios25!J828-ff_factors!$E828</f>
        <v>-6.7075999999999997E-2</v>
      </c>
      <c r="K828" s="2">
        <f>ff_portfolios25!K828-ff_factors!$E828</f>
        <v>-3.4289E-2</v>
      </c>
      <c r="L828" s="2">
        <f>ff_portfolios25!L828-ff_factors!$E828</f>
        <v>-4.7001000000000001E-2</v>
      </c>
      <c r="M828" s="2">
        <f>ff_portfolios25!M828-ff_factors!$E828</f>
        <v>-4.2638000000000002E-2</v>
      </c>
      <c r="N828" s="2">
        <f>ff_portfolios25!N828-ff_factors!$E828</f>
        <v>-0.20494899999999999</v>
      </c>
      <c r="O828" s="2">
        <f>ff_portfolios25!O828-ff_factors!$E828</f>
        <v>-7.5967000000000007E-2</v>
      </c>
      <c r="P828" s="2">
        <f>ff_portfolios25!P828-ff_factors!$E828</f>
        <v>-6.2927999999999998E-2</v>
      </c>
      <c r="Q828" s="2">
        <f>ff_portfolios25!Q828-ff_factors!$E828</f>
        <v>1.1739999999999997E-3</v>
      </c>
      <c r="R828" s="2">
        <f>ff_portfolios25!R828-ff_factors!$E828</f>
        <v>1.3492999999999998E-2</v>
      </c>
      <c r="S828" s="2">
        <f>ff_portfolios25!S828-ff_factors!$E828</f>
        <v>-0.190973</v>
      </c>
      <c r="T828" s="2">
        <f>ff_portfolios25!T828-ff_factors!$E828</f>
        <v>-9.691E-3</v>
      </c>
      <c r="U828" s="2">
        <f>ff_portfolios25!U828-ff_factors!$E828</f>
        <v>-1.5550000000000004E-3</v>
      </c>
      <c r="V828" s="2">
        <f>ff_portfolios25!V828-ff_factors!$E828</f>
        <v>1.6306999999999999E-2</v>
      </c>
      <c r="W828" s="2">
        <f>ff_portfolios25!W828-ff_factors!$E828</f>
        <v>-1.5461000000000001E-2</v>
      </c>
      <c r="X828" s="2">
        <f>ff_portfolios25!X828-ff_factors!$E828</f>
        <v>-0.11119300000000001</v>
      </c>
      <c r="Y828" s="2">
        <f>ff_portfolios25!Y828-ff_factors!$E828</f>
        <v>-6.1644999999999998E-2</v>
      </c>
      <c r="Z828" s="2">
        <f>ff_portfolios25!Z828-ff_factors!$E828</f>
        <v>-5.5191999999999998E-2</v>
      </c>
      <c r="AA828" s="2">
        <f>ff_portfolios25!AA828-ff_factors!$E828</f>
        <v>-2.3050000000000001E-2</v>
      </c>
      <c r="AB828" s="2">
        <f>ff_portfolios25!AB828-ff_factors!$E828</f>
        <v>-6.3613000000000003E-2</v>
      </c>
    </row>
    <row r="829" spans="1:28" x14ac:dyDescent="0.2">
      <c r="A829">
        <v>20001229</v>
      </c>
      <c r="B829">
        <v>2000</v>
      </c>
      <c r="C829">
        <v>12</v>
      </c>
      <c r="D829" s="2">
        <f>ff_portfolios25!D829-ff_factors!$E829</f>
        <v>-0.10169800000000001</v>
      </c>
      <c r="E829" s="2">
        <f>ff_portfolios25!E829-ff_factors!$E829</f>
        <v>8.9990000000000001E-3</v>
      </c>
      <c r="F829" s="2">
        <f>ff_portfolios25!F829-ff_factors!$E829</f>
        <v>-3.4200000000000003E-3</v>
      </c>
      <c r="G829" s="2">
        <f>ff_portfolios25!G829-ff_factors!$E829</f>
        <v>3.2002000000000003E-2</v>
      </c>
      <c r="H829" s="2">
        <f>ff_portfolios25!H829-ff_factors!$E829</f>
        <v>2.2253999999999999E-2</v>
      </c>
      <c r="I829" s="2">
        <f>ff_portfolios25!I829-ff_factors!$E829</f>
        <v>-8.0890000000000007E-3</v>
      </c>
      <c r="J829" s="2">
        <f>ff_portfolios25!J829-ff_factors!$E829</f>
        <v>7.2336999999999999E-2</v>
      </c>
      <c r="K829" s="2">
        <f>ff_portfolios25!K829-ff_factors!$E829</f>
        <v>0.12018599999999999</v>
      </c>
      <c r="L829" s="2">
        <f>ff_portfolios25!L829-ff_factors!$E829</f>
        <v>9.7629999999999995E-2</v>
      </c>
      <c r="M829" s="2">
        <f>ff_portfolios25!M829-ff_factors!$E829</f>
        <v>0.115566</v>
      </c>
      <c r="N829" s="2">
        <f>ff_portfolios25!N829-ff_factors!$E829</f>
        <v>2.3996E-2</v>
      </c>
      <c r="O829" s="2">
        <f>ff_portfolios25!O829-ff_factors!$E829</f>
        <v>0.13014000000000001</v>
      </c>
      <c r="P829" s="2">
        <f>ff_portfolios25!P829-ff_factors!$E829</f>
        <v>0.10743</v>
      </c>
      <c r="Q829" s="2">
        <f>ff_portfolios25!Q829-ff_factors!$E829</f>
        <v>0.13113</v>
      </c>
      <c r="R829" s="2">
        <f>ff_portfolios25!R829-ff_factors!$E829</f>
        <v>9.4394999999999993E-2</v>
      </c>
      <c r="S829" s="2">
        <f>ff_portfolios25!S829-ff_factors!$E829</f>
        <v>4.1031000000000005E-2</v>
      </c>
      <c r="T829" s="2">
        <f>ff_portfolios25!T829-ff_factors!$E829</f>
        <v>8.9741000000000001E-2</v>
      </c>
      <c r="U829" s="2">
        <f>ff_portfolios25!U829-ff_factors!$E829</f>
        <v>0.10178999999999999</v>
      </c>
      <c r="V829" s="2">
        <f>ff_portfolios25!V829-ff_factors!$E829</f>
        <v>0.110583</v>
      </c>
      <c r="W829" s="2">
        <f>ff_portfolios25!W829-ff_factors!$E829</f>
        <v>0.15457599999999999</v>
      </c>
      <c r="X829" s="2">
        <f>ff_portfolios25!X829-ff_factors!$E829</f>
        <v>-1.8152000000000001E-2</v>
      </c>
      <c r="Y829" s="2">
        <f>ff_portfolios25!Y829-ff_factors!$E829</f>
        <v>7.6697000000000001E-2</v>
      </c>
      <c r="Z829" s="2">
        <f>ff_portfolios25!Z829-ff_factors!$E829</f>
        <v>6.8413999999999989E-2</v>
      </c>
      <c r="AA829" s="2">
        <f>ff_portfolios25!AA829-ff_factors!$E829</f>
        <v>6.7622999999999989E-2</v>
      </c>
      <c r="AB829" s="2">
        <f>ff_portfolios25!AB829-ff_factors!$E829</f>
        <v>5.6040000000000005E-3</v>
      </c>
    </row>
    <row r="830" spans="1:28" x14ac:dyDescent="0.2">
      <c r="A830">
        <v>20010131</v>
      </c>
      <c r="B830">
        <v>2001</v>
      </c>
      <c r="C830">
        <v>1</v>
      </c>
      <c r="D830" s="2">
        <f>ff_portfolios25!D830-ff_factors!$E830</f>
        <v>0.26437499999999997</v>
      </c>
      <c r="E830" s="2">
        <f>ff_portfolios25!E830-ff_factors!$E830</f>
        <v>0.166634</v>
      </c>
      <c r="F830" s="2">
        <f>ff_portfolios25!F830-ff_factors!$E830</f>
        <v>0.135017</v>
      </c>
      <c r="G830" s="2">
        <f>ff_portfolios25!G830-ff_factors!$E830</f>
        <v>0.11287</v>
      </c>
      <c r="H830" s="2">
        <f>ff_portfolios25!H830-ff_factors!$E830</f>
        <v>0.12550900000000001</v>
      </c>
      <c r="I830" s="2">
        <f>ff_portfolios25!I830-ff_factors!$E830</f>
        <v>0.14477700000000002</v>
      </c>
      <c r="J830" s="2">
        <f>ff_portfolios25!J830-ff_factors!$E830</f>
        <v>7.6299999999999993E-2</v>
      </c>
      <c r="K830" s="2">
        <f>ff_portfolios25!K830-ff_factors!$E830</f>
        <v>3.7662999999999995E-2</v>
      </c>
      <c r="L830" s="2">
        <f>ff_portfolios25!L830-ff_factors!$E830</f>
        <v>4.9748999999999995E-2</v>
      </c>
      <c r="M830" s="2">
        <f>ff_portfolios25!M830-ff_factors!$E830</f>
        <v>5.1343E-2</v>
      </c>
      <c r="N830" s="2">
        <f>ff_portfolios25!N830-ff_factors!$E830</f>
        <v>0.122712</v>
      </c>
      <c r="O830" s="2">
        <f>ff_portfolios25!O830-ff_factors!$E830</f>
        <v>2.2642999999999996E-2</v>
      </c>
      <c r="P830" s="2">
        <f>ff_portfolios25!P830-ff_factors!$E830</f>
        <v>-8.123E-3</v>
      </c>
      <c r="Q830" s="2">
        <f>ff_portfolios25!Q830-ff_factors!$E830</f>
        <v>-2.1928000000000003E-2</v>
      </c>
      <c r="R830" s="2">
        <f>ff_portfolios25!R830-ff_factors!$E830</f>
        <v>2.7664999999999995E-2</v>
      </c>
      <c r="S830" s="2">
        <f>ff_portfolios25!S830-ff_factors!$E830</f>
        <v>6.5384999999999999E-2</v>
      </c>
      <c r="T830" s="2">
        <f>ff_portfolios25!T830-ff_factors!$E830</f>
        <v>4.468999999999999E-3</v>
      </c>
      <c r="U830" s="2">
        <f>ff_portfolios25!U830-ff_factors!$E830</f>
        <v>-8.94E-3</v>
      </c>
      <c r="V830" s="2">
        <f>ff_portfolios25!V830-ff_factors!$E830</f>
        <v>-3.2969999999999999E-2</v>
      </c>
      <c r="W830" s="2">
        <f>ff_portfolios25!W830-ff_factors!$E830</f>
        <v>2.7453999999999999E-2</v>
      </c>
      <c r="X830" s="2">
        <f>ff_portfolios25!X830-ff_factors!$E830</f>
        <v>2.7249999999999996E-2</v>
      </c>
      <c r="Y830" s="2">
        <f>ff_portfolios25!Y830-ff_factors!$E830</f>
        <v>2.4606000000000003E-2</v>
      </c>
      <c r="Z830" s="2">
        <f>ff_portfolios25!Z830-ff_factors!$E830</f>
        <v>3.2473999999999996E-2</v>
      </c>
      <c r="AA830" s="2">
        <f>ff_portfolios25!AA830-ff_factors!$E830</f>
        <v>-1.6750000000000001E-2</v>
      </c>
      <c r="AB830" s="2">
        <f>ff_portfolios25!AB830-ff_factors!$E830</f>
        <v>2.3583E-2</v>
      </c>
    </row>
    <row r="831" spans="1:28" x14ac:dyDescent="0.2">
      <c r="A831">
        <v>20010228</v>
      </c>
      <c r="B831">
        <v>2001</v>
      </c>
      <c r="C831">
        <v>2</v>
      </c>
      <c r="D831" s="2">
        <f>ff_portfolios25!D831-ff_factors!$E831</f>
        <v>-0.14108999999999999</v>
      </c>
      <c r="E831" s="2">
        <f>ff_portfolios25!E831-ff_factors!$E831</f>
        <v>-9.5766999999999991E-2</v>
      </c>
      <c r="F831" s="2">
        <f>ff_portfolios25!F831-ff_factors!$E831</f>
        <v>-2.1820000000000003E-2</v>
      </c>
      <c r="G831" s="2">
        <f>ff_portfolios25!G831-ff_factors!$E831</f>
        <v>8.1099999999999966E-4</v>
      </c>
      <c r="H831" s="2">
        <f>ff_portfolios25!H831-ff_factors!$E831</f>
        <v>-6.1410000000000006E-3</v>
      </c>
      <c r="I831" s="2">
        <f>ff_portfolios25!I831-ff_factors!$E831</f>
        <v>-0.14194000000000001</v>
      </c>
      <c r="J831" s="2">
        <f>ff_portfolios25!J831-ff_factors!$E831</f>
        <v>-2.7839000000000003E-2</v>
      </c>
      <c r="K831" s="2">
        <f>ff_portfolios25!K831-ff_factors!$E831</f>
        <v>-1.7503000000000001E-2</v>
      </c>
      <c r="L831" s="2">
        <f>ff_portfolios25!L831-ff_factors!$E831</f>
        <v>-2.3810000000000001E-2</v>
      </c>
      <c r="M831" s="2">
        <f>ff_portfolios25!M831-ff_factors!$E831</f>
        <v>1.9598999999999998E-2</v>
      </c>
      <c r="N831" s="2">
        <f>ff_portfolios25!N831-ff_factors!$E831</f>
        <v>-0.17713000000000001</v>
      </c>
      <c r="O831" s="2">
        <f>ff_portfolios25!O831-ff_factors!$E831</f>
        <v>-4.2069999999999996E-2</v>
      </c>
      <c r="P831" s="2">
        <f>ff_portfolios25!P831-ff_factors!$E831</f>
        <v>-7.8399999999999997E-3</v>
      </c>
      <c r="Q831" s="2">
        <f>ff_portfolios25!Q831-ff_factors!$E831</f>
        <v>8.3890000000000006E-3</v>
      </c>
      <c r="R831" s="2">
        <f>ff_portfolios25!R831-ff_factors!$E831</f>
        <v>2.4909999999999997E-3</v>
      </c>
      <c r="S831" s="2">
        <f>ff_portfolios25!S831-ff_factors!$E831</f>
        <v>-0.15279200000000001</v>
      </c>
      <c r="T831" s="2">
        <f>ff_portfolios25!T831-ff_factors!$E831</f>
        <v>-2.8627E-2</v>
      </c>
      <c r="U831" s="2">
        <f>ff_portfolios25!U831-ff_factors!$E831</f>
        <v>-1.2330000000000002E-3</v>
      </c>
      <c r="V831" s="2">
        <f>ff_portfolios25!V831-ff_factors!$E831</f>
        <v>1.9879999999999997E-3</v>
      </c>
      <c r="W831" s="2">
        <f>ff_portfolios25!W831-ff_factors!$E831</f>
        <v>3.0320000000000004E-3</v>
      </c>
      <c r="X831" s="2">
        <f>ff_portfolios25!X831-ff_factors!$E831</f>
        <v>-0.123641</v>
      </c>
      <c r="Y831" s="2">
        <f>ff_portfolios25!Y831-ff_factors!$E831</f>
        <v>-3.2613999999999997E-2</v>
      </c>
      <c r="Z831" s="2">
        <f>ff_portfolios25!Z831-ff_factors!$E831</f>
        <v>-1.0869999999999999E-2</v>
      </c>
      <c r="AA831" s="2">
        <f>ff_portfolios25!AA831-ff_factors!$E831</f>
        <v>2.4686E-2</v>
      </c>
      <c r="AB831" s="2">
        <f>ff_portfolios25!AB831-ff_factors!$E831</f>
        <v>2.7502000000000002E-2</v>
      </c>
    </row>
    <row r="832" spans="1:28" x14ac:dyDescent="0.2">
      <c r="A832">
        <v>20010330</v>
      </c>
      <c r="B832">
        <v>2001</v>
      </c>
      <c r="C832">
        <v>3</v>
      </c>
      <c r="D832" s="2">
        <f>ff_portfolios25!D832-ff_factors!$E832</f>
        <v>-0.126274</v>
      </c>
      <c r="E832" s="2">
        <f>ff_portfolios25!E832-ff_factors!$E832</f>
        <v>-1.5809E-2</v>
      </c>
      <c r="F832" s="2">
        <f>ff_portfolios25!F832-ff_factors!$E832</f>
        <v>-1.6012999999999999E-2</v>
      </c>
      <c r="G832" s="2">
        <f>ff_portfolios25!G832-ff_factors!$E832</f>
        <v>-5.3359999999999996E-3</v>
      </c>
      <c r="H832" s="2">
        <f>ff_portfolios25!H832-ff_factors!$E832</f>
        <v>-2.2402999999999999E-2</v>
      </c>
      <c r="I832" s="2">
        <f>ff_portfolios25!I832-ff_factors!$E832</f>
        <v>-6.0500000000000005E-2</v>
      </c>
      <c r="J832" s="2">
        <f>ff_portfolios25!J832-ff_factors!$E832</f>
        <v>-9.8139999999999998E-3</v>
      </c>
      <c r="K832" s="2">
        <f>ff_portfolios25!K832-ff_factors!$E832</f>
        <v>-2.9807999999999998E-2</v>
      </c>
      <c r="L832" s="2">
        <f>ff_portfolios25!L832-ff_factors!$E832</f>
        <v>-1.6562E-2</v>
      </c>
      <c r="M832" s="2">
        <f>ff_portfolios25!M832-ff_factors!$E832</f>
        <v>-1.6478E-2</v>
      </c>
      <c r="N832" s="2">
        <f>ff_portfolios25!N832-ff_factors!$E832</f>
        <v>-0.12074299999999999</v>
      </c>
      <c r="O832" s="2">
        <f>ff_portfolios25!O832-ff_factors!$E832</f>
        <v>-4.8984E-2</v>
      </c>
      <c r="P832" s="2">
        <f>ff_portfolios25!P832-ff_factors!$E832</f>
        <v>-3.8202E-2</v>
      </c>
      <c r="Q832" s="2">
        <f>ff_portfolios25!Q832-ff_factors!$E832</f>
        <v>-4.0940000000000004E-2</v>
      </c>
      <c r="R832" s="2">
        <f>ff_portfolios25!R832-ff_factors!$E832</f>
        <v>3.0400000000000002E-3</v>
      </c>
      <c r="S832" s="2">
        <f>ff_portfolios25!S832-ff_factors!$E832</f>
        <v>-0.11764799999999999</v>
      </c>
      <c r="T832" s="2">
        <f>ff_portfolios25!T832-ff_factors!$E832</f>
        <v>-3.5244999999999999E-2</v>
      </c>
      <c r="U832" s="2">
        <f>ff_portfolios25!U832-ff_factors!$E832</f>
        <v>-2.4742999999999998E-2</v>
      </c>
      <c r="V832" s="2">
        <f>ff_portfolios25!V832-ff_factors!$E832</f>
        <v>-9.4659999999999987E-3</v>
      </c>
      <c r="W832" s="2">
        <f>ff_portfolios25!W832-ff_factors!$E832</f>
        <v>-1.9835999999999999E-2</v>
      </c>
      <c r="X832" s="2">
        <f>ff_portfolios25!X832-ff_factors!$E832</f>
        <v>-8.9422999999999989E-2</v>
      </c>
      <c r="Y832" s="2">
        <f>ff_portfolios25!Y832-ff_factors!$E832</f>
        <v>-2.8430999999999998E-2</v>
      </c>
      <c r="Z832" s="2">
        <f>ff_portfolios25!Z832-ff_factors!$E832</f>
        <v>-7.8059999999999996E-3</v>
      </c>
      <c r="AA832" s="2">
        <f>ff_portfolios25!AA832-ff_factors!$E832</f>
        <v>-1.6021999999999998E-2</v>
      </c>
      <c r="AB832" s="2">
        <f>ff_portfolios25!AB832-ff_factors!$E832</f>
        <v>-3.3925000000000004E-2</v>
      </c>
    </row>
    <row r="833" spans="1:28" x14ac:dyDescent="0.2">
      <c r="A833">
        <v>20010430</v>
      </c>
      <c r="B833">
        <v>2001</v>
      </c>
      <c r="C833">
        <v>4</v>
      </c>
      <c r="D833" s="2">
        <f>ff_portfolios25!D833-ff_factors!$E833</f>
        <v>8.5206000000000004E-2</v>
      </c>
      <c r="E833" s="2">
        <f>ff_portfolios25!E833-ff_factors!$E833</f>
        <v>6.6339999999999996E-2</v>
      </c>
      <c r="F833" s="2">
        <f>ff_portfolios25!F833-ff_factors!$E833</f>
        <v>2.1249999999999998E-2</v>
      </c>
      <c r="G833" s="2">
        <f>ff_portfolios25!G833-ff_factors!$E833</f>
        <v>4.539E-2</v>
      </c>
      <c r="H833" s="2">
        <f>ff_portfolios25!H833-ff_factors!$E833</f>
        <v>4.6778E-2</v>
      </c>
      <c r="I833" s="2">
        <f>ff_portfolios25!I833-ff_factors!$E833</f>
        <v>0.10850600000000001</v>
      </c>
      <c r="J833" s="2">
        <f>ff_portfolios25!J833-ff_factors!$E833</f>
        <v>4.5732999999999996E-2</v>
      </c>
      <c r="K833" s="2">
        <f>ff_portfolios25!K833-ff_factors!$E833</f>
        <v>6.6036999999999998E-2</v>
      </c>
      <c r="L833" s="2">
        <f>ff_portfolios25!L833-ff_factors!$E833</f>
        <v>3.9663999999999998E-2</v>
      </c>
      <c r="M833" s="2">
        <f>ff_portfolios25!M833-ff_factors!$E833</f>
        <v>5.0559E-2</v>
      </c>
      <c r="N833" s="2">
        <f>ff_portfolios25!N833-ff_factors!$E833</f>
        <v>0.109836</v>
      </c>
      <c r="O833" s="2">
        <f>ff_portfolios25!O833-ff_factors!$E833</f>
        <v>8.5640999999999995E-2</v>
      </c>
      <c r="P833" s="2">
        <f>ff_portfolios25!P833-ff_factors!$E833</f>
        <v>5.4740999999999998E-2</v>
      </c>
      <c r="Q833" s="2">
        <f>ff_portfolios25!Q833-ff_factors!$E833</f>
        <v>4.3411999999999999E-2</v>
      </c>
      <c r="R833" s="2">
        <f>ff_portfolios25!R833-ff_factors!$E833</f>
        <v>5.7010999999999999E-2</v>
      </c>
      <c r="S833" s="2">
        <f>ff_portfolios25!S833-ff_factors!$E833</f>
        <v>0.15628300000000001</v>
      </c>
      <c r="T833" s="2">
        <f>ff_portfolios25!T833-ff_factors!$E833</f>
        <v>7.3329000000000005E-2</v>
      </c>
      <c r="U833" s="2">
        <f>ff_portfolios25!U833-ff_factors!$E833</f>
        <v>4.4849E-2</v>
      </c>
      <c r="V833" s="2">
        <f>ff_portfolios25!V833-ff_factors!$E833</f>
        <v>7.7367000000000005E-2</v>
      </c>
      <c r="W833" s="2">
        <f>ff_portfolios25!W833-ff_factors!$E833</f>
        <v>7.7040999999999998E-2</v>
      </c>
      <c r="X833" s="2">
        <f>ff_portfolios25!X833-ff_factors!$E833</f>
        <v>8.7210999999999997E-2</v>
      </c>
      <c r="Y833" s="2">
        <f>ff_portfolios25!Y833-ff_factors!$E833</f>
        <v>4.4671999999999996E-2</v>
      </c>
      <c r="Z833" s="2">
        <f>ff_portfolios25!Z833-ff_factors!$E833</f>
        <v>3.2299000000000001E-2</v>
      </c>
      <c r="AA833" s="2">
        <f>ff_portfolios25!AA833-ff_factors!$E833</f>
        <v>2.3177E-2</v>
      </c>
      <c r="AB833" s="2">
        <f>ff_portfolios25!AB833-ff_factors!$E833</f>
        <v>6.2271999999999994E-2</v>
      </c>
    </row>
    <row r="834" spans="1:28" x14ac:dyDescent="0.2">
      <c r="A834">
        <v>20010531</v>
      </c>
      <c r="B834">
        <v>2001</v>
      </c>
      <c r="C834">
        <v>5</v>
      </c>
      <c r="D834" s="2">
        <f>ff_portfolios25!D834-ff_factors!$E834</f>
        <v>0.12623399999999999</v>
      </c>
      <c r="E834" s="2">
        <f>ff_portfolios25!E834-ff_factors!$E834</f>
        <v>0.109778</v>
      </c>
      <c r="F834" s="2">
        <f>ff_portfolios25!F834-ff_factors!$E834</f>
        <v>8.9446999999999999E-2</v>
      </c>
      <c r="G834" s="2">
        <f>ff_portfolios25!G834-ff_factors!$E834</f>
        <v>0.110582</v>
      </c>
      <c r="H834" s="2">
        <f>ff_portfolios25!H834-ff_factors!$E834</f>
        <v>0.10242800000000001</v>
      </c>
      <c r="I834" s="2">
        <f>ff_portfolios25!I834-ff_factors!$E834</f>
        <v>2.1156999999999999E-2</v>
      </c>
      <c r="J834" s="2">
        <f>ff_portfolios25!J834-ff_factors!$E834</f>
        <v>3.6486999999999999E-2</v>
      </c>
      <c r="K834" s="2">
        <f>ff_portfolios25!K834-ff_factors!$E834</f>
        <v>1.8983999999999997E-2</v>
      </c>
      <c r="L834" s="2">
        <f>ff_portfolios25!L834-ff_factors!$E834</f>
        <v>4.5924E-2</v>
      </c>
      <c r="M834" s="2">
        <f>ff_portfolios25!M834-ff_factors!$E834</f>
        <v>4.0057999999999996E-2</v>
      </c>
      <c r="N834" s="2">
        <f>ff_portfolios25!N834-ff_factors!$E834</f>
        <v>4.5801000000000001E-2</v>
      </c>
      <c r="O834" s="2">
        <f>ff_portfolios25!O834-ff_factors!$E834</f>
        <v>-1.0770000000000003E-3</v>
      </c>
      <c r="P834" s="2">
        <f>ff_portfolios25!P834-ff_factors!$E834</f>
        <v>2.8743999999999999E-2</v>
      </c>
      <c r="Q834" s="2">
        <f>ff_portfolios25!Q834-ff_factors!$E834</f>
        <v>3.4849999999999998E-3</v>
      </c>
      <c r="R834" s="2">
        <f>ff_portfolios25!R834-ff_factors!$E834</f>
        <v>1.3507E-2</v>
      </c>
      <c r="S834" s="2">
        <f>ff_portfolios25!S834-ff_factors!$E834</f>
        <v>3.1559999999999998E-2</v>
      </c>
      <c r="T834" s="2">
        <f>ff_portfolios25!T834-ff_factors!$E834</f>
        <v>3.4693999999999996E-2</v>
      </c>
      <c r="U834" s="2">
        <f>ff_portfolios25!U834-ff_factors!$E834</f>
        <v>2.8121E-2</v>
      </c>
      <c r="V834" s="2">
        <f>ff_portfolios25!V834-ff_factors!$E834</f>
        <v>7.6690000000000005E-3</v>
      </c>
      <c r="W834" s="2">
        <f>ff_portfolios25!W834-ff_factors!$E834</f>
        <v>4.1301999999999998E-2</v>
      </c>
      <c r="X834" s="2">
        <f>ff_portfolios25!X834-ff_factors!$E834</f>
        <v>-2.8900000000000002E-3</v>
      </c>
      <c r="Y834" s="2">
        <f>ff_portfolios25!Y834-ff_factors!$E834</f>
        <v>1.4223000000000001E-2</v>
      </c>
      <c r="Z834" s="2">
        <f>ff_portfolios25!Z834-ff_factors!$E834</f>
        <v>2.7413E-2</v>
      </c>
      <c r="AA834" s="2">
        <f>ff_portfolios25!AA834-ff_factors!$E834</f>
        <v>6.7060000000000002E-3</v>
      </c>
      <c r="AB834" s="2">
        <f>ff_portfolios25!AB834-ff_factors!$E834</f>
        <v>4.6199999999999998E-2</v>
      </c>
    </row>
    <row r="835" spans="1:28" x14ac:dyDescent="0.2">
      <c r="A835">
        <v>20010629</v>
      </c>
      <c r="B835">
        <v>2001</v>
      </c>
      <c r="C835">
        <v>6</v>
      </c>
      <c r="D835" s="2">
        <f>ff_portfolios25!D835-ff_factors!$E835</f>
        <v>2.1156000000000001E-2</v>
      </c>
      <c r="E835" s="2">
        <f>ff_portfolios25!E835-ff_factors!$E835</f>
        <v>2.6096999999999999E-2</v>
      </c>
      <c r="F835" s="2">
        <f>ff_portfolios25!F835-ff_factors!$E835</f>
        <v>4.6531000000000003E-2</v>
      </c>
      <c r="G835" s="2">
        <f>ff_portfolios25!G835-ff_factors!$E835</f>
        <v>2.8264000000000001E-2</v>
      </c>
      <c r="H835" s="2">
        <f>ff_portfolios25!H835-ff_factors!$E835</f>
        <v>-1.3729999999999999E-3</v>
      </c>
      <c r="I835" s="2">
        <f>ff_portfolios25!I835-ff_factors!$E835</f>
        <v>6.2876000000000001E-2</v>
      </c>
      <c r="J835" s="2">
        <f>ff_portfolios25!J835-ff_factors!$E835</f>
        <v>9.3234999999999998E-2</v>
      </c>
      <c r="K835" s="2">
        <f>ff_portfolios25!K835-ff_factors!$E835</f>
        <v>6.8578E-2</v>
      </c>
      <c r="L835" s="2">
        <f>ff_portfolios25!L835-ff_factors!$E835</f>
        <v>6.0756000000000004E-2</v>
      </c>
      <c r="M835" s="2">
        <f>ff_portfolios25!M835-ff_factors!$E835</f>
        <v>3.8818000000000005E-2</v>
      </c>
      <c r="N835" s="2">
        <f>ff_portfolios25!N835-ff_factors!$E835</f>
        <v>4.6341E-2</v>
      </c>
      <c r="O835" s="2">
        <f>ff_portfolios25!O835-ff_factors!$E835</f>
        <v>-1.2981000000000001E-2</v>
      </c>
      <c r="P835" s="2">
        <f>ff_portfolios25!P835-ff_factors!$E835</f>
        <v>8.5830000000000004E-3</v>
      </c>
      <c r="Q835" s="2">
        <f>ff_portfolios25!Q835-ff_factors!$E835</f>
        <v>1.4899999999999983E-4</v>
      </c>
      <c r="R835" s="2">
        <f>ff_portfolios25!R835-ff_factors!$E835</f>
        <v>4.8509999999999994E-3</v>
      </c>
      <c r="S835" s="2">
        <f>ff_portfolios25!S835-ff_factors!$E835</f>
        <v>3.3544000000000004E-2</v>
      </c>
      <c r="T835" s="2">
        <f>ff_portfolios25!T835-ff_factors!$E835</f>
        <v>-1.5131E-2</v>
      </c>
      <c r="U835" s="2">
        <f>ff_portfolios25!U835-ff_factors!$E835</f>
        <v>-1.4415000000000001E-2</v>
      </c>
      <c r="V835" s="2">
        <f>ff_portfolios25!V835-ff_factors!$E835</f>
        <v>-3.7423999999999999E-2</v>
      </c>
      <c r="W835" s="2">
        <f>ff_portfolios25!W835-ff_factors!$E835</f>
        <v>2.9135999999999999E-2</v>
      </c>
      <c r="X835" s="2">
        <f>ff_portfolios25!X835-ff_factors!$E835</f>
        <v>-2.5016E-2</v>
      </c>
      <c r="Y835" s="2">
        <f>ff_portfolios25!Y835-ff_factors!$E835</f>
        <v>-4.1384999999999998E-2</v>
      </c>
      <c r="Z835" s="2">
        <f>ff_portfolios25!Z835-ff_factors!$E835</f>
        <v>-4.7289999999999997E-3</v>
      </c>
      <c r="AA835" s="2">
        <f>ff_portfolios25!AA835-ff_factors!$E835</f>
        <v>-2.6051000000000001E-2</v>
      </c>
      <c r="AB835" s="2">
        <f>ff_portfolios25!AB835-ff_factors!$E835</f>
        <v>1.6624E-2</v>
      </c>
    </row>
    <row r="836" spans="1:28" x14ac:dyDescent="0.2">
      <c r="A836">
        <v>20010731</v>
      </c>
      <c r="B836">
        <v>2001</v>
      </c>
      <c r="C836">
        <v>7</v>
      </c>
      <c r="D836" s="2">
        <f>ff_portfolios25!D836-ff_factors!$E836</f>
        <v>-9.6461000000000005E-2</v>
      </c>
      <c r="E836" s="2">
        <f>ff_portfolios25!E836-ff_factors!$E836</f>
        <v>-7.9425000000000009E-2</v>
      </c>
      <c r="F836" s="2">
        <f>ff_portfolios25!F836-ff_factors!$E836</f>
        <v>-2.6471999999999999E-2</v>
      </c>
      <c r="G836" s="2">
        <f>ff_portfolios25!G836-ff_factors!$E836</f>
        <v>-1.0219999999999999E-3</v>
      </c>
      <c r="H836" s="2">
        <f>ff_portfolios25!H836-ff_factors!$E836</f>
        <v>-6.3499999999999997E-3</v>
      </c>
      <c r="I836" s="2">
        <f>ff_portfolios25!I836-ff_factors!$E836</f>
        <v>-0.105434</v>
      </c>
      <c r="J836" s="2">
        <f>ff_portfolios25!J836-ff_factors!$E836</f>
        <v>-7.7938000000000007E-2</v>
      </c>
      <c r="K836" s="2">
        <f>ff_portfolios25!K836-ff_factors!$E836</f>
        <v>-6.8948999999999996E-2</v>
      </c>
      <c r="L836" s="2">
        <f>ff_portfolios25!L836-ff_factors!$E836</f>
        <v>-3.3845E-2</v>
      </c>
      <c r="M836" s="2">
        <f>ff_portfolios25!M836-ff_factors!$E836</f>
        <v>-3.7650000000000003E-2</v>
      </c>
      <c r="N836" s="2">
        <f>ff_portfolios25!N836-ff_factors!$E836</f>
        <v>-9.5165E-2</v>
      </c>
      <c r="O836" s="2">
        <f>ff_portfolios25!O836-ff_factors!$E836</f>
        <v>-4.6159000000000006E-2</v>
      </c>
      <c r="P836" s="2">
        <f>ff_portfolios25!P836-ff_factors!$E836</f>
        <v>-3.2336999999999998E-2</v>
      </c>
      <c r="Q836" s="2">
        <f>ff_portfolios25!Q836-ff_factors!$E836</f>
        <v>-1.0315999999999999E-2</v>
      </c>
      <c r="R836" s="2">
        <f>ff_portfolios25!R836-ff_factors!$E836</f>
        <v>1.7462000000000002E-2</v>
      </c>
      <c r="S836" s="2">
        <f>ff_portfolios25!S836-ff_factors!$E836</f>
        <v>-5.3706000000000004E-2</v>
      </c>
      <c r="T836" s="2">
        <f>ff_portfolios25!T836-ff_factors!$E836</f>
        <v>-1.4561999999999999E-2</v>
      </c>
      <c r="U836" s="2">
        <f>ff_portfolios25!U836-ff_factors!$E836</f>
        <v>7.2369999999999995E-3</v>
      </c>
      <c r="V836" s="2">
        <f>ff_portfolios25!V836-ff_factors!$E836</f>
        <v>1.6480999999999999E-2</v>
      </c>
      <c r="W836" s="2">
        <f>ff_portfolios25!W836-ff_factors!$E836</f>
        <v>-1.0068000000000001E-2</v>
      </c>
      <c r="X836" s="2">
        <f>ff_portfolios25!X836-ff_factors!$E836</f>
        <v>-1.9247999999999998E-2</v>
      </c>
      <c r="Y836" s="2">
        <f>ff_portfolios25!Y836-ff_factors!$E836</f>
        <v>-6.6860000000000001E-3</v>
      </c>
      <c r="Z836" s="2">
        <f>ff_portfolios25!Z836-ff_factors!$E836</f>
        <v>-2.4261999999999999E-2</v>
      </c>
      <c r="AA836" s="2">
        <f>ff_portfolios25!AA836-ff_factors!$E836</f>
        <v>-2.5044999999999998E-2</v>
      </c>
      <c r="AB836" s="2">
        <f>ff_portfolios25!AB836-ff_factors!$E836</f>
        <v>5.1027999999999997E-2</v>
      </c>
    </row>
    <row r="837" spans="1:28" x14ac:dyDescent="0.2">
      <c r="A837">
        <v>20010831</v>
      </c>
      <c r="B837">
        <v>2001</v>
      </c>
      <c r="C837">
        <v>8</v>
      </c>
      <c r="D837" s="2">
        <f>ff_portfolios25!D837-ff_factors!$E837</f>
        <v>-8.5787000000000002E-2</v>
      </c>
      <c r="E837" s="2">
        <f>ff_portfolios25!E837-ff_factors!$E837</f>
        <v>-5.5714E-2</v>
      </c>
      <c r="F837" s="2">
        <f>ff_portfolios25!F837-ff_factors!$E837</f>
        <v>-3.7114999999999995E-2</v>
      </c>
      <c r="G837" s="2">
        <f>ff_portfolios25!G837-ff_factors!$E837</f>
        <v>-1.5782999999999998E-2</v>
      </c>
      <c r="H837" s="2">
        <f>ff_portfolios25!H837-ff_factors!$E837</f>
        <v>-1.3864E-2</v>
      </c>
      <c r="I837" s="2">
        <f>ff_portfolios25!I837-ff_factors!$E837</f>
        <v>-0.103689</v>
      </c>
      <c r="J837" s="2">
        <f>ff_portfolios25!J837-ff_factors!$E837</f>
        <v>-4.6328000000000001E-2</v>
      </c>
      <c r="K837" s="2">
        <f>ff_portfolios25!K837-ff_factors!$E837</f>
        <v>-2.7682999999999999E-2</v>
      </c>
      <c r="L837" s="2">
        <f>ff_portfolios25!L837-ff_factors!$E837</f>
        <v>-1.8137999999999998E-2</v>
      </c>
      <c r="M837" s="2">
        <f>ff_portfolios25!M837-ff_factors!$E837</f>
        <v>-1.5007E-2</v>
      </c>
      <c r="N837" s="2">
        <f>ff_portfolios25!N837-ff_factors!$E837</f>
        <v>-7.6547000000000004E-2</v>
      </c>
      <c r="O837" s="2">
        <f>ff_portfolios25!O837-ff_factors!$E837</f>
        <v>-3.5179000000000002E-2</v>
      </c>
      <c r="P837" s="2">
        <f>ff_portfolios25!P837-ff_factors!$E837</f>
        <v>-3.3758999999999997E-2</v>
      </c>
      <c r="Q837" s="2">
        <f>ff_portfolios25!Q837-ff_factors!$E837</f>
        <v>-1.2183000000000001E-2</v>
      </c>
      <c r="R837" s="2">
        <f>ff_portfolios25!R837-ff_factors!$E837</f>
        <v>-1.7315999999999998E-2</v>
      </c>
      <c r="S837" s="2">
        <f>ff_portfolios25!S837-ff_factors!$E837</f>
        <v>-7.4820999999999999E-2</v>
      </c>
      <c r="T837" s="2">
        <f>ff_portfolios25!T837-ff_factors!$E837</f>
        <v>-4.4556999999999999E-2</v>
      </c>
      <c r="U837" s="2">
        <f>ff_portfolios25!U837-ff_factors!$E837</f>
        <v>-3.5318999999999996E-2</v>
      </c>
      <c r="V837" s="2">
        <f>ff_portfolios25!V837-ff_factors!$E837</f>
        <v>-1.9091999999999998E-2</v>
      </c>
      <c r="W837" s="2">
        <f>ff_portfolios25!W837-ff_factors!$E837</f>
        <v>-0.10773600000000001</v>
      </c>
      <c r="X837" s="2">
        <f>ff_portfolios25!X837-ff_factors!$E837</f>
        <v>-7.5697E-2</v>
      </c>
      <c r="Y837" s="2">
        <f>ff_portfolios25!Y837-ff_factors!$E837</f>
        <v>-4.4858000000000002E-2</v>
      </c>
      <c r="Z837" s="2">
        <f>ff_portfolios25!Z837-ff_factors!$E837</f>
        <v>-3.3891999999999999E-2</v>
      </c>
      <c r="AA837" s="2">
        <f>ff_portfolios25!AA837-ff_factors!$E837</f>
        <v>-8.6621000000000004E-2</v>
      </c>
      <c r="AB837" s="2">
        <f>ff_portfolios25!AB837-ff_factors!$E837</f>
        <v>-8.8145000000000001E-2</v>
      </c>
    </row>
    <row r="838" spans="1:28" x14ac:dyDescent="0.2">
      <c r="A838">
        <v>20010928</v>
      </c>
      <c r="B838">
        <v>2001</v>
      </c>
      <c r="C838">
        <v>9</v>
      </c>
      <c r="D838" s="2">
        <f>ff_portfolios25!D838-ff_factors!$E838</f>
        <v>-0.16228799999999999</v>
      </c>
      <c r="E838" s="2">
        <f>ff_portfolios25!E838-ff_factors!$E838</f>
        <v>-0.154255</v>
      </c>
      <c r="F838" s="2">
        <f>ff_portfolios25!F838-ff_factors!$E838</f>
        <v>-0.103989</v>
      </c>
      <c r="G838" s="2">
        <f>ff_portfolios25!G838-ff_factors!$E838</f>
        <v>-9.6145999999999995E-2</v>
      </c>
      <c r="H838" s="2">
        <f>ff_portfolios25!H838-ff_factors!$E838</f>
        <v>-0.140456</v>
      </c>
      <c r="I838" s="2">
        <f>ff_portfolios25!I838-ff_factors!$E838</f>
        <v>-0.18964</v>
      </c>
      <c r="J838" s="2">
        <f>ff_portfolios25!J838-ff_factors!$E838</f>
        <v>-0.158303</v>
      </c>
      <c r="K838" s="2">
        <f>ff_portfolios25!K838-ff_factors!$E838</f>
        <v>-0.12417499999999999</v>
      </c>
      <c r="L838" s="2">
        <f>ff_portfolios25!L838-ff_factors!$E838</f>
        <v>-0.156333</v>
      </c>
      <c r="M838" s="2">
        <f>ff_portfolios25!M838-ff_factors!$E838</f>
        <v>-0.169487</v>
      </c>
      <c r="N838" s="2">
        <f>ff_portfolios25!N838-ff_factors!$E838</f>
        <v>-0.15842999999999999</v>
      </c>
      <c r="O838" s="2">
        <f>ff_portfolios25!O838-ff_factors!$E838</f>
        <v>-0.133688</v>
      </c>
      <c r="P838" s="2">
        <f>ff_portfolios25!P838-ff_factors!$E838</f>
        <v>-0.124399</v>
      </c>
      <c r="Q838" s="2">
        <f>ff_portfolios25!Q838-ff_factors!$E838</f>
        <v>-0.126829</v>
      </c>
      <c r="R838" s="2">
        <f>ff_portfolios25!R838-ff_factors!$E838</f>
        <v>-0.194689</v>
      </c>
      <c r="S838" s="2">
        <f>ff_portfolios25!S838-ff_factors!$E838</f>
        <v>-0.16913800000000001</v>
      </c>
      <c r="T838" s="2">
        <f>ff_portfolios25!T838-ff_factors!$E838</f>
        <v>-0.133774</v>
      </c>
      <c r="U838" s="2">
        <f>ff_portfolios25!U838-ff_factors!$E838</f>
        <v>-9.9399000000000001E-2</v>
      </c>
      <c r="V838" s="2">
        <f>ff_portfolios25!V838-ff_factors!$E838</f>
        <v>-0.14102200000000001</v>
      </c>
      <c r="W838" s="2">
        <f>ff_portfolios25!W838-ff_factors!$E838</f>
        <v>-0.17799899999999999</v>
      </c>
      <c r="X838" s="2">
        <f>ff_portfolios25!X838-ff_factors!$E838</f>
        <v>-7.7183000000000002E-2</v>
      </c>
      <c r="Y838" s="2">
        <f>ff_portfolios25!Y838-ff_factors!$E838</f>
        <v>-9.0939999999999993E-2</v>
      </c>
      <c r="Z838" s="2">
        <f>ff_portfolios25!Z838-ff_factors!$E838</f>
        <v>-7.467399999999999E-2</v>
      </c>
      <c r="AA838" s="2">
        <f>ff_portfolios25!AA838-ff_factors!$E838</f>
        <v>-0.114303</v>
      </c>
      <c r="AB838" s="2">
        <f>ff_portfolios25!AB838-ff_factors!$E838</f>
        <v>-2.5326999999999999E-2</v>
      </c>
    </row>
    <row r="839" spans="1:28" x14ac:dyDescent="0.2">
      <c r="A839">
        <v>20011031</v>
      </c>
      <c r="B839">
        <v>2001</v>
      </c>
      <c r="C839">
        <v>10</v>
      </c>
      <c r="D839" s="2">
        <f>ff_portfolios25!D839-ff_factors!$E839</f>
        <v>8.8766000000000012E-2</v>
      </c>
      <c r="E839" s="2">
        <f>ff_portfolios25!E839-ff_factors!$E839</f>
        <v>7.1609000000000006E-2</v>
      </c>
      <c r="F839" s="2">
        <f>ff_portfolios25!F839-ff_factors!$E839</f>
        <v>6.6649E-2</v>
      </c>
      <c r="G839" s="2">
        <f>ff_portfolios25!G839-ff_factors!$E839</f>
        <v>4.0015999999999996E-2</v>
      </c>
      <c r="H839" s="2">
        <f>ff_portfolios25!H839-ff_factors!$E839</f>
        <v>4.5465999999999999E-2</v>
      </c>
      <c r="I839" s="2">
        <f>ff_portfolios25!I839-ff_factors!$E839</f>
        <v>0.11629600000000001</v>
      </c>
      <c r="J839" s="2">
        <f>ff_portfolios25!J839-ff_factors!$E839</f>
        <v>8.4997000000000003E-2</v>
      </c>
      <c r="K839" s="2">
        <f>ff_portfolios25!K839-ff_factors!$E839</f>
        <v>4.8172E-2</v>
      </c>
      <c r="L839" s="2">
        <f>ff_portfolios25!L839-ff_factors!$E839</f>
        <v>2.2668000000000001E-2</v>
      </c>
      <c r="M839" s="2">
        <f>ff_portfolios25!M839-ff_factors!$E839</f>
        <v>3.8984999999999999E-2</v>
      </c>
      <c r="N839" s="2">
        <f>ff_portfolios25!N839-ff_factors!$E839</f>
        <v>0.132857</v>
      </c>
      <c r="O839" s="2">
        <f>ff_portfolios25!O839-ff_factors!$E839</f>
        <v>6.2137000000000005E-2</v>
      </c>
      <c r="P839" s="2">
        <f>ff_portfolios25!P839-ff_factors!$E839</f>
        <v>4.0459999999999996E-2</v>
      </c>
      <c r="Q839" s="2">
        <f>ff_portfolios25!Q839-ff_factors!$E839</f>
        <v>3.7527999999999999E-2</v>
      </c>
      <c r="R839" s="2">
        <f>ff_portfolios25!R839-ff_factors!$E839</f>
        <v>9.5566000000000012E-2</v>
      </c>
      <c r="S839" s="2">
        <f>ff_portfolios25!S839-ff_factors!$E839</f>
        <v>8.3069000000000004E-2</v>
      </c>
      <c r="T839" s="2">
        <f>ff_portfolios25!T839-ff_factors!$E839</f>
        <v>3.3292000000000002E-2</v>
      </c>
      <c r="U839" s="2">
        <f>ff_portfolios25!U839-ff_factors!$E839</f>
        <v>6.1139999999999996E-3</v>
      </c>
      <c r="V839" s="2">
        <f>ff_portfolios25!V839-ff_factors!$E839</f>
        <v>3.7071E-2</v>
      </c>
      <c r="W839" s="2">
        <f>ff_portfolios25!W839-ff_factors!$E839</f>
        <v>1.9803999999999999E-2</v>
      </c>
      <c r="X839" s="2">
        <f>ff_portfolios25!X839-ff_factors!$E839</f>
        <v>3.2490999999999999E-2</v>
      </c>
      <c r="Y839" s="2">
        <f>ff_portfolios25!Y839-ff_factors!$E839</f>
        <v>-6.7570000000000009E-3</v>
      </c>
      <c r="Z839" s="2">
        <f>ff_portfolios25!Z839-ff_factors!$E839</f>
        <v>-1.9588000000000001E-2</v>
      </c>
      <c r="AA839" s="2">
        <f>ff_portfolios25!AA839-ff_factors!$E839</f>
        <v>1.1897E-2</v>
      </c>
      <c r="AB839" s="2">
        <f>ff_portfolios25!AB839-ff_factors!$E839</f>
        <v>-0.13458900000000001</v>
      </c>
    </row>
    <row r="840" spans="1:28" x14ac:dyDescent="0.2">
      <c r="A840">
        <v>20011130</v>
      </c>
      <c r="B840">
        <v>2001</v>
      </c>
      <c r="C840">
        <v>11</v>
      </c>
      <c r="D840" s="2">
        <f>ff_portfolios25!D840-ff_factors!$E840</f>
        <v>6.9366000000000011E-2</v>
      </c>
      <c r="E840" s="2">
        <f>ff_portfolios25!E840-ff_factors!$E840</f>
        <v>0.102051</v>
      </c>
      <c r="F840" s="2">
        <f>ff_portfolios25!F840-ff_factors!$E840</f>
        <v>4.3396999999999998E-2</v>
      </c>
      <c r="G840" s="2">
        <f>ff_portfolios25!G840-ff_factors!$E840</f>
        <v>6.1161E-2</v>
      </c>
      <c r="H840" s="2">
        <f>ff_portfolios25!H840-ff_factors!$E840</f>
        <v>6.6240000000000007E-2</v>
      </c>
      <c r="I840" s="2">
        <f>ff_portfolios25!I840-ff_factors!$E840</f>
        <v>0.10336300000000001</v>
      </c>
      <c r="J840" s="2">
        <f>ff_portfolios25!J840-ff_factors!$E840</f>
        <v>8.2552E-2</v>
      </c>
      <c r="K840" s="2">
        <f>ff_portfolios25!K840-ff_factors!$E840</f>
        <v>5.6390000000000003E-2</v>
      </c>
      <c r="L840" s="2">
        <f>ff_portfolios25!L840-ff_factors!$E840</f>
        <v>0.101011</v>
      </c>
      <c r="M840" s="2">
        <f>ff_portfolios25!M840-ff_factors!$E840</f>
        <v>0.11341100000000001</v>
      </c>
      <c r="N840" s="2">
        <f>ff_portfolios25!N840-ff_factors!$E840</f>
        <v>9.7688000000000011E-2</v>
      </c>
      <c r="O840" s="2">
        <f>ff_portfolios25!O840-ff_factors!$E840</f>
        <v>6.3047000000000006E-2</v>
      </c>
      <c r="P840" s="2">
        <f>ff_portfolios25!P840-ff_factors!$E840</f>
        <v>7.054500000000001E-2</v>
      </c>
      <c r="Q840" s="2">
        <f>ff_portfolios25!Q840-ff_factors!$E840</f>
        <v>8.6455000000000004E-2</v>
      </c>
      <c r="R840" s="2">
        <f>ff_portfolios25!R840-ff_factors!$E840</f>
        <v>0.126249</v>
      </c>
      <c r="S840" s="2">
        <f>ff_portfolios25!S840-ff_factors!$E840</f>
        <v>0.104131</v>
      </c>
      <c r="T840" s="2">
        <f>ff_portfolios25!T840-ff_factors!$E840</f>
        <v>9.0327000000000005E-2</v>
      </c>
      <c r="U840" s="2">
        <f>ff_portfolios25!U840-ff_factors!$E840</f>
        <v>6.3291E-2</v>
      </c>
      <c r="V840" s="2">
        <f>ff_portfolios25!V840-ff_factors!$E840</f>
        <v>0.10219200000000001</v>
      </c>
      <c r="W840" s="2">
        <f>ff_portfolios25!W840-ff_factors!$E840</f>
        <v>9.971300000000001E-2</v>
      </c>
      <c r="X840" s="2">
        <f>ff_portfolios25!X840-ff_factors!$E840</f>
        <v>7.7340000000000006E-2</v>
      </c>
      <c r="Y840" s="2">
        <f>ff_portfolios25!Y840-ff_factors!$E840</f>
        <v>5.9478999999999997E-2</v>
      </c>
      <c r="Z840" s="2">
        <f>ff_portfolios25!Z840-ff_factors!$E840</f>
        <v>5.1166000000000003E-2</v>
      </c>
      <c r="AA840" s="2">
        <f>ff_portfolios25!AA840-ff_factors!$E840</f>
        <v>0.10692</v>
      </c>
      <c r="AB840" s="2">
        <f>ff_portfolios25!AB840-ff_factors!$E840</f>
        <v>0.12668199999999999</v>
      </c>
    </row>
    <row r="841" spans="1:28" x14ac:dyDescent="0.2">
      <c r="A841">
        <v>20011231</v>
      </c>
      <c r="B841">
        <v>2001</v>
      </c>
      <c r="C841">
        <v>12</v>
      </c>
      <c r="D841" s="2">
        <f>ff_portfolios25!D841-ff_factors!$E841</f>
        <v>0.12356900000000001</v>
      </c>
      <c r="E841" s="2">
        <f>ff_portfolios25!E841-ff_factors!$E841</f>
        <v>6.9846000000000005E-2</v>
      </c>
      <c r="F841" s="2">
        <f>ff_portfolios25!F841-ff_factors!$E841</f>
        <v>5.7154999999999997E-2</v>
      </c>
      <c r="G841" s="2">
        <f>ff_portfolios25!G841-ff_factors!$E841</f>
        <v>5.5496999999999998E-2</v>
      </c>
      <c r="H841" s="2">
        <f>ff_portfolios25!H841-ff_factors!$E841</f>
        <v>7.0828000000000002E-2</v>
      </c>
      <c r="I841" s="2">
        <f>ff_portfolios25!I841-ff_factors!$E841</f>
        <v>8.1509999999999999E-2</v>
      </c>
      <c r="J841" s="2">
        <f>ff_portfolios25!J841-ff_factors!$E841</f>
        <v>5.5924999999999996E-2</v>
      </c>
      <c r="K841" s="2">
        <f>ff_portfolios25!K841-ff_factors!$E841</f>
        <v>6.8629999999999997E-2</v>
      </c>
      <c r="L841" s="2">
        <f>ff_portfolios25!L841-ff_factors!$E841</f>
        <v>7.7387999999999998E-2</v>
      </c>
      <c r="M841" s="2">
        <f>ff_portfolios25!M841-ff_factors!$E841</f>
        <v>7.4430999999999997E-2</v>
      </c>
      <c r="N841" s="2">
        <f>ff_portfolios25!N841-ff_factors!$E841</f>
        <v>4.9180000000000001E-2</v>
      </c>
      <c r="O841" s="2">
        <f>ff_portfolios25!O841-ff_factors!$E841</f>
        <v>6.0826999999999999E-2</v>
      </c>
      <c r="P841" s="2">
        <f>ff_portfolios25!P841-ff_factors!$E841</f>
        <v>6.6597000000000003E-2</v>
      </c>
      <c r="Q841" s="2">
        <f>ff_portfolios25!Q841-ff_factors!$E841</f>
        <v>5.5059999999999998E-2</v>
      </c>
      <c r="R841" s="2">
        <f>ff_portfolios25!R841-ff_factors!$E841</f>
        <v>7.2757000000000002E-2</v>
      </c>
      <c r="S841" s="2">
        <f>ff_portfolios25!S841-ff_factors!$E841</f>
        <v>3.5399E-2</v>
      </c>
      <c r="T841" s="2">
        <f>ff_portfolios25!T841-ff_factors!$E841</f>
        <v>4.4655E-2</v>
      </c>
      <c r="U841" s="2">
        <f>ff_portfolios25!U841-ff_factors!$E841</f>
        <v>5.8528999999999998E-2</v>
      </c>
      <c r="V841" s="2">
        <f>ff_portfolios25!V841-ff_factors!$E841</f>
        <v>5.0422000000000002E-2</v>
      </c>
      <c r="W841" s="2">
        <f>ff_portfolios25!W841-ff_factors!$E841</f>
        <v>4.1728000000000001E-2</v>
      </c>
      <c r="X841" s="2">
        <f>ff_portfolios25!X841-ff_factors!$E841</f>
        <v>-1.263E-3</v>
      </c>
      <c r="Y841" s="2">
        <f>ff_portfolios25!Y841-ff_factors!$E841</f>
        <v>2.6426999999999999E-2</v>
      </c>
      <c r="Z841" s="2">
        <f>ff_portfolios25!Z841-ff_factors!$E841</f>
        <v>3.3649999999999999E-2</v>
      </c>
      <c r="AA841" s="2">
        <f>ff_portfolios25!AA841-ff_factors!$E841</f>
        <v>-1.3942999999999999E-2</v>
      </c>
      <c r="AB841" s="2">
        <f>ff_portfolios25!AB841-ff_factors!$E841</f>
        <v>1.3429E-2</v>
      </c>
    </row>
    <row r="842" spans="1:28" x14ac:dyDescent="0.2">
      <c r="A842">
        <v>20020131</v>
      </c>
      <c r="B842">
        <v>2002</v>
      </c>
      <c r="C842">
        <v>1</v>
      </c>
      <c r="D842" s="2">
        <f>ff_portfolios25!D842-ff_factors!$E842</f>
        <v>-8.1109000000000001E-2</v>
      </c>
      <c r="E842" s="2">
        <f>ff_portfolios25!E842-ff_factors!$E842</f>
        <v>-1.1729E-2</v>
      </c>
      <c r="F842" s="2">
        <f>ff_portfolios25!F842-ff_factors!$E842</f>
        <v>2.4909000000000001E-2</v>
      </c>
      <c r="G842" s="2">
        <f>ff_portfolios25!G842-ff_factors!$E842</f>
        <v>3.2128000000000004E-2</v>
      </c>
      <c r="H842" s="2">
        <f>ff_portfolios25!H842-ff_factors!$E842</f>
        <v>4.9582000000000001E-2</v>
      </c>
      <c r="I842" s="2">
        <f>ff_portfolios25!I842-ff_factors!$E842</f>
        <v>-6.6647999999999999E-2</v>
      </c>
      <c r="J842" s="2">
        <f>ff_portfolios25!J842-ff_factors!$E842</f>
        <v>-2.5144999999999997E-2</v>
      </c>
      <c r="K842" s="2">
        <f>ff_portfolios25!K842-ff_factors!$E842</f>
        <v>2.5209999999999998E-3</v>
      </c>
      <c r="L842" s="2">
        <f>ff_portfolios25!L842-ff_factors!$E842</f>
        <v>7.9500000000000005E-3</v>
      </c>
      <c r="M842" s="2">
        <f>ff_portfolios25!M842-ff_factors!$E842</f>
        <v>1.2815E-2</v>
      </c>
      <c r="N842" s="2">
        <f>ff_portfolios25!N842-ff_factors!$E842</f>
        <v>-4.9263000000000001E-2</v>
      </c>
      <c r="O842" s="2">
        <f>ff_portfolios25!O842-ff_factors!$E842</f>
        <v>-1.5476999999999999E-2</v>
      </c>
      <c r="P842" s="2">
        <f>ff_portfolios25!P842-ff_factors!$E842</f>
        <v>-1.3175000000000001E-2</v>
      </c>
      <c r="Q842" s="2">
        <f>ff_portfolios25!Q842-ff_factors!$E842</f>
        <v>1.7817000000000003E-2</v>
      </c>
      <c r="R842" s="2">
        <f>ff_portfolios25!R842-ff_factors!$E842</f>
        <v>3.7235999999999998E-2</v>
      </c>
      <c r="S842" s="2">
        <f>ff_portfolios25!S842-ff_factors!$E842</f>
        <v>-3.9130999999999999E-2</v>
      </c>
      <c r="T842" s="2">
        <f>ff_portfolios25!T842-ff_factors!$E842</f>
        <v>-1.0809999999999999E-3</v>
      </c>
      <c r="U842" s="2">
        <f>ff_portfolios25!U842-ff_factors!$E842</f>
        <v>1.5571E-2</v>
      </c>
      <c r="V842" s="2">
        <f>ff_portfolios25!V842-ff_factors!$E842</f>
        <v>2.5876000000000003E-2</v>
      </c>
      <c r="W842" s="2">
        <f>ff_portfolios25!W842-ff_factors!$E842</f>
        <v>-4.2193000000000001E-2</v>
      </c>
      <c r="X842" s="2">
        <f>ff_portfolios25!X842-ff_factors!$E842</f>
        <v>-8.7449999999999993E-3</v>
      </c>
      <c r="Y842" s="2">
        <f>ff_portfolios25!Y842-ff_factors!$E842</f>
        <v>-2.4102999999999999E-2</v>
      </c>
      <c r="Z842" s="2">
        <f>ff_portfolios25!Z842-ff_factors!$E842</f>
        <v>-1.3906E-2</v>
      </c>
      <c r="AA842" s="2">
        <f>ff_portfolios25!AA842-ff_factors!$E842</f>
        <v>-1.1443E-2</v>
      </c>
      <c r="AB842" s="2">
        <f>ff_portfolios25!AB842-ff_factors!$E842</f>
        <v>-6.7754999999999996E-2</v>
      </c>
    </row>
    <row r="843" spans="1:28" x14ac:dyDescent="0.2">
      <c r="A843">
        <v>20020228</v>
      </c>
      <c r="B843">
        <v>2002</v>
      </c>
      <c r="C843">
        <v>2</v>
      </c>
      <c r="D843" s="2">
        <f>ff_portfolios25!D843-ff_factors!$E843</f>
        <v>-0.10436899999999999</v>
      </c>
      <c r="E843" s="2">
        <f>ff_portfolios25!E843-ff_factors!$E843</f>
        <v>-5.9959000000000005E-2</v>
      </c>
      <c r="F843" s="2">
        <f>ff_portfolios25!F843-ff_factors!$E843</f>
        <v>-3.8331000000000004E-2</v>
      </c>
      <c r="G843" s="2">
        <f>ff_portfolios25!G843-ff_factors!$E843</f>
        <v>-1.5438E-2</v>
      </c>
      <c r="H843" s="2">
        <f>ff_portfolios25!H843-ff_factors!$E843</f>
        <v>-3.5317000000000001E-2</v>
      </c>
      <c r="I843" s="2">
        <f>ff_portfolios25!I843-ff_factors!$E843</f>
        <v>-9.8595999999999989E-2</v>
      </c>
      <c r="J843" s="2">
        <f>ff_portfolios25!J843-ff_factors!$E843</f>
        <v>-6.0910000000000006E-2</v>
      </c>
      <c r="K843" s="2">
        <f>ff_portfolios25!K843-ff_factors!$E843</f>
        <v>-6.5750000000000001E-3</v>
      </c>
      <c r="L843" s="2">
        <f>ff_portfolios25!L843-ff_factors!$E843</f>
        <v>1.2723000000000002E-2</v>
      </c>
      <c r="M843" s="2">
        <f>ff_portfolios25!M843-ff_factors!$E843</f>
        <v>-5.0679999999999996E-3</v>
      </c>
      <c r="N843" s="2">
        <f>ff_portfolios25!N843-ff_factors!$E843</f>
        <v>-7.2541999999999995E-2</v>
      </c>
      <c r="O843" s="2">
        <f>ff_portfolios25!O843-ff_factors!$E843</f>
        <v>-9.8099999999999993E-3</v>
      </c>
      <c r="P843" s="2">
        <f>ff_portfolios25!P843-ff_factors!$E843</f>
        <v>-3.764E-3</v>
      </c>
      <c r="Q843" s="2">
        <f>ff_portfolios25!Q843-ff_factors!$E843</f>
        <v>-6.6299999999999996E-4</v>
      </c>
      <c r="R843" s="2">
        <f>ff_portfolios25!R843-ff_factors!$E843</f>
        <v>3.7377999999999995E-2</v>
      </c>
      <c r="S843" s="2">
        <f>ff_portfolios25!S843-ff_factors!$E843</f>
        <v>-4.2634999999999999E-2</v>
      </c>
      <c r="T843" s="2">
        <f>ff_portfolios25!T843-ff_factors!$E843</f>
        <v>1.0484E-2</v>
      </c>
      <c r="U843" s="2">
        <f>ff_portfolios25!U843-ff_factors!$E843</f>
        <v>1.1664000000000001E-2</v>
      </c>
      <c r="V843" s="2">
        <f>ff_portfolios25!V843-ff_factors!$E843</f>
        <v>-2.5888999999999999E-2</v>
      </c>
      <c r="W843" s="2">
        <f>ff_portfolios25!W843-ff_factors!$E843</f>
        <v>3.3842999999999998E-2</v>
      </c>
      <c r="X843" s="2">
        <f>ff_portfolios25!X843-ff_factors!$E843</f>
        <v>-2.8402E-2</v>
      </c>
      <c r="Y843" s="2">
        <f>ff_portfolios25!Y843-ff_factors!$E843</f>
        <v>6.2389999999999998E-3</v>
      </c>
      <c r="Z843" s="2">
        <f>ff_portfolios25!Z843-ff_factors!$E843</f>
        <v>-3.6080000000000001E-3</v>
      </c>
      <c r="AA843" s="2">
        <f>ff_portfolios25!AA843-ff_factors!$E843</f>
        <v>-1.4585999999999998E-2</v>
      </c>
      <c r="AB843" s="2">
        <f>ff_portfolios25!AB843-ff_factors!$E843</f>
        <v>-0.103723</v>
      </c>
    </row>
    <row r="844" spans="1:28" x14ac:dyDescent="0.2">
      <c r="A844">
        <v>20020328</v>
      </c>
      <c r="B844">
        <v>2002</v>
      </c>
      <c r="C844">
        <v>3</v>
      </c>
      <c r="D844" s="2">
        <f>ff_portfolios25!D844-ff_factors!$E844</f>
        <v>5.772E-2</v>
      </c>
      <c r="E844" s="2">
        <f>ff_portfolios25!E844-ff_factors!$E844</f>
        <v>7.6184000000000002E-2</v>
      </c>
      <c r="F844" s="2">
        <f>ff_portfolios25!F844-ff_factors!$E844</f>
        <v>7.7178999999999998E-2</v>
      </c>
      <c r="G844" s="2">
        <f>ff_portfolios25!G844-ff_factors!$E844</f>
        <v>7.9046000000000005E-2</v>
      </c>
      <c r="H844" s="2">
        <f>ff_portfolios25!H844-ff_factors!$E844</f>
        <v>9.7596000000000002E-2</v>
      </c>
      <c r="I844" s="2">
        <f>ff_portfolios25!I844-ff_factors!$E844</f>
        <v>8.5459000000000007E-2</v>
      </c>
      <c r="J844" s="2">
        <f>ff_portfolios25!J844-ff_factors!$E844</f>
        <v>8.9182000000000011E-2</v>
      </c>
      <c r="K844" s="2">
        <f>ff_portfolios25!K844-ff_factors!$E844</f>
        <v>7.5662000000000007E-2</v>
      </c>
      <c r="L844" s="2">
        <f>ff_portfolios25!L844-ff_factors!$E844</f>
        <v>7.6505000000000004E-2</v>
      </c>
      <c r="M844" s="2">
        <f>ff_portfolios25!M844-ff_factors!$E844</f>
        <v>0.12309500000000001</v>
      </c>
      <c r="N844" s="2">
        <f>ff_portfolios25!N844-ff_factors!$E844</f>
        <v>8.2568000000000003E-2</v>
      </c>
      <c r="O844" s="2">
        <f>ff_portfolios25!O844-ff_factors!$E844</f>
        <v>6.7368000000000011E-2</v>
      </c>
      <c r="P844" s="2">
        <f>ff_portfolios25!P844-ff_factors!$E844</f>
        <v>7.0775000000000005E-2</v>
      </c>
      <c r="Q844" s="2">
        <f>ff_portfolios25!Q844-ff_factors!$E844</f>
        <v>7.1956000000000006E-2</v>
      </c>
      <c r="R844" s="2">
        <f>ff_portfolios25!R844-ff_factors!$E844</f>
        <v>9.2825000000000005E-2</v>
      </c>
      <c r="S844" s="2">
        <f>ff_portfolios25!S844-ff_factors!$E844</f>
        <v>6.6750000000000004E-2</v>
      </c>
      <c r="T844" s="2">
        <f>ff_portfolios25!T844-ff_factors!$E844</f>
        <v>6.653400000000001E-2</v>
      </c>
      <c r="U844" s="2">
        <f>ff_portfolios25!U844-ff_factors!$E844</f>
        <v>5.7387999999999995E-2</v>
      </c>
      <c r="V844" s="2">
        <f>ff_portfolios25!V844-ff_factors!$E844</f>
        <v>4.9459999999999997E-2</v>
      </c>
      <c r="W844" s="2">
        <f>ff_portfolios25!W844-ff_factors!$E844</f>
        <v>7.5803000000000009E-2</v>
      </c>
      <c r="X844" s="2">
        <f>ff_portfolios25!X844-ff_factors!$E844</f>
        <v>2.9211000000000001E-2</v>
      </c>
      <c r="Y844" s="2">
        <f>ff_portfolios25!Y844-ff_factors!$E844</f>
        <v>5.5532999999999999E-2</v>
      </c>
      <c r="Z844" s="2">
        <f>ff_portfolios25!Z844-ff_factors!$E844</f>
        <v>3.9951999999999994E-2</v>
      </c>
      <c r="AA844" s="2">
        <f>ff_portfolios25!AA844-ff_factors!$E844</f>
        <v>6.2709000000000001E-2</v>
      </c>
      <c r="AB844" s="2">
        <f>ff_portfolios25!AB844-ff_factors!$E844</f>
        <v>2.8157000000000001E-2</v>
      </c>
    </row>
    <row r="845" spans="1:28" x14ac:dyDescent="0.2">
      <c r="A845">
        <v>20020430</v>
      </c>
      <c r="B845">
        <v>2002</v>
      </c>
      <c r="C845">
        <v>4</v>
      </c>
      <c r="D845" s="2">
        <f>ff_portfolios25!D845-ff_factors!$E845</f>
        <v>-9.6296000000000007E-2</v>
      </c>
      <c r="E845" s="2">
        <f>ff_portfolios25!E845-ff_factors!$E845</f>
        <v>1.379E-3</v>
      </c>
      <c r="F845" s="2">
        <f>ff_portfolios25!F845-ff_factors!$E845</f>
        <v>2.2202E-2</v>
      </c>
      <c r="G845" s="2">
        <f>ff_portfolios25!G845-ff_factors!$E845</f>
        <v>3.2756E-2</v>
      </c>
      <c r="H845" s="2">
        <f>ff_portfolios25!H845-ff_factors!$E845</f>
        <v>5.3468999999999996E-2</v>
      </c>
      <c r="I845" s="2">
        <f>ff_portfolios25!I845-ff_factors!$E845</f>
        <v>-5.0543000000000005E-2</v>
      </c>
      <c r="J845" s="2">
        <f>ff_portfolios25!J845-ff_factors!$E845</f>
        <v>4.1429999999999991E-3</v>
      </c>
      <c r="K845" s="2">
        <f>ff_portfolios25!K845-ff_factors!$E845</f>
        <v>3.4369999999999998E-2</v>
      </c>
      <c r="L845" s="2">
        <f>ff_portfolios25!L845-ff_factors!$E845</f>
        <v>4.2575999999999996E-2</v>
      </c>
      <c r="M845" s="2">
        <f>ff_portfolios25!M845-ff_factors!$E845</f>
        <v>4.4033999999999997E-2</v>
      </c>
      <c r="N845" s="2">
        <f>ff_portfolios25!N845-ff_factors!$E845</f>
        <v>-5.1538E-2</v>
      </c>
      <c r="O845" s="2">
        <f>ff_portfolios25!O845-ff_factors!$E845</f>
        <v>1.1784000000000001E-2</v>
      </c>
      <c r="P845" s="2">
        <f>ff_portfolios25!P845-ff_factors!$E845</f>
        <v>1.3005000000000001E-2</v>
      </c>
      <c r="Q845" s="2">
        <f>ff_portfolios25!Q845-ff_factors!$E845</f>
        <v>9.503000000000001E-3</v>
      </c>
      <c r="R845" s="2">
        <f>ff_portfolios25!R845-ff_factors!$E845</f>
        <v>-5.0209999999999994E-3</v>
      </c>
      <c r="S845" s="2">
        <f>ff_portfolios25!S845-ff_factors!$E845</f>
        <v>-3.5216000000000004E-2</v>
      </c>
      <c r="T845" s="2">
        <f>ff_portfolios25!T845-ff_factors!$E845</f>
        <v>9.0670000000000004E-3</v>
      </c>
      <c r="U845" s="2">
        <f>ff_portfolios25!U845-ff_factors!$E845</f>
        <v>-9.3109999999999998E-3</v>
      </c>
      <c r="V845" s="2">
        <f>ff_portfolios25!V845-ff_factors!$E845</f>
        <v>-1.124E-2</v>
      </c>
      <c r="W845" s="2">
        <f>ff_portfolios25!W845-ff_factors!$E845</f>
        <v>-6.7790000000000003E-3</v>
      </c>
      <c r="X845" s="2">
        <f>ff_portfolios25!X845-ff_factors!$E845</f>
        <v>-8.0346000000000001E-2</v>
      </c>
      <c r="Y845" s="2">
        <f>ff_portfolios25!Y845-ff_factors!$E845</f>
        <v>-4.0458000000000001E-2</v>
      </c>
      <c r="Z845" s="2">
        <f>ff_portfolios25!Z845-ff_factors!$E845</f>
        <v>4.8070000000000005E-3</v>
      </c>
      <c r="AA845" s="2">
        <f>ff_portfolios25!AA845-ff_factors!$E845</f>
        <v>-1.9773000000000002E-2</v>
      </c>
      <c r="AB845" s="2">
        <f>ff_portfolios25!AB845-ff_factors!$E845</f>
        <v>-0.16695499999999999</v>
      </c>
    </row>
    <row r="846" spans="1:28" x14ac:dyDescent="0.2">
      <c r="A846">
        <v>20020531</v>
      </c>
      <c r="B846">
        <v>2002</v>
      </c>
      <c r="C846">
        <v>5</v>
      </c>
      <c r="D846" s="2">
        <f>ff_portfolios25!D846-ff_factors!$E846</f>
        <v>-7.3613999999999999E-2</v>
      </c>
      <c r="E846" s="2">
        <f>ff_portfolios25!E846-ff_factors!$E846</f>
        <v>-5.6051999999999998E-2</v>
      </c>
      <c r="F846" s="2">
        <f>ff_portfolios25!F846-ff_factors!$E846</f>
        <v>-2.5250999999999999E-2</v>
      </c>
      <c r="G846" s="2">
        <f>ff_portfolios25!G846-ff_factors!$E846</f>
        <v>8.284999999999999E-3</v>
      </c>
      <c r="H846" s="2">
        <f>ff_portfolios25!H846-ff_factors!$E846</f>
        <v>5.44E-4</v>
      </c>
      <c r="I846" s="2">
        <f>ff_portfolios25!I846-ff_factors!$E846</f>
        <v>-7.6145000000000004E-2</v>
      </c>
      <c r="J846" s="2">
        <f>ff_portfolios25!J846-ff_factors!$E846</f>
        <v>-5.7791999999999996E-2</v>
      </c>
      <c r="K846" s="2">
        <f>ff_portfolios25!K846-ff_factors!$E846</f>
        <v>-4.2068999999999995E-2</v>
      </c>
      <c r="L846" s="2">
        <f>ff_portfolios25!L846-ff_factors!$E846</f>
        <v>-3.2742E-2</v>
      </c>
      <c r="M846" s="2">
        <f>ff_portfolios25!M846-ff_factors!$E846</f>
        <v>-6.3413999999999998E-2</v>
      </c>
      <c r="N846" s="2">
        <f>ff_portfolios25!N846-ff_factors!$E846</f>
        <v>-5.8547999999999996E-2</v>
      </c>
      <c r="O846" s="2">
        <f>ff_portfolios25!O846-ff_factors!$E846</f>
        <v>-3.3152000000000001E-2</v>
      </c>
      <c r="P846" s="2">
        <f>ff_portfolios25!P846-ff_factors!$E846</f>
        <v>-3.7580999999999996E-2</v>
      </c>
      <c r="Q846" s="2">
        <f>ff_portfolios25!Q846-ff_factors!$E846</f>
        <v>-2.4655E-2</v>
      </c>
      <c r="R846" s="2">
        <f>ff_portfolios25!R846-ff_factors!$E846</f>
        <v>-3.6642000000000001E-2</v>
      </c>
      <c r="S846" s="2">
        <f>ff_portfolios25!S846-ff_factors!$E846</f>
        <v>-3.4000999999999997E-2</v>
      </c>
      <c r="T846" s="2">
        <f>ff_portfolios25!T846-ff_factors!$E846</f>
        <v>-4.3940000000000003E-3</v>
      </c>
      <c r="U846" s="2">
        <f>ff_portfolios25!U846-ff_factors!$E846</f>
        <v>-4.1240000000000001E-3</v>
      </c>
      <c r="V846" s="2">
        <f>ff_portfolios25!V846-ff_factors!$E846</f>
        <v>-1.7609E-2</v>
      </c>
      <c r="W846" s="2">
        <f>ff_portfolios25!W846-ff_factors!$E846</f>
        <v>1.0246E-2</v>
      </c>
      <c r="X846" s="2">
        <f>ff_portfolios25!X846-ff_factors!$E846</f>
        <v>-1.5667999999999998E-2</v>
      </c>
      <c r="Y846" s="2">
        <f>ff_portfolios25!Y846-ff_factors!$E846</f>
        <v>1.9119999999999999E-3</v>
      </c>
      <c r="Z846" s="2">
        <f>ff_portfolios25!Z846-ff_factors!$E846</f>
        <v>2.7000000000000114E-5</v>
      </c>
      <c r="AA846" s="2">
        <f>ff_portfolios25!AA846-ff_factors!$E846</f>
        <v>2.5025000000000002E-2</v>
      </c>
      <c r="AB846" s="2">
        <f>ff_portfolios25!AB846-ff_factors!$E846</f>
        <v>-6.1544000000000001E-2</v>
      </c>
    </row>
    <row r="847" spans="1:28" x14ac:dyDescent="0.2">
      <c r="A847">
        <v>20020628</v>
      </c>
      <c r="B847">
        <v>2002</v>
      </c>
      <c r="C847">
        <v>6</v>
      </c>
      <c r="D847" s="2">
        <f>ff_portfolios25!D847-ff_factors!$E847</f>
        <v>-9.2591999999999994E-2</v>
      </c>
      <c r="E847" s="2">
        <f>ff_portfolios25!E847-ff_factors!$E847</f>
        <v>-6.2740000000000004E-2</v>
      </c>
      <c r="F847" s="2">
        <f>ff_portfolios25!F847-ff_factors!$E847</f>
        <v>-9.0730000000000012E-3</v>
      </c>
      <c r="G847" s="2">
        <f>ff_portfolios25!G847-ff_factors!$E847</f>
        <v>3.385E-3</v>
      </c>
      <c r="H847" s="2">
        <f>ff_portfolios25!H847-ff_factors!$E847</f>
        <v>-1.1810999999999999E-2</v>
      </c>
      <c r="I847" s="2">
        <f>ff_portfolios25!I847-ff_factors!$E847</f>
        <v>-8.1667999999999991E-2</v>
      </c>
      <c r="J847" s="2">
        <f>ff_portfolios25!J847-ff_factors!$E847</f>
        <v>-5.6245000000000003E-2</v>
      </c>
      <c r="K847" s="2">
        <f>ff_portfolios25!K847-ff_factors!$E847</f>
        <v>-1.6268999999999999E-2</v>
      </c>
      <c r="L847" s="2">
        <f>ff_portfolios25!L847-ff_factors!$E847</f>
        <v>-1.5734999999999999E-2</v>
      </c>
      <c r="M847" s="2">
        <f>ff_portfolios25!M847-ff_factors!$E847</f>
        <v>-3.5827000000000005E-2</v>
      </c>
      <c r="N847" s="2">
        <f>ff_portfolios25!N847-ff_factors!$E847</f>
        <v>-7.5992999999999991E-2</v>
      </c>
      <c r="O847" s="2">
        <f>ff_portfolios25!O847-ff_factors!$E847</f>
        <v>-7.5454999999999994E-2</v>
      </c>
      <c r="P847" s="2">
        <f>ff_portfolios25!P847-ff_factors!$E847</f>
        <v>-5.6829000000000005E-2</v>
      </c>
      <c r="Q847" s="2">
        <f>ff_portfolios25!Q847-ff_factors!$E847</f>
        <v>-4.555E-2</v>
      </c>
      <c r="R847" s="2">
        <f>ff_portfolios25!R847-ff_factors!$E847</f>
        <v>-7.3793999999999998E-2</v>
      </c>
      <c r="S847" s="2">
        <f>ff_portfolios25!S847-ff_factors!$E847</f>
        <v>-9.6630999999999995E-2</v>
      </c>
      <c r="T847" s="2">
        <f>ff_portfolios25!T847-ff_factors!$E847</f>
        <v>-7.5087000000000001E-2</v>
      </c>
      <c r="U847" s="2">
        <f>ff_portfolios25!U847-ff_factors!$E847</f>
        <v>-6.8788000000000002E-2</v>
      </c>
      <c r="V847" s="2">
        <f>ff_portfolios25!V847-ff_factors!$E847</f>
        <v>-5.5984000000000006E-2</v>
      </c>
      <c r="W847" s="2">
        <f>ff_portfolios25!W847-ff_factors!$E847</f>
        <v>-0.101758</v>
      </c>
      <c r="X847" s="2">
        <f>ff_portfolios25!X847-ff_factors!$E847</f>
        <v>-7.7089999999999992E-2</v>
      </c>
      <c r="Y847" s="2">
        <f>ff_portfolios25!Y847-ff_factors!$E847</f>
        <v>-4.7951000000000001E-2</v>
      </c>
      <c r="Z847" s="2">
        <f>ff_portfolios25!Z847-ff_factors!$E847</f>
        <v>-5.7995000000000005E-2</v>
      </c>
      <c r="AA847" s="2">
        <f>ff_portfolios25!AA847-ff_factors!$E847</f>
        <v>-0.108637</v>
      </c>
      <c r="AB847" s="2">
        <f>ff_portfolios25!AB847-ff_factors!$E847</f>
        <v>-0.14204900000000001</v>
      </c>
    </row>
    <row r="848" spans="1:28" x14ac:dyDescent="0.2">
      <c r="A848">
        <v>20020731</v>
      </c>
      <c r="B848">
        <v>2002</v>
      </c>
      <c r="C848">
        <v>7</v>
      </c>
      <c r="D848" s="2">
        <f>ff_portfolios25!D848-ff_factors!$E848</f>
        <v>-0.19508900000000001</v>
      </c>
      <c r="E848" s="2">
        <f>ff_portfolios25!E848-ff_factors!$E848</f>
        <v>-0.158197</v>
      </c>
      <c r="F848" s="2">
        <f>ff_portfolios25!F848-ff_factors!$E848</f>
        <v>-0.14330599999999999</v>
      </c>
      <c r="G848" s="2">
        <f>ff_portfolios25!G848-ff_factors!$E848</f>
        <v>-0.115379</v>
      </c>
      <c r="H848" s="2">
        <f>ff_portfolios25!H848-ff_factors!$E848</f>
        <v>-0.12296600000000001</v>
      </c>
      <c r="I848" s="2">
        <f>ff_portfolios25!I848-ff_factors!$E848</f>
        <v>-0.16370699999999999</v>
      </c>
      <c r="J848" s="2">
        <f>ff_portfolios25!J848-ff_factors!$E848</f>
        <v>-0.16898299999999999</v>
      </c>
      <c r="K848" s="2">
        <f>ff_portfolios25!K848-ff_factors!$E848</f>
        <v>-0.141682</v>
      </c>
      <c r="L848" s="2">
        <f>ff_portfolios25!L848-ff_factors!$E848</f>
        <v>-0.157584</v>
      </c>
      <c r="M848" s="2">
        <f>ff_portfolios25!M848-ff_factors!$E848</f>
        <v>-0.194022</v>
      </c>
      <c r="N848" s="2">
        <f>ff_portfolios25!N848-ff_factors!$E848</f>
        <v>-8.6328000000000002E-2</v>
      </c>
      <c r="O848" s="2">
        <f>ff_portfolios25!O848-ff_factors!$E848</f>
        <v>-0.102855</v>
      </c>
      <c r="P848" s="2">
        <f>ff_portfolios25!P848-ff_factors!$E848</f>
        <v>-0.11626600000000001</v>
      </c>
      <c r="Q848" s="2">
        <f>ff_portfolios25!Q848-ff_factors!$E848</f>
        <v>-0.13486600000000001</v>
      </c>
      <c r="R848" s="2">
        <f>ff_portfolios25!R848-ff_factors!$E848</f>
        <v>-0.15972500000000001</v>
      </c>
      <c r="S848" s="2">
        <f>ff_portfolios25!S848-ff_factors!$E848</f>
        <v>-0.10890900000000001</v>
      </c>
      <c r="T848" s="2">
        <f>ff_portfolios25!T848-ff_factors!$E848</f>
        <v>-8.4070000000000006E-2</v>
      </c>
      <c r="U848" s="2">
        <f>ff_portfolios25!U848-ff_factors!$E848</f>
        <v>-0.106794</v>
      </c>
      <c r="V848" s="2">
        <f>ff_portfolios25!V848-ff_factors!$E848</f>
        <v>-0.112124</v>
      </c>
      <c r="W848" s="2">
        <f>ff_portfolios25!W848-ff_factors!$E848</f>
        <v>-0.18593300000000001</v>
      </c>
      <c r="X848" s="2">
        <f>ff_portfolios25!X848-ff_factors!$E848</f>
        <v>-5.3295000000000002E-2</v>
      </c>
      <c r="Y848" s="2">
        <f>ff_portfolios25!Y848-ff_factors!$E848</f>
        <v>-0.10212</v>
      </c>
      <c r="Z848" s="2">
        <f>ff_portfolios25!Z848-ff_factors!$E848</f>
        <v>-7.7827000000000007E-2</v>
      </c>
      <c r="AA848" s="2">
        <f>ff_portfolios25!AA848-ff_factors!$E848</f>
        <v>-0.100909</v>
      </c>
      <c r="AB848" s="2">
        <f>ff_portfolios25!AB848-ff_factors!$E848</f>
        <v>-0.14467099999999999</v>
      </c>
    </row>
    <row r="849" spans="1:28" x14ac:dyDescent="0.2">
      <c r="A849">
        <v>20020830</v>
      </c>
      <c r="B849">
        <v>2002</v>
      </c>
      <c r="C849">
        <v>8</v>
      </c>
      <c r="D849" s="2">
        <f>ff_portfolios25!D849-ff_factors!$E849</f>
        <v>6.4530000000000004E-3</v>
      </c>
      <c r="E849" s="2">
        <f>ff_portfolios25!E849-ff_factors!$E849</f>
        <v>-1.9396999999999998E-2</v>
      </c>
      <c r="F849" s="2">
        <f>ff_portfolios25!F849-ff_factors!$E849</f>
        <v>-2.8719999999999999E-2</v>
      </c>
      <c r="G849" s="2">
        <f>ff_portfolios25!G849-ff_factors!$E849</f>
        <v>-4.7850000000000002E-3</v>
      </c>
      <c r="H849" s="2">
        <f>ff_portfolios25!H849-ff_factors!$E849</f>
        <v>-2.2402999999999999E-2</v>
      </c>
      <c r="I849" s="2">
        <f>ff_portfolios25!I849-ff_factors!$E849</f>
        <v>6.379999999999999E-4</v>
      </c>
      <c r="J849" s="2">
        <f>ff_portfolios25!J849-ff_factors!$E849</f>
        <v>7.0880000000000006E-3</v>
      </c>
      <c r="K849" s="2">
        <f>ff_portfolios25!K849-ff_factors!$E849</f>
        <v>-6.6750000000000004E-3</v>
      </c>
      <c r="L849" s="2">
        <f>ff_portfolios25!L849-ff_factors!$E849</f>
        <v>8.3289999999999996E-3</v>
      </c>
      <c r="M849" s="2">
        <f>ff_portfolios25!M849-ff_factors!$E849</f>
        <v>-8.9619999999999995E-3</v>
      </c>
      <c r="N849" s="2">
        <f>ff_portfolios25!N849-ff_factors!$E849</f>
        <v>1.2779999999999998E-3</v>
      </c>
      <c r="O849" s="2">
        <f>ff_portfolios25!O849-ff_factors!$E849</f>
        <v>-2.5529999999999997E-3</v>
      </c>
      <c r="P849" s="2">
        <f>ff_portfolios25!P849-ff_factors!$E849</f>
        <v>2.3887000000000002E-2</v>
      </c>
      <c r="Q849" s="2">
        <f>ff_portfolios25!Q849-ff_factors!$E849</f>
        <v>1.9993E-2</v>
      </c>
      <c r="R849" s="2">
        <f>ff_portfolios25!R849-ff_factors!$E849</f>
        <v>3.8552000000000003E-2</v>
      </c>
      <c r="S849" s="2">
        <f>ff_portfolios25!S849-ff_factors!$E849</f>
        <v>-1.1555000000000001E-2</v>
      </c>
      <c r="T849" s="2">
        <f>ff_portfolios25!T849-ff_factors!$E849</f>
        <v>-3.614E-3</v>
      </c>
      <c r="U849" s="2">
        <f>ff_portfolios25!U849-ff_factors!$E849</f>
        <v>1.2165E-2</v>
      </c>
      <c r="V849" s="2">
        <f>ff_portfolios25!V849-ff_factors!$E849</f>
        <v>3.5599999999999998E-4</v>
      </c>
      <c r="W849" s="2">
        <f>ff_portfolios25!W849-ff_factors!$E849</f>
        <v>4.9722000000000002E-2</v>
      </c>
      <c r="X849" s="2">
        <f>ff_portfolios25!X849-ff_factors!$E849</f>
        <v>7.9600000000000005E-4</v>
      </c>
      <c r="Y849" s="2">
        <f>ff_portfolios25!Y849-ff_factors!$E849</f>
        <v>-9.8999999999999913E-5</v>
      </c>
      <c r="Z849" s="2">
        <f>ff_portfolios25!Z849-ff_factors!$E849</f>
        <v>1.3578E-2</v>
      </c>
      <c r="AA849" s="2">
        <f>ff_portfolios25!AA849-ff_factors!$E849</f>
        <v>4.0015000000000002E-2</v>
      </c>
      <c r="AB849" s="2">
        <f>ff_portfolios25!AB849-ff_factors!$E849</f>
        <v>7.7668000000000001E-2</v>
      </c>
    </row>
    <row r="850" spans="1:28" x14ac:dyDescent="0.2">
      <c r="A850">
        <v>20020930</v>
      </c>
      <c r="B850">
        <v>2002</v>
      </c>
      <c r="C850">
        <v>9</v>
      </c>
      <c r="D850" s="2">
        <f>ff_portfolios25!D850-ff_factors!$E850</f>
        <v>-0.11065700000000001</v>
      </c>
      <c r="E850" s="2">
        <f>ff_portfolios25!E850-ff_factors!$E850</f>
        <v>-7.9629000000000005E-2</v>
      </c>
      <c r="F850" s="2">
        <f>ff_portfolios25!F850-ff_factors!$E850</f>
        <v>-8.1387000000000001E-2</v>
      </c>
      <c r="G850" s="2">
        <f>ff_portfolios25!G850-ff_factors!$E850</f>
        <v>-6.8804000000000004E-2</v>
      </c>
      <c r="H850" s="2">
        <f>ff_portfolios25!H850-ff_factors!$E850</f>
        <v>-6.9865999999999998E-2</v>
      </c>
      <c r="I850" s="2">
        <f>ff_portfolios25!I850-ff_factors!$E850</f>
        <v>-8.1590999999999997E-2</v>
      </c>
      <c r="J850" s="2">
        <f>ff_portfolios25!J850-ff_factors!$E850</f>
        <v>-6.8721000000000004E-2</v>
      </c>
      <c r="K850" s="2">
        <f>ff_portfolios25!K850-ff_factors!$E850</f>
        <v>-5.9458999999999998E-2</v>
      </c>
      <c r="L850" s="2">
        <f>ff_portfolios25!L850-ff_factors!$E850</f>
        <v>-8.5249999999999992E-2</v>
      </c>
      <c r="M850" s="2">
        <f>ff_portfolios25!M850-ff_factors!$E850</f>
        <v>-7.9576999999999995E-2</v>
      </c>
      <c r="N850" s="2">
        <f>ff_portfolios25!N850-ff_factors!$E850</f>
        <v>-8.0601999999999993E-2</v>
      </c>
      <c r="O850" s="2">
        <f>ff_portfolios25!O850-ff_factors!$E850</f>
        <v>-8.6190000000000003E-2</v>
      </c>
      <c r="P850" s="2">
        <f>ff_portfolios25!P850-ff_factors!$E850</f>
        <v>-9.4139E-2</v>
      </c>
      <c r="Q850" s="2">
        <f>ff_portfolios25!Q850-ff_factors!$E850</f>
        <v>-7.3169999999999999E-2</v>
      </c>
      <c r="R850" s="2">
        <f>ff_portfolios25!R850-ff_factors!$E850</f>
        <v>-0.102627</v>
      </c>
      <c r="S850" s="2">
        <f>ff_portfolios25!S850-ff_factors!$E850</f>
        <v>-8.6965000000000001E-2</v>
      </c>
      <c r="T850" s="2">
        <f>ff_portfolios25!T850-ff_factors!$E850</f>
        <v>-9.0882000000000004E-2</v>
      </c>
      <c r="U850" s="2">
        <f>ff_portfolios25!U850-ff_factors!$E850</f>
        <v>-0.127996</v>
      </c>
      <c r="V850" s="2">
        <f>ff_portfolios25!V850-ff_factors!$E850</f>
        <v>-0.11680499999999999</v>
      </c>
      <c r="W850" s="2">
        <f>ff_portfolios25!W850-ff_factors!$E850</f>
        <v>-0.21952500000000003</v>
      </c>
      <c r="X850" s="2">
        <f>ff_portfolios25!X850-ff_factors!$E850</f>
        <v>-0.111361</v>
      </c>
      <c r="Y850" s="2">
        <f>ff_portfolios25!Y850-ff_factors!$E850</f>
        <v>-0.115885</v>
      </c>
      <c r="Z850" s="2">
        <f>ff_portfolios25!Z850-ff_factors!$E850</f>
        <v>-8.5028999999999993E-2</v>
      </c>
      <c r="AA850" s="2">
        <f>ff_portfolios25!AA850-ff_factors!$E850</f>
        <v>-8.7923000000000001E-2</v>
      </c>
      <c r="AB850" s="2">
        <f>ff_portfolios25!AB850-ff_factors!$E850</f>
        <v>-9.0129000000000001E-2</v>
      </c>
    </row>
    <row r="851" spans="1:28" x14ac:dyDescent="0.2">
      <c r="A851">
        <v>20021031</v>
      </c>
      <c r="B851">
        <v>2002</v>
      </c>
      <c r="C851">
        <v>10</v>
      </c>
      <c r="D851" s="2">
        <f>ff_portfolios25!D851-ff_factors!$E851</f>
        <v>5.5948999999999999E-2</v>
      </c>
      <c r="E851" s="2">
        <f>ff_portfolios25!E851-ff_factors!$E851</f>
        <v>4.7052000000000004E-2</v>
      </c>
      <c r="F851" s="2">
        <f>ff_portfolios25!F851-ff_factors!$E851</f>
        <v>3.2309999999999998E-2</v>
      </c>
      <c r="G851" s="2">
        <f>ff_portfolios25!G851-ff_factors!$E851</f>
        <v>1.3115E-2</v>
      </c>
      <c r="H851" s="2">
        <f>ff_portfolios25!H851-ff_factors!$E851</f>
        <v>1.1514E-2</v>
      </c>
      <c r="I851" s="2">
        <f>ff_portfolios25!I851-ff_factors!$E851</f>
        <v>9.7602000000000008E-2</v>
      </c>
      <c r="J851" s="2">
        <f>ff_portfolios25!J851-ff_factors!$E851</f>
        <v>2.9023E-2</v>
      </c>
      <c r="K851" s="2">
        <f>ff_portfolios25!K851-ff_factors!$E851</f>
        <v>3.7317000000000003E-2</v>
      </c>
      <c r="L851" s="2">
        <f>ff_portfolios25!L851-ff_factors!$E851</f>
        <v>1.9906E-2</v>
      </c>
      <c r="M851" s="2">
        <f>ff_portfolios25!M851-ff_factors!$E851</f>
        <v>-2.3830999999999998E-2</v>
      </c>
      <c r="N851" s="2">
        <f>ff_portfolios25!N851-ff_factors!$E851</f>
        <v>6.4484E-2</v>
      </c>
      <c r="O851" s="2">
        <f>ff_portfolios25!O851-ff_factors!$E851</f>
        <v>3.0620000000000001E-2</v>
      </c>
      <c r="P851" s="2">
        <f>ff_portfolios25!P851-ff_factors!$E851</f>
        <v>5.8848999999999999E-2</v>
      </c>
      <c r="Q851" s="2">
        <f>ff_portfolios25!Q851-ff_factors!$E851</f>
        <v>2.8618000000000001E-2</v>
      </c>
      <c r="R851" s="2">
        <f>ff_portfolios25!R851-ff_factors!$E851</f>
        <v>-7.3400000000000002E-3</v>
      </c>
      <c r="S851" s="2">
        <f>ff_portfolios25!S851-ff_factors!$E851</f>
        <v>6.6816E-2</v>
      </c>
      <c r="T851" s="2">
        <f>ff_portfolios25!T851-ff_factors!$E851</f>
        <v>5.6445000000000002E-2</v>
      </c>
      <c r="U851" s="2">
        <f>ff_portfolios25!U851-ff_factors!$E851</f>
        <v>2.9329000000000001E-2</v>
      </c>
      <c r="V851" s="2">
        <f>ff_portfolios25!V851-ff_factors!$E851</f>
        <v>4.0549000000000002E-2</v>
      </c>
      <c r="W851" s="2">
        <f>ff_portfolios25!W851-ff_factors!$E851</f>
        <v>3.0892000000000003E-2</v>
      </c>
      <c r="X851" s="2">
        <f>ff_portfolios25!X851-ff_factors!$E851</f>
        <v>9.4987000000000002E-2</v>
      </c>
      <c r="Y851" s="2">
        <f>ff_portfolios25!Y851-ff_factors!$E851</f>
        <v>0.106545</v>
      </c>
      <c r="Z851" s="2">
        <f>ff_portfolios25!Z851-ff_factors!$E851</f>
        <v>3.2254000000000005E-2</v>
      </c>
      <c r="AA851" s="2">
        <f>ff_portfolios25!AA851-ff_factors!$E851</f>
        <v>6.6383999999999999E-2</v>
      </c>
      <c r="AB851" s="2">
        <f>ff_portfolios25!AB851-ff_factors!$E851</f>
        <v>9.2191999999999996E-2</v>
      </c>
    </row>
    <row r="852" spans="1:28" x14ac:dyDescent="0.2">
      <c r="A852">
        <v>20021129</v>
      </c>
      <c r="B852">
        <v>2002</v>
      </c>
      <c r="C852">
        <v>11</v>
      </c>
      <c r="D852" s="2">
        <f>ff_portfolios25!D852-ff_factors!$E852</f>
        <v>0.17782999999999999</v>
      </c>
      <c r="E852" s="2">
        <f>ff_portfolios25!E852-ff_factors!$E852</f>
        <v>0.12333</v>
      </c>
      <c r="F852" s="2">
        <f>ff_portfolios25!F852-ff_factors!$E852</f>
        <v>0.10388199999999999</v>
      </c>
      <c r="G852" s="2">
        <f>ff_portfolios25!G852-ff_factors!$E852</f>
        <v>7.8223999999999988E-2</v>
      </c>
      <c r="H852" s="2">
        <f>ff_portfolios25!H852-ff_factors!$E852</f>
        <v>9.2466999999999994E-2</v>
      </c>
      <c r="I852" s="2">
        <f>ff_portfolios25!I852-ff_factors!$E852</f>
        <v>0.13036200000000001</v>
      </c>
      <c r="J852" s="2">
        <f>ff_portfolios25!J852-ff_factors!$E852</f>
        <v>0.10283199999999999</v>
      </c>
      <c r="K852" s="2">
        <f>ff_portfolios25!K852-ff_factors!$E852</f>
        <v>7.8546999999999992E-2</v>
      </c>
      <c r="L852" s="2">
        <f>ff_portfolios25!L852-ff_factors!$E852</f>
        <v>5.8797000000000002E-2</v>
      </c>
      <c r="M852" s="2">
        <f>ff_portfolios25!M852-ff_factors!$E852</f>
        <v>5.8876999999999999E-2</v>
      </c>
      <c r="N852" s="2">
        <f>ff_portfolios25!N852-ff_factors!$E852</f>
        <v>9.6498999999999988E-2</v>
      </c>
      <c r="O852" s="2">
        <f>ff_portfolios25!O852-ff_factors!$E852</f>
        <v>7.5670999999999988E-2</v>
      </c>
      <c r="P852" s="2">
        <f>ff_portfolios25!P852-ff_factors!$E852</f>
        <v>6.0955000000000002E-2</v>
      </c>
      <c r="Q852" s="2">
        <f>ff_portfolios25!Q852-ff_factors!$E852</f>
        <v>6.1681000000000007E-2</v>
      </c>
      <c r="R852" s="2">
        <f>ff_portfolios25!R852-ff_factors!$E852</f>
        <v>0.10925</v>
      </c>
      <c r="S852" s="2">
        <f>ff_portfolios25!S852-ff_factors!$E852</f>
        <v>9.5025999999999999E-2</v>
      </c>
      <c r="T852" s="2">
        <f>ff_portfolios25!T852-ff_factors!$E852</f>
        <v>7.1054999999999993E-2</v>
      </c>
      <c r="U852" s="2">
        <f>ff_portfolios25!U852-ff_factors!$E852</f>
        <v>9.4437999999999994E-2</v>
      </c>
      <c r="V852" s="2">
        <f>ff_portfolios25!V852-ff_factors!$E852</f>
        <v>8.5105999999999987E-2</v>
      </c>
      <c r="W852" s="2">
        <f>ff_portfolios25!W852-ff_factors!$E852</f>
        <v>0.15396099999999999</v>
      </c>
      <c r="X852" s="2">
        <f>ff_portfolios25!X852-ff_factors!$E852</f>
        <v>4.5488000000000001E-2</v>
      </c>
      <c r="Y852" s="2">
        <f>ff_portfolios25!Y852-ff_factors!$E852</f>
        <v>6.1253000000000002E-2</v>
      </c>
      <c r="Z852" s="2">
        <f>ff_portfolios25!Z852-ff_factors!$E852</f>
        <v>4.7521000000000001E-2</v>
      </c>
      <c r="AA852" s="2">
        <f>ff_portfolios25!AA852-ff_factors!$E852</f>
        <v>6.7291999999999991E-2</v>
      </c>
      <c r="AB852" s="2">
        <f>ff_portfolios25!AB852-ff_factors!$E852</f>
        <v>7.1003999999999998E-2</v>
      </c>
    </row>
    <row r="853" spans="1:28" x14ac:dyDescent="0.2">
      <c r="A853">
        <v>20021231</v>
      </c>
      <c r="B853">
        <v>2002</v>
      </c>
      <c r="C853">
        <v>12</v>
      </c>
      <c r="D853" s="2">
        <f>ff_portfolios25!D853-ff_factors!$E853</f>
        <v>-0.101329</v>
      </c>
      <c r="E853" s="2">
        <f>ff_portfolios25!E853-ff_factors!$E853</f>
        <v>-5.9630999999999997E-2</v>
      </c>
      <c r="F853" s="2">
        <f>ff_portfolios25!F853-ff_factors!$E853</f>
        <v>-5.6031999999999998E-2</v>
      </c>
      <c r="G853" s="2">
        <f>ff_portfolios25!G853-ff_factors!$E853</f>
        <v>-1.8962E-2</v>
      </c>
      <c r="H853" s="2">
        <f>ff_portfolios25!H853-ff_factors!$E853</f>
        <v>-2.4844000000000001E-2</v>
      </c>
      <c r="I853" s="2">
        <f>ff_portfolios25!I853-ff_factors!$E853</f>
        <v>-0.10359400000000001</v>
      </c>
      <c r="J853" s="2">
        <f>ff_portfolios25!J853-ff_factors!$E853</f>
        <v>-7.0662000000000003E-2</v>
      </c>
      <c r="K853" s="2">
        <f>ff_portfolios25!K853-ff_factors!$E853</f>
        <v>-4.8401999999999994E-2</v>
      </c>
      <c r="L853" s="2">
        <f>ff_portfolios25!L853-ff_factors!$E853</f>
        <v>-3.3110999999999995E-2</v>
      </c>
      <c r="M853" s="2">
        <f>ff_portfolios25!M853-ff_factors!$E853</f>
        <v>-3.5070999999999998E-2</v>
      </c>
      <c r="N853" s="2">
        <f>ff_portfolios25!N853-ff_factors!$E853</f>
        <v>-7.6110999999999998E-2</v>
      </c>
      <c r="O853" s="2">
        <f>ff_portfolios25!O853-ff_factors!$E853</f>
        <v>-4.5217E-2</v>
      </c>
      <c r="P853" s="2">
        <f>ff_portfolios25!P853-ff_factors!$E853</f>
        <v>-2.9274000000000001E-2</v>
      </c>
      <c r="Q853" s="2">
        <f>ff_portfolios25!Q853-ff_factors!$E853</f>
        <v>-4.0415999999999994E-2</v>
      </c>
      <c r="R853" s="2">
        <f>ff_portfolios25!R853-ff_factors!$E853</f>
        <v>-6.0704999999999995E-2</v>
      </c>
      <c r="S853" s="2">
        <f>ff_portfolios25!S853-ff_factors!$E853</f>
        <v>-7.3080000000000006E-2</v>
      </c>
      <c r="T853" s="2">
        <f>ff_portfolios25!T853-ff_factors!$E853</f>
        <v>-5.0601999999999994E-2</v>
      </c>
      <c r="U853" s="2">
        <f>ff_portfolios25!U853-ff_factors!$E853</f>
        <v>-3.5904999999999999E-2</v>
      </c>
      <c r="V853" s="2">
        <f>ff_portfolios25!V853-ff_factors!$E853</f>
        <v>-4.5560999999999997E-2</v>
      </c>
      <c r="W853" s="2">
        <f>ff_portfolios25!W853-ff_factors!$E853</f>
        <v>-1.9556E-2</v>
      </c>
      <c r="X853" s="2">
        <f>ff_portfolios25!X853-ff_factors!$E853</f>
        <v>-6.4255000000000007E-2</v>
      </c>
      <c r="Y853" s="2">
        <f>ff_portfolios25!Y853-ff_factors!$E853</f>
        <v>-6.0505999999999997E-2</v>
      </c>
      <c r="Z853" s="2">
        <f>ff_portfolios25!Z853-ff_factors!$E853</f>
        <v>-3.2403999999999995E-2</v>
      </c>
      <c r="AA853" s="2">
        <f>ff_portfolios25!AA853-ff_factors!$E853</f>
        <v>-4.8112999999999996E-2</v>
      </c>
      <c r="AB853" s="2">
        <f>ff_portfolios25!AB853-ff_factors!$E853</f>
        <v>-8.5144999999999998E-2</v>
      </c>
    </row>
    <row r="854" spans="1:28" x14ac:dyDescent="0.2">
      <c r="A854">
        <v>20030131</v>
      </c>
      <c r="B854">
        <v>2003</v>
      </c>
      <c r="C854">
        <v>1</v>
      </c>
      <c r="D854" s="2">
        <f>ff_portfolios25!D854-ff_factors!$E854</f>
        <v>-3.9970000000000006E-3</v>
      </c>
      <c r="E854" s="2">
        <f>ff_portfolios25!E854-ff_factors!$E854</f>
        <v>-7.2189999999999997E-3</v>
      </c>
      <c r="F854" s="2">
        <f>ff_portfolios25!F854-ff_factors!$E854</f>
        <v>-1.8798000000000002E-2</v>
      </c>
      <c r="G854" s="2">
        <f>ff_portfolios25!G854-ff_factors!$E854</f>
        <v>-6.0600000000000003E-3</v>
      </c>
      <c r="H854" s="2">
        <f>ff_portfolios25!H854-ff_factors!$E854</f>
        <v>1.268E-3</v>
      </c>
      <c r="I854" s="2">
        <f>ff_portfolios25!I854-ff_factors!$E854</f>
        <v>-3.6548000000000004E-2</v>
      </c>
      <c r="J854" s="2">
        <f>ff_portfolios25!J854-ff_factors!$E854</f>
        <v>-3.2399000000000004E-2</v>
      </c>
      <c r="K854" s="2">
        <f>ff_portfolios25!K854-ff_factors!$E854</f>
        <v>-2.7821000000000002E-2</v>
      </c>
      <c r="L854" s="2">
        <f>ff_portfolios25!L854-ff_factors!$E854</f>
        <v>-2.1861999999999999E-2</v>
      </c>
      <c r="M854" s="2">
        <f>ff_portfolios25!M854-ff_factors!$E854</f>
        <v>-3.3029000000000003E-2</v>
      </c>
      <c r="N854" s="2">
        <f>ff_portfolios25!N854-ff_factors!$E854</f>
        <v>-1.7670999999999999E-2</v>
      </c>
      <c r="O854" s="2">
        <f>ff_portfolios25!O854-ff_factors!$E854</f>
        <v>-3.8980000000000001E-2</v>
      </c>
      <c r="P854" s="2">
        <f>ff_portfolios25!P854-ff_factors!$E854</f>
        <v>-3.3124000000000001E-2</v>
      </c>
      <c r="Q854" s="2">
        <f>ff_portfolios25!Q854-ff_factors!$E854</f>
        <v>-4.1329999999999999E-2</v>
      </c>
      <c r="R854" s="2">
        <f>ff_portfolios25!R854-ff_factors!$E854</f>
        <v>-3.9165999999999999E-2</v>
      </c>
      <c r="S854" s="2">
        <f>ff_portfolios25!S854-ff_factors!$E854</f>
        <v>-1.4619E-2</v>
      </c>
      <c r="T854" s="2">
        <f>ff_portfolios25!T854-ff_factors!$E854</f>
        <v>-3.2022000000000002E-2</v>
      </c>
      <c r="U854" s="2">
        <f>ff_portfolios25!U854-ff_factors!$E854</f>
        <v>-9.3000000000000005E-4</v>
      </c>
      <c r="V854" s="2">
        <f>ff_portfolios25!V854-ff_factors!$E854</f>
        <v>-3.0972E-2</v>
      </c>
      <c r="W854" s="2">
        <f>ff_portfolios25!W854-ff_factors!$E854</f>
        <v>-6.5713999999999995E-2</v>
      </c>
      <c r="X854" s="2">
        <f>ff_portfolios25!X854-ff_factors!$E854</f>
        <v>-2.9004000000000002E-2</v>
      </c>
      <c r="Y854" s="2">
        <f>ff_portfolios25!Y854-ff_factors!$E854</f>
        <v>-2.8657000000000002E-2</v>
      </c>
      <c r="Z854" s="2">
        <f>ff_portfolios25!Z854-ff_factors!$E854</f>
        <v>-1.7056000000000002E-2</v>
      </c>
      <c r="AA854" s="2">
        <f>ff_portfolios25!AA854-ff_factors!$E854</f>
        <v>-5.2067000000000002E-2</v>
      </c>
      <c r="AB854" s="2">
        <f>ff_portfolios25!AB854-ff_factors!$E854</f>
        <v>-4.8430000000000001E-2</v>
      </c>
    </row>
    <row r="855" spans="1:28" x14ac:dyDescent="0.2">
      <c r="A855">
        <v>20030228</v>
      </c>
      <c r="B855">
        <v>2003</v>
      </c>
      <c r="C855">
        <v>2</v>
      </c>
      <c r="D855" s="2">
        <f>ff_portfolios25!D855-ff_factors!$E855</f>
        <v>-6.5406999999999993E-2</v>
      </c>
      <c r="E855" s="2">
        <f>ff_portfolios25!E855-ff_factors!$E855</f>
        <v>-2.9093000000000001E-2</v>
      </c>
      <c r="F855" s="2">
        <f>ff_portfolios25!F855-ff_factors!$E855</f>
        <v>-2.2544000000000002E-2</v>
      </c>
      <c r="G855" s="2">
        <f>ff_portfolios25!G855-ff_factors!$E855</f>
        <v>-1.5169E-2</v>
      </c>
      <c r="H855" s="2">
        <f>ff_portfolios25!H855-ff_factors!$E855</f>
        <v>-2.4293000000000002E-2</v>
      </c>
      <c r="I855" s="2">
        <f>ff_portfolios25!I855-ff_factors!$E855</f>
        <v>-2.7536000000000001E-2</v>
      </c>
      <c r="J855" s="2">
        <f>ff_portfolios25!J855-ff_factors!$E855</f>
        <v>-1.8827E-2</v>
      </c>
      <c r="K855" s="2">
        <f>ff_portfolios25!K855-ff_factors!$E855</f>
        <v>-2.2751E-2</v>
      </c>
      <c r="L855" s="2">
        <f>ff_portfolios25!L855-ff_factors!$E855</f>
        <v>-2.8337000000000001E-2</v>
      </c>
      <c r="M855" s="2">
        <f>ff_portfolios25!M855-ff_factors!$E855</f>
        <v>-6.7472000000000004E-2</v>
      </c>
      <c r="N855" s="2">
        <f>ff_portfolios25!N855-ff_factors!$E855</f>
        <v>-4.2568999999999996E-2</v>
      </c>
      <c r="O855" s="2">
        <f>ff_portfolios25!O855-ff_factors!$E855</f>
        <v>-1.0009000000000001E-2</v>
      </c>
      <c r="P855" s="2">
        <f>ff_portfolios25!P855-ff_factors!$E855</f>
        <v>-2.2888000000000002E-2</v>
      </c>
      <c r="Q855" s="2">
        <f>ff_portfolios25!Q855-ff_factors!$E855</f>
        <v>-3.8494E-2</v>
      </c>
      <c r="R855" s="2">
        <f>ff_portfolios25!R855-ff_factors!$E855</f>
        <v>-3.1731999999999996E-2</v>
      </c>
      <c r="S855" s="2">
        <f>ff_portfolios25!S855-ff_factors!$E855</f>
        <v>-3.1697999999999997E-2</v>
      </c>
      <c r="T855" s="2">
        <f>ff_portfolios25!T855-ff_factors!$E855</f>
        <v>-1.7508000000000003E-2</v>
      </c>
      <c r="U855" s="2">
        <f>ff_portfolios25!U855-ff_factors!$E855</f>
        <v>-2.1716000000000003E-2</v>
      </c>
      <c r="V855" s="2">
        <f>ff_portfolios25!V855-ff_factors!$E855</f>
        <v>-1.3363999999999999E-2</v>
      </c>
      <c r="W855" s="2">
        <f>ff_portfolios25!W855-ff_factors!$E855</f>
        <v>-6.9524000000000002E-2</v>
      </c>
      <c r="X855" s="2">
        <f>ff_portfolios25!X855-ff_factors!$E855</f>
        <v>-6.228E-3</v>
      </c>
      <c r="Y855" s="2">
        <f>ff_portfolios25!Y855-ff_factors!$E855</f>
        <v>-3.9428999999999999E-2</v>
      </c>
      <c r="Z855" s="2">
        <f>ff_portfolios25!Z855-ff_factors!$E855</f>
        <v>-2.9616E-2</v>
      </c>
      <c r="AA855" s="2">
        <f>ff_portfolios25!AA855-ff_factors!$E855</f>
        <v>-3.9322999999999997E-2</v>
      </c>
      <c r="AB855" s="2">
        <f>ff_portfolios25!AB855-ff_factors!$E855</f>
        <v>-5.3942999999999998E-2</v>
      </c>
    </row>
    <row r="856" spans="1:28" x14ac:dyDescent="0.2">
      <c r="A856">
        <v>20030331</v>
      </c>
      <c r="B856">
        <v>2003</v>
      </c>
      <c r="C856">
        <v>3</v>
      </c>
      <c r="D856" s="2">
        <f>ff_portfolios25!D856-ff_factors!$E856</f>
        <v>1.7537999999999998E-2</v>
      </c>
      <c r="E856" s="2">
        <f>ff_portfolios25!E856-ff_factors!$E856</f>
        <v>1.5901999999999999E-2</v>
      </c>
      <c r="F856" s="2">
        <f>ff_portfolios25!F856-ff_factors!$E856</f>
        <v>4.2940000000000001E-3</v>
      </c>
      <c r="G856" s="2">
        <f>ff_portfolios25!G856-ff_factors!$E856</f>
        <v>1.6257000000000001E-2</v>
      </c>
      <c r="H856" s="2">
        <f>ff_portfolios25!H856-ff_factors!$E856</f>
        <v>-2.64E-3</v>
      </c>
      <c r="I856" s="2">
        <f>ff_portfolios25!I856-ff_factors!$E856</f>
        <v>2.5128999999999999E-2</v>
      </c>
      <c r="J856" s="2">
        <f>ff_portfolios25!J856-ff_factors!$E856</f>
        <v>4.1739999999999998E-3</v>
      </c>
      <c r="K856" s="2">
        <f>ff_portfolios25!K856-ff_factors!$E856</f>
        <v>3.3569999999999997E-3</v>
      </c>
      <c r="L856" s="2">
        <f>ff_portfolios25!L856-ff_factors!$E856</f>
        <v>1.7242E-2</v>
      </c>
      <c r="M856" s="2">
        <f>ff_portfolios25!M856-ff_factors!$E856</f>
        <v>-1.0529E-2</v>
      </c>
      <c r="N856" s="2">
        <f>ff_portfolios25!N856-ff_factors!$E856</f>
        <v>3.1241999999999999E-2</v>
      </c>
      <c r="O856" s="2">
        <f>ff_portfolios25!O856-ff_factors!$E856</f>
        <v>6.1269999999999996E-3</v>
      </c>
      <c r="P856" s="2">
        <f>ff_portfolios25!P856-ff_factors!$E856</f>
        <v>-1.6870000000000001E-3</v>
      </c>
      <c r="Q856" s="2">
        <f>ff_portfolios25!Q856-ff_factors!$E856</f>
        <v>-4.849E-3</v>
      </c>
      <c r="R856" s="2">
        <f>ff_portfolios25!R856-ff_factors!$E856</f>
        <v>8.5049999999999987E-3</v>
      </c>
      <c r="S856" s="2">
        <f>ff_portfolios25!S856-ff_factors!$E856</f>
        <v>1.2265999999999999E-2</v>
      </c>
      <c r="T856" s="2">
        <f>ff_portfolios25!T856-ff_factors!$E856</f>
        <v>-7.901E-3</v>
      </c>
      <c r="U856" s="2">
        <f>ff_portfolios25!U856-ff_factors!$E856</f>
        <v>8.0520000000000001E-3</v>
      </c>
      <c r="V856" s="2">
        <f>ff_portfolios25!V856-ff_factors!$E856</f>
        <v>1.3381000000000001E-2</v>
      </c>
      <c r="W856" s="2">
        <f>ff_portfolios25!W856-ff_factors!$E856</f>
        <v>-4.3969000000000001E-2</v>
      </c>
      <c r="X856" s="2">
        <f>ff_portfolios25!X856-ff_factors!$E856</f>
        <v>1.8726E-2</v>
      </c>
      <c r="Y856" s="2">
        <f>ff_portfolios25!Y856-ff_factors!$E856</f>
        <v>7.7699999999999991E-4</v>
      </c>
      <c r="Z856" s="2">
        <f>ff_portfolios25!Z856-ff_factors!$E856</f>
        <v>9.6529999999999984E-3</v>
      </c>
      <c r="AA856" s="2">
        <f>ff_portfolios25!AA856-ff_factors!$E856</f>
        <v>-1.0491E-2</v>
      </c>
      <c r="AB856" s="2">
        <f>ff_portfolios25!AB856-ff_factors!$E856</f>
        <v>-3.4849999999999999E-2</v>
      </c>
    </row>
    <row r="857" spans="1:28" x14ac:dyDescent="0.2">
      <c r="A857">
        <v>20030430</v>
      </c>
      <c r="B857">
        <v>2003</v>
      </c>
      <c r="C857">
        <v>4</v>
      </c>
      <c r="D857" s="2">
        <f>ff_portfolios25!D857-ff_factors!$E857</f>
        <v>0.122742</v>
      </c>
      <c r="E857" s="2">
        <f>ff_portfolios25!E857-ff_factors!$E857</f>
        <v>0.11090700000000001</v>
      </c>
      <c r="F857" s="2">
        <f>ff_portfolios25!F857-ff_factors!$E857</f>
        <v>7.8896999999999995E-2</v>
      </c>
      <c r="G857" s="2">
        <f>ff_portfolios25!G857-ff_factors!$E857</f>
        <v>7.1072999999999997E-2</v>
      </c>
      <c r="H857" s="2">
        <f>ff_portfolios25!H857-ff_factors!$E857</f>
        <v>9.5407999999999993E-2</v>
      </c>
      <c r="I857" s="2">
        <f>ff_portfolios25!I857-ff_factors!$E857</f>
        <v>0.10196</v>
      </c>
      <c r="J857" s="2">
        <f>ff_portfolios25!J857-ff_factors!$E857</f>
        <v>9.5450999999999994E-2</v>
      </c>
      <c r="K857" s="2">
        <f>ff_portfolios25!K857-ff_factors!$E857</f>
        <v>8.9754E-2</v>
      </c>
      <c r="L857" s="2">
        <f>ff_portfolios25!L857-ff_factors!$E857</f>
        <v>9.5635999999999999E-2</v>
      </c>
      <c r="M857" s="2">
        <f>ff_portfolios25!M857-ff_factors!$E857</f>
        <v>9.2999999999999999E-2</v>
      </c>
      <c r="N857" s="2">
        <f>ff_portfolios25!N857-ff_factors!$E857</f>
        <v>8.7004999999999999E-2</v>
      </c>
      <c r="O857" s="2">
        <f>ff_portfolios25!O857-ff_factors!$E857</f>
        <v>8.2801E-2</v>
      </c>
      <c r="P857" s="2">
        <f>ff_portfolios25!P857-ff_factors!$E857</f>
        <v>9.6394999999999995E-2</v>
      </c>
      <c r="Q857" s="2">
        <f>ff_portfolios25!Q857-ff_factors!$E857</f>
        <v>0.119672</v>
      </c>
      <c r="R857" s="2">
        <f>ff_portfolios25!R857-ff_factors!$E857</f>
        <v>0.10526099999999999</v>
      </c>
      <c r="S857" s="2">
        <f>ff_portfolios25!S857-ff_factors!$E857</f>
        <v>8.8098999999999997E-2</v>
      </c>
      <c r="T857" s="2">
        <f>ff_portfolios25!T857-ff_factors!$E857</f>
        <v>7.3262999999999995E-2</v>
      </c>
      <c r="U857" s="2">
        <f>ff_portfolios25!U857-ff_factors!$E857</f>
        <v>0.104779</v>
      </c>
      <c r="V857" s="2">
        <f>ff_portfolios25!V857-ff_factors!$E857</f>
        <v>7.5115000000000001E-2</v>
      </c>
      <c r="W857" s="2">
        <f>ff_portfolios25!W857-ff_factors!$E857</f>
        <v>8.6275000000000004E-2</v>
      </c>
      <c r="X857" s="2">
        <f>ff_portfolios25!X857-ff_factors!$E857</f>
        <v>7.0767999999999998E-2</v>
      </c>
      <c r="Y857" s="2">
        <f>ff_portfolios25!Y857-ff_factors!$E857</f>
        <v>9.4864000000000004E-2</v>
      </c>
      <c r="Z857" s="2">
        <f>ff_portfolios25!Z857-ff_factors!$E857</f>
        <v>8.3025000000000002E-2</v>
      </c>
      <c r="AA857" s="2">
        <f>ff_portfolios25!AA857-ff_factors!$E857</f>
        <v>0.105574</v>
      </c>
      <c r="AB857" s="2">
        <f>ff_portfolios25!AB857-ff_factors!$E857</f>
        <v>0.132856</v>
      </c>
    </row>
    <row r="858" spans="1:28" x14ac:dyDescent="0.2">
      <c r="A858">
        <v>20030530</v>
      </c>
      <c r="B858">
        <v>2003</v>
      </c>
      <c r="C858">
        <v>5</v>
      </c>
      <c r="D858" s="2">
        <f>ff_portfolios25!D858-ff_factors!$E858</f>
        <v>0.204703</v>
      </c>
      <c r="E858" s="2">
        <f>ff_portfolios25!E858-ff_factors!$E858</f>
        <v>0.14644499999999999</v>
      </c>
      <c r="F858" s="2">
        <f>ff_portfolios25!F858-ff_factors!$E858</f>
        <v>0.11722200000000001</v>
      </c>
      <c r="G858" s="2">
        <f>ff_portfolios25!G858-ff_factors!$E858</f>
        <v>9.8738000000000006E-2</v>
      </c>
      <c r="H858" s="2">
        <f>ff_portfolios25!H858-ff_factors!$E858</f>
        <v>0.110842</v>
      </c>
      <c r="I858" s="2">
        <f>ff_portfolios25!I858-ff_factors!$E858</f>
        <v>0.12819499999999998</v>
      </c>
      <c r="J858" s="2">
        <f>ff_portfolios25!J858-ff_factors!$E858</f>
        <v>0.10249900000000001</v>
      </c>
      <c r="K858" s="2">
        <f>ff_portfolios25!K858-ff_factors!$E858</f>
        <v>0.110287</v>
      </c>
      <c r="L858" s="2">
        <f>ff_portfolios25!L858-ff_factors!$E858</f>
        <v>9.3084E-2</v>
      </c>
      <c r="M858" s="2">
        <f>ff_portfolios25!M858-ff_factors!$E858</f>
        <v>9.7186999999999996E-2</v>
      </c>
      <c r="N858" s="2">
        <f>ff_portfolios25!N858-ff_factors!$E858</f>
        <v>8.6748000000000006E-2</v>
      </c>
      <c r="O858" s="2">
        <f>ff_portfolios25!O858-ff_factors!$E858</f>
        <v>8.5745000000000002E-2</v>
      </c>
      <c r="P858" s="2">
        <f>ff_portfolios25!P858-ff_factors!$E858</f>
        <v>9.1283000000000003E-2</v>
      </c>
      <c r="Q858" s="2">
        <f>ff_portfolios25!Q858-ff_factors!$E858</f>
        <v>0.10026</v>
      </c>
      <c r="R858" s="2">
        <f>ff_portfolios25!R858-ff_factors!$E858</f>
        <v>8.2030000000000006E-2</v>
      </c>
      <c r="S858" s="2">
        <f>ff_portfolios25!S858-ff_factors!$E858</f>
        <v>0.101747</v>
      </c>
      <c r="T858" s="2">
        <f>ff_portfolios25!T858-ff_factors!$E858</f>
        <v>9.8615999999999995E-2</v>
      </c>
      <c r="U858" s="2">
        <f>ff_portfolios25!U858-ff_factors!$E858</f>
        <v>8.8526000000000007E-2</v>
      </c>
      <c r="V858" s="2">
        <f>ff_portfolios25!V858-ff_factors!$E858</f>
        <v>9.6226000000000006E-2</v>
      </c>
      <c r="W858" s="2">
        <f>ff_portfolios25!W858-ff_factors!$E858</f>
        <v>9.2428999999999997E-2</v>
      </c>
      <c r="X858" s="2">
        <f>ff_portfolios25!X858-ff_factors!$E858</f>
        <v>4.1907E-2</v>
      </c>
      <c r="Y858" s="2">
        <f>ff_portfolios25!Y858-ff_factors!$E858</f>
        <v>6.4138000000000001E-2</v>
      </c>
      <c r="Z858" s="2">
        <f>ff_portfolios25!Z858-ff_factors!$E858</f>
        <v>6.3630000000000006E-2</v>
      </c>
      <c r="AA858" s="2">
        <f>ff_portfolios25!AA858-ff_factors!$E858</f>
        <v>6.4810000000000006E-2</v>
      </c>
      <c r="AB858" s="2">
        <f>ff_portfolios25!AB858-ff_factors!$E858</f>
        <v>7.2640999999999997E-2</v>
      </c>
    </row>
    <row r="859" spans="1:28" x14ac:dyDescent="0.2">
      <c r="A859">
        <v>20030630</v>
      </c>
      <c r="B859">
        <v>2003</v>
      </c>
      <c r="C859">
        <v>6</v>
      </c>
      <c r="D859" s="2">
        <f>ff_portfolios25!D859-ff_factors!$E859</f>
        <v>6.4420000000000005E-2</v>
      </c>
      <c r="E859" s="2">
        <f>ff_portfolios25!E859-ff_factors!$E859</f>
        <v>4.2055999999999996E-2</v>
      </c>
      <c r="F859" s="2">
        <f>ff_portfolios25!F859-ff_factors!$E859</f>
        <v>4.7958000000000001E-2</v>
      </c>
      <c r="G859" s="2">
        <f>ff_portfolios25!G859-ff_factors!$E859</f>
        <v>3.7094999999999996E-2</v>
      </c>
      <c r="H859" s="2">
        <f>ff_portfolios25!H859-ff_factors!$E859</f>
        <v>5.8214000000000002E-2</v>
      </c>
      <c r="I859" s="2">
        <f>ff_portfolios25!I859-ff_factors!$E859</f>
        <v>1.7930999999999999E-2</v>
      </c>
      <c r="J859" s="2">
        <f>ff_portfolios25!J859-ff_factors!$E859</f>
        <v>2.8119999999999998E-3</v>
      </c>
      <c r="K859" s="2">
        <f>ff_portfolios25!K859-ff_factors!$E859</f>
        <v>1.0598E-2</v>
      </c>
      <c r="L859" s="2">
        <f>ff_portfolios25!L859-ff_factors!$E859</f>
        <v>2.4007999999999998E-2</v>
      </c>
      <c r="M859" s="2">
        <f>ff_portfolios25!M859-ff_factors!$E859</f>
        <v>3.9842000000000002E-2</v>
      </c>
      <c r="N859" s="2">
        <f>ff_portfolios25!N859-ff_factors!$E859</f>
        <v>2.5211999999999998E-2</v>
      </c>
      <c r="O859" s="2">
        <f>ff_portfolios25!O859-ff_factors!$E859</f>
        <v>1.8012999999999998E-2</v>
      </c>
      <c r="P859" s="2">
        <f>ff_portfolios25!P859-ff_factors!$E859</f>
        <v>5.2300000000000003E-4</v>
      </c>
      <c r="Q859" s="2">
        <f>ff_portfolios25!Q859-ff_factors!$E859</f>
        <v>7.8200000000000006E-3</v>
      </c>
      <c r="R859" s="2">
        <f>ff_portfolios25!R859-ff_factors!$E859</f>
        <v>3.7796999999999997E-2</v>
      </c>
      <c r="S859" s="2">
        <f>ff_portfolios25!S859-ff_factors!$E859</f>
        <v>1.2004999999999998E-2</v>
      </c>
      <c r="T859" s="2">
        <f>ff_portfolios25!T859-ff_factors!$E859</f>
        <v>5.8230000000000001E-3</v>
      </c>
      <c r="U859" s="2">
        <f>ff_portfolios25!U859-ff_factors!$E859</f>
        <v>-2.4009999999999999E-3</v>
      </c>
      <c r="V859" s="2">
        <f>ff_portfolios25!V859-ff_factors!$E859</f>
        <v>-7.9350000000000011E-3</v>
      </c>
      <c r="W859" s="2">
        <f>ff_portfolios25!W859-ff_factors!$E859</f>
        <v>7.9957E-2</v>
      </c>
      <c r="X859" s="2">
        <f>ff_portfolios25!X859-ff_factors!$E859</f>
        <v>8.6889999999999988E-3</v>
      </c>
      <c r="Y859" s="2">
        <f>ff_portfolios25!Y859-ff_factors!$E859</f>
        <v>1.9802E-2</v>
      </c>
      <c r="Z859" s="2">
        <f>ff_portfolios25!Z859-ff_factors!$E859</f>
        <v>2.4832E-2</v>
      </c>
      <c r="AA859" s="2">
        <f>ff_portfolios25!AA859-ff_factors!$E859</f>
        <v>-1.0499000000000001E-2</v>
      </c>
      <c r="AB859" s="2">
        <f>ff_portfolios25!AB859-ff_factors!$E859</f>
        <v>3.1236E-2</v>
      </c>
    </row>
    <row r="860" spans="1:28" x14ac:dyDescent="0.2">
      <c r="A860">
        <v>20030731</v>
      </c>
      <c r="B860">
        <v>2003</v>
      </c>
      <c r="C860">
        <v>7</v>
      </c>
      <c r="D860" s="2">
        <f>ff_portfolios25!D860-ff_factors!$E860</f>
        <v>8.9726999999999987E-2</v>
      </c>
      <c r="E860" s="2">
        <f>ff_portfolios25!E860-ff_factors!$E860</f>
        <v>7.7376999999999987E-2</v>
      </c>
      <c r="F860" s="2">
        <f>ff_portfolios25!F860-ff_factors!$E860</f>
        <v>8.4080999999999989E-2</v>
      </c>
      <c r="G860" s="2">
        <f>ff_portfolios25!G860-ff_factors!$E860</f>
        <v>9.2062999999999992E-2</v>
      </c>
      <c r="H860" s="2">
        <f>ff_portfolios25!H860-ff_factors!$E860</f>
        <v>7.4660999999999991E-2</v>
      </c>
      <c r="I860" s="2">
        <f>ff_portfolios25!I860-ff_factors!$E860</f>
        <v>7.9475999999999991E-2</v>
      </c>
      <c r="J860" s="2">
        <f>ff_portfolios25!J860-ff_factors!$E860</f>
        <v>5.6777000000000001E-2</v>
      </c>
      <c r="K860" s="2">
        <f>ff_portfolios25!K860-ff_factors!$E860</f>
        <v>6.0502E-2</v>
      </c>
      <c r="L860" s="2">
        <f>ff_portfolios25!L860-ff_factors!$E860</f>
        <v>6.3031999999999991E-2</v>
      </c>
      <c r="M860" s="2">
        <f>ff_portfolios25!M860-ff_factors!$E860</f>
        <v>7.5661999999999993E-2</v>
      </c>
      <c r="N860" s="2">
        <f>ff_portfolios25!N860-ff_factors!$E860</f>
        <v>7.6461999999999988E-2</v>
      </c>
      <c r="O860" s="2">
        <f>ff_portfolios25!O860-ff_factors!$E860</f>
        <v>4.7157999999999999E-2</v>
      </c>
      <c r="P860" s="2">
        <f>ff_portfolios25!P860-ff_factors!$E860</f>
        <v>1.5983000000000001E-2</v>
      </c>
      <c r="Q860" s="2">
        <f>ff_portfolios25!Q860-ff_factors!$E860</f>
        <v>3.9942999999999999E-2</v>
      </c>
      <c r="R860" s="2">
        <f>ff_portfolios25!R860-ff_factors!$E860</f>
        <v>2.9250000000000002E-2</v>
      </c>
      <c r="S860" s="2">
        <f>ff_portfolios25!S860-ff_factors!$E860</f>
        <v>3.7331000000000003E-2</v>
      </c>
      <c r="T860" s="2">
        <f>ff_portfolios25!T860-ff_factors!$E860</f>
        <v>4.0580999999999999E-2</v>
      </c>
      <c r="U860" s="2">
        <f>ff_portfolios25!U860-ff_factors!$E860</f>
        <v>3.0374999999999999E-2</v>
      </c>
      <c r="V860" s="2">
        <f>ff_portfolios25!V860-ff_factors!$E860</f>
        <v>5.9673000000000004E-2</v>
      </c>
      <c r="W860" s="2">
        <f>ff_portfolios25!W860-ff_factors!$E860</f>
        <v>1.1971000000000001E-2</v>
      </c>
      <c r="X860" s="2">
        <f>ff_portfolios25!X860-ff_factors!$E860</f>
        <v>1.1581000000000001E-2</v>
      </c>
      <c r="Y860" s="2">
        <f>ff_portfolios25!Y860-ff_factors!$E860</f>
        <v>3.7697000000000001E-2</v>
      </c>
      <c r="Z860" s="2">
        <f>ff_portfolios25!Z860-ff_factors!$E860</f>
        <v>1.1705E-2</v>
      </c>
      <c r="AA860" s="2">
        <f>ff_portfolios25!AA860-ff_factors!$E860</f>
        <v>-1.4678E-2</v>
      </c>
      <c r="AB860" s="2">
        <f>ff_portfolios25!AB860-ff_factors!$E860</f>
        <v>2.7764E-2</v>
      </c>
    </row>
    <row r="861" spans="1:28" x14ac:dyDescent="0.2">
      <c r="A861">
        <v>20030829</v>
      </c>
      <c r="B861">
        <v>2003</v>
      </c>
      <c r="C861">
        <v>8</v>
      </c>
      <c r="D861" s="2">
        <f>ff_portfolios25!D861-ff_factors!$E861</f>
        <v>4.4694999999999999E-2</v>
      </c>
      <c r="E861" s="2">
        <f>ff_portfolios25!E861-ff_factors!$E861</f>
        <v>4.827E-2</v>
      </c>
      <c r="F861" s="2">
        <f>ff_portfolios25!F861-ff_factors!$E861</f>
        <v>3.8893000000000004E-2</v>
      </c>
      <c r="G861" s="2">
        <f>ff_portfolios25!G861-ff_factors!$E861</f>
        <v>4.4468000000000001E-2</v>
      </c>
      <c r="H861" s="2">
        <f>ff_portfolios25!H861-ff_factors!$E861</f>
        <v>7.1187999999999987E-2</v>
      </c>
      <c r="I861" s="2">
        <f>ff_portfolios25!I861-ff_factors!$E861</f>
        <v>4.3306000000000004E-2</v>
      </c>
      <c r="J861" s="2">
        <f>ff_portfolios25!J861-ff_factors!$E861</f>
        <v>2.9788000000000002E-2</v>
      </c>
      <c r="K861" s="2">
        <f>ff_portfolios25!K861-ff_factors!$E861</f>
        <v>5.2116000000000003E-2</v>
      </c>
      <c r="L861" s="2">
        <f>ff_portfolios25!L861-ff_factors!$E861</f>
        <v>5.1329E-2</v>
      </c>
      <c r="M861" s="2">
        <f>ff_portfolios25!M861-ff_factors!$E861</f>
        <v>6.2178000000000004E-2</v>
      </c>
      <c r="N861" s="2">
        <f>ff_portfolios25!N861-ff_factors!$E861</f>
        <v>4.0765000000000003E-2</v>
      </c>
      <c r="O861" s="2">
        <f>ff_portfolios25!O861-ff_factors!$E861</f>
        <v>3.8743E-2</v>
      </c>
      <c r="P861" s="2">
        <f>ff_portfolios25!P861-ff_factors!$E861</f>
        <v>4.2009999999999999E-2</v>
      </c>
      <c r="Q861" s="2">
        <f>ff_portfolios25!Q861-ff_factors!$E861</f>
        <v>8.6106999999999989E-2</v>
      </c>
      <c r="R861" s="2">
        <f>ff_portfolios25!R861-ff_factors!$E861</f>
        <v>7.6243999999999992E-2</v>
      </c>
      <c r="S861" s="2">
        <f>ff_portfolios25!S861-ff_factors!$E861</f>
        <v>5.0277000000000002E-2</v>
      </c>
      <c r="T861" s="2">
        <f>ff_portfolios25!T861-ff_factors!$E861</f>
        <v>3.7134E-2</v>
      </c>
      <c r="U861" s="2">
        <f>ff_portfolios25!U861-ff_factors!$E861</f>
        <v>3.9747999999999999E-2</v>
      </c>
      <c r="V861" s="2">
        <f>ff_portfolios25!V861-ff_factors!$E861</f>
        <v>4.9353000000000001E-2</v>
      </c>
      <c r="W861" s="2">
        <f>ff_portfolios25!W861-ff_factors!$E861</f>
        <v>9.5158999999999994E-2</v>
      </c>
      <c r="X861" s="2">
        <f>ff_portfolios25!X861-ff_factors!$E861</f>
        <v>1.8751E-2</v>
      </c>
      <c r="Y861" s="2">
        <f>ff_portfolios25!Y861-ff_factors!$E861</f>
        <v>7.6809999999999995E-3</v>
      </c>
      <c r="Z861" s="2">
        <f>ff_portfolios25!Z861-ff_factors!$E861</f>
        <v>9.7420000000000007E-3</v>
      </c>
      <c r="AA861" s="2">
        <f>ff_portfolios25!AA861-ff_factors!$E861</f>
        <v>2.0092000000000002E-2</v>
      </c>
      <c r="AB861" s="2">
        <f>ff_portfolios25!AB861-ff_factors!$E861</f>
        <v>3.9629999999999999E-2</v>
      </c>
    </row>
    <row r="862" spans="1:28" x14ac:dyDescent="0.2">
      <c r="A862">
        <v>20030930</v>
      </c>
      <c r="B862">
        <v>2003</v>
      </c>
      <c r="C862">
        <v>9</v>
      </c>
      <c r="D862" s="2">
        <f>ff_portfolios25!D862-ff_factors!$E862</f>
        <v>3.2416E-2</v>
      </c>
      <c r="E862" s="2">
        <f>ff_portfolios25!E862-ff_factors!$E862</f>
        <v>1.1900000000000001E-3</v>
      </c>
      <c r="F862" s="2">
        <f>ff_portfolios25!F862-ff_factors!$E862</f>
        <v>1.673E-3</v>
      </c>
      <c r="G862" s="2">
        <f>ff_portfolios25!G862-ff_factors!$E862</f>
        <v>2.256E-2</v>
      </c>
      <c r="H862" s="2">
        <f>ff_portfolios25!H862-ff_factors!$E862</f>
        <v>4.6358999999999997E-2</v>
      </c>
      <c r="I862" s="2">
        <f>ff_portfolios25!I862-ff_factors!$E862</f>
        <v>-2.3916E-2</v>
      </c>
      <c r="J862" s="2">
        <f>ff_portfolios25!J862-ff_factors!$E862</f>
        <v>-2.3061999999999999E-2</v>
      </c>
      <c r="K862" s="2">
        <f>ff_portfolios25!K862-ff_factors!$E862</f>
        <v>-2.4964E-2</v>
      </c>
      <c r="L862" s="2">
        <f>ff_portfolios25!L862-ff_factors!$E862</f>
        <v>-4.4715999999999999E-2</v>
      </c>
      <c r="M862" s="2">
        <f>ff_portfolios25!M862-ff_factors!$E862</f>
        <v>-1.2514000000000001E-2</v>
      </c>
      <c r="N862" s="2">
        <f>ff_portfolios25!N862-ff_factors!$E862</f>
        <v>-2.0261999999999999E-2</v>
      </c>
      <c r="O862" s="2">
        <f>ff_portfolios25!O862-ff_factors!$E862</f>
        <v>-2.9377999999999998E-2</v>
      </c>
      <c r="P862" s="2">
        <f>ff_portfolios25!P862-ff_factors!$E862</f>
        <v>-2.0142E-2</v>
      </c>
      <c r="Q862" s="2">
        <f>ff_portfolios25!Q862-ff_factors!$E862</f>
        <v>-1.8452999999999997E-2</v>
      </c>
      <c r="R862" s="2">
        <f>ff_portfolios25!R862-ff_factors!$E862</f>
        <v>-5.5450000000000004E-3</v>
      </c>
      <c r="S862" s="2">
        <f>ff_portfolios25!S862-ff_factors!$E862</f>
        <v>-1.8633999999999998E-2</v>
      </c>
      <c r="T862" s="2">
        <f>ff_portfolios25!T862-ff_factors!$E862</f>
        <v>-2.3226999999999998E-2</v>
      </c>
      <c r="U862" s="2">
        <f>ff_portfolios25!U862-ff_factors!$E862</f>
        <v>-1.0727E-2</v>
      </c>
      <c r="V862" s="2">
        <f>ff_portfolios25!V862-ff_factors!$E862</f>
        <v>-1.1503000000000001E-2</v>
      </c>
      <c r="W862" s="2">
        <f>ff_portfolios25!W862-ff_factors!$E862</f>
        <v>1.2920000000000002E-3</v>
      </c>
      <c r="X862" s="2">
        <f>ff_portfolios25!X862-ff_factors!$E862</f>
        <v>-7.2620000000000002E-3</v>
      </c>
      <c r="Y862" s="2">
        <f>ff_portfolios25!Y862-ff_factors!$E862</f>
        <v>-1.3609E-2</v>
      </c>
      <c r="Z862" s="2">
        <f>ff_portfolios25!Z862-ff_factors!$E862</f>
        <v>-1.0827E-2</v>
      </c>
      <c r="AA862" s="2">
        <f>ff_portfolios25!AA862-ff_factors!$E862</f>
        <v>-3.4710000000000005E-2</v>
      </c>
      <c r="AB862" s="2">
        <f>ff_portfolios25!AB862-ff_factors!$E862</f>
        <v>-3.7099E-2</v>
      </c>
    </row>
    <row r="863" spans="1:28" x14ac:dyDescent="0.2">
      <c r="A863">
        <v>20031031</v>
      </c>
      <c r="B863">
        <v>2003</v>
      </c>
      <c r="C863">
        <v>10</v>
      </c>
      <c r="D863" s="2">
        <f>ff_portfolios25!D863-ff_factors!$E863</f>
        <v>5.8821999999999999E-2</v>
      </c>
      <c r="E863" s="2">
        <f>ff_portfolios25!E863-ff_factors!$E863</f>
        <v>8.8343999999999992E-2</v>
      </c>
      <c r="F863" s="2">
        <f>ff_portfolios25!F863-ff_factors!$E863</f>
        <v>7.4035999999999991E-2</v>
      </c>
      <c r="G863" s="2">
        <f>ff_portfolios25!G863-ff_factors!$E863</f>
        <v>0.10847799999999999</v>
      </c>
      <c r="H863" s="2">
        <f>ff_portfolios25!H863-ff_factors!$E863</f>
        <v>0.112674</v>
      </c>
      <c r="I863" s="2">
        <f>ff_portfolios25!I863-ff_factors!$E863</f>
        <v>9.3483999999999998E-2</v>
      </c>
      <c r="J863" s="2">
        <f>ff_portfolios25!J863-ff_factors!$E863</f>
        <v>7.4057999999999999E-2</v>
      </c>
      <c r="K863" s="2">
        <f>ff_portfolios25!K863-ff_factors!$E863</f>
        <v>6.6772999999999999E-2</v>
      </c>
      <c r="L863" s="2">
        <f>ff_portfolios25!L863-ff_factors!$E863</f>
        <v>0.10424599999999999</v>
      </c>
      <c r="M863" s="2">
        <f>ff_portfolios25!M863-ff_factors!$E863</f>
        <v>0.109095</v>
      </c>
      <c r="N863" s="2">
        <f>ff_portfolios25!N863-ff_factors!$E863</f>
        <v>9.0805999999999998E-2</v>
      </c>
      <c r="O863" s="2">
        <f>ff_portfolios25!O863-ff_factors!$E863</f>
        <v>6.2720999999999999E-2</v>
      </c>
      <c r="P863" s="2">
        <f>ff_portfolios25!P863-ff_factors!$E863</f>
        <v>6.422499999999999E-2</v>
      </c>
      <c r="Q863" s="2">
        <f>ff_portfolios25!Q863-ff_factors!$E863</f>
        <v>0.101798</v>
      </c>
      <c r="R863" s="2">
        <f>ff_portfolios25!R863-ff_factors!$E863</f>
        <v>0.11918999999999999</v>
      </c>
      <c r="S863" s="2">
        <f>ff_portfolios25!S863-ff_factors!$E863</f>
        <v>7.6991999999999991E-2</v>
      </c>
      <c r="T863" s="2">
        <f>ff_portfolios25!T863-ff_factors!$E863</f>
        <v>8.5991999999999999E-2</v>
      </c>
      <c r="U863" s="2">
        <f>ff_portfolios25!U863-ff_factors!$E863</f>
        <v>8.4427999999999989E-2</v>
      </c>
      <c r="V863" s="2">
        <f>ff_portfolios25!V863-ff_factors!$E863</f>
        <v>9.3054999999999999E-2</v>
      </c>
      <c r="W863" s="2">
        <f>ff_portfolios25!W863-ff_factors!$E863</f>
        <v>8.098699999999999E-2</v>
      </c>
      <c r="X863" s="2">
        <f>ff_portfolios25!X863-ff_factors!$E863</f>
        <v>3.9403000000000001E-2</v>
      </c>
      <c r="Y863" s="2">
        <f>ff_portfolios25!Y863-ff_factors!$E863</f>
        <v>7.4519999999999989E-2</v>
      </c>
      <c r="Z863" s="2">
        <f>ff_portfolios25!Z863-ff_factors!$E863</f>
        <v>8.2000999999999991E-2</v>
      </c>
      <c r="AA863" s="2">
        <f>ff_portfolios25!AA863-ff_factors!$E863</f>
        <v>5.5552999999999998E-2</v>
      </c>
      <c r="AB863" s="2">
        <f>ff_portfolios25!AB863-ff_factors!$E863</f>
        <v>4.4867000000000004E-2</v>
      </c>
    </row>
    <row r="864" spans="1:28" x14ac:dyDescent="0.2">
      <c r="A864">
        <v>20031128</v>
      </c>
      <c r="B864">
        <v>2003</v>
      </c>
      <c r="C864">
        <v>11</v>
      </c>
      <c r="D864" s="2">
        <f>ff_portfolios25!D864-ff_factors!$E864</f>
        <v>2.5955000000000002E-2</v>
      </c>
      <c r="E864" s="2">
        <f>ff_portfolios25!E864-ff_factors!$E864</f>
        <v>3.3474000000000004E-2</v>
      </c>
      <c r="F864" s="2">
        <f>ff_portfolios25!F864-ff_factors!$E864</f>
        <v>4.8770000000000001E-2</v>
      </c>
      <c r="G864" s="2">
        <f>ff_portfolios25!G864-ff_factors!$E864</f>
        <v>3.5468E-2</v>
      </c>
      <c r="H864" s="2">
        <f>ff_portfolios25!H864-ff_factors!$E864</f>
        <v>6.8655999999999995E-2</v>
      </c>
      <c r="I864" s="2">
        <f>ff_portfolios25!I864-ff_factors!$E864</f>
        <v>2.5462000000000002E-2</v>
      </c>
      <c r="J864" s="2">
        <f>ff_portfolios25!J864-ff_factors!$E864</f>
        <v>3.4051999999999999E-2</v>
      </c>
      <c r="K864" s="2">
        <f>ff_portfolios25!K864-ff_factors!$E864</f>
        <v>2.9037E-2</v>
      </c>
      <c r="L864" s="2">
        <f>ff_portfolios25!L864-ff_factors!$E864</f>
        <v>3.9580000000000004E-2</v>
      </c>
      <c r="M864" s="2">
        <f>ff_portfolios25!M864-ff_factors!$E864</f>
        <v>3.6171000000000002E-2</v>
      </c>
      <c r="N864" s="2">
        <f>ff_portfolios25!N864-ff_factors!$E864</f>
        <v>3.6277000000000004E-2</v>
      </c>
      <c r="O864" s="2">
        <f>ff_portfolios25!O864-ff_factors!$E864</f>
        <v>3.0112E-2</v>
      </c>
      <c r="P864" s="2">
        <f>ff_portfolios25!P864-ff_factors!$E864</f>
        <v>1.8529E-2</v>
      </c>
      <c r="Q864" s="2">
        <f>ff_portfolios25!Q864-ff_factors!$E864</f>
        <v>5.4205000000000003E-2</v>
      </c>
      <c r="R864" s="2">
        <f>ff_portfolios25!R864-ff_factors!$E864</f>
        <v>3.0291000000000002E-2</v>
      </c>
      <c r="S864" s="2">
        <f>ff_portfolios25!S864-ff_factors!$E864</f>
        <v>1.2185000000000001E-2</v>
      </c>
      <c r="T864" s="2">
        <f>ff_portfolios25!T864-ff_factors!$E864</f>
        <v>2.9231E-2</v>
      </c>
      <c r="U864" s="2">
        <f>ff_portfolios25!U864-ff_factors!$E864</f>
        <v>3.5686000000000002E-2</v>
      </c>
      <c r="V864" s="2">
        <f>ff_portfolios25!V864-ff_factors!$E864</f>
        <v>3.3575000000000001E-2</v>
      </c>
      <c r="W864" s="2">
        <f>ff_portfolios25!W864-ff_factors!$E864</f>
        <v>3.8041999999999999E-2</v>
      </c>
      <c r="X864" s="2">
        <f>ff_portfolios25!X864-ff_factors!$E864</f>
        <v>8.1150000000000007E-3</v>
      </c>
      <c r="Y864" s="2">
        <f>ff_portfolios25!Y864-ff_factors!$E864</f>
        <v>3.7200000000000002E-3</v>
      </c>
      <c r="Z864" s="2">
        <f>ff_portfolios25!Z864-ff_factors!$E864</f>
        <v>9.8250000000000004E-3</v>
      </c>
      <c r="AA864" s="2">
        <f>ff_portfolios25!AA864-ff_factors!$E864</f>
        <v>4.9369999999999995E-3</v>
      </c>
      <c r="AB864" s="2">
        <f>ff_portfolios25!AB864-ff_factors!$E864</f>
        <v>4.7933000000000003E-2</v>
      </c>
    </row>
    <row r="865" spans="1:28" x14ac:dyDescent="0.2">
      <c r="A865">
        <v>20031231</v>
      </c>
      <c r="B865">
        <v>2003</v>
      </c>
      <c r="C865">
        <v>12</v>
      </c>
      <c r="D865" s="2">
        <f>ff_portfolios25!D865-ff_factors!$E865</f>
        <v>2.2720000000000001E-3</v>
      </c>
      <c r="E865" s="2">
        <f>ff_portfolios25!E865-ff_factors!$E865</f>
        <v>2.5696E-2</v>
      </c>
      <c r="F865" s="2">
        <f>ff_portfolios25!F865-ff_factors!$E865</f>
        <v>2.8710000000000003E-2</v>
      </c>
      <c r="G865" s="2">
        <f>ff_portfolios25!G865-ff_factors!$E865</f>
        <v>1.3672999999999999E-2</v>
      </c>
      <c r="H865" s="2">
        <f>ff_portfolios25!H865-ff_factors!$E865</f>
        <v>4.2705E-2</v>
      </c>
      <c r="I865" s="2">
        <f>ff_portfolios25!I865-ff_factors!$E865</f>
        <v>1.2865999999999999E-2</v>
      </c>
      <c r="J865" s="2">
        <f>ff_portfolios25!J865-ff_factors!$E865</f>
        <v>2.5651E-2</v>
      </c>
      <c r="K865" s="2">
        <f>ff_portfolios25!K865-ff_factors!$E865</f>
        <v>2.4025000000000001E-2</v>
      </c>
      <c r="L865" s="2">
        <f>ff_portfolios25!L865-ff_factors!$E865</f>
        <v>2.2617000000000002E-2</v>
      </c>
      <c r="M865" s="2">
        <f>ff_portfolios25!M865-ff_factors!$E865</f>
        <v>3.4515999999999998E-2</v>
      </c>
      <c r="N865" s="2">
        <f>ff_portfolios25!N865-ff_factors!$E865</f>
        <v>-6.3220000000000004E-3</v>
      </c>
      <c r="O865" s="2">
        <f>ff_portfolios25!O865-ff_factors!$E865</f>
        <v>2.5598000000000003E-2</v>
      </c>
      <c r="P865" s="2">
        <f>ff_portfolios25!P865-ff_factors!$E865</f>
        <v>4.0640999999999997E-2</v>
      </c>
      <c r="Q865" s="2">
        <f>ff_portfolios25!Q865-ff_factors!$E865</f>
        <v>1.7728000000000001E-2</v>
      </c>
      <c r="R865" s="2">
        <f>ff_portfolios25!R865-ff_factors!$E865</f>
        <v>8.2419000000000006E-2</v>
      </c>
      <c r="S865" s="2">
        <f>ff_portfolios25!S865-ff_factors!$E865</f>
        <v>7.8169999999999993E-3</v>
      </c>
      <c r="T865" s="2">
        <f>ff_portfolios25!T865-ff_factors!$E865</f>
        <v>3.1952999999999995E-2</v>
      </c>
      <c r="U865" s="2">
        <f>ff_portfolios25!U865-ff_factors!$E865</f>
        <v>2.4865000000000002E-2</v>
      </c>
      <c r="V865" s="2">
        <f>ff_portfolios25!V865-ff_factors!$E865</f>
        <v>5.0147999999999998E-2</v>
      </c>
      <c r="W865" s="2">
        <f>ff_portfolios25!W865-ff_factors!$E865</f>
        <v>2.7361E-2</v>
      </c>
      <c r="X865" s="2">
        <f>ff_portfolios25!X865-ff_factors!$E865</f>
        <v>4.5219999999999996E-2</v>
      </c>
      <c r="Y865" s="2">
        <f>ff_portfolios25!Y865-ff_factors!$E865</f>
        <v>4.9967999999999999E-2</v>
      </c>
      <c r="Z865" s="2">
        <f>ff_portfolios25!Z865-ff_factors!$E865</f>
        <v>4.7987999999999996E-2</v>
      </c>
      <c r="AA865" s="2">
        <f>ff_portfolios25!AA865-ff_factors!$E865</f>
        <v>7.3460999999999999E-2</v>
      </c>
      <c r="AB865" s="2">
        <f>ff_portfolios25!AB865-ff_factors!$E865</f>
        <v>6.3686000000000006E-2</v>
      </c>
    </row>
    <row r="866" spans="1:28" x14ac:dyDescent="0.2">
      <c r="A866">
        <v>20040130</v>
      </c>
      <c r="B866">
        <v>2004</v>
      </c>
      <c r="C866">
        <v>1</v>
      </c>
      <c r="D866" s="2">
        <f>ff_portfolios25!D866-ff_factors!$E866</f>
        <v>5.8671000000000001E-2</v>
      </c>
      <c r="E866" s="2">
        <f>ff_portfolios25!E866-ff_factors!$E866</f>
        <v>6.2431000000000007E-2</v>
      </c>
      <c r="F866" s="2">
        <f>ff_portfolios25!F866-ff_factors!$E866</f>
        <v>5.4171000000000004E-2</v>
      </c>
      <c r="G866" s="2">
        <f>ff_portfolios25!G866-ff_factors!$E866</f>
        <v>6.2319000000000006E-2</v>
      </c>
      <c r="H866" s="2">
        <f>ff_portfolios25!H866-ff_factors!$E866</f>
        <v>8.2572999999999994E-2</v>
      </c>
      <c r="I866" s="2">
        <f>ff_portfolios25!I866-ff_factors!$E866</f>
        <v>3.2605000000000002E-2</v>
      </c>
      <c r="J866" s="2">
        <f>ff_portfolios25!J866-ff_factors!$E866</f>
        <v>3.7484000000000003E-2</v>
      </c>
      <c r="K866" s="2">
        <f>ff_portfolios25!K866-ff_factors!$E866</f>
        <v>3.1108999999999998E-2</v>
      </c>
      <c r="L866" s="2">
        <f>ff_portfolios25!L866-ff_factors!$E866</f>
        <v>4.0862000000000002E-2</v>
      </c>
      <c r="M866" s="2">
        <f>ff_portfolios25!M866-ff_factors!$E866</f>
        <v>7.2436E-2</v>
      </c>
      <c r="N866" s="2">
        <f>ff_portfolios25!N866-ff_factors!$E866</f>
        <v>3.1426000000000003E-2</v>
      </c>
      <c r="O866" s="2">
        <f>ff_portfolios25!O866-ff_factors!$E866</f>
        <v>1.9389E-2</v>
      </c>
      <c r="P866" s="2">
        <f>ff_portfolios25!P866-ff_factors!$E866</f>
        <v>1.7285999999999999E-2</v>
      </c>
      <c r="Q866" s="2">
        <f>ff_portfolios25!Q866-ff_factors!$E866</f>
        <v>3.3512E-2</v>
      </c>
      <c r="R866" s="2">
        <f>ff_portfolios25!R866-ff_factors!$E866</f>
        <v>6.2300000000000001E-2</v>
      </c>
      <c r="S866" s="2">
        <f>ff_portfolios25!S866-ff_factors!$E866</f>
        <v>1.6362000000000002E-2</v>
      </c>
      <c r="T866" s="2">
        <f>ff_portfolios25!T866-ff_factors!$E866</f>
        <v>1.4173000000000002E-2</v>
      </c>
      <c r="U866" s="2">
        <f>ff_portfolios25!U866-ff_factors!$E866</f>
        <v>4.4053000000000002E-2</v>
      </c>
      <c r="V866" s="2">
        <f>ff_portfolios25!V866-ff_factors!$E866</f>
        <v>2.5991E-2</v>
      </c>
      <c r="W866" s="2">
        <f>ff_portfolios25!W866-ff_factors!$E866</f>
        <v>4.7142000000000003E-2</v>
      </c>
      <c r="X866" s="2">
        <f>ff_portfolios25!X866-ff_factors!$E866</f>
        <v>1.3833000000000002E-2</v>
      </c>
      <c r="Y866" s="2">
        <f>ff_portfolios25!Y866-ff_factors!$E866</f>
        <v>1.3684E-2</v>
      </c>
      <c r="Z866" s="2">
        <f>ff_portfolios25!Z866-ff_factors!$E866</f>
        <v>2.8921000000000002E-2</v>
      </c>
      <c r="AA866" s="2">
        <f>ff_portfolios25!AA866-ff_factors!$E866</f>
        <v>1.2393000000000001E-2</v>
      </c>
      <c r="AB866" s="2">
        <f>ff_portfolios25!AB866-ff_factors!$E866</f>
        <v>3.7513999999999999E-2</v>
      </c>
    </row>
    <row r="867" spans="1:28" x14ac:dyDescent="0.2">
      <c r="A867">
        <v>20040227</v>
      </c>
      <c r="B867">
        <v>2004</v>
      </c>
      <c r="C867">
        <v>2</v>
      </c>
      <c r="D867" s="2">
        <f>ff_portfolios25!D867-ff_factors!$E867</f>
        <v>4.8640000000000003E-3</v>
      </c>
      <c r="E867" s="2">
        <f>ff_portfolios25!E867-ff_factors!$E867</f>
        <v>8.7200000000000005E-4</v>
      </c>
      <c r="F867" s="2">
        <f>ff_portfolios25!F867-ff_factors!$E867</f>
        <v>-7.1699999999999997E-4</v>
      </c>
      <c r="G867" s="2">
        <f>ff_portfolios25!G867-ff_factors!$E867</f>
        <v>9.358E-3</v>
      </c>
      <c r="H867" s="2">
        <f>ff_portfolios25!H867-ff_factors!$E867</f>
        <v>-2.5599999999999993E-4</v>
      </c>
      <c r="I867" s="2">
        <f>ff_portfolios25!I867-ff_factors!$E867</f>
        <v>1.0737E-2</v>
      </c>
      <c r="J867" s="2">
        <f>ff_portfolios25!J867-ff_factors!$E867</f>
        <v>1.8737E-2</v>
      </c>
      <c r="K867" s="2">
        <f>ff_portfolios25!K867-ff_factors!$E867</f>
        <v>8.8420000000000009E-3</v>
      </c>
      <c r="L867" s="2">
        <f>ff_portfolios25!L867-ff_factors!$E867</f>
        <v>-4.0340000000000003E-3</v>
      </c>
      <c r="M867" s="2">
        <f>ff_portfolios25!M867-ff_factors!$E867</f>
        <v>2.4010000000000004E-3</v>
      </c>
      <c r="N867" s="2">
        <f>ff_portfolios25!N867-ff_factors!$E867</f>
        <v>-1.3749999999999999E-3</v>
      </c>
      <c r="O867" s="2">
        <f>ff_portfolios25!O867-ff_factors!$E867</f>
        <v>2.5901E-2</v>
      </c>
      <c r="P867" s="2">
        <f>ff_portfolios25!P867-ff_factors!$E867</f>
        <v>3.7304999999999998E-2</v>
      </c>
      <c r="Q867" s="2">
        <f>ff_portfolios25!Q867-ff_factors!$E867</f>
        <v>1.7958999999999999E-2</v>
      </c>
      <c r="R867" s="2">
        <f>ff_portfolios25!R867-ff_factors!$E867</f>
        <v>4.9220000000000002E-3</v>
      </c>
      <c r="S867" s="2">
        <f>ff_portfolios25!S867-ff_factors!$E867</f>
        <v>2.2908000000000001E-2</v>
      </c>
      <c r="T867" s="2">
        <f>ff_portfolios25!T867-ff_factors!$E867</f>
        <v>1.9820000000000001E-2</v>
      </c>
      <c r="U867" s="2">
        <f>ff_portfolios25!U867-ff_factors!$E867</f>
        <v>2.2232000000000002E-2</v>
      </c>
      <c r="V867" s="2">
        <f>ff_portfolios25!V867-ff_factors!$E867</f>
        <v>3.4235999999999996E-2</v>
      </c>
      <c r="W867" s="2">
        <f>ff_portfolios25!W867-ff_factors!$E867</f>
        <v>6.757E-3</v>
      </c>
      <c r="X867" s="2">
        <f>ff_portfolios25!X867-ff_factors!$E867</f>
        <v>9.8860000000000007E-3</v>
      </c>
      <c r="Y867" s="2">
        <f>ff_portfolios25!Y867-ff_factors!$E867</f>
        <v>2.1389999999999999E-2</v>
      </c>
      <c r="Z867" s="2">
        <f>ff_portfolios25!Z867-ff_factors!$E867</f>
        <v>1.1934999999999999E-2</v>
      </c>
      <c r="AA867" s="2">
        <f>ff_portfolios25!AA867-ff_factors!$E867</f>
        <v>1.8275E-2</v>
      </c>
      <c r="AB867" s="2">
        <f>ff_portfolios25!AB867-ff_factors!$E867</f>
        <v>4.1626999999999997E-2</v>
      </c>
    </row>
    <row r="868" spans="1:28" x14ac:dyDescent="0.2">
      <c r="A868">
        <v>20040331</v>
      </c>
      <c r="B868">
        <v>2004</v>
      </c>
      <c r="C868">
        <v>3</v>
      </c>
      <c r="D868" s="2">
        <f>ff_portfolios25!D868-ff_factors!$E868</f>
        <v>-1.6300000000000002E-2</v>
      </c>
      <c r="E868" s="2">
        <f>ff_portfolios25!E868-ff_factors!$E868</f>
        <v>-6.136E-3</v>
      </c>
      <c r="F868" s="2">
        <f>ff_portfolios25!F868-ff_factors!$E868</f>
        <v>-8.4609999999999998E-3</v>
      </c>
      <c r="G868" s="2">
        <f>ff_portfolios25!G868-ff_factors!$E868</f>
        <v>4.3909999999999999E-3</v>
      </c>
      <c r="H868" s="2">
        <f>ff_portfolios25!H868-ff_factors!$E868</f>
        <v>-9.391E-3</v>
      </c>
      <c r="I868" s="2">
        <f>ff_portfolios25!I868-ff_factors!$E868</f>
        <v>2.2830999999999997E-2</v>
      </c>
      <c r="J868" s="2">
        <f>ff_portfolios25!J868-ff_factors!$E868</f>
        <v>1.7318E-2</v>
      </c>
      <c r="K868" s="2">
        <f>ff_portfolios25!K868-ff_factors!$E868</f>
        <v>-8.2719999999999998E-3</v>
      </c>
      <c r="L868" s="2">
        <f>ff_portfolios25!L868-ff_factors!$E868</f>
        <v>1.4179000000000001E-2</v>
      </c>
      <c r="M868" s="2">
        <f>ff_portfolios25!M868-ff_factors!$E868</f>
        <v>1.4104999999999999E-2</v>
      </c>
      <c r="N868" s="2">
        <f>ff_portfolios25!N868-ff_factors!$E868</f>
        <v>1.5698999999999998E-2</v>
      </c>
      <c r="O868" s="2">
        <f>ff_portfolios25!O868-ff_factors!$E868</f>
        <v>5.8450000000000004E-3</v>
      </c>
      <c r="P868" s="2">
        <f>ff_portfolios25!P868-ff_factors!$E868</f>
        <v>8.5700000000000012E-4</v>
      </c>
      <c r="Q868" s="2">
        <f>ff_portfolios25!Q868-ff_factors!$E868</f>
        <v>1.8710000000000001E-3</v>
      </c>
      <c r="R868" s="2">
        <f>ff_portfolios25!R868-ff_factors!$E868</f>
        <v>7.9240000000000005E-3</v>
      </c>
      <c r="S868" s="2">
        <f>ff_portfolios25!S868-ff_factors!$E868</f>
        <v>3.1910000000000003E-3</v>
      </c>
      <c r="T868" s="2">
        <f>ff_portfolios25!T868-ff_factors!$E868</f>
        <v>-8.8330000000000006E-3</v>
      </c>
      <c r="U868" s="2">
        <f>ff_portfolios25!U868-ff_factors!$E868</f>
        <v>1.0005E-2</v>
      </c>
      <c r="V868" s="2">
        <f>ff_portfolios25!V868-ff_factors!$E868</f>
        <v>-1.1453E-2</v>
      </c>
      <c r="W868" s="2">
        <f>ff_portfolios25!W868-ff_factors!$E868</f>
        <v>-1.2605E-2</v>
      </c>
      <c r="X868" s="2">
        <f>ff_portfolios25!X868-ff_factors!$E868</f>
        <v>-2.3917000000000001E-2</v>
      </c>
      <c r="Y868" s="2">
        <f>ff_portfolios25!Y868-ff_factors!$E868</f>
        <v>-8.6619999999999996E-3</v>
      </c>
      <c r="Z868" s="2">
        <f>ff_portfolios25!Z868-ff_factors!$E868</f>
        <v>-1.7578E-2</v>
      </c>
      <c r="AA868" s="2">
        <f>ff_portfolios25!AA868-ff_factors!$E868</f>
        <v>2.0810000000000004E-3</v>
      </c>
      <c r="AB868" s="2">
        <f>ff_portfolios25!AB868-ff_factors!$E868</f>
        <v>-1.4078E-2</v>
      </c>
    </row>
    <row r="869" spans="1:28" x14ac:dyDescent="0.2">
      <c r="A869">
        <v>20040430</v>
      </c>
      <c r="B869">
        <v>2004</v>
      </c>
      <c r="C869">
        <v>4</v>
      </c>
      <c r="D869" s="2">
        <f>ff_portfolios25!D869-ff_factors!$E869</f>
        <v>-4.2502000000000005E-2</v>
      </c>
      <c r="E869" s="2">
        <f>ff_portfolios25!E869-ff_factors!$E869</f>
        <v>-5.2467E-2</v>
      </c>
      <c r="F869" s="2">
        <f>ff_portfolios25!F869-ff_factors!$E869</f>
        <v>-3.4584000000000004E-2</v>
      </c>
      <c r="G869" s="2">
        <f>ff_portfolios25!G869-ff_factors!$E869</f>
        <v>-3.9421000000000005E-2</v>
      </c>
      <c r="H869" s="2">
        <f>ff_portfolios25!H869-ff_factors!$E869</f>
        <v>-6.6531999999999994E-2</v>
      </c>
      <c r="I869" s="2">
        <f>ff_portfolios25!I869-ff_factors!$E869</f>
        <v>-4.0733000000000005E-2</v>
      </c>
      <c r="J869" s="2">
        <f>ff_portfolios25!J869-ff_factors!$E869</f>
        <v>-4.5603000000000005E-2</v>
      </c>
      <c r="K869" s="2">
        <f>ff_portfolios25!K869-ff_factors!$E869</f>
        <v>-2.282E-2</v>
      </c>
      <c r="L869" s="2">
        <f>ff_portfolios25!L869-ff_factors!$E869</f>
        <v>-4.4260000000000001E-2</v>
      </c>
      <c r="M869" s="2">
        <f>ff_portfolios25!M869-ff_factors!$E869</f>
        <v>-8.5610999999999993E-2</v>
      </c>
      <c r="N869" s="2">
        <f>ff_portfolios25!N869-ff_factors!$E869</f>
        <v>-2.0416E-2</v>
      </c>
      <c r="O869" s="2">
        <f>ff_portfolios25!O869-ff_factors!$E869</f>
        <v>-2.7688999999999998E-2</v>
      </c>
      <c r="P869" s="2">
        <f>ff_portfolios25!P869-ff_factors!$E869</f>
        <v>-3.1362000000000001E-2</v>
      </c>
      <c r="Q869" s="2">
        <f>ff_portfolios25!Q869-ff_factors!$E869</f>
        <v>-5.7959000000000004E-2</v>
      </c>
      <c r="R869" s="2">
        <f>ff_portfolios25!R869-ff_factors!$E869</f>
        <v>-6.544599999999999E-2</v>
      </c>
      <c r="S869" s="2">
        <f>ff_portfolios25!S869-ff_factors!$E869</f>
        <v>-1.6168999999999999E-2</v>
      </c>
      <c r="T869" s="2">
        <f>ff_portfolios25!T869-ff_factors!$E869</f>
        <v>-4.7419000000000003E-2</v>
      </c>
      <c r="U869" s="2">
        <f>ff_portfolios25!U869-ff_factors!$E869</f>
        <v>-4.0078000000000003E-2</v>
      </c>
      <c r="V869" s="2">
        <f>ff_portfolios25!V869-ff_factors!$E869</f>
        <v>-2.8183E-2</v>
      </c>
      <c r="W869" s="2">
        <f>ff_portfolios25!W869-ff_factors!$E869</f>
        <v>-3.6618999999999999E-2</v>
      </c>
      <c r="X869" s="2">
        <f>ff_portfolios25!X869-ff_factors!$E869</f>
        <v>2.1280000000000001E-3</v>
      </c>
      <c r="Y869" s="2">
        <f>ff_portfolios25!Y869-ff_factors!$E869</f>
        <v>-3.2600000000000004E-2</v>
      </c>
      <c r="Z869" s="2">
        <f>ff_portfolios25!Z869-ff_factors!$E869</f>
        <v>-3.2504999999999999E-2</v>
      </c>
      <c r="AA869" s="2">
        <f>ff_portfolios25!AA869-ff_factors!$E869</f>
        <v>-2.4482E-2</v>
      </c>
      <c r="AB869" s="2">
        <f>ff_portfolios25!AB869-ff_factors!$E869</f>
        <v>-1.03E-2</v>
      </c>
    </row>
    <row r="870" spans="1:28" x14ac:dyDescent="0.2">
      <c r="A870">
        <v>20040528</v>
      </c>
      <c r="B870">
        <v>2004</v>
      </c>
      <c r="C870">
        <v>5</v>
      </c>
      <c r="D870" s="2">
        <f>ff_portfolios25!D870-ff_factors!$E870</f>
        <v>-2.1433999999999998E-2</v>
      </c>
      <c r="E870" s="2">
        <f>ff_portfolios25!E870-ff_factors!$E870</f>
        <v>-6.0289999999999996E-3</v>
      </c>
      <c r="F870" s="2">
        <f>ff_portfolios25!F870-ff_factors!$E870</f>
        <v>1.6410000000000001E-3</v>
      </c>
      <c r="G870" s="2">
        <f>ff_portfolios25!G870-ff_factors!$E870</f>
        <v>-7.0369999999999999E-3</v>
      </c>
      <c r="H870" s="2">
        <f>ff_portfolios25!H870-ff_factors!$E870</f>
        <v>7.162E-3</v>
      </c>
      <c r="I870" s="2">
        <f>ff_portfolios25!I870-ff_factors!$E870</f>
        <v>1.5382E-2</v>
      </c>
      <c r="J870" s="2">
        <f>ff_portfolios25!J870-ff_factors!$E870</f>
        <v>1.3358E-2</v>
      </c>
      <c r="K870" s="2">
        <f>ff_portfolios25!K870-ff_factors!$E870</f>
        <v>1.3742000000000001E-2</v>
      </c>
      <c r="L870" s="2">
        <f>ff_portfolios25!L870-ff_factors!$E870</f>
        <v>1.108E-2</v>
      </c>
      <c r="M870" s="2">
        <f>ff_portfolios25!M870-ff_factors!$E870</f>
        <v>3.7512999999999998E-2</v>
      </c>
      <c r="N870" s="2">
        <f>ff_portfolios25!N870-ff_factors!$E870</f>
        <v>1.4018000000000001E-2</v>
      </c>
      <c r="O870" s="2">
        <f>ff_portfolios25!O870-ff_factors!$E870</f>
        <v>2.2499000000000002E-2</v>
      </c>
      <c r="P870" s="2">
        <f>ff_portfolios25!P870-ff_factors!$E870</f>
        <v>2.0628000000000001E-2</v>
      </c>
      <c r="Q870" s="2">
        <f>ff_portfolios25!Q870-ff_factors!$E870</f>
        <v>1.4853E-2</v>
      </c>
      <c r="R870" s="2">
        <f>ff_portfolios25!R870-ff_factors!$E870</f>
        <v>1.6903000000000001E-2</v>
      </c>
      <c r="S870" s="2">
        <f>ff_portfolios25!S870-ff_factors!$E870</f>
        <v>1.0912E-2</v>
      </c>
      <c r="T870" s="2">
        <f>ff_portfolios25!T870-ff_factors!$E870</f>
        <v>2.1401E-2</v>
      </c>
      <c r="U870" s="2">
        <f>ff_portfolios25!U870-ff_factors!$E870</f>
        <v>2.5846999999999998E-2</v>
      </c>
      <c r="V870" s="2">
        <f>ff_portfolios25!V870-ff_factors!$E870</f>
        <v>1.2113000000000001E-2</v>
      </c>
      <c r="W870" s="2">
        <f>ff_portfolios25!W870-ff_factors!$E870</f>
        <v>3.9477999999999999E-2</v>
      </c>
      <c r="X870" s="2">
        <f>ff_portfolios25!X870-ff_factors!$E870</f>
        <v>1.3308E-2</v>
      </c>
      <c r="Y870" s="2">
        <f>ff_portfolios25!Y870-ff_factors!$E870</f>
        <v>1.0238000000000001E-2</v>
      </c>
      <c r="Z870" s="2">
        <f>ff_portfolios25!Z870-ff_factors!$E870</f>
        <v>3.4549999999999997E-3</v>
      </c>
      <c r="AA870" s="2">
        <f>ff_portfolios25!AA870-ff_factors!$E870</f>
        <v>4.8970000000000003E-3</v>
      </c>
      <c r="AB870" s="2">
        <f>ff_portfolios25!AB870-ff_factors!$E870</f>
        <v>2.1590000000000003E-3</v>
      </c>
    </row>
    <row r="871" spans="1:28" x14ac:dyDescent="0.2">
      <c r="A871">
        <v>20040630</v>
      </c>
      <c r="B871">
        <v>2004</v>
      </c>
      <c r="C871">
        <v>6</v>
      </c>
      <c r="D871" s="2">
        <f>ff_portfolios25!D871-ff_factors!$E871</f>
        <v>1.1724999999999999E-2</v>
      </c>
      <c r="E871" s="2">
        <f>ff_portfolios25!E871-ff_factors!$E871</f>
        <v>4.5862E-2</v>
      </c>
      <c r="F871" s="2">
        <f>ff_portfolios25!F871-ff_factors!$E871</f>
        <v>4.1481999999999998E-2</v>
      </c>
      <c r="G871" s="2">
        <f>ff_portfolios25!G871-ff_factors!$E871</f>
        <v>3.1230000000000004E-2</v>
      </c>
      <c r="H871" s="2">
        <f>ff_portfolios25!H871-ff_factors!$E871</f>
        <v>4.0726999999999999E-2</v>
      </c>
      <c r="I871" s="2">
        <f>ff_portfolios25!I871-ff_factors!$E871</f>
        <v>3.1408999999999999E-2</v>
      </c>
      <c r="J871" s="2">
        <f>ff_portfolios25!J871-ff_factors!$E871</f>
        <v>5.0198E-2</v>
      </c>
      <c r="K871" s="2">
        <f>ff_portfolios25!K871-ff_factors!$E871</f>
        <v>5.7911999999999998E-2</v>
      </c>
      <c r="L871" s="2">
        <f>ff_portfolios25!L871-ff_factors!$E871</f>
        <v>5.3395999999999999E-2</v>
      </c>
      <c r="M871" s="2">
        <f>ff_portfolios25!M871-ff_factors!$E871</f>
        <v>8.2779000000000005E-2</v>
      </c>
      <c r="N871" s="2">
        <f>ff_portfolios25!N871-ff_factors!$E871</f>
        <v>2.1783E-2</v>
      </c>
      <c r="O871" s="2">
        <f>ff_portfolios25!O871-ff_factors!$E871</f>
        <v>4.3490000000000001E-2</v>
      </c>
      <c r="P871" s="2">
        <f>ff_portfolios25!P871-ff_factors!$E871</f>
        <v>1.6886000000000002E-2</v>
      </c>
      <c r="Q871" s="2">
        <f>ff_portfolios25!Q871-ff_factors!$E871</f>
        <v>2.1220000000000003E-2</v>
      </c>
      <c r="R871" s="2">
        <f>ff_portfolios25!R871-ff_factors!$E871</f>
        <v>4.7206999999999999E-2</v>
      </c>
      <c r="S871" s="2">
        <f>ff_portfolios25!S871-ff_factors!$E871</f>
        <v>1.3984999999999999E-2</v>
      </c>
      <c r="T871" s="2">
        <f>ff_portfolios25!T871-ff_factors!$E871</f>
        <v>2.4966000000000002E-2</v>
      </c>
      <c r="U871" s="2">
        <f>ff_portfolios25!U871-ff_factors!$E871</f>
        <v>2.3445000000000001E-2</v>
      </c>
      <c r="V871" s="2">
        <f>ff_portfolios25!V871-ff_factors!$E871</f>
        <v>3.2298E-2</v>
      </c>
      <c r="W871" s="2">
        <f>ff_portfolios25!W871-ff_factors!$E871</f>
        <v>4.1320999999999997E-2</v>
      </c>
      <c r="X871" s="2">
        <f>ff_portfolios25!X871-ff_factors!$E871</f>
        <v>1.3455999999999999E-2</v>
      </c>
      <c r="Y871" s="2">
        <f>ff_portfolios25!Y871-ff_factors!$E871</f>
        <v>1.4392E-2</v>
      </c>
      <c r="Z871" s="2">
        <f>ff_portfolios25!Z871-ff_factors!$E871</f>
        <v>2.4260000000000002E-3</v>
      </c>
      <c r="AA871" s="2">
        <f>ff_portfolios25!AA871-ff_factors!$E871</f>
        <v>3.1745999999999996E-2</v>
      </c>
      <c r="AB871" s="2">
        <f>ff_portfolios25!AB871-ff_factors!$E871</f>
        <v>2.8003E-2</v>
      </c>
    </row>
    <row r="872" spans="1:28" x14ac:dyDescent="0.2">
      <c r="A872">
        <v>20040730</v>
      </c>
      <c r="B872">
        <v>2004</v>
      </c>
      <c r="C872">
        <v>7</v>
      </c>
      <c r="D872" s="2">
        <f>ff_portfolios25!D872-ff_factors!$E872</f>
        <v>-0.129248</v>
      </c>
      <c r="E872" s="2">
        <f>ff_portfolios25!E872-ff_factors!$E872</f>
        <v>-7.7021000000000006E-2</v>
      </c>
      <c r="F872" s="2">
        <f>ff_portfolios25!F872-ff_factors!$E872</f>
        <v>-6.8661E-2</v>
      </c>
      <c r="G872" s="2">
        <f>ff_portfolios25!G872-ff_factors!$E872</f>
        <v>-5.5728E-2</v>
      </c>
      <c r="H872" s="2">
        <f>ff_portfolios25!H872-ff_factors!$E872</f>
        <v>-4.4146999999999999E-2</v>
      </c>
      <c r="I872" s="2">
        <f>ff_portfolios25!I872-ff_factors!$E872</f>
        <v>-9.0644000000000002E-2</v>
      </c>
      <c r="J872" s="2">
        <f>ff_portfolios25!J872-ff_factors!$E872</f>
        <v>-8.1432000000000004E-2</v>
      </c>
      <c r="K872" s="2">
        <f>ff_portfolios25!K872-ff_factors!$E872</f>
        <v>-6.2547999999999992E-2</v>
      </c>
      <c r="L872" s="2">
        <f>ff_portfolios25!L872-ff_factors!$E872</f>
        <v>-4.8864999999999999E-2</v>
      </c>
      <c r="M872" s="2">
        <f>ff_portfolios25!M872-ff_factors!$E872</f>
        <v>-4.1440999999999999E-2</v>
      </c>
      <c r="N872" s="2">
        <f>ff_portfolios25!N872-ff_factors!$E872</f>
        <v>-8.9699000000000001E-2</v>
      </c>
      <c r="O872" s="2">
        <f>ff_portfolios25!O872-ff_factors!$E872</f>
        <v>-5.9152000000000003E-2</v>
      </c>
      <c r="P872" s="2">
        <f>ff_portfolios25!P872-ff_factors!$E872</f>
        <v>-3.6269000000000003E-2</v>
      </c>
      <c r="Q872" s="2">
        <f>ff_portfolios25!Q872-ff_factors!$E872</f>
        <v>-2.5170000000000001E-2</v>
      </c>
      <c r="R872" s="2">
        <f>ff_portfolios25!R872-ff_factors!$E872</f>
        <v>-4.6367999999999999E-2</v>
      </c>
      <c r="S872" s="2">
        <f>ff_portfolios25!S872-ff_factors!$E872</f>
        <v>-5.9992999999999998E-2</v>
      </c>
      <c r="T872" s="2">
        <f>ff_portfolios25!T872-ff_factors!$E872</f>
        <v>-5.7425999999999998E-2</v>
      </c>
      <c r="U872" s="2">
        <f>ff_portfolios25!U872-ff_factors!$E872</f>
        <v>-4.156E-2</v>
      </c>
      <c r="V872" s="2">
        <f>ff_portfolios25!V872-ff_factors!$E872</f>
        <v>-5.9470000000000002E-2</v>
      </c>
      <c r="W872" s="2">
        <f>ff_portfolios25!W872-ff_factors!$E872</f>
        <v>-1.8922000000000001E-2</v>
      </c>
      <c r="X872" s="2">
        <f>ff_portfolios25!X872-ff_factors!$E872</f>
        <v>-5.0471000000000002E-2</v>
      </c>
      <c r="Y872" s="2">
        <f>ff_portfolios25!Y872-ff_factors!$E872</f>
        <v>-1.5857E-2</v>
      </c>
      <c r="Z872" s="2">
        <f>ff_portfolios25!Z872-ff_factors!$E872</f>
        <v>-8.9049999999999997E-3</v>
      </c>
      <c r="AA872" s="2">
        <f>ff_portfolios25!AA872-ff_factors!$E872</f>
        <v>-2.0455000000000001E-2</v>
      </c>
      <c r="AB872" s="2">
        <f>ff_portfolios25!AB872-ff_factors!$E872</f>
        <v>-1.4866000000000001E-2</v>
      </c>
    </row>
    <row r="873" spans="1:28" x14ac:dyDescent="0.2">
      <c r="A873">
        <v>20040831</v>
      </c>
      <c r="B873">
        <v>2004</v>
      </c>
      <c r="C873">
        <v>8</v>
      </c>
      <c r="D873" s="2">
        <f>ff_portfolios25!D873-ff_factors!$E873</f>
        <v>-1.7444999999999999E-2</v>
      </c>
      <c r="E873" s="2">
        <f>ff_portfolios25!E873-ff_factors!$E873</f>
        <v>-8.319E-3</v>
      </c>
      <c r="F873" s="2">
        <f>ff_portfolios25!F873-ff_factors!$E873</f>
        <v>-1.0857E-2</v>
      </c>
      <c r="G873" s="2">
        <f>ff_portfolios25!G873-ff_factors!$E873</f>
        <v>-1.6598999999999999E-2</v>
      </c>
      <c r="H873" s="2">
        <f>ff_portfolios25!H873-ff_factors!$E873</f>
        <v>-1.9332000000000002E-2</v>
      </c>
      <c r="I873" s="2">
        <f>ff_portfolios25!I873-ff_factors!$E873</f>
        <v>-4.5198999999999996E-2</v>
      </c>
      <c r="J873" s="2">
        <f>ff_portfolios25!J873-ff_factors!$E873</f>
        <v>-1.7507000000000002E-2</v>
      </c>
      <c r="K873" s="2">
        <f>ff_portfolios25!K873-ff_factors!$E873</f>
        <v>9.4300000000000004E-4</v>
      </c>
      <c r="L873" s="2">
        <f>ff_portfolios25!L873-ff_factors!$E873</f>
        <v>2.2799999999999999E-3</v>
      </c>
      <c r="M873" s="2">
        <f>ff_portfolios25!M873-ff_factors!$E873</f>
        <v>5.6439999999999997E-3</v>
      </c>
      <c r="N873" s="2">
        <f>ff_portfolios25!N873-ff_factors!$E873</f>
        <v>-2.4712999999999999E-2</v>
      </c>
      <c r="O873" s="2">
        <f>ff_portfolios25!O873-ff_factors!$E873</f>
        <v>-1.7576000000000001E-2</v>
      </c>
      <c r="P873" s="2">
        <f>ff_portfolios25!P873-ff_factors!$E873</f>
        <v>8.43E-3</v>
      </c>
      <c r="Q873" s="2">
        <f>ff_portfolios25!Q873-ff_factors!$E873</f>
        <v>2.7179999999999999E-3</v>
      </c>
      <c r="R873" s="2">
        <f>ff_portfolios25!R873-ff_factors!$E873</f>
        <v>-1.7474E-2</v>
      </c>
      <c r="S873" s="2">
        <f>ff_portfolios25!S873-ff_factors!$E873</f>
        <v>-1.6879000000000002E-2</v>
      </c>
      <c r="T873" s="2">
        <f>ff_portfolios25!T873-ff_factors!$E873</f>
        <v>-1.0068000000000001E-2</v>
      </c>
      <c r="U873" s="2">
        <f>ff_portfolios25!U873-ff_factors!$E873</f>
        <v>3.5750000000000001E-3</v>
      </c>
      <c r="V873" s="2">
        <f>ff_portfolios25!V873-ff_factors!$E873</f>
        <v>6.5309999999999995E-3</v>
      </c>
      <c r="W873" s="2">
        <f>ff_portfolios25!W873-ff_factors!$E873</f>
        <v>-1.3900000000000002E-4</v>
      </c>
      <c r="X873" s="2">
        <f>ff_portfolios25!X873-ff_factors!$E873</f>
        <v>-4.4730000000000004E-3</v>
      </c>
      <c r="Y873" s="2">
        <f>ff_portfolios25!Y873-ff_factors!$E873</f>
        <v>1.5694E-2</v>
      </c>
      <c r="Z873" s="2">
        <f>ff_portfolios25!Z873-ff_factors!$E873</f>
        <v>9.3119999999999991E-3</v>
      </c>
      <c r="AA873" s="2">
        <f>ff_portfolios25!AA873-ff_factors!$E873</f>
        <v>8.5089999999999992E-3</v>
      </c>
      <c r="AB873" s="2">
        <f>ff_portfolios25!AB873-ff_factors!$E873</f>
        <v>7.9699999999999997E-4</v>
      </c>
    </row>
    <row r="874" spans="1:28" x14ac:dyDescent="0.2">
      <c r="A874">
        <v>20040930</v>
      </c>
      <c r="B874">
        <v>2004</v>
      </c>
      <c r="C874">
        <v>9</v>
      </c>
      <c r="D874" s="2">
        <f>ff_portfolios25!D874-ff_factors!$E874</f>
        <v>4.6569000000000006E-2</v>
      </c>
      <c r="E874" s="2">
        <f>ff_portfolios25!E874-ff_factors!$E874</f>
        <v>4.0900000000000006E-2</v>
      </c>
      <c r="F874" s="2">
        <f>ff_portfolios25!F874-ff_factors!$E874</f>
        <v>5.3154E-2</v>
      </c>
      <c r="G874" s="2">
        <f>ff_portfolios25!G874-ff_factors!$E874</f>
        <v>4.0364000000000004E-2</v>
      </c>
      <c r="H874" s="2">
        <f>ff_portfolios25!H874-ff_factors!$E874</f>
        <v>3.6301E-2</v>
      </c>
      <c r="I874" s="2">
        <f>ff_portfolios25!I874-ff_factors!$E874</f>
        <v>8.2071999999999992E-2</v>
      </c>
      <c r="J874" s="2">
        <f>ff_portfolios25!J874-ff_factors!$E874</f>
        <v>5.3927000000000003E-2</v>
      </c>
      <c r="K874" s="2">
        <f>ff_portfolios25!K874-ff_factors!$E874</f>
        <v>5.2555000000000004E-2</v>
      </c>
      <c r="L874" s="2">
        <f>ff_portfolios25!L874-ff_factors!$E874</f>
        <v>4.2429000000000001E-2</v>
      </c>
      <c r="M874" s="2">
        <f>ff_portfolios25!M874-ff_factors!$E874</f>
        <v>3.9277000000000006E-2</v>
      </c>
      <c r="N874" s="2">
        <f>ff_portfolios25!N874-ff_factors!$E874</f>
        <v>3.9583E-2</v>
      </c>
      <c r="O874" s="2">
        <f>ff_portfolios25!O874-ff_factors!$E874</f>
        <v>4.5658000000000004E-2</v>
      </c>
      <c r="P874" s="2">
        <f>ff_portfolios25!P874-ff_factors!$E874</f>
        <v>3.3840000000000002E-2</v>
      </c>
      <c r="Q874" s="2">
        <f>ff_portfolios25!Q874-ff_factors!$E874</f>
        <v>3.2293000000000002E-2</v>
      </c>
      <c r="R874" s="2">
        <f>ff_portfolios25!R874-ff_factors!$E874</f>
        <v>2.5887E-2</v>
      </c>
      <c r="S874" s="2">
        <f>ff_portfolios25!S874-ff_factors!$E874</f>
        <v>2.8843000000000001E-2</v>
      </c>
      <c r="T874" s="2">
        <f>ff_portfolios25!T874-ff_factors!$E874</f>
        <v>2.9189E-2</v>
      </c>
      <c r="U874" s="2">
        <f>ff_portfolios25!U874-ff_factors!$E874</f>
        <v>4.5063000000000006E-2</v>
      </c>
      <c r="V874" s="2">
        <f>ff_portfolios25!V874-ff_factors!$E874</f>
        <v>2.9294999999999998E-2</v>
      </c>
      <c r="W874" s="2">
        <f>ff_portfolios25!W874-ff_factors!$E874</f>
        <v>3.2450000000000007E-2</v>
      </c>
      <c r="X874" s="2">
        <f>ff_portfolios25!X874-ff_factors!$E874</f>
        <v>-2.7000000000000006E-4</v>
      </c>
      <c r="Y874" s="2">
        <f>ff_portfolios25!Y874-ff_factors!$E874</f>
        <v>1.3806000000000001E-2</v>
      </c>
      <c r="Z874" s="2">
        <f>ff_portfolios25!Z874-ff_factors!$E874</f>
        <v>1.6794E-2</v>
      </c>
      <c r="AA874" s="2">
        <f>ff_portfolios25!AA874-ff_factors!$E874</f>
        <v>1.1996999999999999E-2</v>
      </c>
      <c r="AB874" s="2">
        <f>ff_portfolios25!AB874-ff_factors!$E874</f>
        <v>4.0279000000000002E-2</v>
      </c>
    </row>
    <row r="875" spans="1:28" x14ac:dyDescent="0.2">
      <c r="A875">
        <v>20041029</v>
      </c>
      <c r="B875">
        <v>2004</v>
      </c>
      <c r="C875">
        <v>10</v>
      </c>
      <c r="D875" s="2">
        <f>ff_portfolios25!D875-ff_factors!$E875</f>
        <v>9.6200000000000001E-3</v>
      </c>
      <c r="E875" s="2">
        <f>ff_portfolios25!E875-ff_factors!$E875</f>
        <v>2.1302999999999999E-2</v>
      </c>
      <c r="F875" s="2">
        <f>ff_portfolios25!F875-ff_factors!$E875</f>
        <v>3.1187000000000003E-2</v>
      </c>
      <c r="G875" s="2">
        <f>ff_portfolios25!G875-ff_factors!$E875</f>
        <v>3.8199999999999996E-3</v>
      </c>
      <c r="H875" s="2">
        <f>ff_portfolios25!H875-ff_factors!$E875</f>
        <v>4.3479999999999994E-3</v>
      </c>
      <c r="I875" s="2">
        <f>ff_portfolios25!I875-ff_factors!$E875</f>
        <v>3.4972000000000003E-2</v>
      </c>
      <c r="J875" s="2">
        <f>ff_portfolios25!J875-ff_factors!$E875</f>
        <v>3.1971000000000006E-2</v>
      </c>
      <c r="K875" s="2">
        <f>ff_portfolios25!K875-ff_factors!$E875</f>
        <v>1.5632E-2</v>
      </c>
      <c r="L875" s="2">
        <f>ff_portfolios25!L875-ff_factors!$E875</f>
        <v>-7.7500000000000008E-4</v>
      </c>
      <c r="M875" s="2">
        <f>ff_portfolios25!M875-ff_factors!$E875</f>
        <v>2.7220999999999999E-2</v>
      </c>
      <c r="N875" s="2">
        <f>ff_portfolios25!N875-ff_factors!$E875</f>
        <v>2.1075E-2</v>
      </c>
      <c r="O875" s="2">
        <f>ff_portfolios25!O875-ff_factors!$E875</f>
        <v>4.0234000000000006E-2</v>
      </c>
      <c r="P875" s="2">
        <f>ff_portfolios25!P875-ff_factors!$E875</f>
        <v>1.7093999999999998E-2</v>
      </c>
      <c r="Q875" s="2">
        <f>ff_portfolios25!Q875-ff_factors!$E875</f>
        <v>6.0479999999999996E-3</v>
      </c>
      <c r="R875" s="2">
        <f>ff_portfolios25!R875-ff_factors!$E875</f>
        <v>1.0584999999999999E-2</v>
      </c>
      <c r="S875" s="2">
        <f>ff_portfolios25!S875-ff_factors!$E875</f>
        <v>3.7019000000000003E-2</v>
      </c>
      <c r="T875" s="2">
        <f>ff_portfolios25!T875-ff_factors!$E875</f>
        <v>2.8663999999999999E-2</v>
      </c>
      <c r="U875" s="2">
        <f>ff_portfolios25!U875-ff_factors!$E875</f>
        <v>1.0607999999999999E-2</v>
      </c>
      <c r="V875" s="2">
        <f>ff_portfolios25!V875-ff_factors!$E875</f>
        <v>1.2678E-2</v>
      </c>
      <c r="W875" s="2">
        <f>ff_portfolios25!W875-ff_factors!$E875</f>
        <v>-4.7489999999999997E-3</v>
      </c>
      <c r="X875" s="2">
        <f>ff_portfolios25!X875-ff_factors!$E875</f>
        <v>1.3323E-2</v>
      </c>
      <c r="Y875" s="2">
        <f>ff_portfolios25!Y875-ff_factors!$E875</f>
        <v>5.463E-3</v>
      </c>
      <c r="Z875" s="2">
        <f>ff_portfolios25!Z875-ff_factors!$E875</f>
        <v>3.2493000000000001E-2</v>
      </c>
      <c r="AA875" s="2">
        <f>ff_portfolios25!AA875-ff_factors!$E875</f>
        <v>1.8060000000000001E-3</v>
      </c>
      <c r="AB875" s="2">
        <f>ff_portfolios25!AB875-ff_factors!$E875</f>
        <v>2.1389999999999999E-2</v>
      </c>
    </row>
    <row r="876" spans="1:28" x14ac:dyDescent="0.2">
      <c r="A876">
        <v>20041130</v>
      </c>
      <c r="B876">
        <v>2004</v>
      </c>
      <c r="C876">
        <v>11</v>
      </c>
      <c r="D876" s="2">
        <f>ff_portfolios25!D876-ff_factors!$E876</f>
        <v>0.105461</v>
      </c>
      <c r="E876" s="2">
        <f>ff_portfolios25!E876-ff_factors!$E876</f>
        <v>8.2312999999999997E-2</v>
      </c>
      <c r="F876" s="2">
        <f>ff_portfolios25!F876-ff_factors!$E876</f>
        <v>8.0098000000000003E-2</v>
      </c>
      <c r="G876" s="2">
        <f>ff_portfolios25!G876-ff_factors!$E876</f>
        <v>7.4078000000000005E-2</v>
      </c>
      <c r="H876" s="2">
        <f>ff_portfolios25!H876-ff_factors!$E876</f>
        <v>9.5387E-2</v>
      </c>
      <c r="I876" s="2">
        <f>ff_portfolios25!I876-ff_factors!$E876</f>
        <v>7.2559999999999999E-2</v>
      </c>
      <c r="J876" s="2">
        <f>ff_portfolios25!J876-ff_factors!$E876</f>
        <v>9.3739000000000003E-2</v>
      </c>
      <c r="K876" s="2">
        <f>ff_portfolios25!K876-ff_factors!$E876</f>
        <v>9.0103000000000003E-2</v>
      </c>
      <c r="L876" s="2">
        <f>ff_portfolios25!L876-ff_factors!$E876</f>
        <v>9.1818999999999998E-2</v>
      </c>
      <c r="M876" s="2">
        <f>ff_portfolios25!M876-ff_factors!$E876</f>
        <v>0.110245</v>
      </c>
      <c r="N876" s="2">
        <f>ff_portfolios25!N876-ff_factors!$E876</f>
        <v>5.6766999999999998E-2</v>
      </c>
      <c r="O876" s="2">
        <f>ff_portfolios25!O876-ff_factors!$E876</f>
        <v>6.8485000000000004E-2</v>
      </c>
      <c r="P876" s="2">
        <f>ff_portfolios25!P876-ff_factors!$E876</f>
        <v>7.2628999999999999E-2</v>
      </c>
      <c r="Q876" s="2">
        <f>ff_portfolios25!Q876-ff_factors!$E876</f>
        <v>6.8962999999999997E-2</v>
      </c>
      <c r="R876" s="2">
        <f>ff_portfolios25!R876-ff_factors!$E876</f>
        <v>9.4636999999999999E-2</v>
      </c>
      <c r="S876" s="2">
        <f>ff_portfolios25!S876-ff_factors!$E876</f>
        <v>5.1087E-2</v>
      </c>
      <c r="T876" s="2">
        <f>ff_portfolios25!T876-ff_factors!$E876</f>
        <v>6.9789000000000004E-2</v>
      </c>
      <c r="U876" s="2">
        <f>ff_portfolios25!U876-ff_factors!$E876</f>
        <v>7.4656E-2</v>
      </c>
      <c r="V876" s="2">
        <f>ff_portfolios25!V876-ff_factors!$E876</f>
        <v>7.1258000000000002E-2</v>
      </c>
      <c r="W876" s="2">
        <f>ff_portfolios25!W876-ff_factors!$E876</f>
        <v>9.2225000000000001E-2</v>
      </c>
      <c r="X876" s="2">
        <f>ff_portfolios25!X876-ff_factors!$E876</f>
        <v>2.8962999999999999E-2</v>
      </c>
      <c r="Y876" s="2">
        <f>ff_portfolios25!Y876-ff_factors!$E876</f>
        <v>4.2668999999999999E-2</v>
      </c>
      <c r="Z876" s="2">
        <f>ff_portfolios25!Z876-ff_factors!$E876</f>
        <v>5.577E-2</v>
      </c>
      <c r="AA876" s="2">
        <f>ff_portfolios25!AA876-ff_factors!$E876</f>
        <v>3.3528999999999996E-2</v>
      </c>
      <c r="AB876" s="2">
        <f>ff_portfolios25!AB876-ff_factors!$E876</f>
        <v>6.0101999999999996E-2</v>
      </c>
    </row>
    <row r="877" spans="1:28" x14ac:dyDescent="0.2">
      <c r="A877">
        <v>20041231</v>
      </c>
      <c r="B877">
        <v>2004</v>
      </c>
      <c r="C877">
        <v>12</v>
      </c>
      <c r="D877" s="2">
        <f>ff_portfolios25!D877-ff_factors!$E877</f>
        <v>5.1948000000000001E-2</v>
      </c>
      <c r="E877" s="2">
        <f>ff_portfolios25!E877-ff_factors!$E877</f>
        <v>4.4212000000000001E-2</v>
      </c>
      <c r="F877" s="2">
        <f>ff_portfolios25!F877-ff_factors!$E877</f>
        <v>3.8312000000000006E-2</v>
      </c>
      <c r="G877" s="2">
        <f>ff_portfolios25!G877-ff_factors!$E877</f>
        <v>2.9561E-2</v>
      </c>
      <c r="H877" s="2">
        <f>ff_portfolios25!H877-ff_factors!$E877</f>
        <v>6.089E-2</v>
      </c>
      <c r="I877" s="2">
        <f>ff_portfolios25!I877-ff_factors!$E877</f>
        <v>3.2653000000000001E-2</v>
      </c>
      <c r="J877" s="2">
        <f>ff_portfolios25!J877-ff_factors!$E877</f>
        <v>3.1526999999999999E-2</v>
      </c>
      <c r="K877" s="2">
        <f>ff_portfolios25!K877-ff_factors!$E877</f>
        <v>2.2520999999999999E-2</v>
      </c>
      <c r="L877" s="2">
        <f>ff_portfolios25!L877-ff_factors!$E877</f>
        <v>2.2523999999999999E-2</v>
      </c>
      <c r="M877" s="2">
        <f>ff_portfolios25!M877-ff_factors!$E877</f>
        <v>3.5620000000000006E-2</v>
      </c>
      <c r="N877" s="2">
        <f>ff_portfolios25!N877-ff_factors!$E877</f>
        <v>5.2750999999999999E-2</v>
      </c>
      <c r="O877" s="2">
        <f>ff_portfolios25!O877-ff_factors!$E877</f>
        <v>3.3501000000000003E-2</v>
      </c>
      <c r="P877" s="2">
        <f>ff_portfolios25!P877-ff_factors!$E877</f>
        <v>1.421E-2</v>
      </c>
      <c r="Q877" s="2">
        <f>ff_portfolios25!Q877-ff_factors!$E877</f>
        <v>2.0355999999999999E-2</v>
      </c>
      <c r="R877" s="2">
        <f>ff_portfolios25!R877-ff_factors!$E877</f>
        <v>4.2759000000000005E-2</v>
      </c>
      <c r="S877" s="2">
        <f>ff_portfolios25!S877-ff_factors!$E877</f>
        <v>4.1758000000000003E-2</v>
      </c>
      <c r="T877" s="2">
        <f>ff_portfolios25!T877-ff_factors!$E877</f>
        <v>4.0545000000000005E-2</v>
      </c>
      <c r="U877" s="2">
        <f>ff_portfolios25!U877-ff_factors!$E877</f>
        <v>4.0195000000000002E-2</v>
      </c>
      <c r="V877" s="2">
        <f>ff_portfolios25!V877-ff_factors!$E877</f>
        <v>5.0660000000000004E-2</v>
      </c>
      <c r="W877" s="2">
        <f>ff_portfolios25!W877-ff_factors!$E877</f>
        <v>2.8982999999999998E-2</v>
      </c>
      <c r="X877" s="2">
        <f>ff_portfolios25!X877-ff_factors!$E877</f>
        <v>3.6494000000000006E-2</v>
      </c>
      <c r="Y877" s="2">
        <f>ff_portfolios25!Y877-ff_factors!$E877</f>
        <v>2.5943999999999998E-2</v>
      </c>
      <c r="Z877" s="2">
        <f>ff_portfolios25!Z877-ff_factors!$E877</f>
        <v>1.2475E-2</v>
      </c>
      <c r="AA877" s="2">
        <f>ff_portfolios25!AA877-ff_factors!$E877</f>
        <v>5.3746000000000002E-2</v>
      </c>
      <c r="AB877" s="2">
        <f>ff_portfolios25!AB877-ff_factors!$E877</f>
        <v>2.2147E-2</v>
      </c>
    </row>
    <row r="878" spans="1:28" x14ac:dyDescent="0.2">
      <c r="A878">
        <v>20050131</v>
      </c>
      <c r="B878">
        <v>2005</v>
      </c>
      <c r="C878">
        <v>1</v>
      </c>
      <c r="D878" s="2">
        <f>ff_portfolios25!D878-ff_factors!$E878</f>
        <v>-6.5180000000000002E-2</v>
      </c>
      <c r="E878" s="2">
        <f>ff_portfolios25!E878-ff_factors!$E878</f>
        <v>-4.3314999999999999E-2</v>
      </c>
      <c r="F878" s="2">
        <f>ff_portfolios25!F878-ff_factors!$E878</f>
        <v>-4.2557999999999999E-2</v>
      </c>
      <c r="G878" s="2">
        <f>ff_portfolios25!G878-ff_factors!$E878</f>
        <v>-3.1731000000000002E-2</v>
      </c>
      <c r="H878" s="2">
        <f>ff_portfolios25!H878-ff_factors!$E878</f>
        <v>-1.5054000000000001E-2</v>
      </c>
      <c r="I878" s="2">
        <f>ff_portfolios25!I878-ff_factors!$E878</f>
        <v>-5.5911999999999996E-2</v>
      </c>
      <c r="J878" s="2">
        <f>ff_portfolios25!J878-ff_factors!$E878</f>
        <v>-3.3649999999999999E-2</v>
      </c>
      <c r="K878" s="2">
        <f>ff_portfolios25!K878-ff_factors!$E878</f>
        <v>-4.2833999999999997E-2</v>
      </c>
      <c r="L878" s="2">
        <f>ff_portfolios25!L878-ff_factors!$E878</f>
        <v>-2.9485000000000001E-2</v>
      </c>
      <c r="M878" s="2">
        <f>ff_portfolios25!M878-ff_factors!$E878</f>
        <v>-2.5874000000000001E-2</v>
      </c>
      <c r="N878" s="2">
        <f>ff_portfolios25!N878-ff_factors!$E878</f>
        <v>-3.7164999999999997E-2</v>
      </c>
      <c r="O878" s="2">
        <f>ff_portfolios25!O878-ff_factors!$E878</f>
        <v>-4.0327999999999996E-2</v>
      </c>
      <c r="P878" s="2">
        <f>ff_portfolios25!P878-ff_factors!$E878</f>
        <v>-3.5290999999999996E-2</v>
      </c>
      <c r="Q878" s="2">
        <f>ff_portfolios25!Q878-ff_factors!$E878</f>
        <v>-8.261000000000001E-3</v>
      </c>
      <c r="R878" s="2">
        <f>ff_portfolios25!R878-ff_factors!$E878</f>
        <v>-3.3298999999999995E-2</v>
      </c>
      <c r="S878" s="2">
        <f>ff_portfolios25!S878-ff_factors!$E878</f>
        <v>-2.8257000000000001E-2</v>
      </c>
      <c r="T878" s="2">
        <f>ff_portfolios25!T878-ff_factors!$E878</f>
        <v>-4.0805999999999995E-2</v>
      </c>
      <c r="U878" s="2">
        <f>ff_portfolios25!U878-ff_factors!$E878</f>
        <v>-3.1736E-2</v>
      </c>
      <c r="V878" s="2">
        <f>ff_portfolios25!V878-ff_factors!$E878</f>
        <v>-1.9266000000000002E-2</v>
      </c>
      <c r="W878" s="2">
        <f>ff_portfolios25!W878-ff_factors!$E878</f>
        <v>-2.1884000000000001E-2</v>
      </c>
      <c r="X878" s="2">
        <f>ff_portfolios25!X878-ff_factors!$E878</f>
        <v>-3.3474999999999998E-2</v>
      </c>
      <c r="Y878" s="2">
        <f>ff_portfolios25!Y878-ff_factors!$E878</f>
        <v>-1.6936E-2</v>
      </c>
      <c r="Z878" s="2">
        <f>ff_portfolios25!Z878-ff_factors!$E878</f>
        <v>-1.7864000000000001E-2</v>
      </c>
      <c r="AA878" s="2">
        <f>ff_portfolios25!AA878-ff_factors!$E878</f>
        <v>-2.4542000000000001E-2</v>
      </c>
      <c r="AB878" s="2">
        <f>ff_portfolios25!AB878-ff_factors!$E878</f>
        <v>-3.0230000000000001E-3</v>
      </c>
    </row>
    <row r="879" spans="1:28" x14ac:dyDescent="0.2">
      <c r="A879">
        <v>20050228</v>
      </c>
      <c r="B879">
        <v>2005</v>
      </c>
      <c r="C879">
        <v>2</v>
      </c>
      <c r="D879" s="2">
        <f>ff_portfolios25!D879-ff_factors!$E879</f>
        <v>-1.0852000000000001E-2</v>
      </c>
      <c r="E879" s="2">
        <f>ff_portfolios25!E879-ff_factors!$E879</f>
        <v>-5.1200000000000004E-3</v>
      </c>
      <c r="F879" s="2">
        <f>ff_portfolios25!F879-ff_factors!$E879</f>
        <v>-6.9350000000000002E-3</v>
      </c>
      <c r="G879" s="2">
        <f>ff_portfolios25!G879-ff_factors!$E879</f>
        <v>1.2079999999999999E-2</v>
      </c>
      <c r="H879" s="2">
        <f>ff_portfolios25!H879-ff_factors!$E879</f>
        <v>2.8746000000000001E-2</v>
      </c>
      <c r="I879" s="2">
        <f>ff_portfolios25!I879-ff_factors!$E879</f>
        <v>2.2117999999999999E-2</v>
      </c>
      <c r="J879" s="2">
        <f>ff_portfolios25!J879-ff_factors!$E879</f>
        <v>1.2629999999999999E-2</v>
      </c>
      <c r="K879" s="2">
        <f>ff_portfolios25!K879-ff_factors!$E879</f>
        <v>2.2681E-2</v>
      </c>
      <c r="L879" s="2">
        <f>ff_portfolios25!L879-ff_factors!$E879</f>
        <v>4.2745000000000005E-2</v>
      </c>
      <c r="M879" s="2">
        <f>ff_portfolios25!M879-ff_factors!$E879</f>
        <v>3.1781000000000004E-2</v>
      </c>
      <c r="N879" s="2">
        <f>ff_portfolios25!N879-ff_factors!$E879</f>
        <v>5.4980000000000003E-3</v>
      </c>
      <c r="O879" s="2">
        <f>ff_portfolios25!O879-ff_factors!$E879</f>
        <v>2.7831999999999999E-2</v>
      </c>
      <c r="P879" s="2">
        <f>ff_portfolios25!P879-ff_factors!$E879</f>
        <v>3.3253000000000005E-2</v>
      </c>
      <c r="Q879" s="2">
        <f>ff_portfolios25!Q879-ff_factors!$E879</f>
        <v>2.1777999999999999E-2</v>
      </c>
      <c r="R879" s="2">
        <f>ff_portfolios25!R879-ff_factors!$E879</f>
        <v>1.9220000000000001E-2</v>
      </c>
      <c r="S879" s="2">
        <f>ff_portfolios25!S879-ff_factors!$E879</f>
        <v>1.8668000000000001E-2</v>
      </c>
      <c r="T879" s="2">
        <f>ff_portfolios25!T879-ff_factors!$E879</f>
        <v>1.9417E-2</v>
      </c>
      <c r="U879" s="2">
        <f>ff_portfolios25!U879-ff_factors!$E879</f>
        <v>3.3417000000000002E-2</v>
      </c>
      <c r="V879" s="2">
        <f>ff_portfolios25!V879-ff_factors!$E879</f>
        <v>3.2188000000000001E-2</v>
      </c>
      <c r="W879" s="2">
        <f>ff_portfolios25!W879-ff_factors!$E879</f>
        <v>4.7593000000000003E-2</v>
      </c>
      <c r="X879" s="2">
        <f>ff_portfolios25!X879-ff_factors!$E879</f>
        <v>5.5830000000000003E-3</v>
      </c>
      <c r="Y879" s="2">
        <f>ff_portfolios25!Y879-ff_factors!$E879</f>
        <v>4.6155000000000002E-2</v>
      </c>
      <c r="Z879" s="2">
        <f>ff_portfolios25!Z879-ff_factors!$E879</f>
        <v>2.4750999999999999E-2</v>
      </c>
      <c r="AA879" s="2">
        <f>ff_portfolios25!AA879-ff_factors!$E879</f>
        <v>3.2710000000000005E-3</v>
      </c>
      <c r="AB879" s="2">
        <f>ff_portfolios25!AB879-ff_factors!$E879</f>
        <v>4.8132000000000001E-2</v>
      </c>
    </row>
    <row r="880" spans="1:28" x14ac:dyDescent="0.2">
      <c r="A880">
        <v>20050331</v>
      </c>
      <c r="B880">
        <v>2005</v>
      </c>
      <c r="C880">
        <v>3</v>
      </c>
      <c r="D880" s="2">
        <f>ff_portfolios25!D880-ff_factors!$E880</f>
        <v>-5.9788000000000001E-2</v>
      </c>
      <c r="E880" s="2">
        <f>ff_portfolios25!E880-ff_factors!$E880</f>
        <v>-3.0767000000000003E-2</v>
      </c>
      <c r="F880" s="2">
        <f>ff_portfolios25!F880-ff_factors!$E880</f>
        <v>-3.4387999999999995E-2</v>
      </c>
      <c r="G880" s="2">
        <f>ff_portfolios25!G880-ff_factors!$E880</f>
        <v>-2.6033000000000001E-2</v>
      </c>
      <c r="H880" s="2">
        <f>ff_portfolios25!H880-ff_factors!$E880</f>
        <v>-2.6246999999999999E-2</v>
      </c>
      <c r="I880" s="2">
        <f>ff_portfolios25!I880-ff_factors!$E880</f>
        <v>-4.5286E-2</v>
      </c>
      <c r="J880" s="2">
        <f>ff_portfolios25!J880-ff_factors!$E880</f>
        <v>-2.4076E-2</v>
      </c>
      <c r="K880" s="2">
        <f>ff_portfolios25!K880-ff_factors!$E880</f>
        <v>-2.6669000000000002E-2</v>
      </c>
      <c r="L880" s="2">
        <f>ff_portfolios25!L880-ff_factors!$E880</f>
        <v>-9.5919999999999998E-3</v>
      </c>
      <c r="M880" s="2">
        <f>ff_portfolios25!M880-ff_factors!$E880</f>
        <v>-1.5765000000000001E-2</v>
      </c>
      <c r="N880" s="2">
        <f>ff_portfolios25!N880-ff_factors!$E880</f>
        <v>-2.0107E-2</v>
      </c>
      <c r="O880" s="2">
        <f>ff_portfolios25!O880-ff_factors!$E880</f>
        <v>-2.6694000000000002E-2</v>
      </c>
      <c r="P880" s="2">
        <f>ff_portfolios25!P880-ff_factors!$E880</f>
        <v>-2.7229E-2</v>
      </c>
      <c r="Q880" s="2">
        <f>ff_portfolios25!Q880-ff_factors!$E880</f>
        <v>-2.6226000000000003E-2</v>
      </c>
      <c r="R880" s="2">
        <f>ff_portfolios25!R880-ff_factors!$E880</f>
        <v>-3.5959999999999998E-3</v>
      </c>
      <c r="S880" s="2">
        <f>ff_portfolios25!S880-ff_factors!$E880</f>
        <v>-2.4933E-2</v>
      </c>
      <c r="T880" s="2">
        <f>ff_portfolios25!T880-ff_factors!$E880</f>
        <v>-2.4499999999999999E-3</v>
      </c>
      <c r="U880" s="2">
        <f>ff_portfolios25!U880-ff_factors!$E880</f>
        <v>5.1199999999999996E-3</v>
      </c>
      <c r="V880" s="2">
        <f>ff_portfolios25!V880-ff_factors!$E880</f>
        <v>-2.6096000000000001E-2</v>
      </c>
      <c r="W880" s="2">
        <f>ff_portfolios25!W880-ff_factors!$E880</f>
        <v>-1.8846000000000002E-2</v>
      </c>
      <c r="X880" s="2">
        <f>ff_portfolios25!X880-ff_factors!$E880</f>
        <v>-1.3285999999999999E-2</v>
      </c>
      <c r="Y880" s="2">
        <f>ff_portfolios25!Y880-ff_factors!$E880</f>
        <v>-3.9946999999999996E-2</v>
      </c>
      <c r="Z880" s="2">
        <f>ff_portfolios25!Z880-ff_factors!$E880</f>
        <v>-9.0819999999999998E-3</v>
      </c>
      <c r="AA880" s="2">
        <f>ff_portfolios25!AA880-ff_factors!$E880</f>
        <v>-5.6170000000000005E-3</v>
      </c>
      <c r="AB880" s="2">
        <f>ff_portfolios25!AB880-ff_factors!$E880</f>
        <v>-9.8499999999999994E-3</v>
      </c>
    </row>
    <row r="881" spans="1:28" x14ac:dyDescent="0.2">
      <c r="A881">
        <v>20050429</v>
      </c>
      <c r="B881">
        <v>2005</v>
      </c>
      <c r="C881">
        <v>4</v>
      </c>
      <c r="D881" s="2">
        <f>ff_portfolios25!D881-ff_factors!$E881</f>
        <v>-5.7248E-2</v>
      </c>
      <c r="E881" s="2">
        <f>ff_portfolios25!E881-ff_factors!$E881</f>
        <v>-6.9445000000000007E-2</v>
      </c>
      <c r="F881" s="2">
        <f>ff_portfolios25!F881-ff_factors!$E881</f>
        <v>-5.5309999999999998E-2</v>
      </c>
      <c r="G881" s="2">
        <f>ff_portfolios25!G881-ff_factors!$E881</f>
        <v>-6.9677000000000003E-2</v>
      </c>
      <c r="H881" s="2">
        <f>ff_portfolios25!H881-ff_factors!$E881</f>
        <v>-6.8079000000000001E-2</v>
      </c>
      <c r="I881" s="2">
        <f>ff_portfolios25!I881-ff_factors!$E881</f>
        <v>-7.9025999999999999E-2</v>
      </c>
      <c r="J881" s="2">
        <f>ff_portfolios25!J881-ff_factors!$E881</f>
        <v>-6.5495999999999999E-2</v>
      </c>
      <c r="K881" s="2">
        <f>ff_portfolios25!K881-ff_factors!$E881</f>
        <v>-6.4824000000000007E-2</v>
      </c>
      <c r="L881" s="2">
        <f>ff_portfolios25!L881-ff_factors!$E881</f>
        <v>-6.0863E-2</v>
      </c>
      <c r="M881" s="2">
        <f>ff_portfolios25!M881-ff_factors!$E881</f>
        <v>-6.0697999999999995E-2</v>
      </c>
      <c r="N881" s="2">
        <f>ff_portfolios25!N881-ff_factors!$E881</f>
        <v>-5.4758999999999995E-2</v>
      </c>
      <c r="O881" s="2">
        <f>ff_portfolios25!O881-ff_factors!$E881</f>
        <v>-4.1072999999999998E-2</v>
      </c>
      <c r="P881" s="2">
        <f>ff_portfolios25!P881-ff_factors!$E881</f>
        <v>-5.7350999999999999E-2</v>
      </c>
      <c r="Q881" s="2">
        <f>ff_portfolios25!Q881-ff_factors!$E881</f>
        <v>-5.6536999999999997E-2</v>
      </c>
      <c r="R881" s="2">
        <f>ff_portfolios25!R881-ff_factors!$E881</f>
        <v>-4.4184999999999995E-2</v>
      </c>
      <c r="S881" s="2">
        <f>ff_portfolios25!S881-ff_factors!$E881</f>
        <v>-4.0918999999999997E-2</v>
      </c>
      <c r="T881" s="2">
        <f>ff_portfolios25!T881-ff_factors!$E881</f>
        <v>-4.7823999999999998E-2</v>
      </c>
      <c r="U881" s="2">
        <f>ff_portfolios25!U881-ff_factors!$E881</f>
        <v>-4.1771999999999997E-2</v>
      </c>
      <c r="V881" s="2">
        <f>ff_portfolios25!V881-ff_factors!$E881</f>
        <v>-2.8605999999999999E-2</v>
      </c>
      <c r="W881" s="2">
        <f>ff_portfolios25!W881-ff_factors!$E881</f>
        <v>-3.3624000000000001E-2</v>
      </c>
      <c r="X881" s="2">
        <f>ff_portfolios25!X881-ff_factors!$E881</f>
        <v>-1.2534999999999999E-2</v>
      </c>
      <c r="Y881" s="2">
        <f>ff_portfolios25!Y881-ff_factors!$E881</f>
        <v>-2.5682E-2</v>
      </c>
      <c r="Z881" s="2">
        <f>ff_portfolios25!Z881-ff_factors!$E881</f>
        <v>-2.3658000000000002E-2</v>
      </c>
      <c r="AA881" s="2">
        <f>ff_portfolios25!AA881-ff_factors!$E881</f>
        <v>-1.2503999999999999E-2</v>
      </c>
      <c r="AB881" s="2">
        <f>ff_portfolios25!AB881-ff_factors!$E881</f>
        <v>-3.2539999999999999E-2</v>
      </c>
    </row>
    <row r="882" spans="1:28" x14ac:dyDescent="0.2">
      <c r="A882">
        <v>20050531</v>
      </c>
      <c r="B882">
        <v>2005</v>
      </c>
      <c r="C882">
        <v>5</v>
      </c>
      <c r="D882" s="2">
        <f>ff_portfolios25!D882-ff_factors!$E882</f>
        <v>6.4399999999999999E-2</v>
      </c>
      <c r="E882" s="2">
        <f>ff_portfolios25!E882-ff_factors!$E882</f>
        <v>6.0194999999999999E-2</v>
      </c>
      <c r="F882" s="2">
        <f>ff_portfolios25!F882-ff_factors!$E882</f>
        <v>4.6206000000000004E-2</v>
      </c>
      <c r="G882" s="2">
        <f>ff_portfolios25!G882-ff_factors!$E882</f>
        <v>3.4863999999999999E-2</v>
      </c>
      <c r="H882" s="2">
        <f>ff_portfolios25!H882-ff_factors!$E882</f>
        <v>5.2721999999999998E-2</v>
      </c>
      <c r="I882" s="2">
        <f>ff_portfolios25!I882-ff_factors!$E882</f>
        <v>9.2488000000000001E-2</v>
      </c>
      <c r="J882" s="2">
        <f>ff_portfolios25!J882-ff_factors!$E882</f>
        <v>7.9670000000000005E-2</v>
      </c>
      <c r="K882" s="2">
        <f>ff_portfolios25!K882-ff_factors!$E882</f>
        <v>6.4421000000000006E-2</v>
      </c>
      <c r="L882" s="2">
        <f>ff_portfolios25!L882-ff_factors!$E882</f>
        <v>5.5299000000000001E-2</v>
      </c>
      <c r="M882" s="2">
        <f>ff_portfolios25!M882-ff_factors!$E882</f>
        <v>6.7785999999999999E-2</v>
      </c>
      <c r="N882" s="2">
        <f>ff_portfolios25!N882-ff_factors!$E882</f>
        <v>5.9115000000000001E-2</v>
      </c>
      <c r="O882" s="2">
        <f>ff_portfolios25!O882-ff_factors!$E882</f>
        <v>5.9789000000000002E-2</v>
      </c>
      <c r="P882" s="2">
        <f>ff_portfolios25!P882-ff_factors!$E882</f>
        <v>5.04E-2</v>
      </c>
      <c r="Q882" s="2">
        <f>ff_portfolios25!Q882-ff_factors!$E882</f>
        <v>4.1152000000000001E-2</v>
      </c>
      <c r="R882" s="2">
        <f>ff_portfolios25!R882-ff_factors!$E882</f>
        <v>7.0220000000000005E-2</v>
      </c>
      <c r="S882" s="2">
        <f>ff_portfolios25!S882-ff_factors!$E882</f>
        <v>5.9907000000000002E-2</v>
      </c>
      <c r="T882" s="2">
        <f>ff_portfolios25!T882-ff_factors!$E882</f>
        <v>5.7404999999999998E-2</v>
      </c>
      <c r="U882" s="2">
        <f>ff_portfolios25!U882-ff_factors!$E882</f>
        <v>5.2103000000000003E-2</v>
      </c>
      <c r="V882" s="2">
        <f>ff_portfolios25!V882-ff_factors!$E882</f>
        <v>6.2840999999999994E-2</v>
      </c>
      <c r="W882" s="2">
        <f>ff_portfolios25!W882-ff_factors!$E882</f>
        <v>4.9042000000000002E-2</v>
      </c>
      <c r="X882" s="2">
        <f>ff_portfolios25!X882-ff_factors!$E882</f>
        <v>3.5865000000000001E-2</v>
      </c>
      <c r="Y882" s="2">
        <f>ff_portfolios25!Y882-ff_factors!$E882</f>
        <v>2.5046000000000002E-2</v>
      </c>
      <c r="Z882" s="2">
        <f>ff_portfolios25!Z882-ff_factors!$E882</f>
        <v>1.0012E-2</v>
      </c>
      <c r="AA882" s="2">
        <f>ff_portfolios25!AA882-ff_factors!$E882</f>
        <v>1.9904999999999999E-2</v>
      </c>
      <c r="AB882" s="2">
        <f>ff_portfolios25!AB882-ff_factors!$E882</f>
        <v>3.5415000000000002E-2</v>
      </c>
    </row>
    <row r="883" spans="1:28" x14ac:dyDescent="0.2">
      <c r="A883">
        <v>20050630</v>
      </c>
      <c r="B883">
        <v>2005</v>
      </c>
      <c r="C883">
        <v>6</v>
      </c>
      <c r="D883" s="2">
        <f>ff_portfolios25!D883-ff_factors!$E883</f>
        <v>3.5168000000000005E-2</v>
      </c>
      <c r="E883" s="2">
        <f>ff_portfolios25!E883-ff_factors!$E883</f>
        <v>3.3513000000000001E-2</v>
      </c>
      <c r="F883" s="2">
        <f>ff_portfolios25!F883-ff_factors!$E883</f>
        <v>4.3490000000000001E-2</v>
      </c>
      <c r="G883" s="2">
        <f>ff_portfolios25!G883-ff_factors!$E883</f>
        <v>4.0263999999999994E-2</v>
      </c>
      <c r="H883" s="2">
        <f>ff_portfolios25!H883-ff_factors!$E883</f>
        <v>5.1207000000000003E-2</v>
      </c>
      <c r="I883" s="2">
        <f>ff_portfolios25!I883-ff_factors!$E883</f>
        <v>1.8329000000000002E-2</v>
      </c>
      <c r="J883" s="2">
        <f>ff_portfolios25!J883-ff_factors!$E883</f>
        <v>4.1870000000000004E-2</v>
      </c>
      <c r="K883" s="2">
        <f>ff_portfolios25!K883-ff_factors!$E883</f>
        <v>4.2123999999999995E-2</v>
      </c>
      <c r="L883" s="2">
        <f>ff_portfolios25!L883-ff_factors!$E883</f>
        <v>4.0542999999999996E-2</v>
      </c>
      <c r="M883" s="2">
        <f>ff_portfolios25!M883-ff_factors!$E883</f>
        <v>3.8338999999999998E-2</v>
      </c>
      <c r="N883" s="2">
        <f>ff_portfolios25!N883-ff_factors!$E883</f>
        <v>1.9803000000000001E-2</v>
      </c>
      <c r="O883" s="2">
        <f>ff_portfolios25!O883-ff_factors!$E883</f>
        <v>2.0586E-2</v>
      </c>
      <c r="P883" s="2">
        <f>ff_portfolios25!P883-ff_factors!$E883</f>
        <v>2.8094999999999998E-2</v>
      </c>
      <c r="Q883" s="2">
        <f>ff_portfolios25!Q883-ff_factors!$E883</f>
        <v>4.2117000000000002E-2</v>
      </c>
      <c r="R883" s="2">
        <f>ff_portfolios25!R883-ff_factors!$E883</f>
        <v>3.347E-2</v>
      </c>
      <c r="S883" s="2">
        <f>ff_portfolios25!S883-ff_factors!$E883</f>
        <v>1.0051000000000001E-2</v>
      </c>
      <c r="T883" s="2">
        <f>ff_portfolios25!T883-ff_factors!$E883</f>
        <v>1.4092E-2</v>
      </c>
      <c r="U883" s="2">
        <f>ff_portfolios25!U883-ff_factors!$E883</f>
        <v>3.3189999999999997E-2</v>
      </c>
      <c r="V883" s="2">
        <f>ff_portfolios25!V883-ff_factors!$E883</f>
        <v>4.2138999999999996E-2</v>
      </c>
      <c r="W883" s="2">
        <f>ff_portfolios25!W883-ff_factors!$E883</f>
        <v>2.7543999999999999E-2</v>
      </c>
      <c r="X883" s="2">
        <f>ff_portfolios25!X883-ff_factors!$E883</f>
        <v>-1.8634000000000001E-2</v>
      </c>
      <c r="Y883" s="2">
        <f>ff_portfolios25!Y883-ff_factors!$E883</f>
        <v>1.0312E-2</v>
      </c>
      <c r="Z883" s="2">
        <f>ff_portfolios25!Z883-ff_factors!$E883</f>
        <v>1.2876E-2</v>
      </c>
      <c r="AA883" s="2">
        <f>ff_portfolios25!AA883-ff_factors!$E883</f>
        <v>1.1979E-2</v>
      </c>
      <c r="AB883" s="2">
        <f>ff_portfolios25!AB883-ff_factors!$E883</f>
        <v>2.8506E-2</v>
      </c>
    </row>
    <row r="884" spans="1:28" x14ac:dyDescent="0.2">
      <c r="A884">
        <v>20050729</v>
      </c>
      <c r="B884">
        <v>2005</v>
      </c>
      <c r="C884">
        <v>7</v>
      </c>
      <c r="D884" s="2">
        <f>ff_portfolios25!D884-ff_factors!$E884</f>
        <v>7.6523999999999995E-2</v>
      </c>
      <c r="E884" s="2">
        <f>ff_portfolios25!E884-ff_factors!$E884</f>
        <v>7.4668999999999999E-2</v>
      </c>
      <c r="F884" s="2">
        <f>ff_portfolios25!F884-ff_factors!$E884</f>
        <v>6.7785999999999999E-2</v>
      </c>
      <c r="G884" s="2">
        <f>ff_portfolios25!G884-ff_factors!$E884</f>
        <v>6.6837000000000008E-2</v>
      </c>
      <c r="H884" s="2">
        <f>ff_portfolios25!H884-ff_factors!$E884</f>
        <v>6.5852999999999995E-2</v>
      </c>
      <c r="I884" s="2">
        <f>ff_portfolios25!I884-ff_factors!$E884</f>
        <v>6.5785999999999997E-2</v>
      </c>
      <c r="J884" s="2">
        <f>ff_portfolios25!J884-ff_factors!$E884</f>
        <v>6.5213999999999994E-2</v>
      </c>
      <c r="K884" s="2">
        <f>ff_portfolios25!K884-ff_factors!$E884</f>
        <v>7.1989999999999998E-2</v>
      </c>
      <c r="L884" s="2">
        <f>ff_portfolios25!L884-ff_factors!$E884</f>
        <v>5.6697999999999998E-2</v>
      </c>
      <c r="M884" s="2">
        <f>ff_portfolios25!M884-ff_factors!$E884</f>
        <v>6.6916000000000003E-2</v>
      </c>
      <c r="N884" s="2">
        <f>ff_portfolios25!N884-ff_factors!$E884</f>
        <v>4.2908000000000002E-2</v>
      </c>
      <c r="O884" s="2">
        <f>ff_portfolios25!O884-ff_factors!$E884</f>
        <v>6.0179999999999997E-2</v>
      </c>
      <c r="P884" s="2">
        <f>ff_portfolios25!P884-ff_factors!$E884</f>
        <v>6.4843999999999999E-2</v>
      </c>
      <c r="Q884" s="2">
        <f>ff_portfolios25!Q884-ff_factors!$E884</f>
        <v>4.5780000000000001E-2</v>
      </c>
      <c r="R884" s="2">
        <f>ff_portfolios25!R884-ff_factors!$E884</f>
        <v>4.5000999999999999E-2</v>
      </c>
      <c r="S884" s="2">
        <f>ff_portfolios25!S884-ff_factors!$E884</f>
        <v>5.7012E-2</v>
      </c>
      <c r="T884" s="2">
        <f>ff_portfolios25!T884-ff_factors!$E884</f>
        <v>5.1296000000000001E-2</v>
      </c>
      <c r="U884" s="2">
        <f>ff_portfolios25!U884-ff_factors!$E884</f>
        <v>4.9868000000000003E-2</v>
      </c>
      <c r="V884" s="2">
        <f>ff_portfolios25!V884-ff_factors!$E884</f>
        <v>6.8534999999999999E-2</v>
      </c>
      <c r="W884" s="2">
        <f>ff_portfolios25!W884-ff_factors!$E884</f>
        <v>4.8917000000000002E-2</v>
      </c>
      <c r="X884" s="2">
        <f>ff_portfolios25!X884-ff_factors!$E884</f>
        <v>4.5062999999999999E-2</v>
      </c>
      <c r="Y884" s="2">
        <f>ff_portfolios25!Y884-ff_factors!$E884</f>
        <v>2.6034000000000002E-2</v>
      </c>
      <c r="Z884" s="2">
        <f>ff_portfolios25!Z884-ff_factors!$E884</f>
        <v>7.6790000000000001E-3</v>
      </c>
      <c r="AA884" s="2">
        <f>ff_portfolios25!AA884-ff_factors!$E884</f>
        <v>3.5986999999999998E-2</v>
      </c>
      <c r="AB884" s="2">
        <f>ff_portfolios25!AB884-ff_factors!$E884</f>
        <v>4.0217000000000003E-2</v>
      </c>
    </row>
    <row r="885" spans="1:28" x14ac:dyDescent="0.2">
      <c r="A885">
        <v>20050831</v>
      </c>
      <c r="B885">
        <v>2005</v>
      </c>
      <c r="C885">
        <v>8</v>
      </c>
      <c r="D885" s="2">
        <f>ff_portfolios25!D885-ff_factors!$E885</f>
        <v>-2.6950999999999999E-2</v>
      </c>
      <c r="E885" s="2">
        <f>ff_portfolios25!E885-ff_factors!$E885</f>
        <v>-7.4749999999999999E-3</v>
      </c>
      <c r="F885" s="2">
        <f>ff_portfolios25!F885-ff_factors!$E885</f>
        <v>-1.7240999999999999E-2</v>
      </c>
      <c r="G885" s="2">
        <f>ff_portfolios25!G885-ff_factors!$E885</f>
        <v>-1.1972E-2</v>
      </c>
      <c r="H885" s="2">
        <f>ff_portfolios25!H885-ff_factors!$E885</f>
        <v>-1.1273000000000002E-2</v>
      </c>
      <c r="I885" s="2">
        <f>ff_portfolios25!I885-ff_factors!$E885</f>
        <v>-2.9928E-2</v>
      </c>
      <c r="J885" s="2">
        <f>ff_portfolios25!J885-ff_factors!$E885</f>
        <v>-1.1303000000000001E-2</v>
      </c>
      <c r="K885" s="2">
        <f>ff_portfolios25!K885-ff_factors!$E885</f>
        <v>-1.7198999999999999E-2</v>
      </c>
      <c r="L885" s="2">
        <f>ff_portfolios25!L885-ff_factors!$E885</f>
        <v>-1.8689000000000001E-2</v>
      </c>
      <c r="M885" s="2">
        <f>ff_portfolios25!M885-ff_factors!$E885</f>
        <v>-2.4340000000000001E-2</v>
      </c>
      <c r="N885" s="2">
        <f>ff_portfolios25!N885-ff_factors!$E885</f>
        <v>-2.7557999999999999E-2</v>
      </c>
      <c r="O885" s="2">
        <f>ff_portfolios25!O885-ff_factors!$E885</f>
        <v>-7.9229999999999995E-3</v>
      </c>
      <c r="P885" s="2">
        <f>ff_portfolios25!P885-ff_factors!$E885</f>
        <v>-1.1058999999999999E-2</v>
      </c>
      <c r="Q885" s="2">
        <f>ff_portfolios25!Q885-ff_factors!$E885</f>
        <v>-1.6958999999999998E-2</v>
      </c>
      <c r="R885" s="2">
        <f>ff_portfolios25!R885-ff_factors!$E885</f>
        <v>-6.966E-3</v>
      </c>
      <c r="S885" s="2">
        <f>ff_portfolios25!S885-ff_factors!$E885</f>
        <v>-2.0227999999999999E-2</v>
      </c>
      <c r="T885" s="2">
        <f>ff_portfolios25!T885-ff_factors!$E885</f>
        <v>-8.8929999999999999E-3</v>
      </c>
      <c r="U885" s="2">
        <f>ff_portfolios25!U885-ff_factors!$E885</f>
        <v>-5.744E-3</v>
      </c>
      <c r="V885" s="2">
        <f>ff_portfolios25!V885-ff_factors!$E885</f>
        <v>7.6079999999999993E-3</v>
      </c>
      <c r="W885" s="2">
        <f>ff_portfolios25!W885-ff_factors!$E885</f>
        <v>-1.7883E-2</v>
      </c>
      <c r="X885" s="2">
        <f>ff_portfolios25!X885-ff_factors!$E885</f>
        <v>-1.8183999999999999E-2</v>
      </c>
      <c r="Y885" s="2">
        <f>ff_portfolios25!Y885-ff_factors!$E885</f>
        <v>-1.2958000000000001E-2</v>
      </c>
      <c r="Z885" s="2">
        <f>ff_portfolios25!Z885-ff_factors!$E885</f>
        <v>-1.0163999999999999E-2</v>
      </c>
      <c r="AA885" s="2">
        <f>ff_portfolios25!AA885-ff_factors!$E885</f>
        <v>5.7419999999999997E-3</v>
      </c>
      <c r="AB885" s="2">
        <f>ff_portfolios25!AB885-ff_factors!$E885</f>
        <v>-9.3480000000000004E-3</v>
      </c>
    </row>
    <row r="886" spans="1:28" x14ac:dyDescent="0.2">
      <c r="A886">
        <v>20050930</v>
      </c>
      <c r="B886">
        <v>2005</v>
      </c>
      <c r="C886">
        <v>9</v>
      </c>
      <c r="D886" s="2">
        <f>ff_portfolios25!D886-ff_factors!$E886</f>
        <v>8.6920000000000001E-3</v>
      </c>
      <c r="E886" s="2">
        <f>ff_portfolios25!E886-ff_factors!$E886</f>
        <v>1.5323E-2</v>
      </c>
      <c r="F886" s="2">
        <f>ff_portfolios25!F886-ff_factors!$E886</f>
        <v>-1.4809999999999999E-3</v>
      </c>
      <c r="G886" s="2">
        <f>ff_portfolios25!G886-ff_factors!$E886</f>
        <v>9.6340000000000002E-3</v>
      </c>
      <c r="H886" s="2">
        <f>ff_portfolios25!H886-ff_factors!$E886</f>
        <v>-1.1823E-2</v>
      </c>
      <c r="I886" s="2">
        <f>ff_portfolios25!I886-ff_factors!$E886</f>
        <v>1.2300000000000028E-4</v>
      </c>
      <c r="J886" s="2">
        <f>ff_portfolios25!J886-ff_factors!$E886</f>
        <v>8.4500000000000009E-3</v>
      </c>
      <c r="K886" s="2">
        <f>ff_portfolios25!K886-ff_factors!$E886</f>
        <v>7.7660000000000003E-3</v>
      </c>
      <c r="L886" s="2">
        <f>ff_portfolios25!L886-ff_factors!$E886</f>
        <v>1.7430000000000006E-3</v>
      </c>
      <c r="M886" s="2">
        <f>ff_portfolios25!M886-ff_factors!$E886</f>
        <v>2.0600000000000002E-3</v>
      </c>
      <c r="N886" s="2">
        <f>ff_portfolios25!N886-ff_factors!$E886</f>
        <v>-1.1087E-2</v>
      </c>
      <c r="O886" s="2">
        <f>ff_portfolios25!O886-ff_factors!$E886</f>
        <v>1.9347E-2</v>
      </c>
      <c r="P886" s="2">
        <f>ff_portfolios25!P886-ff_factors!$E886</f>
        <v>8.9440000000000006E-3</v>
      </c>
      <c r="Q886" s="2">
        <f>ff_portfolios25!Q886-ff_factors!$E886</f>
        <v>-9.5289999999999993E-3</v>
      </c>
      <c r="R886" s="2">
        <f>ff_portfolios25!R886-ff_factors!$E886</f>
        <v>1.0699999999999998E-3</v>
      </c>
      <c r="S886" s="2">
        <f>ff_portfolios25!S886-ff_factors!$E886</f>
        <v>2.575E-3</v>
      </c>
      <c r="T886" s="2">
        <f>ff_portfolios25!T886-ff_factors!$E886</f>
        <v>-9.4139999999999988E-3</v>
      </c>
      <c r="U886" s="2">
        <f>ff_portfolios25!U886-ff_factors!$E886</f>
        <v>1.5505999999999999E-2</v>
      </c>
      <c r="V886" s="2">
        <f>ff_portfolios25!V886-ff_factors!$E886</f>
        <v>3.3735000000000001E-2</v>
      </c>
      <c r="W886" s="2">
        <f>ff_portfolios25!W886-ff_factors!$E886</f>
        <v>1.4584E-2</v>
      </c>
      <c r="X886" s="2">
        <f>ff_portfolios25!X886-ff_factors!$E886</f>
        <v>-5.326E-3</v>
      </c>
      <c r="Y886" s="2">
        <f>ff_portfolios25!Y886-ff_factors!$E886</f>
        <v>9.8370000000000003E-3</v>
      </c>
      <c r="Z886" s="2">
        <f>ff_portfolios25!Z886-ff_factors!$E886</f>
        <v>1.1757999999999999E-2</v>
      </c>
      <c r="AA886" s="2">
        <f>ff_portfolios25!AA886-ff_factors!$E886</f>
        <v>1.0501E-2</v>
      </c>
      <c r="AB886" s="2">
        <f>ff_portfolios25!AB886-ff_factors!$E886</f>
        <v>2.2282E-2</v>
      </c>
    </row>
    <row r="887" spans="1:28" x14ac:dyDescent="0.2">
      <c r="A887">
        <v>20051031</v>
      </c>
      <c r="B887">
        <v>2005</v>
      </c>
      <c r="C887">
        <v>10</v>
      </c>
      <c r="D887" s="2">
        <f>ff_portfolios25!D887-ff_factors!$E887</f>
        <v>-4.1658000000000001E-2</v>
      </c>
      <c r="E887" s="2">
        <f>ff_portfolios25!E887-ff_factors!$E887</f>
        <v>-3.5077999999999998E-2</v>
      </c>
      <c r="F887" s="2">
        <f>ff_portfolios25!F887-ff_factors!$E887</f>
        <v>-3.0355E-2</v>
      </c>
      <c r="G887" s="2">
        <f>ff_portfolios25!G887-ff_factors!$E887</f>
        <v>-2.3128000000000003E-2</v>
      </c>
      <c r="H887" s="2">
        <f>ff_portfolios25!H887-ff_factors!$E887</f>
        <v>-2.4919E-2</v>
      </c>
      <c r="I887" s="2">
        <f>ff_portfolios25!I887-ff_factors!$E887</f>
        <v>-3.6032000000000002E-2</v>
      </c>
      <c r="J887" s="2">
        <f>ff_portfolios25!J887-ff_factors!$E887</f>
        <v>-2.1385000000000001E-2</v>
      </c>
      <c r="K887" s="2">
        <f>ff_portfolios25!K887-ff_factors!$E887</f>
        <v>-3.3786999999999998E-2</v>
      </c>
      <c r="L887" s="2">
        <f>ff_portfolios25!L887-ff_factors!$E887</f>
        <v>-3.1386999999999998E-2</v>
      </c>
      <c r="M887" s="2">
        <f>ff_portfolios25!M887-ff_factors!$E887</f>
        <v>-3.1691999999999998E-2</v>
      </c>
      <c r="N887" s="2">
        <f>ff_portfolios25!N887-ff_factors!$E887</f>
        <v>-3.4251999999999998E-2</v>
      </c>
      <c r="O887" s="2">
        <f>ff_portfolios25!O887-ff_factors!$E887</f>
        <v>-4.2247E-2</v>
      </c>
      <c r="P887" s="2">
        <f>ff_portfolios25!P887-ff_factors!$E887</f>
        <v>-1.8796E-2</v>
      </c>
      <c r="Q887" s="2">
        <f>ff_portfolios25!Q887-ff_factors!$E887</f>
        <v>-3.9518999999999999E-2</v>
      </c>
      <c r="R887" s="2">
        <f>ff_portfolios25!R887-ff_factors!$E887</f>
        <v>-3.7552000000000002E-2</v>
      </c>
      <c r="S887" s="2">
        <f>ff_portfolios25!S887-ff_factors!$E887</f>
        <v>-1.3367E-2</v>
      </c>
      <c r="T887" s="2">
        <f>ff_portfolios25!T887-ff_factors!$E887</f>
        <v>-3.7805999999999999E-2</v>
      </c>
      <c r="U887" s="2">
        <f>ff_portfolios25!U887-ff_factors!$E887</f>
        <v>-2.9340000000000001E-2</v>
      </c>
      <c r="V887" s="2">
        <f>ff_portfolios25!V887-ff_factors!$E887</f>
        <v>-4.9783000000000001E-2</v>
      </c>
      <c r="W887" s="2">
        <f>ff_portfolios25!W887-ff_factors!$E887</f>
        <v>-3.9035E-2</v>
      </c>
      <c r="X887" s="2">
        <f>ff_portfolios25!X887-ff_factors!$E887</f>
        <v>-5.9199999999999999E-3</v>
      </c>
      <c r="Y887" s="2">
        <f>ff_portfolios25!Y887-ff_factors!$E887</f>
        <v>-3.2806999999999996E-2</v>
      </c>
      <c r="Z887" s="2">
        <f>ff_portfolios25!Z887-ff_factors!$E887</f>
        <v>-1.602E-2</v>
      </c>
      <c r="AA887" s="2">
        <f>ff_portfolios25!AA887-ff_factors!$E887</f>
        <v>-1.5297000000000002E-2</v>
      </c>
      <c r="AB887" s="2">
        <f>ff_portfolios25!AB887-ff_factors!$E887</f>
        <v>-1.6822E-2</v>
      </c>
    </row>
    <row r="888" spans="1:28" x14ac:dyDescent="0.2">
      <c r="A888">
        <v>20051130</v>
      </c>
      <c r="B888">
        <v>2005</v>
      </c>
      <c r="C888">
        <v>11</v>
      </c>
      <c r="D888" s="2">
        <f>ff_portfolios25!D888-ff_factors!$E888</f>
        <v>4.5284000000000005E-2</v>
      </c>
      <c r="E888" s="2">
        <f>ff_portfolios25!E888-ff_factors!$E888</f>
        <v>4.4499000000000004E-2</v>
      </c>
      <c r="F888" s="2">
        <f>ff_portfolios25!F888-ff_factors!$E888</f>
        <v>4.5929999999999999E-2</v>
      </c>
      <c r="G888" s="2">
        <f>ff_portfolios25!G888-ff_factors!$E888</f>
        <v>3.6722000000000005E-2</v>
      </c>
      <c r="H888" s="2">
        <f>ff_portfolios25!H888-ff_factors!$E888</f>
        <v>3.2650999999999999E-2</v>
      </c>
      <c r="I888" s="2">
        <f>ff_portfolios25!I888-ff_factors!$E888</f>
        <v>4.9604000000000002E-2</v>
      </c>
      <c r="J888" s="2">
        <f>ff_portfolios25!J888-ff_factors!$E888</f>
        <v>4.4448000000000001E-2</v>
      </c>
      <c r="K888" s="2">
        <f>ff_portfolios25!K888-ff_factors!$E888</f>
        <v>4.5533999999999998E-2</v>
      </c>
      <c r="L888" s="2">
        <f>ff_portfolios25!L888-ff_factors!$E888</f>
        <v>4.6213999999999998E-2</v>
      </c>
      <c r="M888" s="2">
        <f>ff_portfolios25!M888-ff_factors!$E888</f>
        <v>3.2053999999999999E-2</v>
      </c>
      <c r="N888" s="2">
        <f>ff_portfolios25!N888-ff_factors!$E888</f>
        <v>6.7187999999999998E-2</v>
      </c>
      <c r="O888" s="2">
        <f>ff_portfolios25!O888-ff_factors!$E888</f>
        <v>5.5812E-2</v>
      </c>
      <c r="P888" s="2">
        <f>ff_portfolios25!P888-ff_factors!$E888</f>
        <v>4.1944000000000002E-2</v>
      </c>
      <c r="Q888" s="2">
        <f>ff_portfolios25!Q888-ff_factors!$E888</f>
        <v>3.9226999999999998E-2</v>
      </c>
      <c r="R888" s="2">
        <f>ff_portfolios25!R888-ff_factors!$E888</f>
        <v>1.3609999999999999E-2</v>
      </c>
      <c r="S888" s="2">
        <f>ff_portfolios25!S888-ff_factors!$E888</f>
        <v>5.0929000000000002E-2</v>
      </c>
      <c r="T888" s="2">
        <f>ff_portfolios25!T888-ff_factors!$E888</f>
        <v>4.5020000000000004E-2</v>
      </c>
      <c r="U888" s="2">
        <f>ff_portfolios25!U888-ff_factors!$E888</f>
        <v>3.4930000000000003E-2</v>
      </c>
      <c r="V888" s="2">
        <f>ff_portfolios25!V888-ff_factors!$E888</f>
        <v>2.5016E-2</v>
      </c>
      <c r="W888" s="2">
        <f>ff_portfolios25!W888-ff_factors!$E888</f>
        <v>4.5555999999999999E-2</v>
      </c>
      <c r="X888" s="2">
        <f>ff_portfolios25!X888-ff_factors!$E888</f>
        <v>3.2908E-2</v>
      </c>
      <c r="Y888" s="2">
        <f>ff_portfolios25!Y888-ff_factors!$E888</f>
        <v>3.8530000000000002E-2</v>
      </c>
      <c r="Z888" s="2">
        <f>ff_portfolios25!Z888-ff_factors!$E888</f>
        <v>3.5094E-2</v>
      </c>
      <c r="AA888" s="2">
        <f>ff_portfolios25!AA888-ff_factors!$E888</f>
        <v>3.0808000000000002E-2</v>
      </c>
      <c r="AB888" s="2">
        <f>ff_portfolios25!AB888-ff_factors!$E888</f>
        <v>1.9804000000000002E-2</v>
      </c>
    </row>
    <row r="889" spans="1:28" x14ac:dyDescent="0.2">
      <c r="A889">
        <v>20051230</v>
      </c>
      <c r="B889">
        <v>2005</v>
      </c>
      <c r="C889">
        <v>12</v>
      </c>
      <c r="D889" s="2">
        <f>ff_portfolios25!D889-ff_factors!$E889</f>
        <v>-8.1410000000000007E-3</v>
      </c>
      <c r="E889" s="2">
        <f>ff_portfolios25!E889-ff_factors!$E889</f>
        <v>1.0669999999999998E-3</v>
      </c>
      <c r="F889" s="2">
        <f>ff_portfolios25!F889-ff_factors!$E889</f>
        <v>-7.4839999999999993E-3</v>
      </c>
      <c r="G889" s="2">
        <f>ff_portfolios25!G889-ff_factors!$E889</f>
        <v>-9.320000000000001E-4</v>
      </c>
      <c r="H889" s="2">
        <f>ff_portfolios25!H889-ff_factors!$E889</f>
        <v>2.8400000000000001E-3</v>
      </c>
      <c r="I889" s="2">
        <f>ff_portfolios25!I889-ff_factors!$E889</f>
        <v>-2.4120000000000001E-3</v>
      </c>
      <c r="J889" s="2">
        <f>ff_portfolios25!J889-ff_factors!$E889</f>
        <v>-1.2567E-2</v>
      </c>
      <c r="K889" s="2">
        <f>ff_portfolios25!K889-ff_factors!$E889</f>
        <v>-7.895000000000001E-3</v>
      </c>
      <c r="L889" s="2">
        <f>ff_portfolios25!L889-ff_factors!$E889</f>
        <v>-9.5499999999999995E-3</v>
      </c>
      <c r="M889" s="2">
        <f>ff_portfolios25!M889-ff_factors!$E889</f>
        <v>-9.3880000000000005E-3</v>
      </c>
      <c r="N889" s="2">
        <f>ff_portfolios25!N889-ff_factors!$E889</f>
        <v>2.3079999999999997E-3</v>
      </c>
      <c r="O889" s="2">
        <f>ff_portfolios25!O889-ff_factors!$E889</f>
        <v>5.8550000000000008E-3</v>
      </c>
      <c r="P889" s="2">
        <f>ff_portfolios25!P889-ff_factors!$E889</f>
        <v>4.1709999999999994E-3</v>
      </c>
      <c r="Q889" s="2">
        <f>ff_portfolios25!Q889-ff_factors!$E889</f>
        <v>1.4750000000000002E-3</v>
      </c>
      <c r="R889" s="2">
        <f>ff_portfolios25!R889-ff_factors!$E889</f>
        <v>7.5410000000000008E-3</v>
      </c>
      <c r="S889" s="2">
        <f>ff_portfolios25!S889-ff_factors!$E889</f>
        <v>1.1090000000000002E-3</v>
      </c>
      <c r="T889" s="2">
        <f>ff_portfolios25!T889-ff_factors!$E889</f>
        <v>1.1945000000000001E-2</v>
      </c>
      <c r="U889" s="2">
        <f>ff_portfolios25!U889-ff_factors!$E889</f>
        <v>1.3821000000000002E-2</v>
      </c>
      <c r="V889" s="2">
        <f>ff_portfolios25!V889-ff_factors!$E889</f>
        <v>1.9052999999999997E-2</v>
      </c>
      <c r="W889" s="2">
        <f>ff_portfolios25!W889-ff_factors!$E889</f>
        <v>3.9129999999999998E-3</v>
      </c>
      <c r="X889" s="2">
        <f>ff_portfolios25!X889-ff_factors!$E889</f>
        <v>-1.2539999999999999E-2</v>
      </c>
      <c r="Y889" s="2">
        <f>ff_portfolios25!Y889-ff_factors!$E889</f>
        <v>-2.3909999999999999E-3</v>
      </c>
      <c r="Z889" s="2">
        <f>ff_portfolios25!Z889-ff_factors!$E889</f>
        <v>4.1759999999999992E-3</v>
      </c>
      <c r="AA889" s="2">
        <f>ff_portfolios25!AA889-ff_factors!$E889</f>
        <v>3.3890000000000001E-3</v>
      </c>
      <c r="AB889" s="2">
        <f>ff_portfolios25!AB889-ff_factors!$E889</f>
        <v>-6.8210000000000007E-3</v>
      </c>
    </row>
    <row r="890" spans="1:28" x14ac:dyDescent="0.2">
      <c r="A890">
        <v>20060131</v>
      </c>
      <c r="B890">
        <v>2006</v>
      </c>
      <c r="C890">
        <v>1</v>
      </c>
      <c r="D890" s="2">
        <f>ff_portfolios25!D890-ff_factors!$E890</f>
        <v>0.111299</v>
      </c>
      <c r="E890" s="2">
        <f>ff_portfolios25!E890-ff_factors!$E890</f>
        <v>8.9657000000000001E-2</v>
      </c>
      <c r="F890" s="2">
        <f>ff_portfolios25!F890-ff_factors!$E890</f>
        <v>8.1776000000000001E-2</v>
      </c>
      <c r="G890" s="2">
        <f>ff_portfolios25!G890-ff_factors!$E890</f>
        <v>7.7268000000000003E-2</v>
      </c>
      <c r="H890" s="2">
        <f>ff_portfolios25!H890-ff_factors!$E890</f>
        <v>7.9508999999999996E-2</v>
      </c>
      <c r="I890" s="2">
        <f>ff_portfolios25!I890-ff_factors!$E890</f>
        <v>6.4866999999999994E-2</v>
      </c>
      <c r="J890" s="2">
        <f>ff_portfolios25!J890-ff_factors!$E890</f>
        <v>8.3674999999999999E-2</v>
      </c>
      <c r="K890" s="2">
        <f>ff_portfolios25!K890-ff_factors!$E890</f>
        <v>0.100198</v>
      </c>
      <c r="L890" s="2">
        <f>ff_portfolios25!L890-ff_factors!$E890</f>
        <v>9.5549999999999996E-2</v>
      </c>
      <c r="M890" s="2">
        <f>ff_portfolios25!M890-ff_factors!$E890</f>
        <v>7.4720999999999996E-2</v>
      </c>
      <c r="N890" s="2">
        <f>ff_portfolios25!N890-ff_factors!$E890</f>
        <v>5.2752999999999994E-2</v>
      </c>
      <c r="O890" s="2">
        <f>ff_portfolios25!O890-ff_factors!$E890</f>
        <v>7.9003999999999991E-2</v>
      </c>
      <c r="P890" s="2">
        <f>ff_portfolios25!P890-ff_factors!$E890</f>
        <v>8.7070999999999996E-2</v>
      </c>
      <c r="Q890" s="2">
        <f>ff_portfolios25!Q890-ff_factors!$E890</f>
        <v>4.3726999999999995E-2</v>
      </c>
      <c r="R890" s="2">
        <f>ff_portfolios25!R890-ff_factors!$E890</f>
        <v>5.8094E-2</v>
      </c>
      <c r="S890" s="2">
        <f>ff_portfolios25!S890-ff_factors!$E890</f>
        <v>4.9666999999999996E-2</v>
      </c>
      <c r="T890" s="2">
        <f>ff_portfolios25!T890-ff_factors!$E890</f>
        <v>4.5078E-2</v>
      </c>
      <c r="U890" s="2">
        <f>ff_portfolios25!U890-ff_factors!$E890</f>
        <v>4.6035E-2</v>
      </c>
      <c r="V890" s="2">
        <f>ff_portfolios25!V890-ff_factors!$E890</f>
        <v>3.5128999999999994E-2</v>
      </c>
      <c r="W890" s="2">
        <f>ff_portfolios25!W890-ff_factors!$E890</f>
        <v>4.2840999999999997E-2</v>
      </c>
      <c r="X890" s="2">
        <f>ff_portfolios25!X890-ff_factors!$E890</f>
        <v>9.0740000000000005E-3</v>
      </c>
      <c r="Y890" s="2">
        <f>ff_portfolios25!Y890-ff_factors!$E890</f>
        <v>2.0274E-2</v>
      </c>
      <c r="Z890" s="2">
        <f>ff_portfolios25!Z890-ff_factors!$E890</f>
        <v>1.3024000000000001E-2</v>
      </c>
      <c r="AA890" s="2">
        <f>ff_portfolios25!AA890-ff_factors!$E890</f>
        <v>4.9569999999999996E-2</v>
      </c>
      <c r="AB890" s="2">
        <f>ff_portfolios25!AB890-ff_factors!$E890</f>
        <v>3.78E-2</v>
      </c>
    </row>
    <row r="891" spans="1:28" x14ac:dyDescent="0.2">
      <c r="A891">
        <v>20060228</v>
      </c>
      <c r="B891">
        <v>2006</v>
      </c>
      <c r="C891">
        <v>2</v>
      </c>
      <c r="D891" s="2">
        <f>ff_portfolios25!D891-ff_factors!$E891</f>
        <v>-6.8139999999999997E-3</v>
      </c>
      <c r="E891" s="2">
        <f>ff_portfolios25!E891-ff_factors!$E891</f>
        <v>5.8890000000000001E-3</v>
      </c>
      <c r="F891" s="2">
        <f>ff_portfolios25!F891-ff_factors!$E891</f>
        <v>-6.1980000000000004E-3</v>
      </c>
      <c r="G891" s="2">
        <f>ff_portfolios25!G891-ff_factors!$E891</f>
        <v>-9.1000000000000004E-3</v>
      </c>
      <c r="H891" s="2">
        <f>ff_portfolios25!H891-ff_factors!$E891</f>
        <v>-4.5699999999999994E-4</v>
      </c>
      <c r="I891" s="2">
        <f>ff_portfolios25!I891-ff_factors!$E891</f>
        <v>-3.5269999999999998E-3</v>
      </c>
      <c r="J891" s="2">
        <f>ff_portfolios25!J891-ff_factors!$E891</f>
        <v>-6.3479999999999995E-3</v>
      </c>
      <c r="K891" s="2">
        <f>ff_portfolios25!K891-ff_factors!$E891</f>
        <v>-1.5146E-2</v>
      </c>
      <c r="L891" s="2">
        <f>ff_portfolios25!L891-ff_factors!$E891</f>
        <v>7.7700000000000035E-4</v>
      </c>
      <c r="M891" s="2">
        <f>ff_portfolios25!M891-ff_factors!$E891</f>
        <v>-2.1867000000000001E-2</v>
      </c>
      <c r="N891" s="2">
        <f>ff_portfolios25!N891-ff_factors!$E891</f>
        <v>3.3070000000000005E-3</v>
      </c>
      <c r="O891" s="2">
        <f>ff_portfolios25!O891-ff_factors!$E891</f>
        <v>-2.1257999999999999E-2</v>
      </c>
      <c r="P891" s="2">
        <f>ff_portfolios25!P891-ff_factors!$E891</f>
        <v>-6.4010000000000004E-3</v>
      </c>
      <c r="Q891" s="2">
        <f>ff_portfolios25!Q891-ff_factors!$E891</f>
        <v>-1.201E-2</v>
      </c>
      <c r="R891" s="2">
        <f>ff_portfolios25!R891-ff_factors!$E891</f>
        <v>-1.9366000000000001E-2</v>
      </c>
      <c r="S891" s="2">
        <f>ff_portfolios25!S891-ff_factors!$E891</f>
        <v>3.094E-3</v>
      </c>
      <c r="T891" s="2">
        <f>ff_portfolios25!T891-ff_factors!$E891</f>
        <v>-7.5890000000000003E-3</v>
      </c>
      <c r="U891" s="2">
        <f>ff_portfolios25!U891-ff_factors!$E891</f>
        <v>-6.3239999999999998E-3</v>
      </c>
      <c r="V891" s="2">
        <f>ff_portfolios25!V891-ff_factors!$E891</f>
        <v>-2.6112E-2</v>
      </c>
      <c r="W891" s="2">
        <f>ff_portfolios25!W891-ff_factors!$E891</f>
        <v>9.7330000000000003E-3</v>
      </c>
      <c r="X891" s="2">
        <f>ff_portfolios25!X891-ff_factors!$E891</f>
        <v>-5.7260000000000002E-3</v>
      </c>
      <c r="Y891" s="2">
        <f>ff_portfolios25!Y891-ff_factors!$E891</f>
        <v>1.9790000000000003E-3</v>
      </c>
      <c r="Z891" s="2">
        <f>ff_portfolios25!Z891-ff_factors!$E891</f>
        <v>7.3139999999999993E-3</v>
      </c>
      <c r="AA891" s="2">
        <f>ff_portfolios25!AA891-ff_factors!$E891</f>
        <v>-7.7999999999999988E-4</v>
      </c>
      <c r="AB891" s="2">
        <f>ff_portfolios25!AB891-ff_factors!$E891</f>
        <v>-1.2712000000000001E-2</v>
      </c>
    </row>
    <row r="892" spans="1:28" x14ac:dyDescent="0.2">
      <c r="A892">
        <v>20060331</v>
      </c>
      <c r="B892">
        <v>2006</v>
      </c>
      <c r="C892">
        <v>3</v>
      </c>
      <c r="D892" s="2">
        <f>ff_portfolios25!D892-ff_factors!$E892</f>
        <v>3.703E-2</v>
      </c>
      <c r="E892" s="2">
        <f>ff_portfolios25!E892-ff_factors!$E892</f>
        <v>5.1459999999999999E-2</v>
      </c>
      <c r="F892" s="2">
        <f>ff_portfolios25!F892-ff_factors!$E892</f>
        <v>4.0833000000000001E-2</v>
      </c>
      <c r="G892" s="2">
        <f>ff_portfolios25!G892-ff_factors!$E892</f>
        <v>5.0889999999999998E-2</v>
      </c>
      <c r="H892" s="2">
        <f>ff_portfolios25!H892-ff_factors!$E892</f>
        <v>6.2402999999999993E-2</v>
      </c>
      <c r="I892" s="2">
        <f>ff_portfolios25!I892-ff_factors!$E892</f>
        <v>2.8433E-2</v>
      </c>
      <c r="J892" s="2">
        <f>ff_portfolios25!J892-ff_factors!$E892</f>
        <v>4.9631999999999996E-2</v>
      </c>
      <c r="K892" s="2">
        <f>ff_portfolios25!K892-ff_factors!$E892</f>
        <v>6.0623000000000003E-2</v>
      </c>
      <c r="L892" s="2">
        <f>ff_portfolios25!L892-ff_factors!$E892</f>
        <v>4.9361999999999996E-2</v>
      </c>
      <c r="M892" s="2">
        <f>ff_portfolios25!M892-ff_factors!$E892</f>
        <v>3.7391000000000001E-2</v>
      </c>
      <c r="N892" s="2">
        <f>ff_portfolios25!N892-ff_factors!$E892</f>
        <v>4.5592999999999995E-2</v>
      </c>
      <c r="O892" s="2">
        <f>ff_portfolios25!O892-ff_factors!$E892</f>
        <v>3.4971999999999996E-2</v>
      </c>
      <c r="P892" s="2">
        <f>ff_portfolios25!P892-ff_factors!$E892</f>
        <v>2.4506E-2</v>
      </c>
      <c r="Q892" s="2">
        <f>ff_portfolios25!Q892-ff_factors!$E892</f>
        <v>2.4444E-2</v>
      </c>
      <c r="R892" s="2">
        <f>ff_portfolios25!R892-ff_factors!$E892</f>
        <v>1.3887999999999999E-2</v>
      </c>
      <c r="S892" s="2">
        <f>ff_portfolios25!S892-ff_factors!$E892</f>
        <v>3.1319E-2</v>
      </c>
      <c r="T892" s="2">
        <f>ff_portfolios25!T892-ff_factors!$E892</f>
        <v>2.0667999999999999E-2</v>
      </c>
      <c r="U892" s="2">
        <f>ff_portfolios25!U892-ff_factors!$E892</f>
        <v>2.3687E-2</v>
      </c>
      <c r="V892" s="2">
        <f>ff_portfolios25!V892-ff_factors!$E892</f>
        <v>1.6707E-2</v>
      </c>
      <c r="W892" s="2">
        <f>ff_portfolios25!W892-ff_factors!$E892</f>
        <v>2.2310999999999998E-2</v>
      </c>
      <c r="X892" s="2">
        <f>ff_portfolios25!X892-ff_factors!$E892</f>
        <v>5.1559999999999991E-3</v>
      </c>
      <c r="Y892" s="2">
        <f>ff_portfolios25!Y892-ff_factors!$E892</f>
        <v>1.5740999999999998E-2</v>
      </c>
      <c r="Z892" s="2">
        <f>ff_portfolios25!Z892-ff_factors!$E892</f>
        <v>8.8760000000000002E-3</v>
      </c>
      <c r="AA892" s="2">
        <f>ff_portfolios25!AA892-ff_factors!$E892</f>
        <v>7.0419999999999996E-3</v>
      </c>
      <c r="AB892" s="2">
        <f>ff_portfolios25!AB892-ff_factors!$E892</f>
        <v>5.1719999999999995E-3</v>
      </c>
    </row>
    <row r="893" spans="1:28" x14ac:dyDescent="0.2">
      <c r="A893">
        <v>20060428</v>
      </c>
      <c r="B893">
        <v>2006</v>
      </c>
      <c r="C893">
        <v>4</v>
      </c>
      <c r="D893" s="2">
        <f>ff_portfolios25!D893-ff_factors!$E893</f>
        <v>-1.5120999999999999E-2</v>
      </c>
      <c r="E893" s="2">
        <f>ff_portfolios25!E893-ff_factors!$E893</f>
        <v>-1.736E-2</v>
      </c>
      <c r="F893" s="2">
        <f>ff_portfolios25!F893-ff_factors!$E893</f>
        <v>-1.6249999999999997E-3</v>
      </c>
      <c r="G893" s="2">
        <f>ff_portfolios25!G893-ff_factors!$E893</f>
        <v>1.1559999999999999E-3</v>
      </c>
      <c r="H893" s="2">
        <f>ff_portfolios25!H893-ff_factors!$E893</f>
        <v>1.3918E-2</v>
      </c>
      <c r="I893" s="2">
        <f>ff_portfolios25!I893-ff_factors!$E893</f>
        <v>-1.0641000000000001E-2</v>
      </c>
      <c r="J893" s="2">
        <f>ff_portfolios25!J893-ff_factors!$E893</f>
        <v>4.5370000000000002E-3</v>
      </c>
      <c r="K893" s="2">
        <f>ff_portfolios25!K893-ff_factors!$E893</f>
        <v>3.2517999999999998E-2</v>
      </c>
      <c r="L893" s="2">
        <f>ff_portfolios25!L893-ff_factors!$E893</f>
        <v>-1.4799E-2</v>
      </c>
      <c r="M893" s="2">
        <f>ff_portfolios25!M893-ff_factors!$E893</f>
        <v>2.2074E-2</v>
      </c>
      <c r="N893" s="2">
        <f>ff_portfolios25!N893-ff_factors!$E893</f>
        <v>-1.5858000000000001E-2</v>
      </c>
      <c r="O893" s="2">
        <f>ff_portfolios25!O893-ff_factors!$E893</f>
        <v>-7.6340000000000002E-3</v>
      </c>
      <c r="P893" s="2">
        <f>ff_portfolios25!P893-ff_factors!$E893</f>
        <v>1.8866000000000001E-2</v>
      </c>
      <c r="Q893" s="2">
        <f>ff_portfolios25!Q893-ff_factors!$E893</f>
        <v>-7.3130000000000001E-3</v>
      </c>
      <c r="R893" s="2">
        <f>ff_portfolios25!R893-ff_factors!$E893</f>
        <v>2.2879E-2</v>
      </c>
      <c r="S893" s="2">
        <f>ff_portfolios25!S893-ff_factors!$E893</f>
        <v>-1.993E-3</v>
      </c>
      <c r="T893" s="2">
        <f>ff_portfolios25!T893-ff_factors!$E893</f>
        <v>-1.2569999999999999E-3</v>
      </c>
      <c r="U893" s="2">
        <f>ff_portfolios25!U893-ff_factors!$E893</f>
        <v>7.6079999999999993E-3</v>
      </c>
      <c r="V893" s="2">
        <f>ff_portfolios25!V893-ff_factors!$E893</f>
        <v>2.8351000000000001E-2</v>
      </c>
      <c r="W893" s="2">
        <f>ff_portfolios25!W893-ff_factors!$E893</f>
        <v>2.8972999999999999E-2</v>
      </c>
      <c r="X893" s="2">
        <f>ff_portfolios25!X893-ff_factors!$E893</f>
        <v>-1.1602000000000001E-2</v>
      </c>
      <c r="Y893" s="2">
        <f>ff_portfolios25!Y893-ff_factors!$E893</f>
        <v>1.8232000000000002E-2</v>
      </c>
      <c r="Z893" s="2">
        <f>ff_portfolios25!Z893-ff_factors!$E893</f>
        <v>2.2142999999999999E-2</v>
      </c>
      <c r="AA893" s="2">
        <f>ff_portfolios25!AA893-ff_factors!$E893</f>
        <v>1.7228E-2</v>
      </c>
      <c r="AB893" s="2">
        <f>ff_portfolios25!AB893-ff_factors!$E893</f>
        <v>4.5048999999999999E-2</v>
      </c>
    </row>
    <row r="894" spans="1:28" x14ac:dyDescent="0.2">
      <c r="A894">
        <v>20060531</v>
      </c>
      <c r="B894">
        <v>2006</v>
      </c>
      <c r="C894">
        <v>5</v>
      </c>
      <c r="D894" s="2">
        <f>ff_portfolios25!D894-ff_factors!$E894</f>
        <v>-9.7563999999999998E-2</v>
      </c>
      <c r="E894" s="2">
        <f>ff_portfolios25!E894-ff_factors!$E894</f>
        <v>-6.8407999999999997E-2</v>
      </c>
      <c r="F894" s="2">
        <f>ff_portfolios25!F894-ff_factors!$E894</f>
        <v>-4.7735E-2</v>
      </c>
      <c r="G894" s="2">
        <f>ff_portfolios25!G894-ff_factors!$E894</f>
        <v>-4.8936E-2</v>
      </c>
      <c r="H894" s="2">
        <f>ff_portfolios25!H894-ff_factors!$E894</f>
        <v>-4.3909999999999998E-2</v>
      </c>
      <c r="I894" s="2">
        <f>ff_portfolios25!I894-ff_factors!$E894</f>
        <v>-6.6576999999999997E-2</v>
      </c>
      <c r="J894" s="2">
        <f>ff_portfolios25!J894-ff_factors!$E894</f>
        <v>-6.4606999999999998E-2</v>
      </c>
      <c r="K894" s="2">
        <f>ff_portfolios25!K894-ff_factors!$E894</f>
        <v>-4.6821999999999996E-2</v>
      </c>
      <c r="L894" s="2">
        <f>ff_portfolios25!L894-ff_factors!$E894</f>
        <v>-5.7058999999999999E-2</v>
      </c>
      <c r="M894" s="2">
        <f>ff_portfolios25!M894-ff_factors!$E894</f>
        <v>-3.5083000000000003E-2</v>
      </c>
      <c r="N894" s="2">
        <f>ff_portfolios25!N894-ff_factors!$E894</f>
        <v>-6.6278000000000004E-2</v>
      </c>
      <c r="O894" s="2">
        <f>ff_portfolios25!O894-ff_factors!$E894</f>
        <v>-5.3087999999999996E-2</v>
      </c>
      <c r="P894" s="2">
        <f>ff_portfolios25!P894-ff_factors!$E894</f>
        <v>-4.5966E-2</v>
      </c>
      <c r="Q894" s="2">
        <f>ff_portfolios25!Q894-ff_factors!$E894</f>
        <v>-3.5209999999999998E-2</v>
      </c>
      <c r="R894" s="2">
        <f>ff_portfolios25!R894-ff_factors!$E894</f>
        <v>-2.2605E-2</v>
      </c>
      <c r="S894" s="2">
        <f>ff_portfolios25!S894-ff_factors!$E894</f>
        <v>-5.9313999999999999E-2</v>
      </c>
      <c r="T894" s="2">
        <f>ff_portfolios25!T894-ff_factors!$E894</f>
        <v>-3.2406999999999998E-2</v>
      </c>
      <c r="U894" s="2">
        <f>ff_portfolios25!U894-ff_factors!$E894</f>
        <v>-3.0853999999999999E-2</v>
      </c>
      <c r="V894" s="2">
        <f>ff_portfolios25!V894-ff_factors!$E894</f>
        <v>-2.3792000000000001E-2</v>
      </c>
      <c r="W894" s="2">
        <f>ff_portfolios25!W894-ff_factors!$E894</f>
        <v>-3.1528E-2</v>
      </c>
      <c r="X894" s="2">
        <f>ff_portfolios25!X894-ff_factors!$E894</f>
        <v>-3.2946000000000003E-2</v>
      </c>
      <c r="Y894" s="2">
        <f>ff_portfolios25!Y894-ff_factors!$E894</f>
        <v>-3.1329999999999997E-2</v>
      </c>
      <c r="Z894" s="2">
        <f>ff_portfolios25!Z894-ff_factors!$E894</f>
        <v>-2.8909999999999998E-2</v>
      </c>
      <c r="AA894" s="2">
        <f>ff_portfolios25!AA894-ff_factors!$E894</f>
        <v>-1.6992E-2</v>
      </c>
      <c r="AB894" s="2">
        <f>ff_portfolios25!AB894-ff_factors!$E894</f>
        <v>-3.0794000000000002E-2</v>
      </c>
    </row>
    <row r="895" spans="1:28" x14ac:dyDescent="0.2">
      <c r="A895">
        <v>20060630</v>
      </c>
      <c r="B895">
        <v>2006</v>
      </c>
      <c r="C895">
        <v>6</v>
      </c>
      <c r="D895" s="2">
        <f>ff_portfolios25!D895-ff_factors!$E895</f>
        <v>-1.2925000000000001E-2</v>
      </c>
      <c r="E895" s="2">
        <f>ff_portfolios25!E895-ff_factors!$E895</f>
        <v>-1.3853000000000001E-2</v>
      </c>
      <c r="F895" s="2">
        <f>ff_portfolios25!F895-ff_factors!$E895</f>
        <v>-1.1013999999999999E-2</v>
      </c>
      <c r="G895" s="2">
        <f>ff_portfolios25!G895-ff_factors!$E895</f>
        <v>-4.9069999999999999E-3</v>
      </c>
      <c r="H895" s="2">
        <f>ff_portfolios25!H895-ff_factors!$E895</f>
        <v>-6.9169999999999995E-3</v>
      </c>
      <c r="I895" s="2">
        <f>ff_portfolios25!I895-ff_factors!$E895</f>
        <v>-2.9979999999999998E-3</v>
      </c>
      <c r="J895" s="2">
        <f>ff_portfolios25!J895-ff_factors!$E895</f>
        <v>1.0094000000000001E-2</v>
      </c>
      <c r="K895" s="2">
        <f>ff_portfolios25!K895-ff_factors!$E895</f>
        <v>-4.561E-3</v>
      </c>
      <c r="L895" s="2">
        <f>ff_portfolios25!L895-ff_factors!$E895</f>
        <v>5.5100000000000027E-4</v>
      </c>
      <c r="M895" s="2">
        <f>ff_portfolios25!M895-ff_factors!$E895</f>
        <v>-5.8760000000000001E-3</v>
      </c>
      <c r="N895" s="2">
        <f>ff_portfolios25!N895-ff_factors!$E895</f>
        <v>-1.2016000000000001E-2</v>
      </c>
      <c r="O895" s="2">
        <f>ff_portfolios25!O895-ff_factors!$E895</f>
        <v>-1.0463E-2</v>
      </c>
      <c r="P895" s="2">
        <f>ff_portfolios25!P895-ff_factors!$E895</f>
        <v>-7.3000000000000001E-3</v>
      </c>
      <c r="Q895" s="2">
        <f>ff_portfolios25!Q895-ff_factors!$E895</f>
        <v>-1.1789999999999999E-3</v>
      </c>
      <c r="R895" s="2">
        <f>ff_portfolios25!R895-ff_factors!$E895</f>
        <v>-1.3909999999999999E-3</v>
      </c>
      <c r="S895" s="2">
        <f>ff_portfolios25!S895-ff_factors!$E895</f>
        <v>-7.5160000000000001E-3</v>
      </c>
      <c r="T895" s="2">
        <f>ff_portfolios25!T895-ff_factors!$E895</f>
        <v>-2.1531999999999999E-2</v>
      </c>
      <c r="U895" s="2">
        <f>ff_portfolios25!U895-ff_factors!$E895</f>
        <v>-1.4206E-2</v>
      </c>
      <c r="V895" s="2">
        <f>ff_portfolios25!V895-ff_factors!$E895</f>
        <v>-2.2510000000000004E-3</v>
      </c>
      <c r="W895" s="2">
        <f>ff_portfolios25!W895-ff_factors!$E895</f>
        <v>-1.1195E-2</v>
      </c>
      <c r="X895" s="2">
        <f>ff_portfolios25!X895-ff_factors!$E895</f>
        <v>-3.1599999999999987E-4</v>
      </c>
      <c r="Y895" s="2">
        <f>ff_portfolios25!Y895-ff_factors!$E895</f>
        <v>-1.1682E-2</v>
      </c>
      <c r="Z895" s="2">
        <f>ff_portfolios25!Z895-ff_factors!$E895</f>
        <v>1.6969999999999997E-3</v>
      </c>
      <c r="AA895" s="2">
        <f>ff_portfolios25!AA895-ff_factors!$E895</f>
        <v>8.0909999999999992E-3</v>
      </c>
      <c r="AB895" s="2">
        <f>ff_portfolios25!AB895-ff_factors!$E895</f>
        <v>7.3439999999999998E-3</v>
      </c>
    </row>
    <row r="896" spans="1:28" x14ac:dyDescent="0.2">
      <c r="A896">
        <v>20060731</v>
      </c>
      <c r="B896">
        <v>2006</v>
      </c>
      <c r="C896">
        <v>7</v>
      </c>
      <c r="D896" s="2">
        <f>ff_portfolios25!D896-ff_factors!$E896</f>
        <v>-6.1621999999999996E-2</v>
      </c>
      <c r="E896" s="2">
        <f>ff_portfolios25!E896-ff_factors!$E896</f>
        <v>-3.8189000000000001E-2</v>
      </c>
      <c r="F896" s="2">
        <f>ff_portfolios25!F896-ff_factors!$E896</f>
        <v>-3.9458000000000007E-2</v>
      </c>
      <c r="G896" s="2">
        <f>ff_portfolios25!G896-ff_factors!$E896</f>
        <v>-2.5413000000000002E-2</v>
      </c>
      <c r="H896" s="2">
        <f>ff_portfolios25!H896-ff_factors!$E896</f>
        <v>-3.0176999999999999E-2</v>
      </c>
      <c r="I896" s="2">
        <f>ff_portfolios25!I896-ff_factors!$E896</f>
        <v>-5.6182999999999997E-2</v>
      </c>
      <c r="J896" s="2">
        <f>ff_portfolios25!J896-ff_factors!$E896</f>
        <v>-4.8795000000000005E-2</v>
      </c>
      <c r="K896" s="2">
        <f>ff_portfolios25!K896-ff_factors!$E896</f>
        <v>-3.363E-2</v>
      </c>
      <c r="L896" s="2">
        <f>ff_portfolios25!L896-ff_factors!$E896</f>
        <v>-2.1003999999999998E-2</v>
      </c>
      <c r="M896" s="2">
        <f>ff_portfolios25!M896-ff_factors!$E896</f>
        <v>-4.0193999999999994E-2</v>
      </c>
      <c r="N896" s="2">
        <f>ff_portfolios25!N896-ff_factors!$E896</f>
        <v>-6.6790000000000002E-2</v>
      </c>
      <c r="O896" s="2">
        <f>ff_portfolios25!O896-ff_factors!$E896</f>
        <v>-3.3753000000000005E-2</v>
      </c>
      <c r="P896" s="2">
        <f>ff_portfolios25!P896-ff_factors!$E896</f>
        <v>-4.5871999999999996E-2</v>
      </c>
      <c r="Q896" s="2">
        <f>ff_portfolios25!Q896-ff_factors!$E896</f>
        <v>-2.2762000000000001E-2</v>
      </c>
      <c r="R896" s="2">
        <f>ff_portfolios25!R896-ff_factors!$E896</f>
        <v>-1.7217E-2</v>
      </c>
      <c r="S896" s="2">
        <f>ff_portfolios25!S896-ff_factors!$E896</f>
        <v>-5.2237000000000006E-2</v>
      </c>
      <c r="T896" s="2">
        <f>ff_portfolios25!T896-ff_factors!$E896</f>
        <v>-3.4157E-2</v>
      </c>
      <c r="U896" s="2">
        <f>ff_portfolios25!U896-ff_factors!$E896</f>
        <v>-2.9440000000000001E-2</v>
      </c>
      <c r="V896" s="2">
        <f>ff_portfolios25!V896-ff_factors!$E896</f>
        <v>-3.551E-2</v>
      </c>
      <c r="W896" s="2">
        <f>ff_portfolios25!W896-ff_factors!$E896</f>
        <v>-1.7271000000000002E-2</v>
      </c>
      <c r="X896" s="2">
        <f>ff_portfolios25!X896-ff_factors!$E896</f>
        <v>-1.3984E-2</v>
      </c>
      <c r="Y896" s="2">
        <f>ff_portfolios25!Y896-ff_factors!$E896</f>
        <v>1.2211E-2</v>
      </c>
      <c r="Z896" s="2">
        <f>ff_portfolios25!Z896-ff_factors!$E896</f>
        <v>1.0423999999999999E-2</v>
      </c>
      <c r="AA896" s="2">
        <f>ff_portfolios25!AA896-ff_factors!$E896</f>
        <v>1.4297999999999998E-2</v>
      </c>
      <c r="AB896" s="2">
        <f>ff_portfolios25!AB896-ff_factors!$E896</f>
        <v>3.4004999999999994E-2</v>
      </c>
    </row>
    <row r="897" spans="1:28" x14ac:dyDescent="0.2">
      <c r="A897">
        <v>20060831</v>
      </c>
      <c r="B897">
        <v>2006</v>
      </c>
      <c r="C897">
        <v>8</v>
      </c>
      <c r="D897" s="2">
        <f>ff_portfolios25!D897-ff_factors!$E897</f>
        <v>2.9685E-2</v>
      </c>
      <c r="E897" s="2">
        <f>ff_portfolios25!E897-ff_factors!$E897</f>
        <v>2.0295000000000001E-2</v>
      </c>
      <c r="F897" s="2">
        <f>ff_portfolios25!F897-ff_factors!$E897</f>
        <v>2.7364000000000003E-2</v>
      </c>
      <c r="G897" s="2">
        <f>ff_portfolios25!G897-ff_factors!$E897</f>
        <v>2.1644E-2</v>
      </c>
      <c r="H897" s="2">
        <f>ff_portfolios25!H897-ff_factors!$E897</f>
        <v>2.3377999999999999E-2</v>
      </c>
      <c r="I897" s="2">
        <f>ff_portfolios25!I897-ff_factors!$E897</f>
        <v>2.9687000000000002E-2</v>
      </c>
      <c r="J897" s="2">
        <f>ff_portfolios25!J897-ff_factors!$E897</f>
        <v>1.9708E-2</v>
      </c>
      <c r="K897" s="2">
        <f>ff_portfolios25!K897-ff_factors!$E897</f>
        <v>2.8665E-2</v>
      </c>
      <c r="L897" s="2">
        <f>ff_portfolios25!L897-ff_factors!$E897</f>
        <v>2.9405000000000004E-2</v>
      </c>
      <c r="M897" s="2">
        <f>ff_portfolios25!M897-ff_factors!$E897</f>
        <v>1.3784000000000001E-2</v>
      </c>
      <c r="N897" s="2">
        <f>ff_portfolios25!N897-ff_factors!$E897</f>
        <v>2.0232E-2</v>
      </c>
      <c r="O897" s="2">
        <f>ff_portfolios25!O897-ff_factors!$E897</f>
        <v>1.7072E-2</v>
      </c>
      <c r="P897" s="2">
        <f>ff_portfolios25!P897-ff_factors!$E897</f>
        <v>1.7354000000000001E-2</v>
      </c>
      <c r="Q897" s="2">
        <f>ff_portfolios25!Q897-ff_factors!$E897</f>
        <v>2.4287E-2</v>
      </c>
      <c r="R897" s="2">
        <f>ff_portfolios25!R897-ff_factors!$E897</f>
        <v>1.7334000000000002E-2</v>
      </c>
      <c r="S897" s="2">
        <f>ff_portfolios25!S897-ff_factors!$E897</f>
        <v>1.0421E-2</v>
      </c>
      <c r="T897" s="2">
        <f>ff_portfolios25!T897-ff_factors!$E897</f>
        <v>2.9321000000000003E-2</v>
      </c>
      <c r="U897" s="2">
        <f>ff_portfolios25!U897-ff_factors!$E897</f>
        <v>-8.1799999999999972E-4</v>
      </c>
      <c r="V897" s="2">
        <f>ff_portfolios25!V897-ff_factors!$E897</f>
        <v>2.7849000000000002E-2</v>
      </c>
      <c r="W897" s="2">
        <f>ff_portfolios25!W897-ff_factors!$E897</f>
        <v>2.2534000000000002E-2</v>
      </c>
      <c r="X897" s="2">
        <f>ff_portfolios25!X897-ff_factors!$E897</f>
        <v>3.7952E-2</v>
      </c>
      <c r="Y897" s="2">
        <f>ff_portfolios25!Y897-ff_factors!$E897</f>
        <v>1.5423000000000003E-2</v>
      </c>
      <c r="Z897" s="2">
        <f>ff_portfolios25!Z897-ff_factors!$E897</f>
        <v>2.1034000000000001E-2</v>
      </c>
      <c r="AA897" s="2">
        <f>ff_portfolios25!AA897-ff_factors!$E897</f>
        <v>-3.3579999999999999E-3</v>
      </c>
      <c r="AB897" s="2">
        <f>ff_portfolios25!AB897-ff_factors!$E897</f>
        <v>6.7400000000000012E-4</v>
      </c>
    </row>
    <row r="898" spans="1:28" x14ac:dyDescent="0.2">
      <c r="A898">
        <v>20060929</v>
      </c>
      <c r="B898">
        <v>2006</v>
      </c>
      <c r="C898">
        <v>9</v>
      </c>
      <c r="D898" s="2">
        <f>ff_portfolios25!D898-ff_factors!$E898</f>
        <v>-6.8470000000000007E-3</v>
      </c>
      <c r="E898" s="2">
        <f>ff_portfolios25!E898-ff_factors!$E898</f>
        <v>-1.6660000000000004E-3</v>
      </c>
      <c r="F898" s="2">
        <f>ff_portfolios25!F898-ff_factors!$E898</f>
        <v>-5.1770000000000002E-3</v>
      </c>
      <c r="G898" s="2">
        <f>ff_portfolios25!G898-ff_factors!$E898</f>
        <v>2.7889999999999998E-3</v>
      </c>
      <c r="H898" s="2">
        <f>ff_portfolios25!H898-ff_factors!$E898</f>
        <v>1.6211E-2</v>
      </c>
      <c r="I898" s="2">
        <f>ff_portfolios25!I898-ff_factors!$E898</f>
        <v>4.1959999999999992E-3</v>
      </c>
      <c r="J898" s="2">
        <f>ff_portfolios25!J898-ff_factors!$E898</f>
        <v>1.0099E-2</v>
      </c>
      <c r="K898" s="2">
        <f>ff_portfolios25!K898-ff_factors!$E898</f>
        <v>6.5459999999999989E-3</v>
      </c>
      <c r="L898" s="2">
        <f>ff_portfolios25!L898-ff_factors!$E898</f>
        <v>1.3056000000000002E-2</v>
      </c>
      <c r="M898" s="2">
        <f>ff_portfolios25!M898-ff_factors!$E898</f>
        <v>7.813999999999998E-3</v>
      </c>
      <c r="N898" s="2">
        <f>ff_portfolios25!N898-ff_factors!$E898</f>
        <v>1.8595E-2</v>
      </c>
      <c r="O898" s="2">
        <f>ff_portfolios25!O898-ff_factors!$E898</f>
        <v>-3.8530000000000005E-3</v>
      </c>
      <c r="P898" s="2">
        <f>ff_portfolios25!P898-ff_factors!$E898</f>
        <v>9.6189999999999991E-3</v>
      </c>
      <c r="Q898" s="2">
        <f>ff_portfolios25!Q898-ff_factors!$E898</f>
        <v>6.3699999999999998E-3</v>
      </c>
      <c r="R898" s="2">
        <f>ff_portfolios25!R898-ff_factors!$E898</f>
        <v>6.561E-3</v>
      </c>
      <c r="S898" s="2">
        <f>ff_portfolios25!S898-ff_factors!$E898</f>
        <v>1.5453999999999999E-2</v>
      </c>
      <c r="T898" s="2">
        <f>ff_portfolios25!T898-ff_factors!$E898</f>
        <v>2.3824999999999999E-2</v>
      </c>
      <c r="U898" s="2">
        <f>ff_portfolios25!U898-ff_factors!$E898</f>
        <v>7.5369999999999994E-3</v>
      </c>
      <c r="V898" s="2">
        <f>ff_portfolios25!V898-ff_factors!$E898</f>
        <v>7.683999999999999E-3</v>
      </c>
      <c r="W898" s="2">
        <f>ff_portfolios25!W898-ff_factors!$E898</f>
        <v>4.7429999999999998E-3</v>
      </c>
      <c r="X898" s="2">
        <f>ff_portfolios25!X898-ff_factors!$E898</f>
        <v>2.1877000000000001E-2</v>
      </c>
      <c r="Y898" s="2">
        <f>ff_portfolios25!Y898-ff_factors!$E898</f>
        <v>2.3699000000000001E-2</v>
      </c>
      <c r="Z898" s="2">
        <f>ff_portfolios25!Z898-ff_factors!$E898</f>
        <v>1.4763999999999999E-2</v>
      </c>
      <c r="AA898" s="2">
        <f>ff_portfolios25!AA898-ff_factors!$E898</f>
        <v>1.9019000000000001E-2</v>
      </c>
      <c r="AB898" s="2">
        <f>ff_portfolios25!AB898-ff_factors!$E898</f>
        <v>3.8535E-2</v>
      </c>
    </row>
    <row r="899" spans="1:28" x14ac:dyDescent="0.2">
      <c r="A899">
        <v>20061031</v>
      </c>
      <c r="B899">
        <v>2006</v>
      </c>
      <c r="C899">
        <v>10</v>
      </c>
      <c r="D899" s="2">
        <f>ff_portfolios25!D899-ff_factors!$E899</f>
        <v>6.6521999999999998E-2</v>
      </c>
      <c r="E899" s="2">
        <f>ff_portfolios25!E899-ff_factors!$E899</f>
        <v>5.6342000000000003E-2</v>
      </c>
      <c r="F899" s="2">
        <f>ff_portfolios25!F899-ff_factors!$E899</f>
        <v>5.7092999999999998E-2</v>
      </c>
      <c r="G899" s="2">
        <f>ff_portfolios25!G899-ff_factors!$E899</f>
        <v>4.3024E-2</v>
      </c>
      <c r="H899" s="2">
        <f>ff_portfolios25!H899-ff_factors!$E899</f>
        <v>4.9195000000000003E-2</v>
      </c>
      <c r="I899" s="2">
        <f>ff_portfolios25!I899-ff_factors!$E899</f>
        <v>5.7986000000000003E-2</v>
      </c>
      <c r="J899" s="2">
        <f>ff_portfolios25!J899-ff_factors!$E899</f>
        <v>4.8232999999999998E-2</v>
      </c>
      <c r="K899" s="2">
        <f>ff_portfolios25!K899-ff_factors!$E899</f>
        <v>4.4173999999999998E-2</v>
      </c>
      <c r="L899" s="2">
        <f>ff_portfolios25!L899-ff_factors!$E899</f>
        <v>4.3604999999999998E-2</v>
      </c>
      <c r="M899" s="2">
        <f>ff_portfolios25!M899-ff_factors!$E899</f>
        <v>4.2480999999999998E-2</v>
      </c>
      <c r="N899" s="2">
        <f>ff_portfolios25!N899-ff_factors!$E899</f>
        <v>5.3505999999999998E-2</v>
      </c>
      <c r="O899" s="2">
        <f>ff_portfolios25!O899-ff_factors!$E899</f>
        <v>3.8254000000000003E-2</v>
      </c>
      <c r="P899" s="2">
        <f>ff_portfolios25!P899-ff_factors!$E899</f>
        <v>3.4556000000000003E-2</v>
      </c>
      <c r="Q899" s="2">
        <f>ff_portfolios25!Q899-ff_factors!$E899</f>
        <v>3.2355000000000002E-2</v>
      </c>
      <c r="R899" s="2">
        <f>ff_portfolios25!R899-ff_factors!$E899</f>
        <v>4.8847000000000002E-2</v>
      </c>
      <c r="S899" s="2">
        <f>ff_portfolios25!S899-ff_factors!$E899</f>
        <v>3.925E-2</v>
      </c>
      <c r="T899" s="2">
        <f>ff_portfolios25!T899-ff_factors!$E899</f>
        <v>4.3390999999999999E-2</v>
      </c>
      <c r="U899" s="2">
        <f>ff_portfolios25!U899-ff_factors!$E899</f>
        <v>3.2084000000000001E-2</v>
      </c>
      <c r="V899" s="2">
        <f>ff_portfolios25!V899-ff_factors!$E899</f>
        <v>2.4483000000000001E-2</v>
      </c>
      <c r="W899" s="2">
        <f>ff_portfolios25!W899-ff_factors!$E899</f>
        <v>2.8015999999999999E-2</v>
      </c>
      <c r="X899" s="2">
        <f>ff_portfolios25!X899-ff_factors!$E899</f>
        <v>2.7902999999999997E-2</v>
      </c>
      <c r="Y899" s="2">
        <f>ff_portfolios25!Y899-ff_factors!$E899</f>
        <v>1.8093000000000001E-2</v>
      </c>
      <c r="Z899" s="2">
        <f>ff_portfolios25!Z899-ff_factors!$E899</f>
        <v>3.4133000000000004E-2</v>
      </c>
      <c r="AA899" s="2">
        <f>ff_portfolios25!AA899-ff_factors!$E899</f>
        <v>3.1519999999999999E-2</v>
      </c>
      <c r="AB899" s="2">
        <f>ff_portfolios25!AB899-ff_factors!$E899</f>
        <v>4.6456999999999998E-2</v>
      </c>
    </row>
    <row r="900" spans="1:28" x14ac:dyDescent="0.2">
      <c r="A900">
        <v>20061130</v>
      </c>
      <c r="B900">
        <v>2006</v>
      </c>
      <c r="C900">
        <v>11</v>
      </c>
      <c r="D900" s="2">
        <f>ff_portfolios25!D900-ff_factors!$E900</f>
        <v>7.4100000000000008E-3</v>
      </c>
      <c r="E900" s="2">
        <f>ff_portfolios25!E900-ff_factors!$E900</f>
        <v>3.0218999999999999E-2</v>
      </c>
      <c r="F900" s="2">
        <f>ff_portfolios25!F900-ff_factors!$E900</f>
        <v>1.2494000000000002E-2</v>
      </c>
      <c r="G900" s="2">
        <f>ff_portfolios25!G900-ff_factors!$E900</f>
        <v>1.7001000000000002E-2</v>
      </c>
      <c r="H900" s="2">
        <f>ff_portfolios25!H900-ff_factors!$E900</f>
        <v>2.2864000000000002E-2</v>
      </c>
      <c r="I900" s="2">
        <f>ff_portfolios25!I900-ff_factors!$E900</f>
        <v>1.2522999999999999E-2</v>
      </c>
      <c r="J900" s="2">
        <f>ff_portfolios25!J900-ff_factors!$E900</f>
        <v>2.6505000000000001E-2</v>
      </c>
      <c r="K900" s="2">
        <f>ff_portfolios25!K900-ff_factors!$E900</f>
        <v>2.588E-2</v>
      </c>
      <c r="L900" s="2">
        <f>ff_portfolios25!L900-ff_factors!$E900</f>
        <v>2.8502000000000003E-2</v>
      </c>
      <c r="M900" s="2">
        <f>ff_portfolios25!M900-ff_factors!$E900</f>
        <v>2.4992E-2</v>
      </c>
      <c r="N900" s="2">
        <f>ff_portfolios25!N900-ff_factors!$E900</f>
        <v>3.2807999999999997E-2</v>
      </c>
      <c r="O900" s="2">
        <f>ff_portfolios25!O900-ff_factors!$E900</f>
        <v>3.4609999999999995E-2</v>
      </c>
      <c r="P900" s="2">
        <f>ff_portfolios25!P900-ff_factors!$E900</f>
        <v>4.1279999999999997E-2</v>
      </c>
      <c r="Q900" s="2">
        <f>ff_portfolios25!Q900-ff_factors!$E900</f>
        <v>3.5353999999999997E-2</v>
      </c>
      <c r="R900" s="2">
        <f>ff_portfolios25!R900-ff_factors!$E900</f>
        <v>3.0249000000000002E-2</v>
      </c>
      <c r="S900" s="2">
        <f>ff_portfolios25!S900-ff_factors!$E900</f>
        <v>3.4039E-2</v>
      </c>
      <c r="T900" s="2">
        <f>ff_portfolios25!T900-ff_factors!$E900</f>
        <v>3.7483999999999996E-2</v>
      </c>
      <c r="U900" s="2">
        <f>ff_portfolios25!U900-ff_factors!$E900</f>
        <v>3.1168999999999999E-2</v>
      </c>
      <c r="V900" s="2">
        <f>ff_portfolios25!V900-ff_factors!$E900</f>
        <v>1.8522E-2</v>
      </c>
      <c r="W900" s="2">
        <f>ff_portfolios25!W900-ff_factors!$E900</f>
        <v>4.3326999999999997E-2</v>
      </c>
      <c r="X900" s="2">
        <f>ff_portfolios25!X900-ff_factors!$E900</f>
        <v>5.5970000000000004E-3</v>
      </c>
      <c r="Y900" s="2">
        <f>ff_portfolios25!Y900-ff_factors!$E900</f>
        <v>1.8194000000000002E-2</v>
      </c>
      <c r="Z900" s="2">
        <f>ff_portfolios25!Z900-ff_factors!$E900</f>
        <v>2.1310000000000003E-2</v>
      </c>
      <c r="AA900" s="2">
        <f>ff_portfolios25!AA900-ff_factors!$E900</f>
        <v>1.6463999999999999E-2</v>
      </c>
      <c r="AB900" s="2">
        <f>ff_portfolios25!AB900-ff_factors!$E900</f>
        <v>-6.2849999999999998E-3</v>
      </c>
    </row>
    <row r="901" spans="1:28" x14ac:dyDescent="0.2">
      <c r="A901">
        <v>20061229</v>
      </c>
      <c r="B901">
        <v>2006</v>
      </c>
      <c r="C901">
        <v>12</v>
      </c>
      <c r="D901" s="2">
        <f>ff_portfolios25!D901-ff_factors!$E901</f>
        <v>-1.2210000000000003E-3</v>
      </c>
      <c r="E901" s="2">
        <f>ff_portfolios25!E901-ff_factors!$E901</f>
        <v>5.4990000000000004E-3</v>
      </c>
      <c r="F901" s="2">
        <f>ff_portfolios25!F901-ff_factors!$E901</f>
        <v>1.2501999999999999E-2</v>
      </c>
      <c r="G901" s="2">
        <f>ff_portfolios25!G901-ff_factors!$E901</f>
        <v>1.6777E-2</v>
      </c>
      <c r="H901" s="2">
        <f>ff_portfolios25!H901-ff_factors!$E901</f>
        <v>3.2843999999999998E-2</v>
      </c>
      <c r="I901" s="2">
        <f>ff_portfolios25!I901-ff_factors!$E901</f>
        <v>-2.5514999999999999E-2</v>
      </c>
      <c r="J901" s="2">
        <f>ff_portfolios25!J901-ff_factors!$E901</f>
        <v>-1.1853000000000001E-2</v>
      </c>
      <c r="K901" s="2">
        <f>ff_portfolios25!K901-ff_factors!$E901</f>
        <v>6.5559999999999993E-3</v>
      </c>
      <c r="L901" s="2">
        <f>ff_portfolios25!L901-ff_factors!$E901</f>
        <v>-2.769999999999999E-4</v>
      </c>
      <c r="M901" s="2">
        <f>ff_portfolios25!M901-ff_factors!$E901</f>
        <v>1.2309E-2</v>
      </c>
      <c r="N901" s="2">
        <f>ff_portfolios25!N901-ff_factors!$E901</f>
        <v>-1.4565E-2</v>
      </c>
      <c r="O901" s="2">
        <f>ff_portfolios25!O901-ff_factors!$E901</f>
        <v>-4.8070000000000005E-3</v>
      </c>
      <c r="P901" s="2">
        <f>ff_portfolios25!P901-ff_factors!$E901</f>
        <v>5.195E-3</v>
      </c>
      <c r="Q901" s="2">
        <f>ff_portfolios25!Q901-ff_factors!$E901</f>
        <v>6.8920000000000006E-3</v>
      </c>
      <c r="R901" s="2">
        <f>ff_portfolios25!R901-ff_factors!$E901</f>
        <v>6.1119999999999994E-3</v>
      </c>
      <c r="S901" s="2">
        <f>ff_portfolios25!S901-ff_factors!$E901</f>
        <v>-1.4822E-2</v>
      </c>
      <c r="T901" s="2">
        <f>ff_portfolios25!T901-ff_factors!$E901</f>
        <v>-8.9000000000000017E-4</v>
      </c>
      <c r="U901" s="2">
        <f>ff_portfolios25!U901-ff_factors!$E901</f>
        <v>-8.7460000000000003E-3</v>
      </c>
      <c r="V901" s="2">
        <f>ff_portfolios25!V901-ff_factors!$E901</f>
        <v>1.5363999999999999E-2</v>
      </c>
      <c r="W901" s="2">
        <f>ff_portfolios25!W901-ff_factors!$E901</f>
        <v>2.0528000000000001E-2</v>
      </c>
      <c r="X901" s="2">
        <f>ff_portfolios25!X901-ff_factors!$E901</f>
        <v>-4.7190000000000001E-3</v>
      </c>
      <c r="Y901" s="2">
        <f>ff_portfolios25!Y901-ff_factors!$E901</f>
        <v>9.3379999999999991E-3</v>
      </c>
      <c r="Z901" s="2">
        <f>ff_portfolios25!Z901-ff_factors!$E901</f>
        <v>3.0543999999999998E-2</v>
      </c>
      <c r="AA901" s="2">
        <f>ff_portfolios25!AA901-ff_factors!$E901</f>
        <v>2.3362999999999998E-2</v>
      </c>
      <c r="AB901" s="2">
        <f>ff_portfolios25!AB901-ff_factors!$E901</f>
        <v>3.1640000000000001E-2</v>
      </c>
    </row>
    <row r="902" spans="1:28" x14ac:dyDescent="0.2">
      <c r="A902">
        <v>20070131</v>
      </c>
      <c r="B902">
        <v>2007</v>
      </c>
      <c r="C902">
        <v>1</v>
      </c>
      <c r="D902" s="2">
        <f>ff_portfolios25!D902-ff_factors!$E902</f>
        <v>9.7089999999999989E-3</v>
      </c>
      <c r="E902" s="2">
        <f>ff_portfolios25!E902-ff_factors!$E902</f>
        <v>-2.8740000000000003E-3</v>
      </c>
      <c r="F902" s="2">
        <f>ff_portfolios25!F902-ff_factors!$E902</f>
        <v>-2.8450000000000003E-3</v>
      </c>
      <c r="G902" s="2">
        <f>ff_portfolios25!G902-ff_factors!$E902</f>
        <v>-1.6500000000000022E-4</v>
      </c>
      <c r="H902" s="2">
        <f>ff_portfolios25!H902-ff_factors!$E902</f>
        <v>2.7113999999999999E-2</v>
      </c>
      <c r="I902" s="2">
        <f>ff_portfolios25!I902-ff_factors!$E902</f>
        <v>1.7444999999999999E-2</v>
      </c>
      <c r="J902" s="2">
        <f>ff_portfolios25!J902-ff_factors!$E902</f>
        <v>1.0045999999999999E-2</v>
      </c>
      <c r="K902" s="2">
        <f>ff_portfolios25!K902-ff_factors!$E902</f>
        <v>1.1549E-2</v>
      </c>
      <c r="L902" s="2">
        <f>ff_portfolios25!L902-ff_factors!$E902</f>
        <v>4.5630000000000002E-3</v>
      </c>
      <c r="M902" s="2">
        <f>ff_portfolios25!M902-ff_factors!$E902</f>
        <v>2.0733999999999999E-2</v>
      </c>
      <c r="N902" s="2">
        <f>ff_portfolios25!N902-ff_factors!$E902</f>
        <v>3.3194000000000001E-2</v>
      </c>
      <c r="O902" s="2">
        <f>ff_portfolios25!O902-ff_factors!$E902</f>
        <v>2.5638999999999999E-2</v>
      </c>
      <c r="P902" s="2">
        <f>ff_portfolios25!P902-ff_factors!$E902</f>
        <v>1.4881999999999999E-2</v>
      </c>
      <c r="Q902" s="2">
        <f>ff_portfolios25!Q902-ff_factors!$E902</f>
        <v>3.372E-2</v>
      </c>
      <c r="R902" s="2">
        <f>ff_portfolios25!R902-ff_factors!$E902</f>
        <v>4.5510000000000004E-3</v>
      </c>
      <c r="S902" s="2">
        <f>ff_portfolios25!S902-ff_factors!$E902</f>
        <v>3.8827E-2</v>
      </c>
      <c r="T902" s="2">
        <f>ff_portfolios25!T902-ff_factors!$E902</f>
        <v>3.1522999999999995E-2</v>
      </c>
      <c r="U902" s="2">
        <f>ff_portfolios25!U902-ff_factors!$E902</f>
        <v>1.5939999999999999E-2</v>
      </c>
      <c r="V902" s="2">
        <f>ff_portfolios25!V902-ff_factors!$E902</f>
        <v>2.1274999999999999E-2</v>
      </c>
      <c r="W902" s="2">
        <f>ff_portfolios25!W902-ff_factors!$E902</f>
        <v>1.6017E-2</v>
      </c>
      <c r="X902" s="2">
        <f>ff_portfolios25!X902-ff_factors!$E902</f>
        <v>1.7226999999999999E-2</v>
      </c>
      <c r="Y902" s="2">
        <f>ff_portfolios25!Y902-ff_factors!$E902</f>
        <v>6.4929999999999996E-3</v>
      </c>
      <c r="Z902" s="2">
        <f>ff_portfolios25!Z902-ff_factors!$E902</f>
        <v>5.298999999999999E-3</v>
      </c>
      <c r="AA902" s="2">
        <f>ff_portfolios25!AA902-ff_factors!$E902</f>
        <v>-1.2220000000000004E-3</v>
      </c>
      <c r="AB902" s="2">
        <f>ff_portfolios25!AB902-ff_factors!$E902</f>
        <v>3.3401E-2</v>
      </c>
    </row>
    <row r="903" spans="1:28" x14ac:dyDescent="0.2">
      <c r="A903">
        <v>20070228</v>
      </c>
      <c r="B903">
        <v>2007</v>
      </c>
      <c r="C903">
        <v>2</v>
      </c>
      <c r="D903" s="2">
        <f>ff_portfolios25!D903-ff_factors!$E903</f>
        <v>-1.1625E-2</v>
      </c>
      <c r="E903" s="2">
        <f>ff_portfolios25!E903-ff_factors!$E903</f>
        <v>-9.639E-3</v>
      </c>
      <c r="F903" s="2">
        <f>ff_portfolios25!F903-ff_factors!$E903</f>
        <v>-1.4746E-2</v>
      </c>
      <c r="G903" s="2">
        <f>ff_portfolios25!G903-ff_factors!$E903</f>
        <v>-1.1696999999999999E-2</v>
      </c>
      <c r="H903" s="2">
        <f>ff_portfolios25!H903-ff_factors!$E903</f>
        <v>-2.5219999999999999E-3</v>
      </c>
      <c r="I903" s="2">
        <f>ff_portfolios25!I903-ff_factors!$E903</f>
        <v>-1.2907E-2</v>
      </c>
      <c r="J903" s="2">
        <f>ff_portfolios25!J903-ff_factors!$E903</f>
        <v>-5.659E-3</v>
      </c>
      <c r="K903" s="2">
        <f>ff_portfolios25!K903-ff_factors!$E903</f>
        <v>-1.3110000000000001E-3</v>
      </c>
      <c r="L903" s="2">
        <f>ff_portfolios25!L903-ff_factors!$E903</f>
        <v>-1.9572000000000003E-2</v>
      </c>
      <c r="M903" s="2">
        <f>ff_portfolios25!M903-ff_factors!$E903</f>
        <v>2.16E-3</v>
      </c>
      <c r="N903" s="2">
        <f>ff_portfolios25!N903-ff_factors!$E903</f>
        <v>6.8899999999999994E-4</v>
      </c>
      <c r="O903" s="2">
        <f>ff_portfolios25!O903-ff_factors!$E903</f>
        <v>9.9999999999999959E-4</v>
      </c>
      <c r="P903" s="2">
        <f>ff_portfolios25!P903-ff_factors!$E903</f>
        <v>1.0179000000000001E-2</v>
      </c>
      <c r="Q903" s="2">
        <f>ff_portfolios25!Q903-ff_factors!$E903</f>
        <v>9.6000000000000165E-5</v>
      </c>
      <c r="R903" s="2">
        <f>ff_portfolios25!R903-ff_factors!$E903</f>
        <v>1.1769999999999997E-3</v>
      </c>
      <c r="S903" s="2">
        <f>ff_portfolios25!S903-ff_factors!$E903</f>
        <v>-8.1709999999999994E-3</v>
      </c>
      <c r="T903" s="2">
        <f>ff_portfolios25!T903-ff_factors!$E903</f>
        <v>-1.6299999999999999E-3</v>
      </c>
      <c r="U903" s="2">
        <f>ff_portfolios25!U903-ff_factors!$E903</f>
        <v>6.5760000000000002E-3</v>
      </c>
      <c r="V903" s="2">
        <f>ff_portfolios25!V903-ff_factors!$E903</f>
        <v>-4.1370000000000001E-3</v>
      </c>
      <c r="W903" s="2">
        <f>ff_portfolios25!W903-ff_factors!$E903</f>
        <v>2.6570000000000001E-3</v>
      </c>
      <c r="X903" s="2">
        <f>ff_portfolios25!X903-ff_factors!$E903</f>
        <v>-2.7844000000000001E-2</v>
      </c>
      <c r="Y903" s="2">
        <f>ff_portfolios25!Y903-ff_factors!$E903</f>
        <v>-1.8849000000000001E-2</v>
      </c>
      <c r="Z903" s="2">
        <f>ff_portfolios25!Z903-ff_factors!$E903</f>
        <v>-3.4388000000000002E-2</v>
      </c>
      <c r="AA903" s="2">
        <f>ff_portfolios25!AA903-ff_factors!$E903</f>
        <v>-1.6347E-2</v>
      </c>
      <c r="AB903" s="2">
        <f>ff_portfolios25!AB903-ff_factors!$E903</f>
        <v>-3.3722000000000002E-2</v>
      </c>
    </row>
    <row r="904" spans="1:28" x14ac:dyDescent="0.2">
      <c r="A904">
        <v>20070330</v>
      </c>
      <c r="B904">
        <v>2007</v>
      </c>
      <c r="C904">
        <v>3</v>
      </c>
      <c r="D904" s="2">
        <f>ff_portfolios25!D904-ff_factors!$E904</f>
        <v>1.2599999999999998E-3</v>
      </c>
      <c r="E904" s="2">
        <f>ff_portfolios25!E904-ff_factors!$E904</f>
        <v>-6.5959999999999994E-3</v>
      </c>
      <c r="F904" s="2">
        <f>ff_portfolios25!F904-ff_factors!$E904</f>
        <v>6.2520000000000006E-3</v>
      </c>
      <c r="G904" s="2">
        <f>ff_portfolios25!G904-ff_factors!$E904</f>
        <v>7.1409999999999998E-3</v>
      </c>
      <c r="H904" s="2">
        <f>ff_portfolios25!H904-ff_factors!$E904</f>
        <v>2.9319999999999997E-3</v>
      </c>
      <c r="I904" s="2">
        <f>ff_portfolios25!I904-ff_factors!$E904</f>
        <v>5.8930000000000007E-3</v>
      </c>
      <c r="J904" s="2">
        <f>ff_portfolios25!J904-ff_factors!$E904</f>
        <v>9.9760000000000005E-3</v>
      </c>
      <c r="K904" s="2">
        <f>ff_portfolios25!K904-ff_factors!$E904</f>
        <v>-7.5700000000000003E-3</v>
      </c>
      <c r="L904" s="2">
        <f>ff_portfolios25!L904-ff_factors!$E904</f>
        <v>6.8199999999999997E-3</v>
      </c>
      <c r="M904" s="2">
        <f>ff_portfolios25!M904-ff_factors!$E904</f>
        <v>-1.5445E-2</v>
      </c>
      <c r="N904" s="2">
        <f>ff_portfolios25!N904-ff_factors!$E904</f>
        <v>2.2369E-2</v>
      </c>
      <c r="O904" s="2">
        <f>ff_portfolios25!O904-ff_factors!$E904</f>
        <v>1.7078000000000003E-2</v>
      </c>
      <c r="P904" s="2">
        <f>ff_portfolios25!P904-ff_factors!$E904</f>
        <v>1.3834999999999998E-2</v>
      </c>
      <c r="Q904" s="2">
        <f>ff_portfolios25!Q904-ff_factors!$E904</f>
        <v>8.5299999999999994E-3</v>
      </c>
      <c r="R904" s="2">
        <f>ff_portfolios25!R904-ff_factors!$E904</f>
        <v>9.0270000000000003E-3</v>
      </c>
      <c r="S904" s="2">
        <f>ff_portfolios25!S904-ff_factors!$E904</f>
        <v>6.0059999999999992E-3</v>
      </c>
      <c r="T904" s="2">
        <f>ff_portfolios25!T904-ff_factors!$E904</f>
        <v>6.3660000000000001E-3</v>
      </c>
      <c r="U904" s="2">
        <f>ff_portfolios25!U904-ff_factors!$E904</f>
        <v>1.7530000000000002E-3</v>
      </c>
      <c r="V904" s="2">
        <f>ff_portfolios25!V904-ff_factors!$E904</f>
        <v>-3.5999999999999999E-3</v>
      </c>
      <c r="W904" s="2">
        <f>ff_portfolios25!W904-ff_factors!$E904</f>
        <v>3.0106000000000001E-2</v>
      </c>
      <c r="X904" s="2">
        <f>ff_portfolios25!X904-ff_factors!$E904</f>
        <v>1.4219999999999997E-3</v>
      </c>
      <c r="Y904" s="2">
        <f>ff_portfolios25!Y904-ff_factors!$E904</f>
        <v>7.1330000000000005E-3</v>
      </c>
      <c r="Z904" s="2">
        <f>ff_portfolios25!Z904-ff_factors!$E904</f>
        <v>2.1796999999999997E-2</v>
      </c>
      <c r="AA904" s="2">
        <f>ff_portfolios25!AA904-ff_factors!$E904</f>
        <v>5.7000000000000002E-3</v>
      </c>
      <c r="AB904" s="2">
        <f>ff_portfolios25!AB904-ff_factors!$E904</f>
        <v>3.2950000000000002E-3</v>
      </c>
    </row>
    <row r="905" spans="1:28" x14ac:dyDescent="0.2">
      <c r="A905">
        <v>20070430</v>
      </c>
      <c r="B905">
        <v>2007</v>
      </c>
      <c r="C905">
        <v>4</v>
      </c>
      <c r="D905" s="2">
        <f>ff_portfolios25!D905-ff_factors!$E905</f>
        <v>2.8596999999999997E-2</v>
      </c>
      <c r="E905" s="2">
        <f>ff_portfolios25!E905-ff_factors!$E905</f>
        <v>-2.7780000000000001E-3</v>
      </c>
      <c r="F905" s="2">
        <f>ff_portfolios25!F905-ff_factors!$E905</f>
        <v>1.5089999999999999E-3</v>
      </c>
      <c r="G905" s="2">
        <f>ff_portfolios25!G905-ff_factors!$E905</f>
        <v>-5.6270000000000001E-3</v>
      </c>
      <c r="H905" s="2">
        <f>ff_portfolios25!H905-ff_factors!$E905</f>
        <v>1.2837999999999999E-2</v>
      </c>
      <c r="I905" s="2">
        <f>ff_portfolios25!I905-ff_factors!$E905</f>
        <v>1.9039999999999998E-2</v>
      </c>
      <c r="J905" s="2">
        <f>ff_portfolios25!J905-ff_factors!$E905</f>
        <v>2.2759999999999999E-2</v>
      </c>
      <c r="K905" s="2">
        <f>ff_portfolios25!K905-ff_factors!$E905</f>
        <v>9.5069999999999981E-3</v>
      </c>
      <c r="L905" s="2">
        <f>ff_portfolios25!L905-ff_factors!$E905</f>
        <v>2.627E-3</v>
      </c>
      <c r="M905" s="2">
        <f>ff_portfolios25!M905-ff_factors!$E905</f>
        <v>1.8532999999999997E-2</v>
      </c>
      <c r="N905" s="2">
        <f>ff_portfolios25!N905-ff_factors!$E905</f>
        <v>2.8711E-2</v>
      </c>
      <c r="O905" s="2">
        <f>ff_portfolios25!O905-ff_factors!$E905</f>
        <v>3.6247999999999996E-2</v>
      </c>
      <c r="P905" s="2">
        <f>ff_portfolios25!P905-ff_factors!$E905</f>
        <v>3.9081999999999999E-2</v>
      </c>
      <c r="Q905" s="2">
        <f>ff_portfolios25!Q905-ff_factors!$E905</f>
        <v>2.7195999999999998E-2</v>
      </c>
      <c r="R905" s="2">
        <f>ff_portfolios25!R905-ff_factors!$E905</f>
        <v>2.1198999999999999E-2</v>
      </c>
      <c r="S905" s="2">
        <f>ff_portfolios25!S905-ff_factors!$E905</f>
        <v>3.9902E-2</v>
      </c>
      <c r="T905" s="2">
        <f>ff_portfolios25!T905-ff_factors!$E905</f>
        <v>3.4394000000000001E-2</v>
      </c>
      <c r="U905" s="2">
        <f>ff_portfolios25!U905-ff_factors!$E905</f>
        <v>3.9548E-2</v>
      </c>
      <c r="V905" s="2">
        <f>ff_portfolios25!V905-ff_factors!$E905</f>
        <v>5.2696E-2</v>
      </c>
      <c r="W905" s="2">
        <f>ff_portfolios25!W905-ff_factors!$E905</f>
        <v>2.1758E-2</v>
      </c>
      <c r="X905" s="2">
        <f>ff_portfolios25!X905-ff_factors!$E905</f>
        <v>4.7715E-2</v>
      </c>
      <c r="Y905" s="2">
        <f>ff_portfolios25!Y905-ff_factors!$E905</f>
        <v>3.8162999999999996E-2</v>
      </c>
      <c r="Z905" s="2">
        <f>ff_portfolios25!Z905-ff_factors!$E905</f>
        <v>3.6373999999999997E-2</v>
      </c>
      <c r="AA905" s="2">
        <f>ff_portfolios25!AA905-ff_factors!$E905</f>
        <v>2.2848999999999998E-2</v>
      </c>
      <c r="AB905" s="2">
        <f>ff_portfolios25!AB905-ff_factors!$E905</f>
        <v>3.3493999999999996E-2</v>
      </c>
    </row>
    <row r="906" spans="1:28" x14ac:dyDescent="0.2">
      <c r="A906">
        <v>20070531</v>
      </c>
      <c r="B906">
        <v>2007</v>
      </c>
      <c r="C906">
        <v>5</v>
      </c>
      <c r="D906" s="2">
        <f>ff_portfolios25!D906-ff_factors!$E906</f>
        <v>1.7184999999999999E-2</v>
      </c>
      <c r="E906" s="2">
        <f>ff_portfolios25!E906-ff_factors!$E906</f>
        <v>3.0462000000000003E-2</v>
      </c>
      <c r="F906" s="2">
        <f>ff_portfolios25!F906-ff_factors!$E906</f>
        <v>2.1825000000000001E-2</v>
      </c>
      <c r="G906" s="2">
        <f>ff_portfolios25!G906-ff_factors!$E906</f>
        <v>2.7181000000000004E-2</v>
      </c>
      <c r="H906" s="2">
        <f>ff_portfolios25!H906-ff_factors!$E906</f>
        <v>2.6537000000000002E-2</v>
      </c>
      <c r="I906" s="2">
        <f>ff_portfolios25!I906-ff_factors!$E906</f>
        <v>3.0846999999999999E-2</v>
      </c>
      <c r="J906" s="2">
        <f>ff_portfolios25!J906-ff_factors!$E906</f>
        <v>3.6833999999999999E-2</v>
      </c>
      <c r="K906" s="2">
        <f>ff_portfolios25!K906-ff_factors!$E906</f>
        <v>3.7933000000000001E-2</v>
      </c>
      <c r="L906" s="2">
        <f>ff_portfolios25!L906-ff_factors!$E906</f>
        <v>1.8275E-2</v>
      </c>
      <c r="M906" s="2">
        <f>ff_portfolios25!M906-ff_factors!$E906</f>
        <v>3.0418000000000001E-2</v>
      </c>
      <c r="N906" s="2">
        <f>ff_portfolios25!N906-ff_factors!$E906</f>
        <v>6.5636E-2</v>
      </c>
      <c r="O906" s="2">
        <f>ff_portfolios25!O906-ff_factors!$E906</f>
        <v>4.5461000000000001E-2</v>
      </c>
      <c r="P906" s="2">
        <f>ff_portfolios25!P906-ff_factors!$E906</f>
        <v>4.6622000000000004E-2</v>
      </c>
      <c r="Q906" s="2">
        <f>ff_portfolios25!Q906-ff_factors!$E906</f>
        <v>4.2716999999999998E-2</v>
      </c>
      <c r="R906" s="2">
        <f>ff_portfolios25!R906-ff_factors!$E906</f>
        <v>3.3112000000000003E-2</v>
      </c>
      <c r="S906" s="2">
        <f>ff_portfolios25!S906-ff_factors!$E906</f>
        <v>4.0550000000000003E-2</v>
      </c>
      <c r="T906" s="2">
        <f>ff_portfolios25!T906-ff_factors!$E906</f>
        <v>2.9242999999999998E-2</v>
      </c>
      <c r="U906" s="2">
        <f>ff_portfolios25!U906-ff_factors!$E906</f>
        <v>4.1575000000000001E-2</v>
      </c>
      <c r="V906" s="2">
        <f>ff_portfolios25!V906-ff_factors!$E906</f>
        <v>4.4901999999999997E-2</v>
      </c>
      <c r="W906" s="2">
        <f>ff_portfolios25!W906-ff_factors!$E906</f>
        <v>2.1066000000000001E-2</v>
      </c>
      <c r="X906" s="2">
        <f>ff_portfolios25!X906-ff_factors!$E906</f>
        <v>2.1408E-2</v>
      </c>
      <c r="Y906" s="2">
        <f>ff_portfolios25!Y906-ff_factors!$E906</f>
        <v>3.7579000000000001E-2</v>
      </c>
      <c r="Z906" s="2">
        <f>ff_portfolios25!Z906-ff_factors!$E906</f>
        <v>3.4055000000000002E-2</v>
      </c>
      <c r="AA906" s="2">
        <f>ff_portfolios25!AA906-ff_factors!$E906</f>
        <v>3.2010000000000004E-2</v>
      </c>
      <c r="AB906" s="2">
        <f>ff_portfolios25!AB906-ff_factors!$E906</f>
        <v>3.1177999999999997E-2</v>
      </c>
    </row>
    <row r="907" spans="1:28" x14ac:dyDescent="0.2">
      <c r="A907">
        <v>20070629</v>
      </c>
      <c r="B907">
        <v>2007</v>
      </c>
      <c r="C907">
        <v>6</v>
      </c>
      <c r="D907" s="2">
        <f>ff_portfolios25!D907-ff_factors!$E907</f>
        <v>-3.9199999999999999E-4</v>
      </c>
      <c r="E907" s="2">
        <f>ff_portfolios25!E907-ff_factors!$E907</f>
        <v>-7.0060000000000001E-3</v>
      </c>
      <c r="F907" s="2">
        <f>ff_portfolios25!F907-ff_factors!$E907</f>
        <v>-1.2538000000000001E-2</v>
      </c>
      <c r="G907" s="2">
        <f>ff_portfolios25!G907-ff_factors!$E907</f>
        <v>-1.0125E-2</v>
      </c>
      <c r="H907" s="2">
        <f>ff_portfolios25!H907-ff_factors!$E907</f>
        <v>-1.8730000000000001E-3</v>
      </c>
      <c r="I907" s="2">
        <f>ff_portfolios25!I907-ff_factors!$E907</f>
        <v>-1.6341000000000001E-2</v>
      </c>
      <c r="J907" s="2">
        <f>ff_portfolios25!J907-ff_factors!$E907</f>
        <v>-2.2372E-2</v>
      </c>
      <c r="K907" s="2">
        <f>ff_portfolios25!K907-ff_factors!$E907</f>
        <v>-1.6807000000000002E-2</v>
      </c>
      <c r="L907" s="2">
        <f>ff_portfolios25!L907-ff_factors!$E907</f>
        <v>-2.9458000000000002E-2</v>
      </c>
      <c r="M907" s="2">
        <f>ff_portfolios25!M907-ff_factors!$E907</f>
        <v>-2.4011000000000001E-2</v>
      </c>
      <c r="N907" s="2">
        <f>ff_portfolios25!N907-ff_factors!$E907</f>
        <v>-1.2375000000000001E-2</v>
      </c>
      <c r="O907" s="2">
        <f>ff_portfolios25!O907-ff_factors!$E907</f>
        <v>-3.98E-3</v>
      </c>
      <c r="P907" s="2">
        <f>ff_portfolios25!P907-ff_factors!$E907</f>
        <v>-8.3020000000000004E-3</v>
      </c>
      <c r="Q907" s="2">
        <f>ff_portfolios25!Q907-ff_factors!$E907</f>
        <v>-2.2738999999999999E-2</v>
      </c>
      <c r="R907" s="2">
        <f>ff_portfolios25!R907-ff_factors!$E907</f>
        <v>-3.0632E-2</v>
      </c>
      <c r="S907" s="2">
        <f>ff_portfolios25!S907-ff_factors!$E907</f>
        <v>-1.0118E-2</v>
      </c>
      <c r="T907" s="2">
        <f>ff_portfolios25!T907-ff_factors!$E907</f>
        <v>-2.6068999999999998E-2</v>
      </c>
      <c r="U907" s="2">
        <f>ff_portfolios25!U907-ff_factors!$E907</f>
        <v>-3.5536999999999999E-2</v>
      </c>
      <c r="V907" s="2">
        <f>ff_portfolios25!V907-ff_factors!$E907</f>
        <v>-3.209E-2</v>
      </c>
      <c r="W907" s="2">
        <f>ff_portfolios25!W907-ff_factors!$E907</f>
        <v>-2.1342E-2</v>
      </c>
      <c r="X907" s="2">
        <f>ff_portfolios25!X907-ff_factors!$E907</f>
        <v>-1.9145000000000002E-2</v>
      </c>
      <c r="Y907" s="2">
        <f>ff_portfolios25!Y907-ff_factors!$E907</f>
        <v>-1.1285E-2</v>
      </c>
      <c r="Z907" s="2">
        <f>ff_portfolios25!Z907-ff_factors!$E907</f>
        <v>-2.4570999999999999E-2</v>
      </c>
      <c r="AA907" s="2">
        <f>ff_portfolios25!AA907-ff_factors!$E907</f>
        <v>-3.4380999999999995E-2</v>
      </c>
      <c r="AB907" s="2">
        <f>ff_portfolios25!AB907-ff_factors!$E907</f>
        <v>-2.2228999999999999E-2</v>
      </c>
    </row>
    <row r="908" spans="1:28" x14ac:dyDescent="0.2">
      <c r="A908">
        <v>20070731</v>
      </c>
      <c r="B908">
        <v>2007</v>
      </c>
      <c r="C908">
        <v>7</v>
      </c>
      <c r="D908" s="2">
        <f>ff_portfolios25!D908-ff_factors!$E908</f>
        <v>-6.0038999999999995E-2</v>
      </c>
      <c r="E908" s="2">
        <f>ff_portfolios25!E908-ff_factors!$E908</f>
        <v>-6.9467000000000001E-2</v>
      </c>
      <c r="F908" s="2">
        <f>ff_portfolios25!F908-ff_factors!$E908</f>
        <v>-6.7726000000000008E-2</v>
      </c>
      <c r="G908" s="2">
        <f>ff_portfolios25!G908-ff_factors!$E908</f>
        <v>-7.3452000000000003E-2</v>
      </c>
      <c r="H908" s="2">
        <f>ff_portfolios25!H908-ff_factors!$E908</f>
        <v>-8.2202999999999998E-2</v>
      </c>
      <c r="I908" s="2">
        <f>ff_portfolios25!I908-ff_factors!$E908</f>
        <v>-5.0436999999999996E-2</v>
      </c>
      <c r="J908" s="2">
        <f>ff_portfolios25!J908-ff_factors!$E908</f>
        <v>-6.3501000000000002E-2</v>
      </c>
      <c r="K908" s="2">
        <f>ff_portfolios25!K908-ff_factors!$E908</f>
        <v>-5.9368000000000004E-2</v>
      </c>
      <c r="L908" s="2">
        <f>ff_portfolios25!L908-ff_factors!$E908</f>
        <v>-7.3630000000000001E-2</v>
      </c>
      <c r="M908" s="2">
        <f>ff_portfolios25!M908-ff_factors!$E908</f>
        <v>-0.102031</v>
      </c>
      <c r="N908" s="2">
        <f>ff_portfolios25!N908-ff_factors!$E908</f>
        <v>-3.7140000000000006E-2</v>
      </c>
      <c r="O908" s="2">
        <f>ff_portfolios25!O908-ff_factors!$E908</f>
        <v>-3.6456000000000002E-2</v>
      </c>
      <c r="P908" s="2">
        <f>ff_portfolios25!P908-ff_factors!$E908</f>
        <v>-5.5492E-2</v>
      </c>
      <c r="Q908" s="2">
        <f>ff_portfolios25!Q908-ff_factors!$E908</f>
        <v>-6.2060000000000004E-2</v>
      </c>
      <c r="R908" s="2">
        <f>ff_portfolios25!R908-ff_factors!$E908</f>
        <v>-7.7618000000000006E-2</v>
      </c>
      <c r="S908" s="2">
        <f>ff_portfolios25!S908-ff_factors!$E908</f>
        <v>-3.0973000000000001E-2</v>
      </c>
      <c r="T908" s="2">
        <f>ff_portfolios25!T908-ff_factors!$E908</f>
        <v>-4.9050999999999997E-2</v>
      </c>
      <c r="U908" s="2">
        <f>ff_portfolios25!U908-ff_factors!$E908</f>
        <v>-6.2889E-2</v>
      </c>
      <c r="V908" s="2">
        <f>ff_portfolios25!V908-ff_factors!$E908</f>
        <v>-5.4467000000000002E-2</v>
      </c>
      <c r="W908" s="2">
        <f>ff_portfolios25!W908-ff_factors!$E908</f>
        <v>-7.6121000000000008E-2</v>
      </c>
      <c r="X908" s="2">
        <f>ff_portfolios25!X908-ff_factors!$E908</f>
        <v>-1.5772000000000001E-2</v>
      </c>
      <c r="Y908" s="2">
        <f>ff_portfolios25!Y908-ff_factors!$E908</f>
        <v>-1.805E-2</v>
      </c>
      <c r="Z908" s="2">
        <f>ff_portfolios25!Z908-ff_factors!$E908</f>
        <v>-5.1150000000000001E-2</v>
      </c>
      <c r="AA908" s="2">
        <f>ff_portfolios25!AA908-ff_factors!$E908</f>
        <v>-5.0365999999999994E-2</v>
      </c>
      <c r="AB908" s="2">
        <f>ff_portfolios25!AB908-ff_factors!$E908</f>
        <v>-5.6413000000000005E-2</v>
      </c>
    </row>
    <row r="909" spans="1:28" x14ac:dyDescent="0.2">
      <c r="A909">
        <v>20070831</v>
      </c>
      <c r="B909">
        <v>2007</v>
      </c>
      <c r="C909">
        <v>8</v>
      </c>
      <c r="D909" s="2">
        <f>ff_portfolios25!D909-ff_factors!$E909</f>
        <v>3.4220000000000006E-3</v>
      </c>
      <c r="E909" s="2">
        <f>ff_portfolios25!E909-ff_factors!$E909</f>
        <v>8.8109999999999994E-3</v>
      </c>
      <c r="F909" s="2">
        <f>ff_portfolios25!F909-ff_factors!$E909</f>
        <v>7.0149999999999995E-3</v>
      </c>
      <c r="G909" s="2">
        <f>ff_portfolios25!G909-ff_factors!$E909</f>
        <v>4.3450000000000008E-3</v>
      </c>
      <c r="H909" s="2">
        <f>ff_portfolios25!H909-ff_factors!$E909</f>
        <v>-3.5543999999999999E-2</v>
      </c>
      <c r="I909" s="2">
        <f>ff_portfolios25!I909-ff_factors!$E909</f>
        <v>1.9767E-2</v>
      </c>
      <c r="J909" s="2">
        <f>ff_portfolios25!J909-ff_factors!$E909</f>
        <v>2.1083000000000001E-2</v>
      </c>
      <c r="K909" s="2">
        <f>ff_portfolios25!K909-ff_factors!$E909</f>
        <v>2.1373E-2</v>
      </c>
      <c r="L909" s="2">
        <f>ff_portfolios25!L909-ff_factors!$E909</f>
        <v>3.1942999999999999E-2</v>
      </c>
      <c r="M909" s="2">
        <f>ff_portfolios25!M909-ff_factors!$E909</f>
        <v>-1.6028000000000001E-2</v>
      </c>
      <c r="N909" s="2">
        <f>ff_portfolios25!N909-ff_factors!$E909</f>
        <v>-9.0849999999999993E-3</v>
      </c>
      <c r="O909" s="2">
        <f>ff_portfolios25!O909-ff_factors!$E909</f>
        <v>2.3653E-2</v>
      </c>
      <c r="P909" s="2">
        <f>ff_portfolios25!P909-ff_factors!$E909</f>
        <v>-9.0499999999999955E-4</v>
      </c>
      <c r="Q909" s="2">
        <f>ff_portfolios25!Q909-ff_factors!$E909</f>
        <v>-5.8799999999999955E-4</v>
      </c>
      <c r="R909" s="2">
        <f>ff_portfolios25!R909-ff_factors!$E909</f>
        <v>-3.9991000000000006E-2</v>
      </c>
      <c r="S909" s="2">
        <f>ff_portfolios25!S909-ff_factors!$E909</f>
        <v>1.1077E-2</v>
      </c>
      <c r="T909" s="2">
        <f>ff_portfolios25!T909-ff_factors!$E909</f>
        <v>-1.2369999999999998E-3</v>
      </c>
      <c r="U909" s="2">
        <f>ff_portfolios25!U909-ff_factors!$E909</f>
        <v>-1.9713000000000001E-2</v>
      </c>
      <c r="V909" s="2">
        <f>ff_portfolios25!V909-ff_factors!$E909</f>
        <v>-1.4450999999999999E-2</v>
      </c>
      <c r="W909" s="2">
        <f>ff_portfolios25!W909-ff_factors!$E909</f>
        <v>-1.4962E-2</v>
      </c>
      <c r="X909" s="2">
        <f>ff_portfolios25!X909-ff_factors!$E909</f>
        <v>1.5213000000000001E-2</v>
      </c>
      <c r="Y909" s="2">
        <f>ff_portfolios25!Y909-ff_factors!$E909</f>
        <v>1.9226E-2</v>
      </c>
      <c r="Z909" s="2">
        <f>ff_portfolios25!Z909-ff_factors!$E909</f>
        <v>1.2109000000000002E-2</v>
      </c>
      <c r="AA909" s="2">
        <f>ff_portfolios25!AA909-ff_factors!$E909</f>
        <v>1.2876000000000002E-2</v>
      </c>
      <c r="AB909" s="2">
        <f>ff_portfolios25!AB909-ff_factors!$E909</f>
        <v>-5.7229999999999998E-3</v>
      </c>
    </row>
    <row r="910" spans="1:28" x14ac:dyDescent="0.2">
      <c r="A910">
        <v>20070928</v>
      </c>
      <c r="B910">
        <v>2007</v>
      </c>
      <c r="C910">
        <v>9</v>
      </c>
      <c r="D910" s="2">
        <f>ff_portfolios25!D910-ff_factors!$E910</f>
        <v>1.9541999999999997E-2</v>
      </c>
      <c r="E910" s="2">
        <f>ff_portfolios25!E910-ff_factors!$E910</f>
        <v>2.0025999999999999E-2</v>
      </c>
      <c r="F910" s="2">
        <f>ff_portfolios25!F910-ff_factors!$E910</f>
        <v>-3.1600000000000031E-4</v>
      </c>
      <c r="G910" s="2">
        <f>ff_portfolios25!G910-ff_factors!$E910</f>
        <v>6.3759999999999997E-3</v>
      </c>
      <c r="H910" s="2">
        <f>ff_portfolios25!H910-ff_factors!$E910</f>
        <v>-1.417E-2</v>
      </c>
      <c r="I910" s="2">
        <f>ff_portfolios25!I910-ff_factors!$E910</f>
        <v>2.6199999999999998E-2</v>
      </c>
      <c r="J910" s="2">
        <f>ff_portfolios25!J910-ff_factors!$E910</f>
        <v>6.5330000000000006E-3</v>
      </c>
      <c r="K910" s="2">
        <f>ff_portfolios25!K910-ff_factors!$E910</f>
        <v>2.9339999999999995E-3</v>
      </c>
      <c r="L910" s="2">
        <f>ff_portfolios25!L910-ff_factors!$E910</f>
        <v>6.2170000000000003E-3</v>
      </c>
      <c r="M910" s="2">
        <f>ff_portfolios25!M910-ff_factors!$E910</f>
        <v>-8.3420000000000005E-3</v>
      </c>
      <c r="N910" s="2">
        <f>ff_portfolios25!N910-ff_factors!$E910</f>
        <v>2.7739E-2</v>
      </c>
      <c r="O910" s="2">
        <f>ff_portfolios25!O910-ff_factors!$E910</f>
        <v>2.9664999999999997E-2</v>
      </c>
      <c r="P910" s="2">
        <f>ff_portfolios25!P910-ff_factors!$E910</f>
        <v>1.695E-2</v>
      </c>
      <c r="Q910" s="2">
        <f>ff_portfolios25!Q910-ff_factors!$E910</f>
        <v>1.2609E-2</v>
      </c>
      <c r="R910" s="2">
        <f>ff_portfolios25!R910-ff_factors!$E910</f>
        <v>1.2600000000000002E-2</v>
      </c>
      <c r="S910" s="2">
        <f>ff_portfolios25!S910-ff_factors!$E910</f>
        <v>3.1254999999999998E-2</v>
      </c>
      <c r="T910" s="2">
        <f>ff_portfolios25!T910-ff_factors!$E910</f>
        <v>2.1883E-2</v>
      </c>
      <c r="U910" s="2">
        <f>ff_portfolios25!U910-ff_factors!$E910</f>
        <v>1.5099E-2</v>
      </c>
      <c r="V910" s="2">
        <f>ff_portfolios25!V910-ff_factors!$E910</f>
        <v>1.959E-2</v>
      </c>
      <c r="W910" s="2">
        <f>ff_portfolios25!W910-ff_factors!$E910</f>
        <v>3.1959999999999996E-3</v>
      </c>
      <c r="X910" s="2">
        <f>ff_portfolios25!X910-ff_factors!$E910</f>
        <v>4.7576E-2</v>
      </c>
      <c r="Y910" s="2">
        <f>ff_portfolios25!Y910-ff_factors!$E910</f>
        <v>3.4381999999999996E-2</v>
      </c>
      <c r="Z910" s="2">
        <f>ff_portfolios25!Z910-ff_factors!$E910</f>
        <v>2.5672999999999998E-2</v>
      </c>
      <c r="AA910" s="2">
        <f>ff_portfolios25!AA910-ff_factors!$E910</f>
        <v>2.3208999999999997E-2</v>
      </c>
      <c r="AB910" s="2">
        <f>ff_portfolios25!AB910-ff_factors!$E910</f>
        <v>4.1603999999999995E-2</v>
      </c>
    </row>
    <row r="911" spans="1:28" x14ac:dyDescent="0.2">
      <c r="A911">
        <v>20071031</v>
      </c>
      <c r="B911">
        <v>2007</v>
      </c>
      <c r="C911">
        <v>10</v>
      </c>
      <c r="D911" s="2">
        <f>ff_portfolios25!D911-ff_factors!$E911</f>
        <v>3.1641999999999997E-2</v>
      </c>
      <c r="E911" s="2">
        <f>ff_portfolios25!E911-ff_factors!$E911</f>
        <v>9.3810000000000004E-3</v>
      </c>
      <c r="F911" s="2">
        <f>ff_portfolios25!F911-ff_factors!$E911</f>
        <v>-3.4590000000000003E-3</v>
      </c>
      <c r="G911" s="2">
        <f>ff_portfolios25!G911-ff_factors!$E911</f>
        <v>-3.3270000000000001E-3</v>
      </c>
      <c r="H911" s="2">
        <f>ff_portfolios25!H911-ff_factors!$E911</f>
        <v>-1.2125E-2</v>
      </c>
      <c r="I911" s="2">
        <f>ff_portfolios25!I911-ff_factors!$E911</f>
        <v>3.3897999999999998E-2</v>
      </c>
      <c r="J911" s="2">
        <f>ff_portfolios25!J911-ff_factors!$E911</f>
        <v>4.2140999999999998E-2</v>
      </c>
      <c r="K911" s="2">
        <f>ff_portfolios25!K911-ff_factors!$E911</f>
        <v>6.8100000000000001E-3</v>
      </c>
      <c r="L911" s="2">
        <f>ff_portfolios25!L911-ff_factors!$E911</f>
        <v>1.4645E-2</v>
      </c>
      <c r="M911" s="2">
        <f>ff_portfolios25!M911-ff_factors!$E911</f>
        <v>-5.241E-3</v>
      </c>
      <c r="N911" s="2">
        <f>ff_portfolios25!N911-ff_factors!$E911</f>
        <v>3.5492999999999997E-2</v>
      </c>
      <c r="O911" s="2">
        <f>ff_portfolios25!O911-ff_factors!$E911</f>
        <v>1.7647999999999997E-2</v>
      </c>
      <c r="P911" s="2">
        <f>ff_portfolios25!P911-ff_factors!$E911</f>
        <v>3.7516000000000001E-2</v>
      </c>
      <c r="Q911" s="2">
        <f>ff_portfolios25!Q911-ff_factors!$E911</f>
        <v>8.4919999999999995E-3</v>
      </c>
      <c r="R911" s="2">
        <f>ff_portfolios25!R911-ff_factors!$E911</f>
        <v>3.3839999999999995E-2</v>
      </c>
      <c r="S911" s="2">
        <f>ff_portfolios25!S911-ff_factors!$E911</f>
        <v>2.4761999999999999E-2</v>
      </c>
      <c r="T911" s="2">
        <f>ff_portfolios25!T911-ff_factors!$E911</f>
        <v>1.6716999999999999E-2</v>
      </c>
      <c r="U911" s="2">
        <f>ff_portfolios25!U911-ff_factors!$E911</f>
        <v>1.6881E-2</v>
      </c>
      <c r="V911" s="2">
        <f>ff_portfolios25!V911-ff_factors!$E911</f>
        <v>2.1703E-2</v>
      </c>
      <c r="W911" s="2">
        <f>ff_portfolios25!W911-ff_factors!$E911</f>
        <v>-2.2195000000000003E-2</v>
      </c>
      <c r="X911" s="2">
        <f>ff_portfolios25!X911-ff_factors!$E911</f>
        <v>4.2737999999999998E-2</v>
      </c>
      <c r="Y911" s="2">
        <f>ff_portfolios25!Y911-ff_factors!$E911</f>
        <v>1.2922999999999999E-2</v>
      </c>
      <c r="Z911" s="2">
        <f>ff_portfolios25!Z911-ff_factors!$E911</f>
        <v>4.693000000000001E-3</v>
      </c>
      <c r="AA911" s="2">
        <f>ff_portfolios25!AA911-ff_factors!$E911</f>
        <v>3.787E-3</v>
      </c>
      <c r="AB911" s="2">
        <f>ff_portfolios25!AB911-ff_factors!$E911</f>
        <v>-8.8280000000000008E-3</v>
      </c>
    </row>
    <row r="912" spans="1:28" x14ac:dyDescent="0.2">
      <c r="A912">
        <v>20071130</v>
      </c>
      <c r="B912">
        <v>2007</v>
      </c>
      <c r="C912">
        <v>11</v>
      </c>
      <c r="D912" s="2">
        <f>ff_portfolios25!D912-ff_factors!$E912</f>
        <v>-9.9696999999999994E-2</v>
      </c>
      <c r="E912" s="2">
        <f>ff_portfolios25!E912-ff_factors!$E912</f>
        <v>-9.0189000000000005E-2</v>
      </c>
      <c r="F912" s="2">
        <f>ff_portfolios25!F912-ff_factors!$E912</f>
        <v>-8.3135000000000001E-2</v>
      </c>
      <c r="G912" s="2">
        <f>ff_portfolios25!G912-ff_factors!$E912</f>
        <v>-8.2472000000000004E-2</v>
      </c>
      <c r="H912" s="2">
        <f>ff_portfolios25!H912-ff_factors!$E912</f>
        <v>-9.3331999999999998E-2</v>
      </c>
      <c r="I912" s="2">
        <f>ff_portfolios25!I912-ff_factors!$E912</f>
        <v>-7.0695999999999995E-2</v>
      </c>
      <c r="J912" s="2">
        <f>ff_portfolios25!J912-ff_factors!$E912</f>
        <v>-7.2220000000000006E-2</v>
      </c>
      <c r="K912" s="2">
        <f>ff_portfolios25!K912-ff_factors!$E912</f>
        <v>-6.5637000000000001E-2</v>
      </c>
      <c r="L912" s="2">
        <f>ff_portfolios25!L912-ff_factors!$E912</f>
        <v>-7.1110999999999994E-2</v>
      </c>
      <c r="M912" s="2">
        <f>ff_portfolios25!M912-ff_factors!$E912</f>
        <v>-9.0729000000000004E-2</v>
      </c>
      <c r="N912" s="2">
        <f>ff_portfolios25!N912-ff_factors!$E912</f>
        <v>-7.1232000000000004E-2</v>
      </c>
      <c r="O912" s="2">
        <f>ff_portfolios25!O912-ff_factors!$E912</f>
        <v>-6.7808000000000007E-2</v>
      </c>
      <c r="P912" s="2">
        <f>ff_portfolios25!P912-ff_factors!$E912</f>
        <v>-6.3140000000000002E-2</v>
      </c>
      <c r="Q912" s="2">
        <f>ff_portfolios25!Q912-ff_factors!$E912</f>
        <v>-5.4400999999999998E-2</v>
      </c>
      <c r="R912" s="2">
        <f>ff_portfolios25!R912-ff_factors!$E912</f>
        <v>-5.5378000000000004E-2</v>
      </c>
      <c r="S912" s="2">
        <f>ff_portfolios25!S912-ff_factors!$E912</f>
        <v>-4.5539999999999997E-2</v>
      </c>
      <c r="T912" s="2">
        <f>ff_portfolios25!T912-ff_factors!$E912</f>
        <v>-4.9127999999999998E-2</v>
      </c>
      <c r="U912" s="2">
        <f>ff_portfolios25!U912-ff_factors!$E912</f>
        <v>-7.5322E-2</v>
      </c>
      <c r="V912" s="2">
        <f>ff_portfolios25!V912-ff_factors!$E912</f>
        <v>-6.0823000000000002E-2</v>
      </c>
      <c r="W912" s="2">
        <f>ff_portfolios25!W912-ff_factors!$E912</f>
        <v>-6.8940000000000001E-2</v>
      </c>
      <c r="X912" s="2">
        <f>ff_portfolios25!X912-ff_factors!$E912</f>
        <v>-3.9262999999999999E-2</v>
      </c>
      <c r="Y912" s="2">
        <f>ff_portfolios25!Y912-ff_factors!$E912</f>
        <v>-2.7453999999999999E-2</v>
      </c>
      <c r="Z912" s="2">
        <f>ff_portfolios25!Z912-ff_factors!$E912</f>
        <v>-5.6748E-2</v>
      </c>
      <c r="AA912" s="2">
        <f>ff_portfolios25!AA912-ff_factors!$E912</f>
        <v>-5.4771E-2</v>
      </c>
      <c r="AB912" s="2">
        <f>ff_portfolios25!AB912-ff_factors!$E912</f>
        <v>-6.3918000000000003E-2</v>
      </c>
    </row>
    <row r="913" spans="1:28" x14ac:dyDescent="0.2">
      <c r="A913">
        <v>20071231</v>
      </c>
      <c r="B913">
        <v>2007</v>
      </c>
      <c r="C913">
        <v>12</v>
      </c>
      <c r="D913" s="2">
        <f>ff_portfolios25!D913-ff_factors!$E913</f>
        <v>-1.4232999999999999E-2</v>
      </c>
      <c r="E913" s="2">
        <f>ff_portfolios25!E913-ff_factors!$E913</f>
        <v>6.5860000000000007E-3</v>
      </c>
      <c r="F913" s="2">
        <f>ff_portfolios25!F913-ff_factors!$E913</f>
        <v>-2.0053000000000001E-2</v>
      </c>
      <c r="G913" s="2">
        <f>ff_portfolios25!G913-ff_factors!$E913</f>
        <v>-7.8659999999999997E-3</v>
      </c>
      <c r="H913" s="2">
        <f>ff_portfolios25!H913-ff_factors!$E913</f>
        <v>-1.2549999999999999E-2</v>
      </c>
      <c r="I913" s="2">
        <f>ff_portfolios25!I913-ff_factors!$E913</f>
        <v>6.2339999999999991E-3</v>
      </c>
      <c r="J913" s="2">
        <f>ff_portfolios25!J913-ff_factors!$E913</f>
        <v>-7.6400000000000014E-4</v>
      </c>
      <c r="K913" s="2">
        <f>ff_portfolios25!K913-ff_factors!$E913</f>
        <v>-2.104E-3</v>
      </c>
      <c r="L913" s="2">
        <f>ff_portfolios25!L913-ff_factors!$E913</f>
        <v>4.9789999999999999E-3</v>
      </c>
      <c r="M913" s="2">
        <f>ff_portfolios25!M913-ff_factors!$E913</f>
        <v>-1.3152E-2</v>
      </c>
      <c r="N913" s="2">
        <f>ff_portfolios25!N913-ff_factors!$E913</f>
        <v>-1.9814000000000002E-2</v>
      </c>
      <c r="O913" s="2">
        <f>ff_portfolios25!O913-ff_factors!$E913</f>
        <v>-1.1179000000000001E-2</v>
      </c>
      <c r="P913" s="2">
        <f>ff_portfolios25!P913-ff_factors!$E913</f>
        <v>-8.6180000000000007E-3</v>
      </c>
      <c r="Q913" s="2">
        <f>ff_portfolios25!Q913-ff_factors!$E913</f>
        <v>-1.1883999999999999E-2</v>
      </c>
      <c r="R913" s="2">
        <f>ff_portfolios25!R913-ff_factors!$E913</f>
        <v>-6.6760000000000005E-3</v>
      </c>
      <c r="S913" s="2">
        <f>ff_portfolios25!S913-ff_factors!$E913</f>
        <v>-5.8980000000000005E-3</v>
      </c>
      <c r="T913" s="2">
        <f>ff_portfolios25!T913-ff_factors!$E913</f>
        <v>6.2999999999999992E-4</v>
      </c>
      <c r="U913" s="2">
        <f>ff_portfolios25!U913-ff_factors!$E913</f>
        <v>-3.5284000000000003E-2</v>
      </c>
      <c r="V913" s="2">
        <f>ff_portfolios25!V913-ff_factors!$E913</f>
        <v>-1.6079E-2</v>
      </c>
      <c r="W913" s="2">
        <f>ff_portfolios25!W913-ff_factors!$E913</f>
        <v>-2.4601000000000001E-2</v>
      </c>
      <c r="X913" s="2">
        <f>ff_portfolios25!X913-ff_factors!$E913</f>
        <v>-1.1713999999999999E-2</v>
      </c>
      <c r="Y913" s="2">
        <f>ff_portfolios25!Y913-ff_factors!$E913</f>
        <v>-1.1500000000000008E-4</v>
      </c>
      <c r="Z913" s="2">
        <f>ff_portfolios25!Z913-ff_factors!$E913</f>
        <v>-1.4197000000000001E-2</v>
      </c>
      <c r="AA913" s="2">
        <f>ff_portfolios25!AA913-ff_factors!$E913</f>
        <v>-1.4439E-2</v>
      </c>
      <c r="AB913" s="2">
        <f>ff_portfolios25!AB913-ff_factors!$E913</f>
        <v>4.0629999999999998E-3</v>
      </c>
    </row>
    <row r="914" spans="1:28" x14ac:dyDescent="0.2">
      <c r="A914">
        <v>20080131</v>
      </c>
      <c r="B914">
        <v>2008</v>
      </c>
      <c r="C914">
        <v>1</v>
      </c>
      <c r="D914" s="2">
        <f>ff_portfolios25!D914-ff_factors!$E914</f>
        <v>-0.114065</v>
      </c>
      <c r="E914" s="2">
        <f>ff_portfolios25!E914-ff_factors!$E914</f>
        <v>-8.6713999999999999E-2</v>
      </c>
      <c r="F914" s="2">
        <f>ff_portfolios25!F914-ff_factors!$E914</f>
        <v>-7.409700000000001E-2</v>
      </c>
      <c r="G914" s="2">
        <f>ff_portfolios25!G914-ff_factors!$E914</f>
        <v>-4.9165999999999994E-2</v>
      </c>
      <c r="H914" s="2">
        <f>ff_portfolios25!H914-ff_factors!$E914</f>
        <v>-4.922E-2</v>
      </c>
      <c r="I914" s="2">
        <f>ff_portfolios25!I914-ff_factors!$E914</f>
        <v>-9.8206000000000002E-2</v>
      </c>
      <c r="J914" s="2">
        <f>ff_portfolios25!J914-ff_factors!$E914</f>
        <v>-7.2295999999999999E-2</v>
      </c>
      <c r="K914" s="2">
        <f>ff_portfolios25!K914-ff_factors!$E914</f>
        <v>-7.4924000000000004E-2</v>
      </c>
      <c r="L914" s="2">
        <f>ff_portfolios25!L914-ff_factors!$E914</f>
        <v>-3.458E-2</v>
      </c>
      <c r="M914" s="2">
        <f>ff_portfolios25!M914-ff_factors!$E914</f>
        <v>-4.0118000000000001E-2</v>
      </c>
      <c r="N914" s="2">
        <f>ff_portfolios25!N914-ff_factors!$E914</f>
        <v>-6.0377E-2</v>
      </c>
      <c r="O914" s="2">
        <f>ff_portfolios25!O914-ff_factors!$E914</f>
        <v>-6.0185999999999996E-2</v>
      </c>
      <c r="P914" s="2">
        <f>ff_portfolios25!P914-ff_factors!$E914</f>
        <v>-6.8092E-2</v>
      </c>
      <c r="Q914" s="2">
        <f>ff_portfolios25!Q914-ff_factors!$E914</f>
        <v>-3.3394E-2</v>
      </c>
      <c r="R914" s="2">
        <f>ff_portfolios25!R914-ff_factors!$E914</f>
        <v>-6.7736000000000005E-2</v>
      </c>
      <c r="S914" s="2">
        <f>ff_portfolios25!S914-ff_factors!$E914</f>
        <v>-7.4859000000000009E-2</v>
      </c>
      <c r="T914" s="2">
        <f>ff_portfolios25!T914-ff_factors!$E914</f>
        <v>-7.5967000000000007E-2</v>
      </c>
      <c r="U914" s="2">
        <f>ff_portfolios25!U914-ff_factors!$E914</f>
        <v>-4.8285999999999996E-2</v>
      </c>
      <c r="V914" s="2">
        <f>ff_portfolios25!V914-ff_factors!$E914</f>
        <v>-4.376E-2</v>
      </c>
      <c r="W914" s="2">
        <f>ff_portfolios25!W914-ff_factors!$E914</f>
        <v>-3.0891000000000002E-2</v>
      </c>
      <c r="X914" s="2">
        <f>ff_portfolios25!X914-ff_factors!$E914</f>
        <v>-8.6570000000000008E-2</v>
      </c>
      <c r="Y914" s="2">
        <f>ff_portfolios25!Y914-ff_factors!$E914</f>
        <v>-4.9813999999999997E-2</v>
      </c>
      <c r="Z914" s="2">
        <f>ff_portfolios25!Z914-ff_factors!$E914</f>
        <v>-5.0046E-2</v>
      </c>
      <c r="AA914" s="2">
        <f>ff_portfolios25!AA914-ff_factors!$E914</f>
        <v>-4.1620999999999998E-2</v>
      </c>
      <c r="AB914" s="2">
        <f>ff_portfolios25!AB914-ff_factors!$E914</f>
        <v>-4.1182999999999997E-2</v>
      </c>
    </row>
    <row r="915" spans="1:28" x14ac:dyDescent="0.2">
      <c r="A915">
        <v>20080229</v>
      </c>
      <c r="B915">
        <v>2008</v>
      </c>
      <c r="C915">
        <v>2</v>
      </c>
      <c r="D915" s="2">
        <f>ff_portfolios25!D915-ff_factors!$E915</f>
        <v>-5.7973000000000004E-2</v>
      </c>
      <c r="E915" s="2">
        <f>ff_portfolios25!E915-ff_factors!$E915</f>
        <v>-4.2569000000000003E-2</v>
      </c>
      <c r="F915" s="2">
        <f>ff_portfolios25!F915-ff_factors!$E915</f>
        <v>-5.0428000000000001E-2</v>
      </c>
      <c r="G915" s="2">
        <f>ff_portfolios25!G915-ff_factors!$E915</f>
        <v>-2.4462999999999999E-2</v>
      </c>
      <c r="H915" s="2">
        <f>ff_portfolios25!H915-ff_factors!$E915</f>
        <v>-4.0969000000000005E-2</v>
      </c>
      <c r="I915" s="2">
        <f>ff_portfolios25!I915-ff_factors!$E915</f>
        <v>-5.1588000000000002E-2</v>
      </c>
      <c r="J915" s="2">
        <f>ff_portfolios25!J915-ff_factors!$E915</f>
        <v>-1.2411999999999999E-2</v>
      </c>
      <c r="K915" s="2">
        <f>ff_portfolios25!K915-ff_factors!$E915</f>
        <v>-1.303E-2</v>
      </c>
      <c r="L915" s="2">
        <f>ff_portfolios25!L915-ff_factors!$E915</f>
        <v>-3.4435E-2</v>
      </c>
      <c r="M915" s="2">
        <f>ff_portfolios25!M915-ff_factors!$E915</f>
        <v>-4.8122000000000005E-2</v>
      </c>
      <c r="N915" s="2">
        <f>ff_portfolios25!N915-ff_factors!$E915</f>
        <v>-3.6750000000000005E-2</v>
      </c>
      <c r="O915" s="2">
        <f>ff_portfolios25!O915-ff_factors!$E915</f>
        <v>-1.3024999999999998E-2</v>
      </c>
      <c r="P915" s="2">
        <f>ff_portfolios25!P915-ff_factors!$E915</f>
        <v>-2.1398E-2</v>
      </c>
      <c r="Q915" s="2">
        <f>ff_portfolios25!Q915-ff_factors!$E915</f>
        <v>-1.687E-2</v>
      </c>
      <c r="R915" s="2">
        <f>ff_portfolios25!R915-ff_factors!$E915</f>
        <v>-3.0624999999999999E-2</v>
      </c>
      <c r="S915" s="2">
        <f>ff_portfolios25!S915-ff_factors!$E915</f>
        <v>-9.5680000000000001E-3</v>
      </c>
      <c r="T915" s="2">
        <f>ff_portfolios25!T915-ff_factors!$E915</f>
        <v>-1.2806000000000001E-2</v>
      </c>
      <c r="U915" s="2">
        <f>ff_portfolios25!U915-ff_factors!$E915</f>
        <v>-2.3355000000000001E-2</v>
      </c>
      <c r="V915" s="2">
        <f>ff_portfolios25!V915-ff_factors!$E915</f>
        <v>-2.708E-2</v>
      </c>
      <c r="W915" s="2">
        <f>ff_portfolios25!W915-ff_factors!$E915</f>
        <v>-5.4718000000000003E-2</v>
      </c>
      <c r="X915" s="2">
        <f>ff_portfolios25!X915-ff_factors!$E915</f>
        <v>-2.6461999999999999E-2</v>
      </c>
      <c r="Y915" s="2">
        <f>ff_portfolios25!Y915-ff_factors!$E915</f>
        <v>-1.873E-2</v>
      </c>
      <c r="Z915" s="2">
        <f>ff_portfolios25!Z915-ff_factors!$E915</f>
        <v>-4.0892000000000005E-2</v>
      </c>
      <c r="AA915" s="2">
        <f>ff_portfolios25!AA915-ff_factors!$E915</f>
        <v>-5.1504000000000001E-2</v>
      </c>
      <c r="AB915" s="2">
        <f>ff_portfolios25!AB915-ff_factors!$E915</f>
        <v>-6.2152000000000006E-2</v>
      </c>
    </row>
    <row r="916" spans="1:28" x14ac:dyDescent="0.2">
      <c r="A916">
        <v>20080331</v>
      </c>
      <c r="B916">
        <v>2008</v>
      </c>
      <c r="C916">
        <v>3</v>
      </c>
      <c r="D916" s="2">
        <f>ff_portfolios25!D916-ff_factors!$E916</f>
        <v>-4.2185E-2</v>
      </c>
      <c r="E916" s="2">
        <f>ff_portfolios25!E916-ff_factors!$E916</f>
        <v>-1.3919000000000001E-2</v>
      </c>
      <c r="F916" s="2">
        <f>ff_portfolios25!F916-ff_factors!$E916</f>
        <v>2.1350999999999998E-2</v>
      </c>
      <c r="G916" s="2">
        <f>ff_portfolios25!G916-ff_factors!$E916</f>
        <v>-7.1599999999999984E-4</v>
      </c>
      <c r="H916" s="2">
        <f>ff_portfolios25!H916-ff_factors!$E916</f>
        <v>-4.7070000000000002E-3</v>
      </c>
      <c r="I916" s="2">
        <f>ff_portfolios25!I916-ff_factors!$E916</f>
        <v>-9.0069999999999994E-3</v>
      </c>
      <c r="J916" s="2">
        <f>ff_portfolios25!J916-ff_factors!$E916</f>
        <v>1.5733E-2</v>
      </c>
      <c r="K916" s="2">
        <f>ff_portfolios25!K916-ff_factors!$E916</f>
        <v>1.8145999999999999E-2</v>
      </c>
      <c r="L916" s="2">
        <f>ff_portfolios25!L916-ff_factors!$E916</f>
        <v>1.367E-2</v>
      </c>
      <c r="M916" s="2">
        <f>ff_portfolios25!M916-ff_factors!$E916</f>
        <v>4.1900000000000001E-3</v>
      </c>
      <c r="N916" s="2">
        <f>ff_portfolios25!N916-ff_factors!$E916</f>
        <v>-3.3313000000000002E-2</v>
      </c>
      <c r="O916" s="2">
        <f>ff_portfolios25!O916-ff_factors!$E916</f>
        <v>1.0633E-2</v>
      </c>
      <c r="P916" s="2">
        <f>ff_portfolios25!P916-ff_factors!$E916</f>
        <v>-2.5957999999999998E-2</v>
      </c>
      <c r="Q916" s="2">
        <f>ff_portfolios25!Q916-ff_factors!$E916</f>
        <v>-1.2262E-2</v>
      </c>
      <c r="R916" s="2">
        <f>ff_portfolios25!R916-ff_factors!$E916</f>
        <v>-9.6380000000000007E-3</v>
      </c>
      <c r="S916" s="2">
        <f>ff_portfolios25!S916-ff_factors!$E916</f>
        <v>-1.073E-3</v>
      </c>
      <c r="T916" s="2">
        <f>ff_portfolios25!T916-ff_factors!$E916</f>
        <v>-2.2355E-2</v>
      </c>
      <c r="U916" s="2">
        <f>ff_portfolios25!U916-ff_factors!$E916</f>
        <v>-2.5829999999999999E-2</v>
      </c>
      <c r="V916" s="2">
        <f>ff_portfolios25!V916-ff_factors!$E916</f>
        <v>-3.2164999999999999E-2</v>
      </c>
      <c r="W916" s="2">
        <f>ff_portfolios25!W916-ff_factors!$E916</f>
        <v>-1.3878E-2</v>
      </c>
      <c r="X916" s="2">
        <f>ff_portfolios25!X916-ff_factors!$E916</f>
        <v>3.8900000000000024E-4</v>
      </c>
      <c r="Y916" s="2">
        <f>ff_portfolios25!Y916-ff_factors!$E916</f>
        <v>1.2766E-2</v>
      </c>
      <c r="Z916" s="2">
        <f>ff_portfolios25!Z916-ff_factors!$E916</f>
        <v>-4.4500999999999999E-2</v>
      </c>
      <c r="AA916" s="2">
        <f>ff_portfolios25!AA916-ff_factors!$E916</f>
        <v>-3.3584999999999997E-2</v>
      </c>
      <c r="AB916" s="2">
        <f>ff_portfolios25!AB916-ff_factors!$E916</f>
        <v>4.8129999999999996E-3</v>
      </c>
    </row>
    <row r="917" spans="1:28" x14ac:dyDescent="0.2">
      <c r="A917">
        <v>20080430</v>
      </c>
      <c r="B917">
        <v>2008</v>
      </c>
      <c r="C917">
        <v>4</v>
      </c>
      <c r="D917" s="2">
        <f>ff_portfolios25!D917-ff_factors!$E917</f>
        <v>2.9736000000000002E-2</v>
      </c>
      <c r="E917" s="2">
        <f>ff_portfolios25!E917-ff_factors!$E917</f>
        <v>3.2332E-2</v>
      </c>
      <c r="F917" s="2">
        <f>ff_portfolios25!F917-ff_factors!$E917</f>
        <v>9.1669999999999998E-3</v>
      </c>
      <c r="G917" s="2">
        <f>ff_portfolios25!G917-ff_factors!$E917</f>
        <v>4.2760000000000003E-3</v>
      </c>
      <c r="H917" s="2">
        <f>ff_portfolios25!H917-ff_factors!$E917</f>
        <v>5.1310000000000001E-3</v>
      </c>
      <c r="I917" s="2">
        <f>ff_portfolios25!I917-ff_factors!$E917</f>
        <v>2.7274E-2</v>
      </c>
      <c r="J917" s="2">
        <f>ff_portfolios25!J917-ff_factors!$E917</f>
        <v>4.0765999999999997E-2</v>
      </c>
      <c r="K917" s="2">
        <f>ff_portfolios25!K917-ff_factors!$E917</f>
        <v>3.3378999999999999E-2</v>
      </c>
      <c r="L917" s="2">
        <f>ff_portfolios25!L917-ff_factors!$E917</f>
        <v>2.6808000000000002E-2</v>
      </c>
      <c r="M917" s="2">
        <f>ff_portfolios25!M917-ff_factors!$E917</f>
        <v>3.3799999999999998E-3</v>
      </c>
      <c r="N917" s="2">
        <f>ff_portfolios25!N917-ff_factors!$E917</f>
        <v>6.8570000000000006E-2</v>
      </c>
      <c r="O917" s="2">
        <f>ff_portfolios25!O917-ff_factors!$E917</f>
        <v>6.5292000000000003E-2</v>
      </c>
      <c r="P917" s="2">
        <f>ff_portfolios25!P917-ff_factors!$E917</f>
        <v>8.8238999999999998E-2</v>
      </c>
      <c r="Q917" s="2">
        <f>ff_portfolios25!Q917-ff_factors!$E917</f>
        <v>9.6893000000000007E-2</v>
      </c>
      <c r="R917" s="2">
        <f>ff_portfolios25!R917-ff_factors!$E917</f>
        <v>7.3377999999999999E-2</v>
      </c>
      <c r="S917" s="2">
        <f>ff_portfolios25!S917-ff_factors!$E917</f>
        <v>5.8889999999999998E-2</v>
      </c>
      <c r="T917" s="2">
        <f>ff_portfolios25!T917-ff_factors!$E917</f>
        <v>6.5268000000000007E-2</v>
      </c>
      <c r="U917" s="2">
        <f>ff_portfolios25!U917-ff_factors!$E917</f>
        <v>5.6934999999999999E-2</v>
      </c>
      <c r="V917" s="2">
        <f>ff_portfolios25!V917-ff_factors!$E917</f>
        <v>7.8146000000000007E-2</v>
      </c>
      <c r="W917" s="2">
        <f>ff_portfolios25!W917-ff_factors!$E917</f>
        <v>2.5326999999999999E-2</v>
      </c>
      <c r="X917" s="2">
        <f>ff_portfolios25!X917-ff_factors!$E917</f>
        <v>3.2561999999999994E-2</v>
      </c>
      <c r="Y917" s="2">
        <f>ff_portfolios25!Y917-ff_factors!$E917</f>
        <v>3.2888999999999995E-2</v>
      </c>
      <c r="Z917" s="2">
        <f>ff_portfolios25!Z917-ff_factors!$E917</f>
        <v>6.9856000000000001E-2</v>
      </c>
      <c r="AA917" s="2">
        <f>ff_portfolios25!AA917-ff_factors!$E917</f>
        <v>3.9274999999999997E-2</v>
      </c>
      <c r="AB917" s="2">
        <f>ff_portfolios25!AB917-ff_factors!$E917</f>
        <v>6.6043000000000004E-2</v>
      </c>
    </row>
    <row r="918" spans="1:28" x14ac:dyDescent="0.2">
      <c r="A918">
        <v>20080530</v>
      </c>
      <c r="B918">
        <v>2008</v>
      </c>
      <c r="C918">
        <v>5</v>
      </c>
      <c r="D918" s="2">
        <f>ff_portfolios25!D918-ff_factors!$E918</f>
        <v>5.6135999999999998E-2</v>
      </c>
      <c r="E918" s="2">
        <f>ff_portfolios25!E918-ff_factors!$E918</f>
        <v>4.0209999999999996E-2</v>
      </c>
      <c r="F918" s="2">
        <f>ff_portfolios25!F918-ff_factors!$E918</f>
        <v>2.0456999999999999E-2</v>
      </c>
      <c r="G918" s="2">
        <f>ff_portfolios25!G918-ff_factors!$E918</f>
        <v>3.2661999999999997E-2</v>
      </c>
      <c r="H918" s="2">
        <f>ff_portfolios25!H918-ff_factors!$E918</f>
        <v>1.4711000000000002E-2</v>
      </c>
      <c r="I918" s="2">
        <f>ff_portfolios25!I918-ff_factors!$E918</f>
        <v>6.9491999999999998E-2</v>
      </c>
      <c r="J918" s="2">
        <f>ff_portfolios25!J918-ff_factors!$E918</f>
        <v>3.3374999999999995E-2</v>
      </c>
      <c r="K918" s="2">
        <f>ff_portfolios25!K918-ff_factors!$E918</f>
        <v>7.7678999999999998E-2</v>
      </c>
      <c r="L918" s="2">
        <f>ff_portfolios25!L918-ff_factors!$E918</f>
        <v>5.4199999999999998E-2</v>
      </c>
      <c r="M918" s="2">
        <f>ff_portfolios25!M918-ff_factors!$E918</f>
        <v>1.5974000000000002E-2</v>
      </c>
      <c r="N918" s="2">
        <f>ff_portfolios25!N918-ff_factors!$E918</f>
        <v>3.7707999999999998E-2</v>
      </c>
      <c r="O918" s="2">
        <f>ff_portfolios25!O918-ff_factors!$E918</f>
        <v>3.4853999999999996E-2</v>
      </c>
      <c r="P918" s="2">
        <f>ff_portfolios25!P918-ff_factors!$E918</f>
        <v>6.6206000000000001E-2</v>
      </c>
      <c r="Q918" s="2">
        <f>ff_portfolios25!Q918-ff_factors!$E918</f>
        <v>6.2039999999999991E-2</v>
      </c>
      <c r="R918" s="2">
        <f>ff_portfolios25!R918-ff_factors!$E918</f>
        <v>4.4395999999999998E-2</v>
      </c>
      <c r="S918" s="2">
        <f>ff_portfolios25!S918-ff_factors!$E918</f>
        <v>4.0740999999999999E-2</v>
      </c>
      <c r="T918" s="2">
        <f>ff_portfolios25!T918-ff_factors!$E918</f>
        <v>5.1096999999999997E-2</v>
      </c>
      <c r="U918" s="2">
        <f>ff_portfolios25!U918-ff_factors!$E918</f>
        <v>3.6752E-2</v>
      </c>
      <c r="V918" s="2">
        <f>ff_portfolios25!V918-ff_factors!$E918</f>
        <v>4.8379999999999999E-2</v>
      </c>
      <c r="W918" s="2">
        <f>ff_portfolios25!W918-ff_factors!$E918</f>
        <v>2.6379E-2</v>
      </c>
      <c r="X918" s="2">
        <f>ff_portfolios25!X918-ff_factors!$E918</f>
        <v>3.3619999999999997E-2</v>
      </c>
      <c r="Y918" s="2">
        <f>ff_portfolios25!Y918-ff_factors!$E918</f>
        <v>-5.6290000000000003E-3</v>
      </c>
      <c r="Z918" s="2">
        <f>ff_portfolios25!Z918-ff_factors!$E918</f>
        <v>5.7960000000000008E-3</v>
      </c>
      <c r="AA918" s="2">
        <f>ff_portfolios25!AA918-ff_factors!$E918</f>
        <v>-1.9862999999999999E-2</v>
      </c>
      <c r="AB918" s="2">
        <f>ff_portfolios25!AB918-ff_factors!$E918</f>
        <v>1.5542E-2</v>
      </c>
    </row>
    <row r="919" spans="1:28" x14ac:dyDescent="0.2">
      <c r="A919">
        <v>20080630</v>
      </c>
      <c r="B919">
        <v>2008</v>
      </c>
      <c r="C919">
        <v>6</v>
      </c>
      <c r="D919" s="2">
        <f>ff_portfolios25!D919-ff_factors!$E919</f>
        <v>-6.3385999999999998E-2</v>
      </c>
      <c r="E919" s="2">
        <f>ff_portfolios25!E919-ff_factors!$E919</f>
        <v>-9.1987999999999986E-2</v>
      </c>
      <c r="F919" s="2">
        <f>ff_portfolios25!F919-ff_factors!$E919</f>
        <v>-0.11094</v>
      </c>
      <c r="G919" s="2">
        <f>ff_portfolios25!G919-ff_factors!$E919</f>
        <v>-7.4016999999999999E-2</v>
      </c>
      <c r="H919" s="2">
        <f>ff_portfolios25!H919-ff_factors!$E919</f>
        <v>-0.10105199999999999</v>
      </c>
      <c r="I919" s="2">
        <f>ff_portfolios25!I919-ff_factors!$E919</f>
        <v>-7.8154999999999988E-2</v>
      </c>
      <c r="J919" s="2">
        <f>ff_portfolios25!J919-ff_factors!$E919</f>
        <v>-7.3143999999999987E-2</v>
      </c>
      <c r="K919" s="2">
        <f>ff_portfolios25!K919-ff_factors!$E919</f>
        <v>-5.3481000000000001E-2</v>
      </c>
      <c r="L919" s="2">
        <f>ff_portfolios25!L919-ff_factors!$E919</f>
        <v>-8.444299999999999E-2</v>
      </c>
      <c r="M919" s="2">
        <f>ff_portfolios25!M919-ff_factors!$E919</f>
        <v>-0.11667799999999999</v>
      </c>
      <c r="N919" s="2">
        <f>ff_portfolios25!N919-ff_factors!$E919</f>
        <v>-8.7459999999999996E-2</v>
      </c>
      <c r="O919" s="2">
        <f>ff_portfolios25!O919-ff_factors!$E919</f>
        <v>-7.1145999999999987E-2</v>
      </c>
      <c r="P919" s="2">
        <f>ff_portfolios25!P919-ff_factors!$E919</f>
        <v>-6.9925999999999988E-2</v>
      </c>
      <c r="Q919" s="2">
        <f>ff_portfolios25!Q919-ff_factors!$E919</f>
        <v>-7.2376999999999997E-2</v>
      </c>
      <c r="R919" s="2">
        <f>ff_portfolios25!R919-ff_factors!$E919</f>
        <v>-6.5743999999999997E-2</v>
      </c>
      <c r="S919" s="2">
        <f>ff_portfolios25!S919-ff_factors!$E919</f>
        <v>-7.2477999999999987E-2</v>
      </c>
      <c r="T919" s="2">
        <f>ff_portfolios25!T919-ff_factors!$E919</f>
        <v>-9.0734999999999996E-2</v>
      </c>
      <c r="U919" s="2">
        <f>ff_portfolios25!U919-ff_factors!$E919</f>
        <v>-9.9807999999999994E-2</v>
      </c>
      <c r="V919" s="2">
        <f>ff_portfolios25!V919-ff_factors!$E919</f>
        <v>-5.704E-2</v>
      </c>
      <c r="W919" s="2">
        <f>ff_portfolios25!W919-ff_factors!$E919</f>
        <v>-0.13528200000000001</v>
      </c>
      <c r="X919" s="2">
        <f>ff_portfolios25!X919-ff_factors!$E919</f>
        <v>-7.1818999999999994E-2</v>
      </c>
      <c r="Y919" s="2">
        <f>ff_portfolios25!Y919-ff_factors!$E919</f>
        <v>-7.3003999999999999E-2</v>
      </c>
      <c r="Z919" s="2">
        <f>ff_portfolios25!Z919-ff_factors!$E919</f>
        <v>-9.3804999999999999E-2</v>
      </c>
      <c r="AA919" s="2">
        <f>ff_portfolios25!AA919-ff_factors!$E919</f>
        <v>-0.13250400000000001</v>
      </c>
      <c r="AB919" s="2">
        <f>ff_portfolios25!AB919-ff_factors!$E919</f>
        <v>-0.11091899999999999</v>
      </c>
    </row>
    <row r="920" spans="1:28" x14ac:dyDescent="0.2">
      <c r="A920">
        <v>20080731</v>
      </c>
      <c r="B920">
        <v>2008</v>
      </c>
      <c r="C920">
        <v>7</v>
      </c>
      <c r="D920" s="2">
        <f>ff_portfolios25!D920-ff_factors!$E920</f>
        <v>4.8205999999999999E-2</v>
      </c>
      <c r="E920" s="2">
        <f>ff_portfolios25!E920-ff_factors!$E920</f>
        <v>4.2748000000000001E-2</v>
      </c>
      <c r="F920" s="2">
        <f>ff_portfolios25!F920-ff_factors!$E920</f>
        <v>4.8113999999999997E-2</v>
      </c>
      <c r="G920" s="2">
        <f>ff_portfolios25!G920-ff_factors!$E920</f>
        <v>6.9744E-2</v>
      </c>
      <c r="H920" s="2">
        <f>ff_portfolios25!H920-ff_factors!$E920</f>
        <v>3.1781999999999998E-2</v>
      </c>
      <c r="I920" s="2">
        <f>ff_portfolios25!I920-ff_factors!$E920</f>
        <v>1.4522999999999999E-2</v>
      </c>
      <c r="J920" s="2">
        <f>ff_portfolios25!J920-ff_factors!$E920</f>
        <v>2.7129E-2</v>
      </c>
      <c r="K920" s="2">
        <f>ff_portfolios25!K920-ff_factors!$E920</f>
        <v>4.3323E-2</v>
      </c>
      <c r="L920" s="2">
        <f>ff_portfolios25!L920-ff_factors!$E920</f>
        <v>3.3940999999999999E-2</v>
      </c>
      <c r="M920" s="2">
        <f>ff_portfolios25!M920-ff_factors!$E920</f>
        <v>7.9157999999999992E-2</v>
      </c>
      <c r="N920" s="2">
        <f>ff_portfolios25!N920-ff_factors!$E920</f>
        <v>-6.4810000000000006E-3</v>
      </c>
      <c r="O920" s="2">
        <f>ff_portfolios25!O920-ff_factors!$E920</f>
        <v>1.5099999999999988E-4</v>
      </c>
      <c r="P920" s="2">
        <f>ff_portfolios25!P920-ff_factors!$E920</f>
        <v>1.5900999999999998E-2</v>
      </c>
      <c r="Q920" s="2">
        <f>ff_portfolios25!Q920-ff_factors!$E920</f>
        <v>-6.4779999999999994E-3</v>
      </c>
      <c r="R920" s="2">
        <f>ff_portfolios25!R920-ff_factors!$E920</f>
        <v>5.6313000000000002E-2</v>
      </c>
      <c r="S920" s="2">
        <f>ff_portfolios25!S920-ff_factors!$E920</f>
        <v>-5.3340000000000002E-3</v>
      </c>
      <c r="T920" s="2">
        <f>ff_portfolios25!T920-ff_factors!$E920</f>
        <v>-1.7685000000000003E-2</v>
      </c>
      <c r="U920" s="2">
        <f>ff_portfolios25!U920-ff_factors!$E920</f>
        <v>-7.7137999999999998E-2</v>
      </c>
      <c r="V920" s="2">
        <f>ff_portfolios25!V920-ff_factors!$E920</f>
        <v>-2.2790000000000001E-2</v>
      </c>
      <c r="W920" s="2">
        <f>ff_portfolios25!W920-ff_factors!$E920</f>
        <v>-2.3764E-2</v>
      </c>
      <c r="X920" s="2">
        <f>ff_portfolios25!X920-ff_factors!$E920</f>
        <v>-1.4761E-2</v>
      </c>
      <c r="Y920" s="2">
        <f>ff_portfolios25!Y920-ff_factors!$E920</f>
        <v>-2.1650000000000003E-2</v>
      </c>
      <c r="Z920" s="2">
        <f>ff_portfolios25!Z920-ff_factors!$E920</f>
        <v>-2.0265000000000002E-2</v>
      </c>
      <c r="AA920" s="2">
        <f>ff_portfolios25!AA920-ff_factors!$E920</f>
        <v>2.7955999999999998E-2</v>
      </c>
      <c r="AB920" s="2">
        <f>ff_portfolios25!AB920-ff_factors!$E920</f>
        <v>7.8044000000000002E-2</v>
      </c>
    </row>
    <row r="921" spans="1:28" x14ac:dyDescent="0.2">
      <c r="A921">
        <v>20080829</v>
      </c>
      <c r="B921">
        <v>2008</v>
      </c>
      <c r="C921">
        <v>8</v>
      </c>
      <c r="D921" s="2">
        <f>ff_portfolios25!D921-ff_factors!$E921</f>
        <v>9.8330000000000015E-3</v>
      </c>
      <c r="E921" s="2">
        <f>ff_portfolios25!E921-ff_factors!$E921</f>
        <v>3.0563000000000003E-2</v>
      </c>
      <c r="F921" s="2">
        <f>ff_portfolios25!F921-ff_factors!$E921</f>
        <v>2.7976000000000001E-2</v>
      </c>
      <c r="G921" s="2">
        <f>ff_portfolios25!G921-ff_factors!$E921</f>
        <v>2.9491E-2</v>
      </c>
      <c r="H921" s="2">
        <f>ff_portfolios25!H921-ff_factors!$E921</f>
        <v>6.6969000000000001E-2</v>
      </c>
      <c r="I921" s="2">
        <f>ff_portfolios25!I921-ff_factors!$E921</f>
        <v>4.3325999999999996E-2</v>
      </c>
      <c r="J921" s="2">
        <f>ff_portfolios25!J921-ff_factors!$E921</f>
        <v>4.6716999999999995E-2</v>
      </c>
      <c r="K921" s="2">
        <f>ff_portfolios25!K921-ff_factors!$E921</f>
        <v>3.4346999999999996E-2</v>
      </c>
      <c r="L921" s="2">
        <f>ff_portfolios25!L921-ff_factors!$E921</f>
        <v>5.3492999999999999E-2</v>
      </c>
      <c r="M921" s="2">
        <f>ff_portfolios25!M921-ff_factors!$E921</f>
        <v>0.121007</v>
      </c>
      <c r="N921" s="2">
        <f>ff_portfolios25!N921-ff_factors!$E921</f>
        <v>3.0265000000000004E-2</v>
      </c>
      <c r="O921" s="2">
        <f>ff_portfolios25!O921-ff_factors!$E921</f>
        <v>2.8656000000000001E-2</v>
      </c>
      <c r="P921" s="2">
        <f>ff_portfolios25!P921-ff_factors!$E921</f>
        <v>4.2858E-2</v>
      </c>
      <c r="Q921" s="2">
        <f>ff_portfolios25!Q921-ff_factors!$E921</f>
        <v>2.315E-2</v>
      </c>
      <c r="R921" s="2">
        <f>ff_portfolios25!R921-ff_factors!$E921</f>
        <v>5.7331E-2</v>
      </c>
      <c r="S921" s="2">
        <f>ff_portfolios25!S921-ff_factors!$E921</f>
        <v>9.5709999999999996E-3</v>
      </c>
      <c r="T921" s="2">
        <f>ff_portfolios25!T921-ff_factors!$E921</f>
        <v>1.7089E-2</v>
      </c>
      <c r="U921" s="2">
        <f>ff_portfolios25!U921-ff_factors!$E921</f>
        <v>1.8459E-2</v>
      </c>
      <c r="V921" s="2">
        <f>ff_portfolios25!V921-ff_factors!$E921</f>
        <v>4.4253000000000001E-2</v>
      </c>
      <c r="W921" s="2">
        <f>ff_portfolios25!W921-ff_factors!$E921</f>
        <v>2.4369000000000002E-2</v>
      </c>
      <c r="X921" s="2">
        <f>ff_portfolios25!X921-ff_factors!$E921</f>
        <v>9.7189999999999985E-3</v>
      </c>
      <c r="Y921" s="2">
        <f>ff_portfolios25!Y921-ff_factors!$E921</f>
        <v>1.3895999999999999E-2</v>
      </c>
      <c r="Z921" s="2">
        <f>ff_portfolios25!Z921-ff_factors!$E921</f>
        <v>2.1462999999999999E-2</v>
      </c>
      <c r="AA921" s="2">
        <f>ff_portfolios25!AA921-ff_factors!$E921</f>
        <v>-2.5273999999999998E-2</v>
      </c>
      <c r="AB921" s="2">
        <f>ff_portfolios25!AB921-ff_factors!$E921</f>
        <v>3.520000000000001E-4</v>
      </c>
    </row>
    <row r="922" spans="1:28" x14ac:dyDescent="0.2">
      <c r="A922">
        <v>20080930</v>
      </c>
      <c r="B922">
        <v>2008</v>
      </c>
      <c r="C922">
        <v>9</v>
      </c>
      <c r="D922" s="2">
        <f>ff_portfolios25!D922-ff_factors!$E922</f>
        <v>-0.132018</v>
      </c>
      <c r="E922" s="2">
        <f>ff_portfolios25!E922-ff_factors!$E922</f>
        <v>-9.7362000000000004E-2</v>
      </c>
      <c r="F922" s="2">
        <f>ff_portfolios25!F922-ff_factors!$E922</f>
        <v>-8.7434999999999999E-2</v>
      </c>
      <c r="G922" s="2">
        <f>ff_portfolios25!G922-ff_factors!$E922</f>
        <v>-3.6787E-2</v>
      </c>
      <c r="H922" s="2">
        <f>ff_portfolios25!H922-ff_factors!$E922</f>
        <v>-6.6129000000000007E-2</v>
      </c>
      <c r="I922" s="2">
        <f>ff_portfolios25!I922-ff_factors!$E922</f>
        <v>-9.1954000000000008E-2</v>
      </c>
      <c r="J922" s="2">
        <f>ff_portfolios25!J922-ff_factors!$E922</f>
        <v>-8.6235000000000006E-2</v>
      </c>
      <c r="K922" s="2">
        <f>ff_portfolios25!K922-ff_factors!$E922</f>
        <v>-6.9781999999999997E-2</v>
      </c>
      <c r="L922" s="2">
        <f>ff_portfolios25!L922-ff_factors!$E922</f>
        <v>-4.7212000000000004E-2</v>
      </c>
      <c r="M922" s="2">
        <f>ff_portfolios25!M922-ff_factors!$E922</f>
        <v>-6.9791000000000006E-2</v>
      </c>
      <c r="N922" s="2">
        <f>ff_portfolios25!N922-ff_factors!$E922</f>
        <v>-0.13943900000000001</v>
      </c>
      <c r="O922" s="2">
        <f>ff_portfolios25!O922-ff_factors!$E922</f>
        <v>-0.116961</v>
      </c>
      <c r="P922" s="2">
        <f>ff_portfolios25!P922-ff_factors!$E922</f>
        <v>-8.2591999999999999E-2</v>
      </c>
      <c r="Q922" s="2">
        <f>ff_portfolios25!Q922-ff_factors!$E922</f>
        <v>-6.8484000000000003E-2</v>
      </c>
      <c r="R922" s="2">
        <f>ff_portfolios25!R922-ff_factors!$E922</f>
        <v>-6.2363000000000002E-2</v>
      </c>
      <c r="S922" s="2">
        <f>ff_portfolios25!S922-ff_factors!$E922</f>
        <v>-0.13342300000000001</v>
      </c>
      <c r="T922" s="2">
        <f>ff_portfolios25!T922-ff_factors!$E922</f>
        <v>-0.13486700000000001</v>
      </c>
      <c r="U922" s="2">
        <f>ff_portfolios25!U922-ff_factors!$E922</f>
        <v>-0.149704</v>
      </c>
      <c r="V922" s="2">
        <f>ff_portfolios25!V922-ff_factors!$E922</f>
        <v>-0.106463</v>
      </c>
      <c r="W922" s="2">
        <f>ff_portfolios25!W922-ff_factors!$E922</f>
        <v>-8.8958999999999996E-2</v>
      </c>
      <c r="X922" s="2">
        <f>ff_portfolios25!X922-ff_factors!$E922</f>
        <v>-9.6644999999999995E-2</v>
      </c>
      <c r="Y922" s="2">
        <f>ff_portfolios25!Y922-ff_factors!$E922</f>
        <v>-8.8401999999999994E-2</v>
      </c>
      <c r="Z922" s="2">
        <f>ff_portfolios25!Z922-ff_factors!$E922</f>
        <v>-7.1944999999999995E-2</v>
      </c>
      <c r="AA922" s="2">
        <f>ff_portfolios25!AA922-ff_factors!$E922</f>
        <v>-8.0047000000000007E-2</v>
      </c>
      <c r="AB922" s="2">
        <f>ff_portfolios25!AB922-ff_factors!$E922</f>
        <v>-3.7422000000000004E-2</v>
      </c>
    </row>
    <row r="923" spans="1:28" x14ac:dyDescent="0.2">
      <c r="A923">
        <v>20081031</v>
      </c>
      <c r="B923">
        <v>2008</v>
      </c>
      <c r="C923">
        <v>10</v>
      </c>
      <c r="D923" s="2">
        <f>ff_portfolios25!D923-ff_factors!$E923</f>
        <v>-0.236572</v>
      </c>
      <c r="E923" s="2">
        <f>ff_portfolios25!E923-ff_factors!$E923</f>
        <v>-0.20169899999999999</v>
      </c>
      <c r="F923" s="2">
        <f>ff_portfolios25!F923-ff_factors!$E923</f>
        <v>-0.190693</v>
      </c>
      <c r="G923" s="2">
        <f>ff_portfolios25!G923-ff_factors!$E923</f>
        <v>-0.154388</v>
      </c>
      <c r="H923" s="2">
        <f>ff_portfolios25!H923-ff_factors!$E923</f>
        <v>-0.217747</v>
      </c>
      <c r="I923" s="2">
        <f>ff_portfolios25!I923-ff_factors!$E923</f>
        <v>-0.22614399999999998</v>
      </c>
      <c r="J923" s="2">
        <f>ff_portfolios25!J923-ff_factors!$E923</f>
        <v>-0.235847</v>
      </c>
      <c r="K923" s="2">
        <f>ff_portfolios25!K923-ff_factors!$E923</f>
        <v>-0.18687599999999999</v>
      </c>
      <c r="L923" s="2">
        <f>ff_portfolios25!L923-ff_factors!$E923</f>
        <v>-0.196578</v>
      </c>
      <c r="M923" s="2">
        <f>ff_portfolios25!M923-ff_factors!$E923</f>
        <v>-0.20905799999999999</v>
      </c>
      <c r="N923" s="2">
        <f>ff_portfolios25!N923-ff_factors!$E923</f>
        <v>-0.23063799999999998</v>
      </c>
      <c r="O923" s="2">
        <f>ff_portfolios25!O923-ff_factors!$E923</f>
        <v>-0.183528</v>
      </c>
      <c r="P923" s="2">
        <f>ff_portfolios25!P923-ff_factors!$E923</f>
        <v>-0.175567</v>
      </c>
      <c r="Q923" s="2">
        <f>ff_portfolios25!Q923-ff_factors!$E923</f>
        <v>-0.200044</v>
      </c>
      <c r="R923" s="2">
        <f>ff_portfolios25!R923-ff_factors!$E923</f>
        <v>-0.20464299999999999</v>
      </c>
      <c r="S923" s="2">
        <f>ff_portfolios25!S923-ff_factors!$E923</f>
        <v>-0.20810100000000001</v>
      </c>
      <c r="T923" s="2">
        <f>ff_portfolios25!T923-ff_factors!$E923</f>
        <v>-0.204846</v>
      </c>
      <c r="U923" s="2">
        <f>ff_portfolios25!U923-ff_factors!$E923</f>
        <v>-0.25235100000000005</v>
      </c>
      <c r="V923" s="2">
        <f>ff_portfolios25!V923-ff_factors!$E923</f>
        <v>-0.224832</v>
      </c>
      <c r="W923" s="2">
        <f>ff_portfolios25!W923-ff_factors!$E923</f>
        <v>-0.18826599999999999</v>
      </c>
      <c r="X923" s="2">
        <f>ff_portfolios25!X923-ff_factors!$E923</f>
        <v>-0.14471999999999999</v>
      </c>
      <c r="Y923" s="2">
        <f>ff_portfolios25!Y923-ff_factors!$E923</f>
        <v>-0.15582599999999999</v>
      </c>
      <c r="Z923" s="2">
        <f>ff_portfolios25!Z923-ff_factors!$E923</f>
        <v>-0.131637</v>
      </c>
      <c r="AA923" s="2">
        <f>ff_portfolios25!AA923-ff_factors!$E923</f>
        <v>-0.27096200000000004</v>
      </c>
      <c r="AB923" s="2">
        <f>ff_portfolios25!AB923-ff_factors!$E923</f>
        <v>-0.16925299999999999</v>
      </c>
    </row>
    <row r="924" spans="1:28" x14ac:dyDescent="0.2">
      <c r="A924">
        <v>20081128</v>
      </c>
      <c r="B924">
        <v>2008</v>
      </c>
      <c r="C924">
        <v>11</v>
      </c>
      <c r="D924" s="2">
        <f>ff_portfolios25!D924-ff_factors!$E924</f>
        <v>-0.12761500000000001</v>
      </c>
      <c r="E924" s="2">
        <f>ff_portfolios25!E924-ff_factors!$E924</f>
        <v>-0.12442199999999999</v>
      </c>
      <c r="F924" s="2">
        <f>ff_portfolios25!F924-ff_factors!$E924</f>
        <v>-0.12428199999999999</v>
      </c>
      <c r="G924" s="2">
        <f>ff_portfolios25!G924-ff_factors!$E924</f>
        <v>-0.11837499999999999</v>
      </c>
      <c r="H924" s="2">
        <f>ff_portfolios25!H924-ff_factors!$E924</f>
        <v>-0.16212299999999999</v>
      </c>
      <c r="I924" s="2">
        <f>ff_portfolios25!I924-ff_factors!$E924</f>
        <v>-0.111065</v>
      </c>
      <c r="J924" s="2">
        <f>ff_portfolios25!J924-ff_factors!$E924</f>
        <v>-0.10655199999999999</v>
      </c>
      <c r="K924" s="2">
        <f>ff_portfolios25!K924-ff_factors!$E924</f>
        <v>-0.10523199999999999</v>
      </c>
      <c r="L924" s="2">
        <f>ff_portfolios25!L924-ff_factors!$E924</f>
        <v>-9.7280999999999992E-2</v>
      </c>
      <c r="M924" s="2">
        <f>ff_portfolios25!M924-ff_factors!$E924</f>
        <v>-0.16772499999999999</v>
      </c>
      <c r="N924" s="2">
        <f>ff_portfolios25!N924-ff_factors!$E924</f>
        <v>-0.11757099999999999</v>
      </c>
      <c r="O924" s="2">
        <f>ff_portfolios25!O924-ff_factors!$E924</f>
        <v>-0.102924</v>
      </c>
      <c r="P924" s="2">
        <f>ff_portfolios25!P924-ff_factors!$E924</f>
        <v>-9.3565999999999996E-2</v>
      </c>
      <c r="Q924" s="2">
        <f>ff_portfolios25!Q924-ff_factors!$E924</f>
        <v>-9.3143999999999991E-2</v>
      </c>
      <c r="R924" s="2">
        <f>ff_portfolios25!R924-ff_factors!$E924</f>
        <v>-6.8082999999999991E-2</v>
      </c>
      <c r="S924" s="2">
        <f>ff_portfolios25!S924-ff_factors!$E924</f>
        <v>-8.3212999999999995E-2</v>
      </c>
      <c r="T924" s="2">
        <f>ff_portfolios25!T924-ff_factors!$E924</f>
        <v>-8.8449E-2</v>
      </c>
      <c r="U924" s="2">
        <f>ff_portfolios25!U924-ff_factors!$E924</f>
        <v>-9.4037999999999997E-2</v>
      </c>
      <c r="V924" s="2">
        <f>ff_portfolios25!V924-ff_factors!$E924</f>
        <v>-8.8612999999999997E-2</v>
      </c>
      <c r="W924" s="2">
        <f>ff_portfolios25!W924-ff_factors!$E924</f>
        <v>-0.15324699999999999</v>
      </c>
      <c r="X924" s="2">
        <f>ff_portfolios25!X924-ff_factors!$E924</f>
        <v>-6.0551000000000001E-2</v>
      </c>
      <c r="Y924" s="2">
        <f>ff_portfolios25!Y924-ff_factors!$E924</f>
        <v>-4.6004000000000003E-2</v>
      </c>
      <c r="Z924" s="2">
        <f>ff_portfolios25!Z924-ff_factors!$E924</f>
        <v>-6.7807999999999993E-2</v>
      </c>
      <c r="AA924" s="2">
        <f>ff_portfolios25!AA924-ff_factors!$E924</f>
        <v>-0.140205</v>
      </c>
      <c r="AB924" s="2">
        <f>ff_portfolios25!AB924-ff_factors!$E924</f>
        <v>-0.17222399999999999</v>
      </c>
    </row>
    <row r="925" spans="1:28" x14ac:dyDescent="0.2">
      <c r="A925">
        <v>20081231</v>
      </c>
      <c r="B925">
        <v>2008</v>
      </c>
      <c r="C925">
        <v>12</v>
      </c>
      <c r="D925" s="2">
        <f>ff_portfolios25!D925-ff_factors!$E925</f>
        <v>2.6408000000000001E-2</v>
      </c>
      <c r="E925" s="2">
        <f>ff_portfolios25!E925-ff_factors!$E925</f>
        <v>6.3311999999999993E-2</v>
      </c>
      <c r="F925" s="2">
        <f>ff_portfolios25!F925-ff_factors!$E925</f>
        <v>5.6862000000000003E-2</v>
      </c>
      <c r="G925" s="2">
        <f>ff_portfolios25!G925-ff_factors!$E925</f>
        <v>2.6057E-2</v>
      </c>
      <c r="H925" s="2">
        <f>ff_portfolios25!H925-ff_factors!$E925</f>
        <v>4.24E-2</v>
      </c>
      <c r="I925" s="2">
        <f>ff_portfolios25!I925-ff_factors!$E925</f>
        <v>3.8143999999999997E-2</v>
      </c>
      <c r="J925" s="2">
        <f>ff_portfolios25!J925-ff_factors!$E925</f>
        <v>6.4306000000000002E-2</v>
      </c>
      <c r="K925" s="2">
        <f>ff_portfolios25!K925-ff_factors!$E925</f>
        <v>6.2306E-2</v>
      </c>
      <c r="L925" s="2">
        <f>ff_portfolios25!L925-ff_factors!$E925</f>
        <v>5.4634000000000002E-2</v>
      </c>
      <c r="M925" s="2">
        <f>ff_portfolios25!M925-ff_factors!$E925</f>
        <v>6.9403999999999993E-2</v>
      </c>
      <c r="N925" s="2">
        <f>ff_portfolios25!N925-ff_factors!$E925</f>
        <v>6.6118999999999997E-2</v>
      </c>
      <c r="O925" s="2">
        <f>ff_portfolios25!O925-ff_factors!$E925</f>
        <v>3.3735000000000001E-2</v>
      </c>
      <c r="P925" s="2">
        <f>ff_portfolios25!P925-ff_factors!$E925</f>
        <v>4.4795000000000001E-2</v>
      </c>
      <c r="Q925" s="2">
        <f>ff_portfolios25!Q925-ff_factors!$E925</f>
        <v>-1.6620000000000001E-3</v>
      </c>
      <c r="R925" s="2">
        <f>ff_portfolios25!R925-ff_factors!$E925</f>
        <v>0.102627</v>
      </c>
      <c r="S925" s="2">
        <f>ff_portfolios25!S925-ff_factors!$E925</f>
        <v>4.3912E-2</v>
      </c>
      <c r="T925" s="2">
        <f>ff_portfolios25!T925-ff_factors!$E925</f>
        <v>6.7972000000000005E-2</v>
      </c>
      <c r="U925" s="2">
        <f>ff_portfolios25!U925-ff_factors!$E925</f>
        <v>2.6072000000000001E-2</v>
      </c>
      <c r="V925" s="2">
        <f>ff_portfolios25!V925-ff_factors!$E925</f>
        <v>2.4851999999999999E-2</v>
      </c>
      <c r="W925" s="2">
        <f>ff_portfolios25!W925-ff_factors!$E925</f>
        <v>1.3199000000000001E-2</v>
      </c>
      <c r="X925" s="2">
        <f>ff_portfolios25!X925-ff_factors!$E925</f>
        <v>1.5047E-2</v>
      </c>
      <c r="Y925" s="2">
        <f>ff_portfolios25!Y925-ff_factors!$E925</f>
        <v>9.7059999999999994E-3</v>
      </c>
      <c r="Z925" s="2">
        <f>ff_portfolios25!Z925-ff_factors!$E925</f>
        <v>4.6820000000000004E-3</v>
      </c>
      <c r="AA925" s="2">
        <f>ff_portfolios25!AA925-ff_factors!$E925</f>
        <v>-1.8058999999999999E-2</v>
      </c>
      <c r="AB925" s="2">
        <f>ff_portfolios25!AB925-ff_factors!$E925</f>
        <v>3.6935000000000003E-2</v>
      </c>
    </row>
    <row r="926" spans="1:28" x14ac:dyDescent="0.2">
      <c r="A926">
        <v>20090130</v>
      </c>
      <c r="B926">
        <v>2009</v>
      </c>
      <c r="C926">
        <v>1</v>
      </c>
      <c r="D926" s="2">
        <f>ff_portfolios25!D926-ff_factors!$E926</f>
        <v>-6.8473000000000006E-2</v>
      </c>
      <c r="E926" s="2">
        <f>ff_portfolios25!E926-ff_factors!$E926</f>
        <v>-7.6716999999999994E-2</v>
      </c>
      <c r="F926" s="2">
        <f>ff_portfolios25!F926-ff_factors!$E926</f>
        <v>-9.7263000000000002E-2</v>
      </c>
      <c r="G926" s="2">
        <f>ff_portfolios25!G926-ff_factors!$E926</f>
        <v>-0.15751000000000001</v>
      </c>
      <c r="H926" s="2">
        <f>ff_portfolios25!H926-ff_factors!$E926</f>
        <v>-0.15306400000000001</v>
      </c>
      <c r="I926" s="2">
        <f>ff_portfolios25!I926-ff_factors!$E926</f>
        <v>-6.9653000000000007E-2</v>
      </c>
      <c r="J926" s="2">
        <f>ff_portfolios25!J926-ff_factors!$E926</f>
        <v>-5.4434000000000003E-2</v>
      </c>
      <c r="K926" s="2">
        <f>ff_portfolios25!K926-ff_factors!$E926</f>
        <v>-0.11157599999999999</v>
      </c>
      <c r="L926" s="2">
        <f>ff_portfolios25!L926-ff_factors!$E926</f>
        <v>-0.139183</v>
      </c>
      <c r="M926" s="2">
        <f>ff_portfolios25!M926-ff_factors!$E926</f>
        <v>-0.195914</v>
      </c>
      <c r="N926" s="2">
        <f>ff_portfolios25!N926-ff_factors!$E926</f>
        <v>-5.9840999999999998E-2</v>
      </c>
      <c r="O926" s="2">
        <f>ff_portfolios25!O926-ff_factors!$E926</f>
        <v>-8.7277999999999994E-2</v>
      </c>
      <c r="P926" s="2">
        <f>ff_portfolios25!P926-ff_factors!$E926</f>
        <v>-8.7113999999999997E-2</v>
      </c>
      <c r="Q926" s="2">
        <f>ff_portfolios25!Q926-ff_factors!$E926</f>
        <v>-6.6410999999999998E-2</v>
      </c>
      <c r="R926" s="2">
        <f>ff_portfolios25!R926-ff_factors!$E926</f>
        <v>-0.18319299999999999</v>
      </c>
      <c r="S926" s="2">
        <f>ff_portfolios25!S926-ff_factors!$E926</f>
        <v>-4.4718000000000001E-2</v>
      </c>
      <c r="T926" s="2">
        <f>ff_portfolios25!T926-ff_factors!$E926</f>
        <v>-6.1899000000000003E-2</v>
      </c>
      <c r="U926" s="2">
        <f>ff_portfolios25!U926-ff_factors!$E926</f>
        <v>-6.7697999999999994E-2</v>
      </c>
      <c r="V926" s="2">
        <f>ff_portfolios25!V926-ff_factors!$E926</f>
        <v>-9.0176000000000006E-2</v>
      </c>
      <c r="W926" s="2">
        <f>ff_portfolios25!W926-ff_factors!$E926</f>
        <v>-0.17035900000000001</v>
      </c>
      <c r="X926" s="2">
        <f>ff_portfolios25!X926-ff_factors!$E926</f>
        <v>-3.2002999999999997E-2</v>
      </c>
      <c r="Y926" s="2">
        <f>ff_portfolios25!Y926-ff_factors!$E926</f>
        <v>-9.7497E-2</v>
      </c>
      <c r="Z926" s="2">
        <f>ff_portfolios25!Z926-ff_factors!$E926</f>
        <v>-0.108447</v>
      </c>
      <c r="AA926" s="2">
        <f>ff_portfolios25!AA926-ff_factors!$E926</f>
        <v>-0.18815200000000001</v>
      </c>
      <c r="AB926" s="2">
        <f>ff_portfolios25!AB926-ff_factors!$E926</f>
        <v>-0.126531</v>
      </c>
    </row>
    <row r="927" spans="1:28" x14ac:dyDescent="0.2">
      <c r="A927">
        <v>20090227</v>
      </c>
      <c r="B927">
        <v>2009</v>
      </c>
      <c r="C927">
        <v>2</v>
      </c>
      <c r="D927" s="2">
        <f>ff_portfolios25!D927-ff_factors!$E927</f>
        <v>-0.110573</v>
      </c>
      <c r="E927" s="2">
        <f>ff_portfolios25!E927-ff_factors!$E927</f>
        <v>-0.105807</v>
      </c>
      <c r="F927" s="2">
        <f>ff_portfolios25!F927-ff_factors!$E927</f>
        <v>-0.12498000000000001</v>
      </c>
      <c r="G927" s="2">
        <f>ff_portfolios25!G927-ff_factors!$E927</f>
        <v>-0.132163</v>
      </c>
      <c r="H927" s="2">
        <f>ff_portfolios25!H927-ff_factors!$E927</f>
        <v>-0.149418</v>
      </c>
      <c r="I927" s="2">
        <f>ff_portfolios25!I927-ff_factors!$E927</f>
        <v>-0.10051400000000001</v>
      </c>
      <c r="J927" s="2">
        <f>ff_portfolios25!J927-ff_factors!$E927</f>
        <v>-8.6844000000000005E-2</v>
      </c>
      <c r="K927" s="2">
        <f>ff_portfolios25!K927-ff_factors!$E927</f>
        <v>-0.106724</v>
      </c>
      <c r="L927" s="2">
        <f>ff_portfolios25!L927-ff_factors!$E927</f>
        <v>-0.13506699999999999</v>
      </c>
      <c r="M927" s="2">
        <f>ff_portfolios25!M927-ff_factors!$E927</f>
        <v>-0.21565399999999998</v>
      </c>
      <c r="N927" s="2">
        <f>ff_portfolios25!N927-ff_factors!$E927</f>
        <v>-6.4216999999999996E-2</v>
      </c>
      <c r="O927" s="2">
        <f>ff_portfolios25!O927-ff_factors!$E927</f>
        <v>-0.10787200000000001</v>
      </c>
      <c r="P927" s="2">
        <f>ff_portfolios25!P927-ff_factors!$E927</f>
        <v>-9.4923000000000007E-2</v>
      </c>
      <c r="Q927" s="2">
        <f>ff_portfolios25!Q927-ff_factors!$E927</f>
        <v>-0.12628799999999998</v>
      </c>
      <c r="R927" s="2">
        <f>ff_portfolios25!R927-ff_factors!$E927</f>
        <v>-0.11466900000000001</v>
      </c>
      <c r="S927" s="2">
        <f>ff_portfolios25!S927-ff_factors!$E927</f>
        <v>-6.7147999999999999E-2</v>
      </c>
      <c r="T927" s="2">
        <f>ff_portfolios25!T927-ff_factors!$E927</f>
        <v>-8.3104999999999998E-2</v>
      </c>
      <c r="U927" s="2">
        <f>ff_portfolios25!U927-ff_factors!$E927</f>
        <v>-0.110207</v>
      </c>
      <c r="V927" s="2">
        <f>ff_portfolios25!V927-ff_factors!$E927</f>
        <v>-0.14069699999999999</v>
      </c>
      <c r="W927" s="2">
        <f>ff_portfolios25!W927-ff_factors!$E927</f>
        <v>-0.15163699999999999</v>
      </c>
      <c r="X927" s="2">
        <f>ff_portfolios25!X927-ff_factors!$E927</f>
        <v>-7.8490000000000004E-2</v>
      </c>
      <c r="Y927" s="2">
        <f>ff_portfolios25!Y927-ff_factors!$E927</f>
        <v>-9.3091000000000007E-2</v>
      </c>
      <c r="Z927" s="2">
        <f>ff_portfolios25!Z927-ff_factors!$E927</f>
        <v>-0.11981600000000001</v>
      </c>
      <c r="AA927" s="2">
        <f>ff_portfolios25!AA927-ff_factors!$E927</f>
        <v>-0.19611599999999998</v>
      </c>
      <c r="AB927" s="2">
        <f>ff_portfolios25!AB927-ff_factors!$E927</f>
        <v>-0.11752700000000001</v>
      </c>
    </row>
    <row r="928" spans="1:28" x14ac:dyDescent="0.2">
      <c r="A928">
        <v>20090331</v>
      </c>
      <c r="B928">
        <v>2009</v>
      </c>
      <c r="C928">
        <v>3</v>
      </c>
      <c r="D928" s="2">
        <f>ff_portfolios25!D928-ff_factors!$E928</f>
        <v>0.105502</v>
      </c>
      <c r="E928" s="2">
        <f>ff_portfolios25!E928-ff_factors!$E928</f>
        <v>0.11432299999999999</v>
      </c>
      <c r="F928" s="2">
        <f>ff_portfolios25!F928-ff_factors!$E928</f>
        <v>0.10602299999999999</v>
      </c>
      <c r="G928" s="2">
        <f>ff_portfolios25!G928-ff_factors!$E928</f>
        <v>7.7557000000000001E-2</v>
      </c>
      <c r="H928" s="2">
        <f>ff_portfolios25!H928-ff_factors!$E928</f>
        <v>0.10348099999999999</v>
      </c>
      <c r="I928" s="2">
        <f>ff_portfolios25!I928-ff_factors!$E928</f>
        <v>8.2738999999999993E-2</v>
      </c>
      <c r="J928" s="2">
        <f>ff_portfolios25!J928-ff_factors!$E928</f>
        <v>0.11126399999999999</v>
      </c>
      <c r="K928" s="2">
        <f>ff_portfolios25!K928-ff_factors!$E928</f>
        <v>9.6590999999999996E-2</v>
      </c>
      <c r="L928" s="2">
        <f>ff_portfolios25!L928-ff_factors!$E928</f>
        <v>7.4440999999999993E-2</v>
      </c>
      <c r="M928" s="2">
        <f>ff_portfolios25!M928-ff_factors!$E928</f>
        <v>0.13877899999999999</v>
      </c>
      <c r="N928" s="2">
        <f>ff_portfolios25!N928-ff_factors!$E928</f>
        <v>8.8204999999999992E-2</v>
      </c>
      <c r="O928" s="2">
        <f>ff_portfolios25!O928-ff_factors!$E928</f>
        <v>9.2666999999999999E-2</v>
      </c>
      <c r="P928" s="2">
        <f>ff_portfolios25!P928-ff_factors!$E928</f>
        <v>9.9699999999999997E-2</v>
      </c>
      <c r="Q928" s="2">
        <f>ff_portfolios25!Q928-ff_factors!$E928</f>
        <v>8.5948999999999998E-2</v>
      </c>
      <c r="R928" s="2">
        <f>ff_portfolios25!R928-ff_factors!$E928</f>
        <v>0.13273299999999999</v>
      </c>
      <c r="S928" s="2">
        <f>ff_portfolios25!S928-ff_factors!$E928</f>
        <v>8.3546999999999996E-2</v>
      </c>
      <c r="T928" s="2">
        <f>ff_portfolios25!T928-ff_factors!$E928</f>
        <v>9.2363999999999988E-2</v>
      </c>
      <c r="U928" s="2">
        <f>ff_portfolios25!U928-ff_factors!$E928</f>
        <v>7.3935000000000001E-2</v>
      </c>
      <c r="V928" s="2">
        <f>ff_portfolios25!V928-ff_factors!$E928</f>
        <v>0.11018199999999999</v>
      </c>
      <c r="W928" s="2">
        <f>ff_portfolios25!W928-ff_factors!$E928</f>
        <v>0.10449</v>
      </c>
      <c r="X928" s="2">
        <f>ff_portfolios25!X928-ff_factors!$E928</f>
        <v>8.1072999999999992E-2</v>
      </c>
      <c r="Y928" s="2">
        <f>ff_portfolios25!Y928-ff_factors!$E928</f>
        <v>8.3537E-2</v>
      </c>
      <c r="Z928" s="2">
        <f>ff_portfolios25!Z928-ff_factors!$E928</f>
        <v>9.6424999999999997E-2</v>
      </c>
      <c r="AA928" s="2">
        <f>ff_portfolios25!AA928-ff_factors!$E928</f>
        <v>0.117464</v>
      </c>
      <c r="AB928" s="2">
        <f>ff_portfolios25!AB928-ff_factors!$E928</f>
        <v>0.115768</v>
      </c>
    </row>
    <row r="929" spans="1:28" x14ac:dyDescent="0.2">
      <c r="A929">
        <v>20090430</v>
      </c>
      <c r="B929">
        <v>2009</v>
      </c>
      <c r="C929">
        <v>4</v>
      </c>
      <c r="D929" s="2">
        <f>ff_portfolios25!D929-ff_factors!$E929</f>
        <v>0.18905000000000002</v>
      </c>
      <c r="E929" s="2">
        <f>ff_portfolios25!E929-ff_factors!$E929</f>
        <v>0.15922600000000001</v>
      </c>
      <c r="F929" s="2">
        <f>ff_portfolios25!F929-ff_factors!$E929</f>
        <v>0.15967700000000001</v>
      </c>
      <c r="G929" s="2">
        <f>ff_portfolios25!G929-ff_factors!$E929</f>
        <v>0.160247</v>
      </c>
      <c r="H929" s="2">
        <f>ff_portfolios25!H929-ff_factors!$E929</f>
        <v>0.17333200000000001</v>
      </c>
      <c r="I929" s="2">
        <f>ff_portfolios25!I929-ff_factors!$E929</f>
        <v>0.16043500000000002</v>
      </c>
      <c r="J929" s="2">
        <f>ff_portfolios25!J929-ff_factors!$E929</f>
        <v>0.178063</v>
      </c>
      <c r="K929" s="2">
        <f>ff_portfolios25!K929-ff_factors!$E929</f>
        <v>0.15378900000000001</v>
      </c>
      <c r="L929" s="2">
        <f>ff_portfolios25!L929-ff_factors!$E929</f>
        <v>0.13718900000000001</v>
      </c>
      <c r="M929" s="2">
        <f>ff_portfolios25!M929-ff_factors!$E929</f>
        <v>0.19139700000000001</v>
      </c>
      <c r="N929" s="2">
        <f>ff_portfolios25!N929-ff_factors!$E929</f>
        <v>0.14109300000000002</v>
      </c>
      <c r="O929" s="2">
        <f>ff_portfolios25!O929-ff_factors!$E929</f>
        <v>0.18179300000000001</v>
      </c>
      <c r="P929" s="2">
        <f>ff_portfolios25!P929-ff_factors!$E929</f>
        <v>0.13842500000000002</v>
      </c>
      <c r="Q929" s="2">
        <f>ff_portfolios25!Q929-ff_factors!$E929</f>
        <v>0.16234900000000002</v>
      </c>
      <c r="R929" s="2">
        <f>ff_portfolios25!R929-ff_factors!$E929</f>
        <v>0.15782900000000002</v>
      </c>
      <c r="S929" s="2">
        <f>ff_portfolios25!S929-ff_factors!$E929</f>
        <v>0.112417</v>
      </c>
      <c r="T929" s="2">
        <f>ff_portfolios25!T929-ff_factors!$E929</f>
        <v>0.13975900000000002</v>
      </c>
      <c r="U929" s="2">
        <f>ff_portfolios25!U929-ff_factors!$E929</f>
        <v>0.16870500000000002</v>
      </c>
      <c r="V929" s="2">
        <f>ff_portfolios25!V929-ff_factors!$E929</f>
        <v>0.143677</v>
      </c>
      <c r="W929" s="2">
        <f>ff_portfolios25!W929-ff_factors!$E929</f>
        <v>0.17022400000000001</v>
      </c>
      <c r="X929" s="2">
        <f>ff_portfolios25!X929-ff_factors!$E929</f>
        <v>6.7530999999999994E-2</v>
      </c>
      <c r="Y929" s="2">
        <f>ff_portfolios25!Y929-ff_factors!$E929</f>
        <v>7.0766999999999997E-2</v>
      </c>
      <c r="Z929" s="2">
        <f>ff_portfolios25!Z929-ff_factors!$E929</f>
        <v>0.10881099999999999</v>
      </c>
      <c r="AA929" s="2">
        <f>ff_portfolios25!AA929-ff_factors!$E929</f>
        <v>0.138186</v>
      </c>
      <c r="AB929" s="2">
        <f>ff_portfolios25!AB929-ff_factors!$E929</f>
        <v>0.23616400000000001</v>
      </c>
    </row>
    <row r="930" spans="1:28" x14ac:dyDescent="0.2">
      <c r="A930">
        <v>20090529</v>
      </c>
      <c r="B930">
        <v>2009</v>
      </c>
      <c r="C930">
        <v>5</v>
      </c>
      <c r="D930" s="2">
        <f>ff_portfolios25!D930-ff_factors!$E930</f>
        <v>6.0812999999999999E-2</v>
      </c>
      <c r="E930" s="2">
        <f>ff_portfolios25!E930-ff_factors!$E930</f>
        <v>5.6240999999999999E-2</v>
      </c>
      <c r="F930" s="2">
        <f>ff_portfolios25!F930-ff_factors!$E930</f>
        <v>4.6831999999999999E-2</v>
      </c>
      <c r="G930" s="2">
        <f>ff_portfolios25!G930-ff_factors!$E930</f>
        <v>4.3968E-2</v>
      </c>
      <c r="H930" s="2">
        <f>ff_portfolios25!H930-ff_factors!$E930</f>
        <v>3.8653E-2</v>
      </c>
      <c r="I930" s="2">
        <f>ff_portfolios25!I930-ff_factors!$E930</f>
        <v>4.3354999999999998E-2</v>
      </c>
      <c r="J930" s="2">
        <f>ff_portfolios25!J930-ff_factors!$E930</f>
        <v>2.7233E-2</v>
      </c>
      <c r="K930" s="2">
        <f>ff_portfolios25!K930-ff_factors!$E930</f>
        <v>2.6717000000000001E-2</v>
      </c>
      <c r="L930" s="2">
        <f>ff_portfolios25!L930-ff_factors!$E930</f>
        <v>5.5329999999999997E-3</v>
      </c>
      <c r="M930" s="2">
        <f>ff_portfolios25!M930-ff_factors!$E930</f>
        <v>4.8252000000000003E-2</v>
      </c>
      <c r="N930" s="2">
        <f>ff_portfolios25!N930-ff_factors!$E930</f>
        <v>3.9147000000000001E-2</v>
      </c>
      <c r="O930" s="2">
        <f>ff_portfolios25!O930-ff_factors!$E930</f>
        <v>1.4203E-2</v>
      </c>
      <c r="P930" s="2">
        <f>ff_portfolios25!P930-ff_factors!$E930</f>
        <v>2.8646999999999999E-2</v>
      </c>
      <c r="Q930" s="2">
        <f>ff_portfolios25!Q930-ff_factors!$E930</f>
        <v>1.2742E-2</v>
      </c>
      <c r="R930" s="2">
        <f>ff_portfolios25!R930-ff_factors!$E930</f>
        <v>-1.1027E-2</v>
      </c>
      <c r="S930" s="2">
        <f>ff_portfolios25!S930-ff_factors!$E930</f>
        <v>3.6998000000000003E-2</v>
      </c>
      <c r="T930" s="2">
        <f>ff_portfolios25!T930-ff_factors!$E930</f>
        <v>2.7352999999999999E-2</v>
      </c>
      <c r="U930" s="2">
        <f>ff_portfolios25!U930-ff_factors!$E930</f>
        <v>4.9496999999999999E-2</v>
      </c>
      <c r="V930" s="2">
        <f>ff_portfolios25!V930-ff_factors!$E930</f>
        <v>8.6146E-2</v>
      </c>
      <c r="W930" s="2">
        <f>ff_portfolios25!W930-ff_factors!$E930</f>
        <v>3.8581999999999998E-2</v>
      </c>
      <c r="X930" s="2">
        <f>ff_portfolios25!X930-ff_factors!$E930</f>
        <v>5.1263000000000003E-2</v>
      </c>
      <c r="Y930" s="2">
        <f>ff_portfolios25!Y930-ff_factors!$E930</f>
        <v>5.3799E-2</v>
      </c>
      <c r="Z930" s="2">
        <f>ff_portfolios25!Z930-ff_factors!$E930</f>
        <v>4.8590000000000001E-2</v>
      </c>
      <c r="AA930" s="2">
        <f>ff_portfolios25!AA930-ff_factors!$E930</f>
        <v>8.3486000000000005E-2</v>
      </c>
      <c r="AB930" s="2">
        <f>ff_portfolios25!AB930-ff_factors!$E930</f>
        <v>7.3482000000000006E-2</v>
      </c>
    </row>
    <row r="931" spans="1:28" x14ac:dyDescent="0.2">
      <c r="A931">
        <v>20090630</v>
      </c>
      <c r="B931">
        <v>2009</v>
      </c>
      <c r="C931">
        <v>6</v>
      </c>
      <c r="D931" s="2">
        <f>ff_portfolios25!D931-ff_factors!$E931</f>
        <v>7.8284999999999993E-2</v>
      </c>
      <c r="E931" s="2">
        <f>ff_portfolios25!E931-ff_factors!$E931</f>
        <v>5.2121999999999995E-2</v>
      </c>
      <c r="F931" s="2">
        <f>ff_portfolios25!F931-ff_factors!$E931</f>
        <v>4.2275999999999994E-2</v>
      </c>
      <c r="G931" s="2">
        <f>ff_portfolios25!G931-ff_factors!$E931</f>
        <v>2.5984E-2</v>
      </c>
      <c r="H931" s="2">
        <f>ff_portfolios25!H931-ff_factors!$E931</f>
        <v>3.1248000000000001E-2</v>
      </c>
      <c r="I931" s="2">
        <f>ff_portfolios25!I931-ff_factors!$E931</f>
        <v>6.3781999999999991E-2</v>
      </c>
      <c r="J931" s="2">
        <f>ff_portfolios25!J931-ff_factors!$E931</f>
        <v>1.7837000000000002E-2</v>
      </c>
      <c r="K931" s="2">
        <f>ff_portfolios25!K931-ff_factors!$E931</f>
        <v>1.1179000000000001E-2</v>
      </c>
      <c r="L931" s="2">
        <f>ff_portfolios25!L931-ff_factors!$E931</f>
        <v>-2.3157000000000001E-2</v>
      </c>
      <c r="M931" s="2">
        <f>ff_portfolios25!M931-ff_factors!$E931</f>
        <v>4.3709999999999999E-3</v>
      </c>
      <c r="N931" s="2">
        <f>ff_portfolios25!N931-ff_factors!$E931</f>
        <v>1.8105E-2</v>
      </c>
      <c r="O931" s="2">
        <f>ff_portfolios25!O931-ff_factors!$E931</f>
        <v>1.5076000000000001E-2</v>
      </c>
      <c r="P931" s="2">
        <f>ff_portfolios25!P931-ff_factors!$E931</f>
        <v>-1.6809000000000001E-2</v>
      </c>
      <c r="Q931" s="2">
        <f>ff_portfolios25!Q931-ff_factors!$E931</f>
        <v>4.4149999999999997E-3</v>
      </c>
      <c r="R931" s="2">
        <f>ff_portfolios25!R931-ff_factors!$E931</f>
        <v>1.9790000000000003E-3</v>
      </c>
      <c r="S931" s="2">
        <f>ff_portfolios25!S931-ff_factors!$E931</f>
        <v>1.9369000000000001E-2</v>
      </c>
      <c r="T931" s="2">
        <f>ff_portfolios25!T931-ff_factors!$E931</f>
        <v>5.2129999999999998E-3</v>
      </c>
      <c r="U931" s="2">
        <f>ff_portfolios25!U931-ff_factors!$E931</f>
        <v>-1.2610999999999999E-2</v>
      </c>
      <c r="V931" s="2">
        <f>ff_portfolios25!V931-ff_factors!$E931</f>
        <v>-6.953E-3</v>
      </c>
      <c r="W931" s="2">
        <f>ff_portfolios25!W931-ff_factors!$E931</f>
        <v>-1.8760000000000001E-3</v>
      </c>
      <c r="X931" s="2">
        <f>ff_portfolios25!X931-ff_factors!$E931</f>
        <v>1.7823000000000002E-2</v>
      </c>
      <c r="Y931" s="2">
        <f>ff_portfolios25!Y931-ff_factors!$E931</f>
        <v>-1.6125E-2</v>
      </c>
      <c r="Z931" s="2">
        <f>ff_portfolios25!Z931-ff_factors!$E931</f>
        <v>-1.8810000000000001E-3</v>
      </c>
      <c r="AA931" s="2">
        <f>ff_portfolios25!AA931-ff_factors!$E931</f>
        <v>-8.9540000000000002E-3</v>
      </c>
      <c r="AB931" s="2">
        <f>ff_portfolios25!AB931-ff_factors!$E931</f>
        <v>-1.6671999999999999E-2</v>
      </c>
    </row>
    <row r="932" spans="1:28" x14ac:dyDescent="0.2">
      <c r="A932">
        <v>20090731</v>
      </c>
      <c r="B932">
        <v>2009</v>
      </c>
      <c r="C932">
        <v>7</v>
      </c>
      <c r="D932" s="2">
        <f>ff_portfolios25!D932-ff_factors!$E932</f>
        <v>8.6246000000000003E-2</v>
      </c>
      <c r="E932" s="2">
        <f>ff_portfolios25!E932-ff_factors!$E932</f>
        <v>7.2676999999999992E-2</v>
      </c>
      <c r="F932" s="2">
        <f>ff_portfolios25!F932-ff_factors!$E932</f>
        <v>9.1844999999999996E-2</v>
      </c>
      <c r="G932" s="2">
        <f>ff_portfolios25!G932-ff_factors!$E932</f>
        <v>8.8882000000000003E-2</v>
      </c>
      <c r="H932" s="2">
        <f>ff_portfolios25!H932-ff_factors!$E932</f>
        <v>0.137572</v>
      </c>
      <c r="I932" s="2">
        <f>ff_portfolios25!I932-ff_factors!$E932</f>
        <v>5.9790999999999997E-2</v>
      </c>
      <c r="J932" s="2">
        <f>ff_portfolios25!J932-ff_factors!$E932</f>
        <v>6.9349999999999995E-2</v>
      </c>
      <c r="K932" s="2">
        <f>ff_portfolios25!K932-ff_factors!$E932</f>
        <v>0.121672</v>
      </c>
      <c r="L932" s="2">
        <f>ff_portfolios25!L932-ff_factors!$E932</f>
        <v>0.118854</v>
      </c>
      <c r="M932" s="2">
        <f>ff_portfolios25!M932-ff_factors!$E932</f>
        <v>0.13367000000000001</v>
      </c>
      <c r="N932" s="2">
        <f>ff_portfolios25!N932-ff_factors!$E932</f>
        <v>6.9371000000000002E-2</v>
      </c>
      <c r="O932" s="2">
        <f>ff_portfolios25!O932-ff_factors!$E932</f>
        <v>9.4385999999999998E-2</v>
      </c>
      <c r="P932" s="2">
        <f>ff_portfolios25!P932-ff_factors!$E932</f>
        <v>9.9907999999999997E-2</v>
      </c>
      <c r="Q932" s="2">
        <f>ff_portfolios25!Q932-ff_factors!$E932</f>
        <v>0.1232</v>
      </c>
      <c r="R932" s="2">
        <f>ff_portfolios25!R932-ff_factors!$E932</f>
        <v>0.160972</v>
      </c>
      <c r="S932" s="2">
        <f>ff_portfolios25!S932-ff_factors!$E932</f>
        <v>7.6646999999999993E-2</v>
      </c>
      <c r="T932" s="2">
        <f>ff_portfolios25!T932-ff_factors!$E932</f>
        <v>7.6375999999999999E-2</v>
      </c>
      <c r="U932" s="2">
        <f>ff_portfolios25!U932-ff_factors!$E932</f>
        <v>9.4008999999999995E-2</v>
      </c>
      <c r="V932" s="2">
        <f>ff_portfolios25!V932-ff_factors!$E932</f>
        <v>0.12005299999999999</v>
      </c>
      <c r="W932" s="2">
        <f>ff_portfolios25!W932-ff_factors!$E932</f>
        <v>0.110786</v>
      </c>
      <c r="X932" s="2">
        <f>ff_portfolios25!X932-ff_factors!$E932</f>
        <v>5.9045E-2</v>
      </c>
      <c r="Y932" s="2">
        <f>ff_portfolios25!Y932-ff_factors!$E932</f>
        <v>8.8319999999999996E-2</v>
      </c>
      <c r="Z932" s="2">
        <f>ff_portfolios25!Z932-ff_factors!$E932</f>
        <v>7.6616999999999991E-2</v>
      </c>
      <c r="AA932" s="2">
        <f>ff_portfolios25!AA932-ff_factors!$E932</f>
        <v>8.523E-2</v>
      </c>
      <c r="AB932" s="2">
        <f>ff_portfolios25!AB932-ff_factors!$E932</f>
        <v>9.2734999999999998E-2</v>
      </c>
    </row>
    <row r="933" spans="1:28" x14ac:dyDescent="0.2">
      <c r="A933">
        <v>20090831</v>
      </c>
      <c r="B933">
        <v>2009</v>
      </c>
      <c r="C933">
        <v>8</v>
      </c>
      <c r="D933" s="2">
        <f>ff_portfolios25!D933-ff_factors!$E933</f>
        <v>3.5289999999999995E-2</v>
      </c>
      <c r="E933" s="2">
        <f>ff_portfolios25!E933-ff_factors!$E933</f>
        <v>2.3366000000000001E-2</v>
      </c>
      <c r="F933" s="2">
        <f>ff_portfolios25!F933-ff_factors!$E933</f>
        <v>3.5920999999999995E-2</v>
      </c>
      <c r="G933" s="2">
        <f>ff_portfolios25!G933-ff_factors!$E933</f>
        <v>3.8584E-2</v>
      </c>
      <c r="H933" s="2">
        <f>ff_portfolios25!H933-ff_factors!$E933</f>
        <v>0.10148499999999999</v>
      </c>
      <c r="I933" s="2">
        <f>ff_portfolios25!I933-ff_factors!$E933</f>
        <v>1.4600000000000003E-4</v>
      </c>
      <c r="J933" s="2">
        <f>ff_portfolios25!J933-ff_factors!$E933</f>
        <v>7.4709999999999993E-3</v>
      </c>
      <c r="K933" s="2">
        <f>ff_portfolios25!K933-ff_factors!$E933</f>
        <v>3.2577999999999996E-2</v>
      </c>
      <c r="L933" s="2">
        <f>ff_portfolios25!L933-ff_factors!$E933</f>
        <v>4.1874999999999996E-2</v>
      </c>
      <c r="M933" s="2">
        <f>ff_portfolios25!M933-ff_factors!$E933</f>
        <v>8.0129999999999993E-2</v>
      </c>
      <c r="N933" s="2">
        <f>ff_portfolios25!N933-ff_factors!$E933</f>
        <v>9.8760000000000011E-3</v>
      </c>
      <c r="O933" s="2">
        <f>ff_portfolios25!O933-ff_factors!$E933</f>
        <v>9.8720000000000006E-3</v>
      </c>
      <c r="P933" s="2">
        <f>ff_portfolios25!P933-ff_factors!$E933</f>
        <v>3.8085999999999995E-2</v>
      </c>
      <c r="Q933" s="2">
        <f>ff_portfolios25!Q933-ff_factors!$E933</f>
        <v>4.4679999999999997E-2</v>
      </c>
      <c r="R933" s="2">
        <f>ff_portfolios25!R933-ff_factors!$E933</f>
        <v>0.115913</v>
      </c>
      <c r="S933" s="2">
        <f>ff_portfolios25!S933-ff_factors!$E933</f>
        <v>2.0210000000000002E-2</v>
      </c>
      <c r="T933" s="2">
        <f>ff_portfolios25!T933-ff_factors!$E933</f>
        <v>4.3760999999999994E-2</v>
      </c>
      <c r="U933" s="2">
        <f>ff_portfolios25!U933-ff_factors!$E933</f>
        <v>3.2633999999999996E-2</v>
      </c>
      <c r="V933" s="2">
        <f>ff_portfolios25!V933-ff_factors!$E933</f>
        <v>6.1238999999999995E-2</v>
      </c>
      <c r="W933" s="2">
        <f>ff_portfolios25!W933-ff_factors!$E933</f>
        <v>0.153086</v>
      </c>
      <c r="X933" s="2">
        <f>ff_portfolios25!X933-ff_factors!$E933</f>
        <v>1.2149E-2</v>
      </c>
      <c r="Y933" s="2">
        <f>ff_portfolios25!Y933-ff_factors!$E933</f>
        <v>4.4264999999999999E-2</v>
      </c>
      <c r="Z933" s="2">
        <f>ff_portfolios25!Z933-ff_factors!$E933</f>
        <v>2.5191999999999999E-2</v>
      </c>
      <c r="AA933" s="2">
        <f>ff_portfolios25!AA933-ff_factors!$E933</f>
        <v>6.2515000000000001E-2</v>
      </c>
      <c r="AB933" s="2">
        <f>ff_portfolios25!AB933-ff_factors!$E933</f>
        <v>0.14640400000000001</v>
      </c>
    </row>
    <row r="934" spans="1:28" x14ac:dyDescent="0.2">
      <c r="A934">
        <v>20090930</v>
      </c>
      <c r="B934">
        <v>2009</v>
      </c>
      <c r="C934">
        <v>9</v>
      </c>
      <c r="D934" s="2">
        <f>ff_portfolios25!D934-ff_factors!$E934</f>
        <v>5.1307999999999999E-2</v>
      </c>
      <c r="E934" s="2">
        <f>ff_portfolios25!E934-ff_factors!$E934</f>
        <v>5.4255999999999999E-2</v>
      </c>
      <c r="F934" s="2">
        <f>ff_portfolios25!F934-ff_factors!$E934</f>
        <v>4.9528999999999997E-2</v>
      </c>
      <c r="G934" s="2">
        <f>ff_portfolios25!G934-ff_factors!$E934</f>
        <v>6.3881999999999994E-2</v>
      </c>
      <c r="H934" s="2">
        <f>ff_portfolios25!H934-ff_factors!$E934</f>
        <v>9.0432999999999999E-2</v>
      </c>
      <c r="I934" s="2">
        <f>ff_portfolios25!I934-ff_factors!$E934</f>
        <v>7.9961999999999991E-2</v>
      </c>
      <c r="J934" s="2">
        <f>ff_portfolios25!J934-ff_factors!$E934</f>
        <v>6.1225999999999996E-2</v>
      </c>
      <c r="K934" s="2">
        <f>ff_portfolios25!K934-ff_factors!$E934</f>
        <v>7.3813999999999991E-2</v>
      </c>
      <c r="L934" s="2">
        <f>ff_portfolios25!L934-ff_factors!$E934</f>
        <v>5.4885999999999997E-2</v>
      </c>
      <c r="M934" s="2">
        <f>ff_portfolios25!M934-ff_factors!$E934</f>
        <v>8.0201999999999996E-2</v>
      </c>
      <c r="N934" s="2">
        <f>ff_portfolios25!N934-ff_factors!$E934</f>
        <v>6.6761000000000001E-2</v>
      </c>
      <c r="O934" s="2">
        <f>ff_portfolios25!O934-ff_factors!$E934</f>
        <v>4.0344999999999999E-2</v>
      </c>
      <c r="P934" s="2">
        <f>ff_portfolios25!P934-ff_factors!$E934</f>
        <v>6.6376999999999992E-2</v>
      </c>
      <c r="Q934" s="2">
        <f>ff_portfolios25!Q934-ff_factors!$E934</f>
        <v>7.9173999999999994E-2</v>
      </c>
      <c r="R934" s="2">
        <f>ff_portfolios25!R934-ff_factors!$E934</f>
        <v>6.9829000000000002E-2</v>
      </c>
      <c r="S934" s="2">
        <f>ff_portfolios25!S934-ff_factors!$E934</f>
        <v>6.8415000000000004E-2</v>
      </c>
      <c r="T934" s="2">
        <f>ff_portfolios25!T934-ff_factors!$E934</f>
        <v>4.9990999999999994E-2</v>
      </c>
      <c r="U934" s="2">
        <f>ff_portfolios25!U934-ff_factors!$E934</f>
        <v>6.1242999999999999E-2</v>
      </c>
      <c r="V934" s="2">
        <f>ff_portfolios25!V934-ff_factors!$E934</f>
        <v>6.4887E-2</v>
      </c>
      <c r="W934" s="2">
        <f>ff_portfolios25!W934-ff_factors!$E934</f>
        <v>8.5331000000000004E-2</v>
      </c>
      <c r="X934" s="2">
        <f>ff_portfolios25!X934-ff_factors!$E934</f>
        <v>3.4852999999999995E-2</v>
      </c>
      <c r="Y934" s="2">
        <f>ff_portfolios25!Y934-ff_factors!$E934</f>
        <v>2.7014E-2</v>
      </c>
      <c r="Z934" s="2">
        <f>ff_portfolios25!Z934-ff_factors!$E934</f>
        <v>4.1349999999999998E-2</v>
      </c>
      <c r="AA934" s="2">
        <f>ff_portfolios25!AA934-ff_factors!$E934</f>
        <v>5.1128999999999994E-2</v>
      </c>
      <c r="AB934" s="2">
        <f>ff_portfolios25!AB934-ff_factors!$E934</f>
        <v>4.9659999999999999E-3</v>
      </c>
    </row>
    <row r="935" spans="1:28" x14ac:dyDescent="0.2">
      <c r="A935">
        <v>20091030</v>
      </c>
      <c r="B935">
        <v>2009</v>
      </c>
      <c r="C935">
        <v>10</v>
      </c>
      <c r="D935" s="2">
        <f>ff_portfolios25!D935-ff_factors!$E935</f>
        <v>-0.10279199999999999</v>
      </c>
      <c r="E935" s="2">
        <f>ff_portfolios25!E935-ff_factors!$E935</f>
        <v>-7.4671000000000001E-2</v>
      </c>
      <c r="F935" s="2">
        <f>ff_portfolios25!F935-ff_factors!$E935</f>
        <v>-6.8518999999999997E-2</v>
      </c>
      <c r="G935" s="2">
        <f>ff_portfolios25!G935-ff_factors!$E935</f>
        <v>-7.6896999999999993E-2</v>
      </c>
      <c r="H935" s="2">
        <f>ff_portfolios25!H935-ff_factors!$E935</f>
        <v>-9.0440999999999994E-2</v>
      </c>
      <c r="I935" s="2">
        <f>ff_portfolios25!I935-ff_factors!$E935</f>
        <v>-7.3444999999999996E-2</v>
      </c>
      <c r="J935" s="2">
        <f>ff_portfolios25!J935-ff_factors!$E935</f>
        <v>-5.1875999999999999E-2</v>
      </c>
      <c r="K935" s="2">
        <f>ff_portfolios25!K935-ff_factors!$E935</f>
        <v>-7.0288000000000003E-2</v>
      </c>
      <c r="L935" s="2">
        <f>ff_portfolios25!L935-ff_factors!$E935</f>
        <v>-9.3954999999999997E-2</v>
      </c>
      <c r="M935" s="2">
        <f>ff_portfolios25!M935-ff_factors!$E935</f>
        <v>-0.100424</v>
      </c>
      <c r="N935" s="2">
        <f>ff_portfolios25!N935-ff_factors!$E935</f>
        <v>-5.0087E-2</v>
      </c>
      <c r="O935" s="2">
        <f>ff_portfolios25!O935-ff_factors!$E935</f>
        <v>-3.6387999999999997E-2</v>
      </c>
      <c r="P935" s="2">
        <f>ff_portfolios25!P935-ff_factors!$E935</f>
        <v>-5.3936999999999999E-2</v>
      </c>
      <c r="Q935" s="2">
        <f>ff_portfolios25!Q935-ff_factors!$E935</f>
        <v>-5.4980000000000001E-2</v>
      </c>
      <c r="R935" s="2">
        <f>ff_portfolios25!R935-ff_factors!$E935</f>
        <v>-9.6849000000000005E-2</v>
      </c>
      <c r="S935" s="2">
        <f>ff_portfolios25!S935-ff_factors!$E935</f>
        <v>-4.6154000000000001E-2</v>
      </c>
      <c r="T935" s="2">
        <f>ff_portfolios25!T935-ff_factors!$E935</f>
        <v>-2.7914000000000001E-2</v>
      </c>
      <c r="U935" s="2">
        <f>ff_portfolios25!U935-ff_factors!$E935</f>
        <v>-4.0351999999999999E-2</v>
      </c>
      <c r="V935" s="2">
        <f>ff_portfolios25!V935-ff_factors!$E935</f>
        <v>-7.4470999999999996E-2</v>
      </c>
      <c r="W935" s="2">
        <f>ff_portfolios25!W935-ff_factors!$E935</f>
        <v>-6.3641000000000003E-2</v>
      </c>
      <c r="X935" s="2">
        <f>ff_portfolios25!X935-ff_factors!$E935</f>
        <v>2.124E-3</v>
      </c>
      <c r="Y935" s="2">
        <f>ff_portfolios25!Y935-ff_factors!$E935</f>
        <v>-1.0952999999999999E-2</v>
      </c>
      <c r="Z935" s="2">
        <f>ff_portfolios25!Z935-ff_factors!$E935</f>
        <v>-3.0771E-2</v>
      </c>
      <c r="AA935" s="2">
        <f>ff_portfolios25!AA935-ff_factors!$E935</f>
        <v>-3.4483E-2</v>
      </c>
      <c r="AB935" s="2">
        <f>ff_portfolios25!AB935-ff_factors!$E935</f>
        <v>-0.100005</v>
      </c>
    </row>
    <row r="936" spans="1:28" x14ac:dyDescent="0.2">
      <c r="A936">
        <v>20091130</v>
      </c>
      <c r="B936">
        <v>2009</v>
      </c>
      <c r="C936">
        <v>11</v>
      </c>
      <c r="D936" s="2">
        <f>ff_portfolios25!D936-ff_factors!$E936</f>
        <v>1.65E-3</v>
      </c>
      <c r="E936" s="2">
        <f>ff_portfolios25!E936-ff_factors!$E936</f>
        <v>-1.0475E-2</v>
      </c>
      <c r="F936" s="2">
        <f>ff_portfolios25!F936-ff_factors!$E936</f>
        <v>3.5520000000000003E-2</v>
      </c>
      <c r="G936" s="2">
        <f>ff_portfolios25!G936-ff_factors!$E936</f>
        <v>1.2632000000000001E-2</v>
      </c>
      <c r="H936" s="2">
        <f>ff_portfolios25!H936-ff_factors!$E936</f>
        <v>1.6292000000000001E-2</v>
      </c>
      <c r="I936" s="2">
        <f>ff_portfolios25!I936-ff_factors!$E936</f>
        <v>2.3491999999999999E-2</v>
      </c>
      <c r="J936" s="2">
        <f>ff_portfolios25!J936-ff_factors!$E936</f>
        <v>1.2253999999999999E-2</v>
      </c>
      <c r="K936" s="2">
        <f>ff_portfolios25!K936-ff_factors!$E936</f>
        <v>2.3326E-2</v>
      </c>
      <c r="L936" s="2">
        <f>ff_portfolios25!L936-ff_factors!$E936</f>
        <v>3.048E-2</v>
      </c>
      <c r="M936" s="2">
        <f>ff_portfolios25!M936-ff_factors!$E936</f>
        <v>5.7456E-2</v>
      </c>
      <c r="N936" s="2">
        <f>ff_portfolios25!N936-ff_factors!$E936</f>
        <v>3.1981000000000002E-2</v>
      </c>
      <c r="O936" s="2">
        <f>ff_portfolios25!O936-ff_factors!$E936</f>
        <v>3.3105000000000002E-2</v>
      </c>
      <c r="P936" s="2">
        <f>ff_portfolios25!P936-ff_factors!$E936</f>
        <v>1.354E-2</v>
      </c>
      <c r="Q936" s="2">
        <f>ff_portfolios25!Q936-ff_factors!$E936</f>
        <v>6.6217999999999999E-2</v>
      </c>
      <c r="R936" s="2">
        <f>ff_portfolios25!R936-ff_factors!$E936</f>
        <v>7.2915999999999995E-2</v>
      </c>
      <c r="S936" s="2">
        <f>ff_portfolios25!S936-ff_factors!$E936</f>
        <v>4.3999999999999997E-2</v>
      </c>
      <c r="T936" s="2">
        <f>ff_portfolios25!T936-ff_factors!$E936</f>
        <v>4.4198000000000001E-2</v>
      </c>
      <c r="U936" s="2">
        <f>ff_portfolios25!U936-ff_factors!$E936</f>
        <v>4.3959999999999999E-2</v>
      </c>
      <c r="V936" s="2">
        <f>ff_portfolios25!V936-ff_factors!$E936</f>
        <v>4.3647999999999999E-2</v>
      </c>
      <c r="W936" s="2">
        <f>ff_portfolios25!W936-ff_factors!$E936</f>
        <v>4.3928000000000002E-2</v>
      </c>
      <c r="X936" s="2">
        <f>ff_portfolios25!X936-ff_factors!$E936</f>
        <v>7.0458999999999994E-2</v>
      </c>
      <c r="Y936" s="2">
        <f>ff_portfolios25!Y936-ff_factors!$E936</f>
        <v>5.3874999999999999E-2</v>
      </c>
      <c r="Z936" s="2">
        <f>ff_portfolios25!Z936-ff_factors!$E936</f>
        <v>4.4121E-2</v>
      </c>
      <c r="AA936" s="2">
        <f>ff_portfolios25!AA936-ff_factors!$E936</f>
        <v>4.6098E-2</v>
      </c>
      <c r="AB936" s="2">
        <f>ff_portfolios25!AB936-ff_factors!$E936</f>
        <v>5.8362999999999998E-2</v>
      </c>
    </row>
    <row r="937" spans="1:28" x14ac:dyDescent="0.2">
      <c r="A937">
        <v>20091231</v>
      </c>
      <c r="B937">
        <v>2009</v>
      </c>
      <c r="C937">
        <v>12</v>
      </c>
      <c r="D937" s="2">
        <f>ff_portfolios25!D937-ff_factors!$E937</f>
        <v>5.9845999999999996E-2</v>
      </c>
      <c r="E937" s="2">
        <f>ff_portfolios25!E937-ff_factors!$E937</f>
        <v>8.2610000000000003E-2</v>
      </c>
      <c r="F937" s="2">
        <f>ff_portfolios25!F937-ff_factors!$E937</f>
        <v>7.7467999999999995E-2</v>
      </c>
      <c r="G937" s="2">
        <f>ff_portfolios25!G937-ff_factors!$E937</f>
        <v>7.9285999999999995E-2</v>
      </c>
      <c r="H937" s="2">
        <f>ff_portfolios25!H937-ff_factors!$E937</f>
        <v>0.10251099999999999</v>
      </c>
      <c r="I937" s="2">
        <f>ff_portfolios25!I937-ff_factors!$E937</f>
        <v>9.3824999999999992E-2</v>
      </c>
      <c r="J937" s="2">
        <f>ff_portfolios25!J937-ff_factors!$E937</f>
        <v>9.1797000000000004E-2</v>
      </c>
      <c r="K937" s="2">
        <f>ff_portfolios25!K937-ff_factors!$E937</f>
        <v>9.3123999999999998E-2</v>
      </c>
      <c r="L937" s="2">
        <f>ff_portfolios25!L937-ff_factors!$E937</f>
        <v>7.4288999999999994E-2</v>
      </c>
      <c r="M937" s="2">
        <f>ff_portfolios25!M937-ff_factors!$E937</f>
        <v>9.2662999999999995E-2</v>
      </c>
      <c r="N937" s="2">
        <f>ff_portfolios25!N937-ff_factors!$E937</f>
        <v>6.9335999999999995E-2</v>
      </c>
      <c r="O937" s="2">
        <f>ff_portfolios25!O937-ff_factors!$E937</f>
        <v>7.2364999999999999E-2</v>
      </c>
      <c r="P937" s="2">
        <f>ff_portfolios25!P937-ff_factors!$E937</f>
        <v>7.016E-2</v>
      </c>
      <c r="Q937" s="2">
        <f>ff_portfolios25!Q937-ff_factors!$E937</f>
        <v>7.4251999999999999E-2</v>
      </c>
      <c r="R937" s="2">
        <f>ff_portfolios25!R937-ff_factors!$E937</f>
        <v>8.4501999999999994E-2</v>
      </c>
      <c r="S937" s="2">
        <f>ff_portfolios25!S937-ff_factors!$E937</f>
        <v>6.0870999999999995E-2</v>
      </c>
      <c r="T937" s="2">
        <f>ff_portfolios25!T937-ff_factors!$E937</f>
        <v>4.4393999999999996E-2</v>
      </c>
      <c r="U937" s="2">
        <f>ff_portfolios25!U937-ff_factors!$E937</f>
        <v>7.7148999999999995E-2</v>
      </c>
      <c r="V937" s="2">
        <f>ff_portfolios25!V937-ff_factors!$E937</f>
        <v>5.7953999999999999E-2</v>
      </c>
      <c r="W937" s="2">
        <f>ff_portfolios25!W937-ff_factors!$E937</f>
        <v>6.4531999999999992E-2</v>
      </c>
      <c r="X937" s="2">
        <f>ff_portfolios25!X937-ff_factors!$E937</f>
        <v>8.9480000000000011E-3</v>
      </c>
      <c r="Y937" s="2">
        <f>ff_portfolios25!Y937-ff_factors!$E937</f>
        <v>2.5055000000000001E-2</v>
      </c>
      <c r="Z937" s="2">
        <f>ff_portfolios25!Z937-ff_factors!$E937</f>
        <v>2.8171000000000002E-2</v>
      </c>
      <c r="AA937" s="2">
        <f>ff_portfolios25!AA937-ff_factors!$E937</f>
        <v>1.7639000000000002E-2</v>
      </c>
      <c r="AB937" s="2">
        <f>ff_portfolios25!AB937-ff_factors!$E937</f>
        <v>-1.9630999999999999E-2</v>
      </c>
    </row>
    <row r="938" spans="1:28" x14ac:dyDescent="0.2">
      <c r="A938">
        <v>20100129</v>
      </c>
      <c r="B938">
        <v>2010</v>
      </c>
      <c r="C938">
        <v>1</v>
      </c>
      <c r="D938" s="2">
        <f>ff_portfolios25!D938-ff_factors!$E938</f>
        <v>-4.0621999999999998E-2</v>
      </c>
      <c r="E938" s="2">
        <f>ff_portfolios25!E938-ff_factors!$E938</f>
        <v>-5.1229999999999998E-2</v>
      </c>
      <c r="F938" s="2">
        <f>ff_portfolios25!F938-ff_factors!$E938</f>
        <v>-4.1145000000000001E-2</v>
      </c>
      <c r="G938" s="2">
        <f>ff_portfolios25!G938-ff_factors!$E938</f>
        <v>-3.7983999999999997E-2</v>
      </c>
      <c r="H938" s="2">
        <f>ff_portfolios25!H938-ff_factors!$E938</f>
        <v>-1.1344E-2</v>
      </c>
      <c r="I938" s="2">
        <f>ff_portfolios25!I938-ff_factors!$E938</f>
        <v>-3.1426999999999997E-2</v>
      </c>
      <c r="J938" s="2">
        <f>ff_portfolios25!J938-ff_factors!$E938</f>
        <v>-3.5196999999999999E-2</v>
      </c>
      <c r="K938" s="2">
        <f>ff_portfolios25!K938-ff_factors!$E938</f>
        <v>-9.0589999999999993E-3</v>
      </c>
      <c r="L938" s="2">
        <f>ff_portfolios25!L938-ff_factors!$E938</f>
        <v>-2.8372999999999999E-2</v>
      </c>
      <c r="M938" s="2">
        <f>ff_portfolios25!M938-ff_factors!$E938</f>
        <v>-3.8903E-2</v>
      </c>
      <c r="N938" s="2">
        <f>ff_portfolios25!N938-ff_factors!$E938</f>
        <v>-3.6435000000000002E-2</v>
      </c>
      <c r="O938" s="2">
        <f>ff_portfolios25!O938-ff_factors!$E938</f>
        <v>-3.2885999999999999E-2</v>
      </c>
      <c r="P938" s="2">
        <f>ff_portfolios25!P938-ff_factors!$E938</f>
        <v>-3.9343999999999997E-2</v>
      </c>
      <c r="Q938" s="2">
        <f>ff_portfolios25!Q938-ff_factors!$E938</f>
        <v>-3.8989000000000003E-2</v>
      </c>
      <c r="R938" s="2">
        <f>ff_portfolios25!R938-ff_factors!$E938</f>
        <v>-3.0180999999999999E-2</v>
      </c>
      <c r="S938" s="2">
        <f>ff_portfolios25!S938-ff_factors!$E938</f>
        <v>-3.8330999999999997E-2</v>
      </c>
      <c r="T938" s="2">
        <f>ff_portfolios25!T938-ff_factors!$E938</f>
        <v>-3.6378000000000001E-2</v>
      </c>
      <c r="U938" s="2">
        <f>ff_portfolios25!U938-ff_factors!$E938</f>
        <v>-5.194E-2</v>
      </c>
      <c r="V938" s="2">
        <f>ff_portfolios25!V938-ff_factors!$E938</f>
        <v>-2.0396999999999998E-2</v>
      </c>
      <c r="W938" s="2">
        <f>ff_portfolios25!W938-ff_factors!$E938</f>
        <v>-2.3054999999999999E-2</v>
      </c>
      <c r="X938" s="2">
        <f>ff_portfolios25!X938-ff_factors!$E938</f>
        <v>-4.1190999999999998E-2</v>
      </c>
      <c r="Y938" s="2">
        <f>ff_portfolios25!Y938-ff_factors!$E938</f>
        <v>-3.6563999999999999E-2</v>
      </c>
      <c r="Z938" s="2">
        <f>ff_portfolios25!Z938-ff_factors!$E938</f>
        <v>-8.9940000000000003E-3</v>
      </c>
      <c r="AA938" s="2">
        <f>ff_portfolios25!AA938-ff_factors!$E938</f>
        <v>-4.8510999999999999E-2</v>
      </c>
      <c r="AB938" s="2">
        <f>ff_portfolios25!AB938-ff_factors!$E938</f>
        <v>-1.4189999999999999E-2</v>
      </c>
    </row>
    <row r="939" spans="1:28" x14ac:dyDescent="0.2">
      <c r="A939">
        <v>20100226</v>
      </c>
      <c r="B939">
        <v>2010</v>
      </c>
      <c r="C939">
        <v>2</v>
      </c>
      <c r="D939" s="2">
        <f>ff_portfolios25!D939-ff_factors!$E939</f>
        <v>3.8580000000000003E-2</v>
      </c>
      <c r="E939" s="2">
        <f>ff_portfolios25!E939-ff_factors!$E939</f>
        <v>4.0006E-2</v>
      </c>
      <c r="F939" s="2">
        <f>ff_portfolios25!F939-ff_factors!$E939</f>
        <v>4.9431000000000003E-2</v>
      </c>
      <c r="G939" s="2">
        <f>ff_portfolios25!G939-ff_factors!$E939</f>
        <v>5.2789999999999997E-2</v>
      </c>
      <c r="H939" s="2">
        <f>ff_portfolios25!H939-ff_factors!$E939</f>
        <v>6.9355E-2</v>
      </c>
      <c r="I939" s="2">
        <f>ff_portfolios25!I939-ff_factors!$E939</f>
        <v>2.0851999999999999E-2</v>
      </c>
      <c r="J939" s="2">
        <f>ff_portfolios25!J939-ff_factors!$E939</f>
        <v>3.5298000000000003E-2</v>
      </c>
      <c r="K939" s="2">
        <f>ff_portfolios25!K939-ff_factors!$E939</f>
        <v>2.5881000000000001E-2</v>
      </c>
      <c r="L939" s="2">
        <f>ff_portfolios25!L939-ff_factors!$E939</f>
        <v>6.1092E-2</v>
      </c>
      <c r="M939" s="2">
        <f>ff_portfolios25!M939-ff_factors!$E939</f>
        <v>5.5150999999999999E-2</v>
      </c>
      <c r="N939" s="2">
        <f>ff_portfolios25!N939-ff_factors!$E939</f>
        <v>4.1068E-2</v>
      </c>
      <c r="O939" s="2">
        <f>ff_portfolios25!O939-ff_factors!$E939</f>
        <v>3.9551000000000003E-2</v>
      </c>
      <c r="P939" s="2">
        <f>ff_portfolios25!P939-ff_factors!$E939</f>
        <v>4.1335999999999998E-2</v>
      </c>
      <c r="Q939" s="2">
        <f>ff_portfolios25!Q939-ff_factors!$E939</f>
        <v>6.898E-2</v>
      </c>
      <c r="R939" s="2">
        <f>ff_portfolios25!R939-ff_factors!$E939</f>
        <v>8.9694999999999997E-2</v>
      </c>
      <c r="S939" s="2">
        <f>ff_portfolios25!S939-ff_factors!$E939</f>
        <v>4.8306000000000002E-2</v>
      </c>
      <c r="T939" s="2">
        <f>ff_portfolios25!T939-ff_factors!$E939</f>
        <v>7.0593000000000003E-2</v>
      </c>
      <c r="U939" s="2">
        <f>ff_portfolios25!U939-ff_factors!$E939</f>
        <v>5.0390999999999998E-2</v>
      </c>
      <c r="V939" s="2">
        <f>ff_portfolios25!V939-ff_factors!$E939</f>
        <v>3.9994000000000002E-2</v>
      </c>
      <c r="W939" s="2">
        <f>ff_portfolios25!W939-ff_factors!$E939</f>
        <v>6.5728999999999996E-2</v>
      </c>
      <c r="X939" s="2">
        <f>ff_portfolios25!X939-ff_factors!$E939</f>
        <v>2.4881E-2</v>
      </c>
      <c r="Y939" s="2">
        <f>ff_portfolios25!Y939-ff_factors!$E939</f>
        <v>3.0557999999999998E-2</v>
      </c>
      <c r="Z939" s="2">
        <f>ff_portfolios25!Z939-ff_factors!$E939</f>
        <v>2.5784000000000001E-2</v>
      </c>
      <c r="AA939" s="2">
        <f>ff_portfolios25!AA939-ff_factors!$E939</f>
        <v>4.1309999999999999E-2</v>
      </c>
      <c r="AB939" s="2">
        <f>ff_portfolios25!AB939-ff_factors!$E939</f>
        <v>5.9635000000000001E-2</v>
      </c>
    </row>
    <row r="940" spans="1:28" x14ac:dyDescent="0.2">
      <c r="A940">
        <v>20100331</v>
      </c>
      <c r="B940">
        <v>2010</v>
      </c>
      <c r="C940">
        <v>3</v>
      </c>
      <c r="D940" s="2">
        <f>ff_portfolios25!D940-ff_factors!$E940</f>
        <v>7.1966000000000002E-2</v>
      </c>
      <c r="E940" s="2">
        <f>ff_portfolios25!E940-ff_factors!$E940</f>
        <v>6.5917000000000003E-2</v>
      </c>
      <c r="F940" s="2">
        <f>ff_portfolios25!F940-ff_factors!$E940</f>
        <v>8.1586999999999993E-2</v>
      </c>
      <c r="G940" s="2">
        <f>ff_portfolios25!G940-ff_factors!$E940</f>
        <v>6.905E-2</v>
      </c>
      <c r="H940" s="2">
        <f>ff_portfolios25!H940-ff_factors!$E940</f>
        <v>9.8999999999999991E-2</v>
      </c>
      <c r="I940" s="2">
        <f>ff_portfolios25!I940-ff_factors!$E940</f>
        <v>6.8476999999999996E-2</v>
      </c>
      <c r="J940" s="2">
        <f>ff_portfolios25!J940-ff_factors!$E940</f>
        <v>8.1418999999999991E-2</v>
      </c>
      <c r="K940" s="2">
        <f>ff_portfolios25!K940-ff_factors!$E940</f>
        <v>7.9199999999999993E-2</v>
      </c>
      <c r="L940" s="2">
        <f>ff_portfolios25!L940-ff_factors!$E940</f>
        <v>7.2489999999999999E-2</v>
      </c>
      <c r="M940" s="2">
        <f>ff_portfolios25!M940-ff_factors!$E940</f>
        <v>0.113425</v>
      </c>
      <c r="N940" s="2">
        <f>ff_portfolios25!N940-ff_factors!$E940</f>
        <v>9.3970999999999999E-2</v>
      </c>
      <c r="O940" s="2">
        <f>ff_portfolios25!O940-ff_factors!$E940</f>
        <v>6.8003999999999995E-2</v>
      </c>
      <c r="P940" s="2">
        <f>ff_portfolios25!P940-ff_factors!$E940</f>
        <v>9.1781000000000001E-2</v>
      </c>
      <c r="Q940" s="2">
        <f>ff_portfolios25!Q940-ff_factors!$E940</f>
        <v>7.7863000000000002E-2</v>
      </c>
      <c r="R940" s="2">
        <f>ff_portfolios25!R940-ff_factors!$E940</f>
        <v>7.6759999999999995E-2</v>
      </c>
      <c r="S940" s="2">
        <f>ff_portfolios25!S940-ff_factors!$E940</f>
        <v>8.1890999999999992E-2</v>
      </c>
      <c r="T940" s="2">
        <f>ff_portfolios25!T940-ff_factors!$E940</f>
        <v>6.3162999999999997E-2</v>
      </c>
      <c r="U940" s="2">
        <f>ff_portfolios25!U940-ff_factors!$E940</f>
        <v>7.9437999999999995E-2</v>
      </c>
      <c r="V940" s="2">
        <f>ff_portfolios25!V940-ff_factors!$E940</f>
        <v>5.7276000000000001E-2</v>
      </c>
      <c r="W940" s="2">
        <f>ff_portfolios25!W940-ff_factors!$E940</f>
        <v>0.121251</v>
      </c>
      <c r="X940" s="2">
        <f>ff_portfolios25!X940-ff_factors!$E940</f>
        <v>5.1270999999999997E-2</v>
      </c>
      <c r="Y940" s="2">
        <f>ff_portfolios25!Y940-ff_factors!$E940</f>
        <v>5.5485E-2</v>
      </c>
      <c r="Z940" s="2">
        <f>ff_portfolios25!Z940-ff_factors!$E940</f>
        <v>6.1436999999999999E-2</v>
      </c>
      <c r="AA940" s="2">
        <f>ff_portfolios25!AA940-ff_factors!$E940</f>
        <v>6.7649000000000001E-2</v>
      </c>
      <c r="AB940" s="2">
        <f>ff_portfolios25!AB940-ff_factors!$E940</f>
        <v>8.3102999999999996E-2</v>
      </c>
    </row>
    <row r="941" spans="1:28" x14ac:dyDescent="0.2">
      <c r="A941">
        <v>20100430</v>
      </c>
      <c r="B941">
        <v>2010</v>
      </c>
      <c r="C941">
        <v>4</v>
      </c>
      <c r="D941" s="2">
        <f>ff_portfolios25!D941-ff_factors!$E941</f>
        <v>6.6617999999999997E-2</v>
      </c>
      <c r="E941" s="2">
        <f>ff_portfolios25!E941-ff_factors!$E941</f>
        <v>6.9297999999999998E-2</v>
      </c>
      <c r="F941" s="2">
        <f>ff_portfolios25!F941-ff_factors!$E941</f>
        <v>5.6957999999999995E-2</v>
      </c>
      <c r="G941" s="2">
        <f>ff_portfolios25!G941-ff_factors!$E941</f>
        <v>0.100357</v>
      </c>
      <c r="H941" s="2">
        <f>ff_portfolios25!H941-ff_factors!$E941</f>
        <v>0.120576</v>
      </c>
      <c r="I941" s="2">
        <f>ff_portfolios25!I941-ff_factors!$E941</f>
        <v>1.9900000000000001E-2</v>
      </c>
      <c r="J941" s="2">
        <f>ff_portfolios25!J941-ff_factors!$E941</f>
        <v>5.808E-2</v>
      </c>
      <c r="K941" s="2">
        <f>ff_portfolios25!K941-ff_factors!$E941</f>
        <v>5.3619E-2</v>
      </c>
      <c r="L941" s="2">
        <f>ff_portfolios25!L941-ff_factors!$E941</f>
        <v>6.5430000000000002E-2</v>
      </c>
      <c r="M941" s="2">
        <f>ff_portfolios25!M941-ff_factors!$E941</f>
        <v>7.2009999999999991E-2</v>
      </c>
      <c r="N941" s="2">
        <f>ff_portfolios25!N941-ff_factors!$E941</f>
        <v>2.912E-2</v>
      </c>
      <c r="O941" s="2">
        <f>ff_portfolios25!O941-ff_factors!$E941</f>
        <v>5.8712999999999994E-2</v>
      </c>
      <c r="P941" s="2">
        <f>ff_portfolios25!P941-ff_factors!$E941</f>
        <v>3.2339999999999994E-2</v>
      </c>
      <c r="Q941" s="2">
        <f>ff_portfolios25!Q941-ff_factors!$E941</f>
        <v>5.4501999999999995E-2</v>
      </c>
      <c r="R941" s="2">
        <f>ff_portfolios25!R941-ff_factors!$E941</f>
        <v>5.7107999999999999E-2</v>
      </c>
      <c r="S941" s="2">
        <f>ff_portfolios25!S941-ff_factors!$E941</f>
        <v>3.9736999999999995E-2</v>
      </c>
      <c r="T941" s="2">
        <f>ff_portfolios25!T941-ff_factors!$E941</f>
        <v>4.5377999999999995E-2</v>
      </c>
      <c r="U941" s="2">
        <f>ff_portfolios25!U941-ff_factors!$E941</f>
        <v>3.3161999999999997E-2</v>
      </c>
      <c r="V941" s="2">
        <f>ff_portfolios25!V941-ff_factors!$E941</f>
        <v>7.0232000000000003E-2</v>
      </c>
      <c r="W941" s="2">
        <f>ff_portfolios25!W941-ff_factors!$E941</f>
        <v>4.7556999999999995E-2</v>
      </c>
      <c r="X941" s="2">
        <f>ff_portfolios25!X941-ff_factors!$E941</f>
        <v>3.2860000000000003E-3</v>
      </c>
      <c r="Y941" s="2">
        <f>ff_portfolios25!Y941-ff_factors!$E941</f>
        <v>2.6189E-2</v>
      </c>
      <c r="Z941" s="2">
        <f>ff_portfolios25!Z941-ff_factors!$E941</f>
        <v>1.7179E-2</v>
      </c>
      <c r="AA941" s="2">
        <f>ff_portfolios25!AA941-ff_factors!$E941</f>
        <v>-1.4782999999999999E-2</v>
      </c>
      <c r="AB941" s="2">
        <f>ff_portfolios25!AB941-ff_factors!$E941</f>
        <v>2.6199E-2</v>
      </c>
    </row>
    <row r="942" spans="1:28" x14ac:dyDescent="0.2">
      <c r="A942">
        <v>20100528</v>
      </c>
      <c r="B942">
        <v>2010</v>
      </c>
      <c r="C942">
        <v>5</v>
      </c>
      <c r="D942" s="2">
        <f>ff_portfolios25!D942-ff_factors!$E942</f>
        <v>-7.5117000000000003E-2</v>
      </c>
      <c r="E942" s="2">
        <f>ff_portfolios25!E942-ff_factors!$E942</f>
        <v>-5.3156000000000002E-2</v>
      </c>
      <c r="F942" s="2">
        <f>ff_portfolios25!F942-ff_factors!$E942</f>
        <v>-7.0174E-2</v>
      </c>
      <c r="G942" s="2">
        <f>ff_portfolios25!G942-ff_factors!$E942</f>
        <v>-9.4247999999999998E-2</v>
      </c>
      <c r="H942" s="2">
        <f>ff_portfolios25!H942-ff_factors!$E942</f>
        <v>-0.10463600000000001</v>
      </c>
      <c r="I942" s="2">
        <f>ff_portfolios25!I942-ff_factors!$E942</f>
        <v>-4.8298000000000001E-2</v>
      </c>
      <c r="J942" s="2">
        <f>ff_portfolios25!J942-ff_factors!$E942</f>
        <v>-6.2899999999999998E-2</v>
      </c>
      <c r="K942" s="2">
        <f>ff_portfolios25!K942-ff_factors!$E942</f>
        <v>-7.4990000000000001E-2</v>
      </c>
      <c r="L942" s="2">
        <f>ff_portfolios25!L942-ff_factors!$E942</f>
        <v>-9.0694999999999998E-2</v>
      </c>
      <c r="M942" s="2">
        <f>ff_portfolios25!M942-ff_factors!$E942</f>
        <v>-9.8243999999999998E-2</v>
      </c>
      <c r="N942" s="2">
        <f>ff_portfolios25!N942-ff_factors!$E942</f>
        <v>-6.3690999999999998E-2</v>
      </c>
      <c r="O942" s="2">
        <f>ff_portfolios25!O942-ff_factors!$E942</f>
        <v>-6.3258000000000009E-2</v>
      </c>
      <c r="P942" s="2">
        <f>ff_portfolios25!P942-ff_factors!$E942</f>
        <v>-6.5688999999999997E-2</v>
      </c>
      <c r="Q942" s="2">
        <f>ff_portfolios25!Q942-ff_factors!$E942</f>
        <v>-9.6401000000000001E-2</v>
      </c>
      <c r="R942" s="2">
        <f>ff_portfolios25!R942-ff_factors!$E942</f>
        <v>-9.2466000000000007E-2</v>
      </c>
      <c r="S942" s="2">
        <f>ff_portfolios25!S942-ff_factors!$E942</f>
        <v>-5.1497000000000001E-2</v>
      </c>
      <c r="T942" s="2">
        <f>ff_portfolios25!T942-ff_factors!$E942</f>
        <v>-8.3621000000000001E-2</v>
      </c>
      <c r="U942" s="2">
        <f>ff_portfolios25!U942-ff_factors!$E942</f>
        <v>-8.7307999999999997E-2</v>
      </c>
      <c r="V942" s="2">
        <f>ff_portfolios25!V942-ff_factors!$E942</f>
        <v>-6.9944000000000006E-2</v>
      </c>
      <c r="W942" s="2">
        <f>ff_portfolios25!W942-ff_factors!$E942</f>
        <v>-7.9804E-2</v>
      </c>
      <c r="X942" s="2">
        <f>ff_portfolios25!X942-ff_factors!$E942</f>
        <v>-7.4812000000000003E-2</v>
      </c>
      <c r="Y942" s="2">
        <f>ff_portfolios25!Y942-ff_factors!$E942</f>
        <v>-7.8519000000000005E-2</v>
      </c>
      <c r="Z942" s="2">
        <f>ff_portfolios25!Z942-ff_factors!$E942</f>
        <v>-9.2261999999999997E-2</v>
      </c>
      <c r="AA942" s="2">
        <f>ff_portfolios25!AA942-ff_factors!$E942</f>
        <v>-7.5757000000000005E-2</v>
      </c>
      <c r="AB942" s="2">
        <f>ff_portfolios25!AB942-ff_factors!$E942</f>
        <v>-0.10054500000000001</v>
      </c>
    </row>
    <row r="943" spans="1:28" x14ac:dyDescent="0.2">
      <c r="A943">
        <v>20100630</v>
      </c>
      <c r="B943">
        <v>2010</v>
      </c>
      <c r="C943">
        <v>6</v>
      </c>
      <c r="D943" s="2">
        <f>ff_portfolios25!D943-ff_factors!$E943</f>
        <v>-7.0088999999999999E-2</v>
      </c>
      <c r="E943" s="2">
        <f>ff_portfolios25!E943-ff_factors!$E943</f>
        <v>-7.0708000000000007E-2</v>
      </c>
      <c r="F943" s="2">
        <f>ff_portfolios25!F943-ff_factors!$E943</f>
        <v>-6.8292000000000005E-2</v>
      </c>
      <c r="G943" s="2">
        <f>ff_portfolios25!G943-ff_factors!$E943</f>
        <v>-7.3083999999999996E-2</v>
      </c>
      <c r="H943" s="2">
        <f>ff_portfolios25!H943-ff_factors!$E943</f>
        <v>-0.115787</v>
      </c>
      <c r="I943" s="2">
        <f>ff_portfolios25!I943-ff_factors!$E943</f>
        <v>-5.3446E-2</v>
      </c>
      <c r="J943" s="2">
        <f>ff_portfolios25!J943-ff_factors!$E943</f>
        <v>-5.0863000000000005E-2</v>
      </c>
      <c r="K943" s="2">
        <f>ff_portfolios25!K943-ff_factors!$E943</f>
        <v>-7.7911000000000008E-2</v>
      </c>
      <c r="L943" s="2">
        <f>ff_portfolios25!L943-ff_factors!$E943</f>
        <v>-0.101199</v>
      </c>
      <c r="M943" s="2">
        <f>ff_portfolios25!M943-ff_factors!$E943</f>
        <v>-0.12575999999999998</v>
      </c>
      <c r="N943" s="2">
        <f>ff_portfolios25!N943-ff_factors!$E943</f>
        <v>-5.7195000000000003E-2</v>
      </c>
      <c r="O943" s="2">
        <f>ff_portfolios25!O943-ff_factors!$E943</f>
        <v>-6.1130000000000004E-2</v>
      </c>
      <c r="P943" s="2">
        <f>ff_portfolios25!P943-ff_factors!$E943</f>
        <v>-7.1598000000000009E-2</v>
      </c>
      <c r="Q943" s="2">
        <f>ff_portfolios25!Q943-ff_factors!$E943</f>
        <v>-7.5409000000000004E-2</v>
      </c>
      <c r="R943" s="2">
        <f>ff_portfolios25!R943-ff_factors!$E943</f>
        <v>-0.11815300000000001</v>
      </c>
      <c r="S943" s="2">
        <f>ff_portfolios25!S943-ff_factors!$E943</f>
        <v>-4.4254000000000002E-2</v>
      </c>
      <c r="T943" s="2">
        <f>ff_portfolios25!T943-ff_factors!$E943</f>
        <v>-6.0770000000000005E-2</v>
      </c>
      <c r="U943" s="2">
        <f>ff_portfolios25!U943-ff_factors!$E943</f>
        <v>-7.4900000000000008E-2</v>
      </c>
      <c r="V943" s="2">
        <f>ff_portfolios25!V943-ff_factors!$E943</f>
        <v>-8.4554000000000004E-2</v>
      </c>
      <c r="W943" s="2">
        <f>ff_portfolios25!W943-ff_factors!$E943</f>
        <v>-9.7548999999999997E-2</v>
      </c>
      <c r="X943" s="2">
        <f>ff_portfolios25!X943-ff_factors!$E943</f>
        <v>-3.8775000000000004E-2</v>
      </c>
      <c r="Y943" s="2">
        <f>ff_portfolios25!Y943-ff_factors!$E943</f>
        <v>-6.8690000000000001E-2</v>
      </c>
      <c r="Z943" s="2">
        <f>ff_portfolios25!Z943-ff_factors!$E943</f>
        <v>-3.1838000000000005E-2</v>
      </c>
      <c r="AA943" s="2">
        <f>ff_portfolios25!AA943-ff_factors!$E943</f>
        <v>-7.3311000000000001E-2</v>
      </c>
      <c r="AB943" s="2">
        <f>ff_portfolios25!AB943-ff_factors!$E943</f>
        <v>-9.7777000000000003E-2</v>
      </c>
    </row>
    <row r="944" spans="1:28" x14ac:dyDescent="0.2">
      <c r="A944">
        <v>20100730</v>
      </c>
      <c r="B944">
        <v>2010</v>
      </c>
      <c r="C944">
        <v>7</v>
      </c>
      <c r="D944" s="2">
        <f>ff_portfolios25!D944-ff_factors!$E944</f>
        <v>6.0847999999999999E-2</v>
      </c>
      <c r="E944" s="2">
        <f>ff_portfolios25!E944-ff_factors!$E944</f>
        <v>5.3256999999999999E-2</v>
      </c>
      <c r="F944" s="2">
        <f>ff_portfolios25!F944-ff_factors!$E944</f>
        <v>7.0734999999999992E-2</v>
      </c>
      <c r="G944" s="2">
        <f>ff_portfolios25!G944-ff_factors!$E944</f>
        <v>6.0351999999999996E-2</v>
      </c>
      <c r="H944" s="2">
        <f>ff_portfolios25!H944-ff_factors!$E944</f>
        <v>6.1147999999999994E-2</v>
      </c>
      <c r="I944" s="2">
        <f>ff_portfolios25!I944-ff_factors!$E944</f>
        <v>6.848499999999999E-2</v>
      </c>
      <c r="J944" s="2">
        <f>ff_portfolios25!J944-ff_factors!$E944</f>
        <v>8.1803000000000001E-2</v>
      </c>
      <c r="K944" s="2">
        <f>ff_portfolios25!K944-ff_factors!$E944</f>
        <v>6.2807000000000002E-2</v>
      </c>
      <c r="L944" s="2">
        <f>ff_portfolios25!L944-ff_factors!$E944</f>
        <v>7.1936E-2</v>
      </c>
      <c r="M944" s="2">
        <f>ff_portfolios25!M944-ff_factors!$E944</f>
        <v>6.1363999999999995E-2</v>
      </c>
      <c r="N944" s="2">
        <f>ff_portfolios25!N944-ff_factors!$E944</f>
        <v>6.5669999999999992E-2</v>
      </c>
      <c r="O944" s="2">
        <f>ff_portfolios25!O944-ff_factors!$E944</f>
        <v>7.2961999999999999E-2</v>
      </c>
      <c r="P944" s="2">
        <f>ff_portfolios25!P944-ff_factors!$E944</f>
        <v>5.0345999999999995E-2</v>
      </c>
      <c r="Q944" s="2">
        <f>ff_portfolios25!Q944-ff_factors!$E944</f>
        <v>8.0754999999999993E-2</v>
      </c>
      <c r="R944" s="2">
        <f>ff_portfolios25!R944-ff_factors!$E944</f>
        <v>7.9791000000000001E-2</v>
      </c>
      <c r="S944" s="2">
        <f>ff_portfolios25!S944-ff_factors!$E944</f>
        <v>6.9226999999999997E-2</v>
      </c>
      <c r="T944" s="2">
        <f>ff_portfolios25!T944-ff_factors!$E944</f>
        <v>6.4182000000000003E-2</v>
      </c>
      <c r="U944" s="2">
        <f>ff_portfolios25!U944-ff_factors!$E944</f>
        <v>8.5125999999999993E-2</v>
      </c>
      <c r="V944" s="2">
        <f>ff_portfolios25!V944-ff_factors!$E944</f>
        <v>8.0543999999999991E-2</v>
      </c>
      <c r="W944" s="2">
        <f>ff_portfolios25!W944-ff_factors!$E944</f>
        <v>6.4337999999999992E-2</v>
      </c>
      <c r="X944" s="2">
        <f>ff_portfolios25!X944-ff_factors!$E944</f>
        <v>6.9830000000000003E-2</v>
      </c>
      <c r="Y944" s="2">
        <f>ff_portfolios25!Y944-ff_factors!$E944</f>
        <v>5.8570999999999998E-2</v>
      </c>
      <c r="Z944" s="2">
        <f>ff_portfolios25!Z944-ff_factors!$E944</f>
        <v>7.6726000000000003E-2</v>
      </c>
      <c r="AA944" s="2">
        <f>ff_portfolios25!AA944-ff_factors!$E944</f>
        <v>7.4832999999999997E-2</v>
      </c>
      <c r="AB944" s="2">
        <f>ff_portfolios25!AB944-ff_factors!$E944</f>
        <v>5.4286999999999995E-2</v>
      </c>
    </row>
    <row r="945" spans="1:28" x14ac:dyDescent="0.2">
      <c r="A945">
        <v>20100831</v>
      </c>
      <c r="B945">
        <v>2010</v>
      </c>
      <c r="C945">
        <v>8</v>
      </c>
      <c r="D945" s="2">
        <f>ff_portfolios25!D945-ff_factors!$E945</f>
        <v>-8.6851999999999999E-2</v>
      </c>
      <c r="E945" s="2">
        <f>ff_portfolios25!E945-ff_factors!$E945</f>
        <v>-8.3939E-2</v>
      </c>
      <c r="F945" s="2">
        <f>ff_portfolios25!F945-ff_factors!$E945</f>
        <v>-8.6425000000000002E-2</v>
      </c>
      <c r="G945" s="2">
        <f>ff_portfolios25!G945-ff_factors!$E945</f>
        <v>-9.8178000000000001E-2</v>
      </c>
      <c r="H945" s="2">
        <f>ff_portfolios25!H945-ff_factors!$E945</f>
        <v>-9.2255000000000004E-2</v>
      </c>
      <c r="I945" s="2">
        <f>ff_portfolios25!I945-ff_factors!$E945</f>
        <v>-5.6053000000000006E-2</v>
      </c>
      <c r="J945" s="2">
        <f>ff_portfolios25!J945-ff_factors!$E945</f>
        <v>-8.3867999999999998E-2</v>
      </c>
      <c r="K945" s="2">
        <f>ff_portfolios25!K945-ff_factors!$E945</f>
        <v>-8.5527000000000006E-2</v>
      </c>
      <c r="L945" s="2">
        <f>ff_portfolios25!L945-ff_factors!$E945</f>
        <v>-6.6094E-2</v>
      </c>
      <c r="M945" s="2">
        <f>ff_portfolios25!M945-ff_factors!$E945</f>
        <v>-8.3365000000000009E-2</v>
      </c>
      <c r="N945" s="2">
        <f>ff_portfolios25!N945-ff_factors!$E945</f>
        <v>-4.4060000000000002E-2</v>
      </c>
      <c r="O945" s="2">
        <f>ff_portfolios25!O945-ff_factors!$E945</f>
        <v>-6.1395000000000005E-2</v>
      </c>
      <c r="P945" s="2">
        <f>ff_portfolios25!P945-ff_factors!$E945</f>
        <v>-8.2888000000000003E-2</v>
      </c>
      <c r="Q945" s="2">
        <f>ff_portfolios25!Q945-ff_factors!$E945</f>
        <v>-6.6937999999999998E-2</v>
      </c>
      <c r="R945" s="2">
        <f>ff_portfolios25!R945-ff_factors!$E945</f>
        <v>-6.4248E-2</v>
      </c>
      <c r="S945" s="2">
        <f>ff_portfolios25!S945-ff_factors!$E945</f>
        <v>-4.3199000000000001E-2</v>
      </c>
      <c r="T945" s="2">
        <f>ff_portfolios25!T945-ff_factors!$E945</f>
        <v>-4.6285E-2</v>
      </c>
      <c r="U945" s="2">
        <f>ff_portfolios25!U945-ff_factors!$E945</f>
        <v>-5.5072000000000003E-2</v>
      </c>
      <c r="V945" s="2">
        <f>ff_portfolios25!V945-ff_factors!$E945</f>
        <v>-4.1876000000000003E-2</v>
      </c>
      <c r="W945" s="2">
        <f>ff_portfolios25!W945-ff_factors!$E945</f>
        <v>-6.1955000000000003E-2</v>
      </c>
      <c r="X945" s="2">
        <f>ff_portfolios25!X945-ff_factors!$E945</f>
        <v>-4.1058000000000004E-2</v>
      </c>
      <c r="Y945" s="2">
        <f>ff_portfolios25!Y945-ff_factors!$E945</f>
        <v>-3.7401000000000004E-2</v>
      </c>
      <c r="Z945" s="2">
        <f>ff_portfolios25!Z945-ff_factors!$E945</f>
        <v>-2.3147000000000001E-2</v>
      </c>
      <c r="AA945" s="2">
        <f>ff_portfolios25!AA945-ff_factors!$E945</f>
        <v>-5.2354000000000005E-2</v>
      </c>
      <c r="AB945" s="2">
        <f>ff_portfolios25!AB945-ff_factors!$E945</f>
        <v>-8.7527000000000008E-2</v>
      </c>
    </row>
    <row r="946" spans="1:28" x14ac:dyDescent="0.2">
      <c r="A946">
        <v>20100930</v>
      </c>
      <c r="B946">
        <v>2010</v>
      </c>
      <c r="C946">
        <v>9</v>
      </c>
      <c r="D946" s="2">
        <f>ff_portfolios25!D946-ff_factors!$E946</f>
        <v>0.114498</v>
      </c>
      <c r="E946" s="2">
        <f>ff_portfolios25!E946-ff_factors!$E946</f>
        <v>0.11140799999999999</v>
      </c>
      <c r="F946" s="2">
        <f>ff_portfolios25!F946-ff_factors!$E946</f>
        <v>0.13406600000000002</v>
      </c>
      <c r="G946" s="2">
        <f>ff_portfolios25!G946-ff_factors!$E946</f>
        <v>0.117994</v>
      </c>
      <c r="H946" s="2">
        <f>ff_portfolios25!H946-ff_factors!$E946</f>
        <v>0.10212</v>
      </c>
      <c r="I946" s="2">
        <f>ff_portfolios25!I946-ff_factors!$E946</f>
        <v>0.15026400000000001</v>
      </c>
      <c r="J946" s="2">
        <f>ff_portfolios25!J946-ff_factors!$E946</f>
        <v>0.15004600000000001</v>
      </c>
      <c r="K946" s="2">
        <f>ff_portfolios25!K946-ff_factors!$E946</f>
        <v>0.13311300000000001</v>
      </c>
      <c r="L946" s="2">
        <f>ff_portfolios25!L946-ff_factors!$E946</f>
        <v>0.10588</v>
      </c>
      <c r="M946" s="2">
        <f>ff_portfolios25!M946-ff_factors!$E946</f>
        <v>0.11351599999999999</v>
      </c>
      <c r="N946" s="2">
        <f>ff_portfolios25!N946-ff_factors!$E946</f>
        <v>0.126475</v>
      </c>
      <c r="O946" s="2">
        <f>ff_portfolios25!O946-ff_factors!$E946</f>
        <v>0.14008900000000002</v>
      </c>
      <c r="P946" s="2">
        <f>ff_portfolios25!P946-ff_factors!$E946</f>
        <v>0.122377</v>
      </c>
      <c r="Q946" s="2">
        <f>ff_portfolios25!Q946-ff_factors!$E946</f>
        <v>0.11416</v>
      </c>
      <c r="R946" s="2">
        <f>ff_portfolios25!R946-ff_factors!$E946</f>
        <v>0.10985299999999999</v>
      </c>
      <c r="S946" s="2">
        <f>ff_portfolios25!S946-ff_factors!$E946</f>
        <v>0.120964</v>
      </c>
      <c r="T946" s="2">
        <f>ff_portfolios25!T946-ff_factors!$E946</f>
        <v>0.113136</v>
      </c>
      <c r="U946" s="2">
        <f>ff_portfolios25!U946-ff_factors!$E946</f>
        <v>0.108483</v>
      </c>
      <c r="V946" s="2">
        <f>ff_portfolios25!V946-ff_factors!$E946</f>
        <v>7.6212000000000002E-2</v>
      </c>
      <c r="W946" s="2">
        <f>ff_portfolios25!W946-ff_factors!$E946</f>
        <v>9.7436999999999996E-2</v>
      </c>
      <c r="X946" s="2">
        <f>ff_portfolios25!X946-ff_factors!$E946</f>
        <v>0.101816</v>
      </c>
      <c r="Y946" s="2">
        <f>ff_portfolios25!Y946-ff_factors!$E946</f>
        <v>8.1522999999999998E-2</v>
      </c>
      <c r="Z946" s="2">
        <f>ff_portfolios25!Z946-ff_factors!$E946</f>
        <v>8.2839999999999997E-2</v>
      </c>
      <c r="AA946" s="2">
        <f>ff_portfolios25!AA946-ff_factors!$E946</f>
        <v>7.4286999999999992E-2</v>
      </c>
      <c r="AB946" s="2">
        <f>ff_portfolios25!AB946-ff_factors!$E946</f>
        <v>7.2761999999999993E-2</v>
      </c>
    </row>
    <row r="947" spans="1:28" x14ac:dyDescent="0.2">
      <c r="A947">
        <v>20101029</v>
      </c>
      <c r="B947">
        <v>2010</v>
      </c>
      <c r="C947">
        <v>10</v>
      </c>
      <c r="D947" s="2">
        <f>ff_portfolios25!D947-ff_factors!$E947</f>
        <v>6.5628999999999993E-2</v>
      </c>
      <c r="E947" s="2">
        <f>ff_portfolios25!E947-ff_factors!$E947</f>
        <v>5.1041999999999997E-2</v>
      </c>
      <c r="F947" s="2">
        <f>ff_portfolios25!F947-ff_factors!$E947</f>
        <v>5.7839999999999996E-2</v>
      </c>
      <c r="G947" s="2">
        <f>ff_portfolios25!G947-ff_factors!$E947</f>
        <v>5.0682999999999999E-2</v>
      </c>
      <c r="H947" s="2">
        <f>ff_portfolios25!H947-ff_factors!$E947</f>
        <v>3.5580999999999995E-2</v>
      </c>
      <c r="I947" s="2">
        <f>ff_portfolios25!I947-ff_factors!$E947</f>
        <v>3.5289999999999995E-2</v>
      </c>
      <c r="J947" s="2">
        <f>ff_portfolios25!J947-ff_factors!$E947</f>
        <v>4.2852999999999995E-2</v>
      </c>
      <c r="K947" s="2">
        <f>ff_portfolios25!K947-ff_factors!$E947</f>
        <v>3.6933000000000001E-2</v>
      </c>
      <c r="L947" s="2">
        <f>ff_portfolios25!L947-ff_factors!$E947</f>
        <v>3.2597999999999995E-2</v>
      </c>
      <c r="M947" s="2">
        <f>ff_portfolios25!M947-ff_factors!$E947</f>
        <v>2.6091E-2</v>
      </c>
      <c r="N947" s="2">
        <f>ff_portfolios25!N947-ff_factors!$E947</f>
        <v>4.4815999999999995E-2</v>
      </c>
      <c r="O947" s="2">
        <f>ff_portfolios25!O947-ff_factors!$E947</f>
        <v>3.9493E-2</v>
      </c>
      <c r="P947" s="2">
        <f>ff_portfolios25!P947-ff_factors!$E947</f>
        <v>4.5347999999999999E-2</v>
      </c>
      <c r="Q947" s="2">
        <f>ff_portfolios25!Q947-ff_factors!$E947</f>
        <v>3.8383E-2</v>
      </c>
      <c r="R947" s="2">
        <f>ff_portfolios25!R947-ff_factors!$E947</f>
        <v>3.1613999999999996E-2</v>
      </c>
      <c r="S947" s="2">
        <f>ff_portfolios25!S947-ff_factors!$E947</f>
        <v>3.1934999999999998E-2</v>
      </c>
      <c r="T947" s="2">
        <f>ff_portfolios25!T947-ff_factors!$E947</f>
        <v>4.6373999999999999E-2</v>
      </c>
      <c r="U947" s="2">
        <f>ff_portfolios25!U947-ff_factors!$E947</f>
        <v>4.1711999999999999E-2</v>
      </c>
      <c r="V947" s="2">
        <f>ff_portfolios25!V947-ff_factors!$E947</f>
        <v>1.7756000000000001E-2</v>
      </c>
      <c r="W947" s="2">
        <f>ff_portfolios25!W947-ff_factors!$E947</f>
        <v>3.1950000000000004E-3</v>
      </c>
      <c r="X947" s="2">
        <f>ff_portfolios25!X947-ff_factors!$E947</f>
        <v>4.8166E-2</v>
      </c>
      <c r="Y947" s="2">
        <f>ff_portfolios25!Y947-ff_factors!$E947</f>
        <v>4.4659999999999998E-2</v>
      </c>
      <c r="Z947" s="2">
        <f>ff_portfolios25!Z947-ff_factors!$E947</f>
        <v>4.1137E-2</v>
      </c>
      <c r="AA947" s="2">
        <f>ff_portfolios25!AA947-ff_factors!$E947</f>
        <v>1.8083999999999999E-2</v>
      </c>
      <c r="AB947" s="2">
        <f>ff_portfolios25!AB947-ff_factors!$E947</f>
        <v>-9.6000000000000002E-5</v>
      </c>
    </row>
    <row r="948" spans="1:28" x14ac:dyDescent="0.2">
      <c r="A948">
        <v>20101130</v>
      </c>
      <c r="B948">
        <v>2010</v>
      </c>
      <c r="C948">
        <v>11</v>
      </c>
      <c r="D948" s="2">
        <f>ff_portfolios25!D948-ff_factors!$E948</f>
        <v>1.5536000000000001E-2</v>
      </c>
      <c r="E948" s="2">
        <f>ff_portfolios25!E948-ff_factors!$E948</f>
        <v>3.6560999999999996E-2</v>
      </c>
      <c r="F948" s="2">
        <f>ff_portfolios25!F948-ff_factors!$E948</f>
        <v>5.4502999999999996E-2</v>
      </c>
      <c r="G948" s="2">
        <f>ff_portfolios25!G948-ff_factors!$E948</f>
        <v>4.2175999999999998E-2</v>
      </c>
      <c r="H948" s="2">
        <f>ff_portfolios25!H948-ff_factors!$E948</f>
        <v>3.4234999999999995E-2</v>
      </c>
      <c r="I948" s="2">
        <f>ff_portfolios25!I948-ff_factors!$E948</f>
        <v>3.3381999999999995E-2</v>
      </c>
      <c r="J948" s="2">
        <f>ff_portfolios25!J948-ff_factors!$E948</f>
        <v>4.4990999999999996E-2</v>
      </c>
      <c r="K948" s="2">
        <f>ff_portfolios25!K948-ff_factors!$E948</f>
        <v>3.2853E-2</v>
      </c>
      <c r="L948" s="2">
        <f>ff_portfolios25!L948-ff_factors!$E948</f>
        <v>2.9899999999999999E-2</v>
      </c>
      <c r="M948" s="2">
        <f>ff_portfolios25!M948-ff_factors!$E948</f>
        <v>4.3979999999999998E-2</v>
      </c>
      <c r="N948" s="2">
        <f>ff_portfolios25!N948-ff_factors!$E948</f>
        <v>3.7685999999999997E-2</v>
      </c>
      <c r="O948" s="2">
        <f>ff_portfolios25!O948-ff_factors!$E948</f>
        <v>5.6984999999999994E-2</v>
      </c>
      <c r="P948" s="2">
        <f>ff_portfolios25!P948-ff_factors!$E948</f>
        <v>2.4369999999999999E-2</v>
      </c>
      <c r="Q948" s="2">
        <f>ff_portfolios25!Q948-ff_factors!$E948</f>
        <v>3.7654E-2</v>
      </c>
      <c r="R948" s="2">
        <f>ff_portfolios25!R948-ff_factors!$E948</f>
        <v>1.5862000000000001E-2</v>
      </c>
      <c r="S948" s="2">
        <f>ff_portfolios25!S948-ff_factors!$E948</f>
        <v>4.6058999999999996E-2</v>
      </c>
      <c r="T948" s="2">
        <f>ff_portfolios25!T948-ff_factors!$E948</f>
        <v>3.6886999999999996E-2</v>
      </c>
      <c r="U948" s="2">
        <f>ff_portfolios25!U948-ff_factors!$E948</f>
        <v>2.6915000000000001E-2</v>
      </c>
      <c r="V948" s="2">
        <f>ff_portfolios25!V948-ff_factors!$E948</f>
        <v>1.3151000000000001E-2</v>
      </c>
      <c r="W948" s="2">
        <f>ff_portfolios25!W948-ff_factors!$E948</f>
        <v>-6.6370000000000005E-3</v>
      </c>
      <c r="X948" s="2">
        <f>ff_portfolios25!X948-ff_factors!$E948</f>
        <v>-9.4449999999999985E-3</v>
      </c>
      <c r="Y948" s="2">
        <f>ff_portfolios25!Y948-ff_factors!$E948</f>
        <v>2.1889000000000002E-2</v>
      </c>
      <c r="Z948" s="2">
        <f>ff_portfolios25!Z948-ff_factors!$E948</f>
        <v>-7.195E-3</v>
      </c>
      <c r="AA948" s="2">
        <f>ff_portfolios25!AA948-ff_factors!$E948</f>
        <v>-1.751E-3</v>
      </c>
      <c r="AB948" s="2">
        <f>ff_portfolios25!AB948-ff_factors!$E948</f>
        <v>-3.3122000000000006E-2</v>
      </c>
    </row>
    <row r="949" spans="1:28" x14ac:dyDescent="0.2">
      <c r="A949">
        <v>20101231</v>
      </c>
      <c r="B949">
        <v>2010</v>
      </c>
      <c r="C949">
        <v>12</v>
      </c>
      <c r="D949" s="2">
        <f>ff_portfolios25!D949-ff_factors!$E949</f>
        <v>0.100369</v>
      </c>
      <c r="E949" s="2">
        <f>ff_portfolios25!E949-ff_factors!$E949</f>
        <v>8.0314999999999998E-2</v>
      </c>
      <c r="F949" s="2">
        <f>ff_portfolios25!F949-ff_factors!$E949</f>
        <v>7.5777999999999998E-2</v>
      </c>
      <c r="G949" s="2">
        <f>ff_portfolios25!G949-ff_factors!$E949</f>
        <v>8.6580999999999991E-2</v>
      </c>
      <c r="H949" s="2">
        <f>ff_portfolios25!H949-ff_factors!$E949</f>
        <v>9.4886999999999999E-2</v>
      </c>
      <c r="I949" s="2">
        <f>ff_portfolios25!I949-ff_factors!$E949</f>
        <v>7.8324999999999992E-2</v>
      </c>
      <c r="J949" s="2">
        <f>ff_portfolios25!J949-ff_factors!$E949</f>
        <v>7.4287999999999993E-2</v>
      </c>
      <c r="K949" s="2">
        <f>ff_portfolios25!K949-ff_factors!$E949</f>
        <v>7.8508999999999995E-2</v>
      </c>
      <c r="L949" s="2">
        <f>ff_portfolios25!L949-ff_factors!$E949</f>
        <v>8.0272999999999997E-2</v>
      </c>
      <c r="M949" s="2">
        <f>ff_portfolios25!M949-ff_factors!$E949</f>
        <v>0.10317</v>
      </c>
      <c r="N949" s="2">
        <f>ff_portfolios25!N949-ff_factors!$E949</f>
        <v>6.2808000000000003E-2</v>
      </c>
      <c r="O949" s="2">
        <f>ff_portfolios25!O949-ff_factors!$E949</f>
        <v>7.8565999999999997E-2</v>
      </c>
      <c r="P949" s="2">
        <f>ff_portfolios25!P949-ff_factors!$E949</f>
        <v>8.7301999999999991E-2</v>
      </c>
      <c r="Q949" s="2">
        <f>ff_portfolios25!Q949-ff_factors!$E949</f>
        <v>7.0292999999999994E-2</v>
      </c>
      <c r="R949" s="2">
        <f>ff_portfolios25!R949-ff_factors!$E949</f>
        <v>8.2942000000000002E-2</v>
      </c>
      <c r="S949" s="2">
        <f>ff_portfolios25!S949-ff_factors!$E949</f>
        <v>4.9727999999999994E-2</v>
      </c>
      <c r="T949" s="2">
        <f>ff_portfolios25!T949-ff_factors!$E949</f>
        <v>7.0634000000000002E-2</v>
      </c>
      <c r="U949" s="2">
        <f>ff_portfolios25!U949-ff_factors!$E949</f>
        <v>7.5051999999999994E-2</v>
      </c>
      <c r="V949" s="2">
        <f>ff_portfolios25!V949-ff_factors!$E949</f>
        <v>8.9510999999999993E-2</v>
      </c>
      <c r="W949" s="2">
        <f>ff_portfolios25!W949-ff_factors!$E949</f>
        <v>9.4069E-2</v>
      </c>
      <c r="X949" s="2">
        <f>ff_portfolios25!X949-ff_factors!$E949</f>
        <v>4.3968E-2</v>
      </c>
      <c r="Y949" s="2">
        <f>ff_portfolios25!Y949-ff_factors!$E949</f>
        <v>6.1563999999999994E-2</v>
      </c>
      <c r="Z949" s="2">
        <f>ff_portfolios25!Z949-ff_factors!$E949</f>
        <v>6.6436999999999996E-2</v>
      </c>
      <c r="AA949" s="2">
        <f>ff_portfolios25!AA949-ff_factors!$E949</f>
        <v>9.1443999999999998E-2</v>
      </c>
      <c r="AB949" s="2">
        <f>ff_portfolios25!AB949-ff_factors!$E949</f>
        <v>0.139014</v>
      </c>
    </row>
    <row r="950" spans="1:28" x14ac:dyDescent="0.2">
      <c r="A950">
        <v>20110131</v>
      </c>
      <c r="B950">
        <v>2011</v>
      </c>
      <c r="C950">
        <v>1</v>
      </c>
      <c r="D950" s="2">
        <f>ff_portfolios25!D950-ff_factors!$E950</f>
        <v>-2.9631000000000001E-2</v>
      </c>
      <c r="E950" s="2">
        <f>ff_portfolios25!E950-ff_factors!$E950</f>
        <v>-1.8484999999999998E-2</v>
      </c>
      <c r="F950" s="2">
        <f>ff_portfolios25!F950-ff_factors!$E950</f>
        <v>-1.5094E-2</v>
      </c>
      <c r="G950" s="2">
        <f>ff_portfolios25!G950-ff_factors!$E950</f>
        <v>-1.0444999999999999E-2</v>
      </c>
      <c r="H950" s="2">
        <f>ff_portfolios25!H950-ff_factors!$E950</f>
        <v>-9.1529999999999997E-3</v>
      </c>
      <c r="I950" s="2">
        <f>ff_portfolios25!I950-ff_factors!$E950</f>
        <v>7.4249999999999993E-3</v>
      </c>
      <c r="J950" s="2">
        <f>ff_portfolios25!J950-ff_factors!$E950</f>
        <v>-6.254E-3</v>
      </c>
      <c r="K950" s="2">
        <f>ff_portfolios25!K950-ff_factors!$E950</f>
        <v>2.0071000000000002E-2</v>
      </c>
      <c r="L950" s="2">
        <f>ff_portfolios25!L950-ff_factors!$E950</f>
        <v>1.4899999999999999E-4</v>
      </c>
      <c r="M950" s="2">
        <f>ff_portfolios25!M950-ff_factors!$E950</f>
        <v>2.4695999999999999E-2</v>
      </c>
      <c r="N950" s="2">
        <f>ff_portfolios25!N950-ff_factors!$E950</f>
        <v>1.9838000000000001E-2</v>
      </c>
      <c r="O950" s="2">
        <f>ff_portfolios25!O950-ff_factors!$E950</f>
        <v>1.8131000000000001E-2</v>
      </c>
      <c r="P950" s="2">
        <f>ff_portfolios25!P950-ff_factors!$E950</f>
        <v>-4.2830000000000003E-3</v>
      </c>
      <c r="Q950" s="2">
        <f>ff_portfolios25!Q950-ff_factors!$E950</f>
        <v>3.8175000000000001E-2</v>
      </c>
      <c r="R950" s="2">
        <f>ff_portfolios25!R950-ff_factors!$E950</f>
        <v>-6.0080000000000003E-3</v>
      </c>
      <c r="S950" s="2">
        <f>ff_portfolios25!S950-ff_factors!$E950</f>
        <v>1.8078E-2</v>
      </c>
      <c r="T950" s="2">
        <f>ff_portfolios25!T950-ff_factors!$E950</f>
        <v>3.6777999999999998E-2</v>
      </c>
      <c r="U950" s="2">
        <f>ff_portfolios25!U950-ff_factors!$E950</f>
        <v>1.7291000000000001E-2</v>
      </c>
      <c r="V950" s="2">
        <f>ff_portfolios25!V950-ff_factors!$E950</f>
        <v>1.8549E-2</v>
      </c>
      <c r="W950" s="2">
        <f>ff_portfolios25!W950-ff_factors!$E950</f>
        <v>7.869000000000001E-3</v>
      </c>
      <c r="X950" s="2">
        <f>ff_portfolios25!X950-ff_factors!$E950</f>
        <v>1.2973E-2</v>
      </c>
      <c r="Y950" s="2">
        <f>ff_portfolios25!Y950-ff_factors!$E950</f>
        <v>3.5895999999999997E-2</v>
      </c>
      <c r="Z950" s="2">
        <f>ff_portfolios25!Z950-ff_factors!$E950</f>
        <v>2.8073000000000001E-2</v>
      </c>
      <c r="AA950" s="2">
        <f>ff_portfolios25!AA950-ff_factors!$E950</f>
        <v>2.5327000000000002E-2</v>
      </c>
      <c r="AB950" s="2">
        <f>ff_portfolios25!AB950-ff_factors!$E950</f>
        <v>3.3545999999999999E-2</v>
      </c>
    </row>
    <row r="951" spans="1:28" x14ac:dyDescent="0.2">
      <c r="A951">
        <v>20110228</v>
      </c>
      <c r="B951">
        <v>2011</v>
      </c>
      <c r="C951">
        <v>2</v>
      </c>
      <c r="D951" s="2">
        <f>ff_portfolios25!D951-ff_factors!$E951</f>
        <v>1.3623000000000001E-2</v>
      </c>
      <c r="E951" s="2">
        <f>ff_portfolios25!E951-ff_factors!$E951</f>
        <v>5.2898999999999995E-2</v>
      </c>
      <c r="F951" s="2">
        <f>ff_portfolios25!F951-ff_factors!$E951</f>
        <v>3.8038999999999996E-2</v>
      </c>
      <c r="G951" s="2">
        <f>ff_portfolios25!G951-ff_factors!$E951</f>
        <v>4.8225999999999998E-2</v>
      </c>
      <c r="H951" s="2">
        <f>ff_portfolios25!H951-ff_factors!$E951</f>
        <v>6.4185999999999993E-2</v>
      </c>
      <c r="I951" s="2">
        <f>ff_portfolios25!I951-ff_factors!$E951</f>
        <v>5.6564999999999997E-2</v>
      </c>
      <c r="J951" s="2">
        <f>ff_portfolios25!J951-ff_factors!$E951</f>
        <v>6.9550000000000001E-2</v>
      </c>
      <c r="K951" s="2">
        <f>ff_portfolios25!K951-ff_factors!$E951</f>
        <v>6.3369999999999996E-2</v>
      </c>
      <c r="L951" s="2">
        <f>ff_portfolios25!L951-ff_factors!$E951</f>
        <v>4.7107999999999997E-2</v>
      </c>
      <c r="M951" s="2">
        <f>ff_portfolios25!M951-ff_factors!$E951</f>
        <v>5.4615999999999998E-2</v>
      </c>
      <c r="N951" s="2">
        <f>ff_portfolios25!N951-ff_factors!$E951</f>
        <v>5.1096999999999997E-2</v>
      </c>
      <c r="O951" s="2">
        <f>ff_portfolios25!O951-ff_factors!$E951</f>
        <v>6.3291E-2</v>
      </c>
      <c r="P951" s="2">
        <f>ff_portfolios25!P951-ff_factors!$E951</f>
        <v>5.6318999999999994E-2</v>
      </c>
      <c r="Q951" s="2">
        <f>ff_portfolios25!Q951-ff_factors!$E951</f>
        <v>5.1471999999999997E-2</v>
      </c>
      <c r="R951" s="2">
        <f>ff_portfolios25!R951-ff_factors!$E951</f>
        <v>4.2990999999999994E-2</v>
      </c>
      <c r="S951" s="2">
        <f>ff_portfolios25!S951-ff_factors!$E951</f>
        <v>4.6327999999999994E-2</v>
      </c>
      <c r="T951" s="2">
        <f>ff_portfolios25!T951-ff_factors!$E951</f>
        <v>4.1978999999999995E-2</v>
      </c>
      <c r="U951" s="2">
        <f>ff_portfolios25!U951-ff_factors!$E951</f>
        <v>4.1867999999999995E-2</v>
      </c>
      <c r="V951" s="2">
        <f>ff_portfolios25!V951-ff_factors!$E951</f>
        <v>3.8285E-2</v>
      </c>
      <c r="W951" s="2">
        <f>ff_portfolios25!W951-ff_factors!$E951</f>
        <v>2.4725E-2</v>
      </c>
      <c r="X951" s="2">
        <f>ff_portfolios25!X951-ff_factors!$E951</f>
        <v>1.8758E-2</v>
      </c>
      <c r="Y951" s="2">
        <f>ff_portfolios25!Y951-ff_factors!$E951</f>
        <v>3.6866999999999997E-2</v>
      </c>
      <c r="Z951" s="2">
        <f>ff_portfolios25!Z951-ff_factors!$E951</f>
        <v>5.0639999999999998E-2</v>
      </c>
      <c r="AA951" s="2">
        <f>ff_portfolios25!AA951-ff_factors!$E951</f>
        <v>3.7708999999999999E-2</v>
      </c>
      <c r="AB951" s="2">
        <f>ff_portfolios25!AB951-ff_factors!$E951</f>
        <v>4.2358999999999994E-2</v>
      </c>
    </row>
    <row r="952" spans="1:28" x14ac:dyDescent="0.2">
      <c r="A952">
        <v>20110331</v>
      </c>
      <c r="B952">
        <v>2011</v>
      </c>
      <c r="C952">
        <v>3</v>
      </c>
      <c r="D952" s="2">
        <f>ff_portfolios25!D952-ff_factors!$E952</f>
        <v>3.4803000000000001E-2</v>
      </c>
      <c r="E952" s="2">
        <f>ff_portfolios25!E952-ff_factors!$E952</f>
        <v>4.5401999999999998E-2</v>
      </c>
      <c r="F952" s="2">
        <f>ff_portfolios25!F952-ff_factors!$E952</f>
        <v>9.1800000000000007E-3</v>
      </c>
      <c r="G952" s="2">
        <f>ff_portfolios25!G952-ff_factors!$E952</f>
        <v>2.0579E-2</v>
      </c>
      <c r="H952" s="2">
        <f>ff_portfolios25!H952-ff_factors!$E952</f>
        <v>1.6480000000000002E-2</v>
      </c>
      <c r="I952" s="2">
        <f>ff_portfolios25!I952-ff_factors!$E952</f>
        <v>2.5788000000000002E-2</v>
      </c>
      <c r="J952" s="2">
        <f>ff_portfolios25!J952-ff_factors!$E952</f>
        <v>2.5927000000000002E-2</v>
      </c>
      <c r="K952" s="2">
        <f>ff_portfolios25!K952-ff_factors!$E952</f>
        <v>3.031E-2</v>
      </c>
      <c r="L952" s="2">
        <f>ff_portfolios25!L952-ff_factors!$E952</f>
        <v>1.3939E-2</v>
      </c>
      <c r="M952" s="2">
        <f>ff_portfolios25!M952-ff_factors!$E952</f>
        <v>3.3381999999999995E-2</v>
      </c>
      <c r="N952" s="2">
        <f>ff_portfolios25!N952-ff_factors!$E952</f>
        <v>4.8672E-2</v>
      </c>
      <c r="O952" s="2">
        <f>ff_portfolios25!O952-ff_factors!$E952</f>
        <v>3.0870999999999999E-2</v>
      </c>
      <c r="P952" s="2">
        <f>ff_portfolios25!P952-ff_factors!$E952</f>
        <v>2.7091E-2</v>
      </c>
      <c r="Q952" s="2">
        <f>ff_portfolios25!Q952-ff_factors!$E952</f>
        <v>2.3911999999999999E-2</v>
      </c>
      <c r="R952" s="2">
        <f>ff_portfolios25!R952-ff_factors!$E952</f>
        <v>1.7592E-2</v>
      </c>
      <c r="S952" s="2">
        <f>ff_portfolios25!S952-ff_factors!$E952</f>
        <v>1.8184000000000002E-2</v>
      </c>
      <c r="T952" s="2">
        <f>ff_portfolios25!T952-ff_factors!$E952</f>
        <v>3.2398999999999997E-2</v>
      </c>
      <c r="U952" s="2">
        <f>ff_portfolios25!U952-ff_factors!$E952</f>
        <v>2.4697E-2</v>
      </c>
      <c r="V952" s="2">
        <f>ff_portfolios25!V952-ff_factors!$E952</f>
        <v>8.6040000000000005E-3</v>
      </c>
      <c r="W952" s="2">
        <f>ff_portfolios25!W952-ff_factors!$E952</f>
        <v>2.8550000000000003E-3</v>
      </c>
      <c r="X952" s="2">
        <f>ff_portfolios25!X952-ff_factors!$E952</f>
        <v>-1.359E-3</v>
      </c>
      <c r="Y952" s="2">
        <f>ff_portfolios25!Y952-ff_factors!$E952</f>
        <v>-1.214E-3</v>
      </c>
      <c r="Z952" s="2">
        <f>ff_portfolios25!Z952-ff_factors!$E952</f>
        <v>1.4375000000000001E-2</v>
      </c>
      <c r="AA952" s="2">
        <f>ff_portfolios25!AA952-ff_factors!$E952</f>
        <v>-3.8769999999999998E-3</v>
      </c>
      <c r="AB952" s="2">
        <f>ff_portfolios25!AB952-ff_factors!$E952</f>
        <v>-2.7970999999999999E-2</v>
      </c>
    </row>
    <row r="953" spans="1:28" x14ac:dyDescent="0.2">
      <c r="A953">
        <v>20110429</v>
      </c>
      <c r="B953">
        <v>2011</v>
      </c>
      <c r="C953">
        <v>4</v>
      </c>
      <c r="D953" s="2">
        <f>ff_portfolios25!D953-ff_factors!$E953</f>
        <v>2.613E-2</v>
      </c>
      <c r="E953" s="2">
        <f>ff_portfolios25!E953-ff_factors!$E953</f>
        <v>8.4460000000000004E-3</v>
      </c>
      <c r="F953" s="2">
        <f>ff_portfolios25!F953-ff_factors!$E953</f>
        <v>5.8089999999999999E-3</v>
      </c>
      <c r="G953" s="2">
        <f>ff_portfolios25!G953-ff_factors!$E953</f>
        <v>1.4936E-2</v>
      </c>
      <c r="H953" s="2">
        <f>ff_portfolios25!H953-ff_factors!$E953</f>
        <v>3.156E-3</v>
      </c>
      <c r="I953" s="2">
        <f>ff_portfolios25!I953-ff_factors!$E953</f>
        <v>4.2453999999999999E-2</v>
      </c>
      <c r="J953" s="2">
        <f>ff_portfolios25!J953-ff_factors!$E953</f>
        <v>2.1325E-2</v>
      </c>
      <c r="K953" s="2">
        <f>ff_portfolios25!K953-ff_factors!$E953</f>
        <v>2.2685E-2</v>
      </c>
      <c r="L953" s="2">
        <f>ff_portfolios25!L953-ff_factors!$E953</f>
        <v>1.8884999999999999E-2</v>
      </c>
      <c r="M953" s="2">
        <f>ff_portfolios25!M953-ff_factors!$E953</f>
        <v>-8.3699999999999996E-4</v>
      </c>
      <c r="N953" s="2">
        <f>ff_portfolios25!N953-ff_factors!$E953</f>
        <v>4.0252000000000003E-2</v>
      </c>
      <c r="O953" s="2">
        <f>ff_portfolios25!O953-ff_factors!$E953</f>
        <v>3.9462999999999998E-2</v>
      </c>
      <c r="P953" s="2">
        <f>ff_portfolios25!P953-ff_factors!$E953</f>
        <v>3.2939000000000003E-2</v>
      </c>
      <c r="Q953" s="2">
        <f>ff_portfolios25!Q953-ff_factors!$E953</f>
        <v>3.0026000000000001E-2</v>
      </c>
      <c r="R953" s="2">
        <f>ff_portfolios25!R953-ff_factors!$E953</f>
        <v>1.9733000000000001E-2</v>
      </c>
      <c r="S953" s="2">
        <f>ff_portfolios25!S953-ff_factors!$E953</f>
        <v>3.3924000000000003E-2</v>
      </c>
      <c r="T953" s="2">
        <f>ff_portfolios25!T953-ff_factors!$E953</f>
        <v>1.7267000000000001E-2</v>
      </c>
      <c r="U953" s="2">
        <f>ff_portfolios25!U953-ff_factors!$E953</f>
        <v>1.7871000000000001E-2</v>
      </c>
      <c r="V953" s="2">
        <f>ff_portfolios25!V953-ff_factors!$E953</f>
        <v>2.8739000000000001E-2</v>
      </c>
      <c r="W953" s="2">
        <f>ff_portfolios25!W953-ff_factors!$E953</f>
        <v>2.3314999999999999E-2</v>
      </c>
      <c r="X953" s="2">
        <f>ff_portfolios25!X953-ff_factors!$E953</f>
        <v>3.6352000000000002E-2</v>
      </c>
      <c r="Y953" s="2">
        <f>ff_portfolios25!Y953-ff_factors!$E953</f>
        <v>4.5039999999999997E-2</v>
      </c>
      <c r="Z953" s="2">
        <f>ff_portfolios25!Z953-ff_factors!$E953</f>
        <v>3.4382999999999997E-2</v>
      </c>
      <c r="AA953" s="2">
        <f>ff_portfolios25!AA953-ff_factors!$E953</f>
        <v>6.5139999999999998E-3</v>
      </c>
      <c r="AB953" s="2">
        <f>ff_portfolios25!AB953-ff_factors!$E953</f>
        <v>1.0266000000000001E-2</v>
      </c>
    </row>
    <row r="954" spans="1:28" x14ac:dyDescent="0.2">
      <c r="A954">
        <v>20110531</v>
      </c>
      <c r="B954">
        <v>2011</v>
      </c>
      <c r="C954">
        <v>5</v>
      </c>
      <c r="D954" s="2">
        <f>ff_portfolios25!D954-ff_factors!$E954</f>
        <v>-1.0087E-2</v>
      </c>
      <c r="E954" s="2">
        <f>ff_portfolios25!E954-ff_factors!$E954</f>
        <v>-1.2009000000000001E-2</v>
      </c>
      <c r="F954" s="2">
        <f>ff_portfolios25!F954-ff_factors!$E954</f>
        <v>-2.3460000000000002E-2</v>
      </c>
      <c r="G954" s="2">
        <f>ff_portfolios25!G954-ff_factors!$E954</f>
        <v>-4.3593E-2</v>
      </c>
      <c r="H954" s="2">
        <f>ff_portfolios25!H954-ff_factors!$E954</f>
        <v>-2.7987000000000001E-2</v>
      </c>
      <c r="I954" s="2">
        <f>ff_portfolios25!I954-ff_factors!$E954</f>
        <v>-1.9647999999999999E-2</v>
      </c>
      <c r="J954" s="2">
        <f>ff_portfolios25!J954-ff_factors!$E954</f>
        <v>-1.3119E-2</v>
      </c>
      <c r="K954" s="2">
        <f>ff_portfolios25!K954-ff_factors!$E954</f>
        <v>-5.3940000000000004E-3</v>
      </c>
      <c r="L954" s="2">
        <f>ff_portfolios25!L954-ff_factors!$E954</f>
        <v>-3.5112999999999998E-2</v>
      </c>
      <c r="M954" s="2">
        <f>ff_portfolios25!M954-ff_factors!$E954</f>
        <v>-3.1019999999999999E-2</v>
      </c>
      <c r="N954" s="2">
        <f>ff_portfolios25!N954-ff_factors!$E954</f>
        <v>-1.4884E-2</v>
      </c>
      <c r="O954" s="2">
        <f>ff_portfolios25!O954-ff_factors!$E954</f>
        <v>-1.231E-2</v>
      </c>
      <c r="P954" s="2">
        <f>ff_portfolios25!P954-ff_factors!$E954</f>
        <v>-1.6390999999999999E-2</v>
      </c>
      <c r="Q954" s="2">
        <f>ff_portfolios25!Q954-ff_factors!$E954</f>
        <v>-4.2616000000000001E-2</v>
      </c>
      <c r="R954" s="2">
        <f>ff_portfolios25!R954-ff_factors!$E954</f>
        <v>-4.6439999999999997E-3</v>
      </c>
      <c r="S954" s="2">
        <f>ff_portfolios25!S954-ff_factors!$E954</f>
        <v>2.32E-3</v>
      </c>
      <c r="T954" s="2">
        <f>ff_portfolios25!T954-ff_factors!$E954</f>
        <v>-5.1669999999999997E-3</v>
      </c>
      <c r="U954" s="2">
        <f>ff_portfolios25!U954-ff_factors!$E954</f>
        <v>-1.3847E-2</v>
      </c>
      <c r="V954" s="2">
        <f>ff_portfolios25!V954-ff_factors!$E954</f>
        <v>-1.2304000000000001E-2</v>
      </c>
      <c r="W954" s="2">
        <f>ff_portfolios25!W954-ff_factors!$E954</f>
        <v>-8.7770000000000001E-3</v>
      </c>
      <c r="X954" s="2">
        <f>ff_portfolios25!X954-ff_factors!$E954</f>
        <v>2.7099999999999997E-4</v>
      </c>
      <c r="Y954" s="2">
        <f>ff_portfolios25!Y954-ff_factors!$E954</f>
        <v>-2.4156E-2</v>
      </c>
      <c r="Z954" s="2">
        <f>ff_portfolios25!Z954-ff_factors!$E954</f>
        <v>-1.3492000000000001E-2</v>
      </c>
      <c r="AA954" s="2">
        <f>ff_portfolios25!AA954-ff_factors!$E954</f>
        <v>-2.1269E-2</v>
      </c>
      <c r="AB954" s="2">
        <f>ff_portfolios25!AB954-ff_factors!$E954</f>
        <v>-3.4361000000000003E-2</v>
      </c>
    </row>
    <row r="955" spans="1:28" x14ac:dyDescent="0.2">
      <c r="A955">
        <v>20110630</v>
      </c>
      <c r="B955">
        <v>2011</v>
      </c>
      <c r="C955">
        <v>6</v>
      </c>
      <c r="D955" s="2">
        <f>ff_portfolios25!D955-ff_factors!$E955</f>
        <v>-4.4823000000000002E-2</v>
      </c>
      <c r="E955" s="2">
        <f>ff_portfolios25!E955-ff_factors!$E955</f>
        <v>-3.5756000000000003E-2</v>
      </c>
      <c r="F955" s="2">
        <f>ff_portfolios25!F955-ff_factors!$E955</f>
        <v>-2.4074000000000002E-2</v>
      </c>
      <c r="G955" s="2">
        <f>ff_portfolios25!G955-ff_factors!$E955</f>
        <v>-1.7500000000000002E-2</v>
      </c>
      <c r="H955" s="2">
        <f>ff_portfolios25!H955-ff_factors!$E955</f>
        <v>-2.4733000000000002E-2</v>
      </c>
      <c r="I955" s="2">
        <f>ff_portfolios25!I955-ff_factors!$E955</f>
        <v>-8.9999999999999993E-3</v>
      </c>
      <c r="J955" s="2">
        <f>ff_portfolios25!J955-ff_factors!$E955</f>
        <v>-2.172E-2</v>
      </c>
      <c r="K955" s="2">
        <f>ff_portfolios25!K955-ff_factors!$E955</f>
        <v>-1.3922E-2</v>
      </c>
      <c r="L955" s="2">
        <f>ff_portfolios25!L955-ff_factors!$E955</f>
        <v>-5.0959999999999998E-3</v>
      </c>
      <c r="M955" s="2">
        <f>ff_portfolios25!M955-ff_factors!$E955</f>
        <v>-1.5864E-2</v>
      </c>
      <c r="N955" s="2">
        <f>ff_portfolios25!N955-ff_factors!$E955</f>
        <v>-8.6420000000000004E-3</v>
      </c>
      <c r="O955" s="2">
        <f>ff_portfolios25!O955-ff_factors!$E955</f>
        <v>-2.0652E-2</v>
      </c>
      <c r="P955" s="2">
        <f>ff_portfolios25!P955-ff_factors!$E955</f>
        <v>-1.7419E-2</v>
      </c>
      <c r="Q955" s="2">
        <f>ff_portfolios25!Q955-ff_factors!$E955</f>
        <v>-9.6489999999999996E-3</v>
      </c>
      <c r="R955" s="2">
        <f>ff_portfolios25!R955-ff_factors!$E955</f>
        <v>-3.6082000000000003E-2</v>
      </c>
      <c r="S955" s="2">
        <f>ff_portfolios25!S955-ff_factors!$E955</f>
        <v>-1.5136E-2</v>
      </c>
      <c r="T955" s="2">
        <f>ff_portfolios25!T955-ff_factors!$E955</f>
        <v>-2.0315E-2</v>
      </c>
      <c r="U955" s="2">
        <f>ff_portfolios25!U955-ff_factors!$E955</f>
        <v>-2.9399999999999999E-2</v>
      </c>
      <c r="V955" s="2">
        <f>ff_portfolios25!V955-ff_factors!$E955</f>
        <v>-2.0306000000000001E-2</v>
      </c>
      <c r="W955" s="2">
        <f>ff_portfolios25!W955-ff_factors!$E955</f>
        <v>-1.9401999999999999E-2</v>
      </c>
      <c r="X955" s="2">
        <f>ff_portfolios25!X955-ff_factors!$E955</f>
        <v>-1.1662E-2</v>
      </c>
      <c r="Y955" s="2">
        <f>ff_portfolios25!Y955-ff_factors!$E955</f>
        <v>-1.7892999999999999E-2</v>
      </c>
      <c r="Z955" s="2">
        <f>ff_portfolios25!Z955-ff_factors!$E955</f>
        <v>-2.1701000000000002E-2</v>
      </c>
      <c r="AA955" s="2">
        <f>ff_portfolios25!AA955-ff_factors!$E955</f>
        <v>-1.5178000000000001E-2</v>
      </c>
      <c r="AB955" s="2">
        <f>ff_portfolios25!AB955-ff_factors!$E955</f>
        <v>-2.6407E-2</v>
      </c>
    </row>
    <row r="956" spans="1:28" x14ac:dyDescent="0.2">
      <c r="A956">
        <v>20110729</v>
      </c>
      <c r="B956">
        <v>2011</v>
      </c>
      <c r="C956">
        <v>7</v>
      </c>
      <c r="D956" s="2">
        <f>ff_portfolios25!D956-ff_factors!$E956</f>
        <v>-5.1410999999999998E-2</v>
      </c>
      <c r="E956" s="2">
        <f>ff_portfolios25!E956-ff_factors!$E956</f>
        <v>-2.9167999999999999E-2</v>
      </c>
      <c r="F956" s="2">
        <f>ff_portfolios25!F956-ff_factors!$E956</f>
        <v>-2.9655000000000001E-2</v>
      </c>
      <c r="G956" s="2">
        <f>ff_portfolios25!G956-ff_factors!$E956</f>
        <v>-1.2099E-2</v>
      </c>
      <c r="H956" s="2">
        <f>ff_portfolios25!H956-ff_factors!$E956</f>
        <v>-1.4558E-2</v>
      </c>
      <c r="I956" s="2">
        <f>ff_portfolios25!I956-ff_factors!$E956</f>
        <v>-3.6090999999999998E-2</v>
      </c>
      <c r="J956" s="2">
        <f>ff_portfolios25!J956-ff_factors!$E956</f>
        <v>-3.6302000000000001E-2</v>
      </c>
      <c r="K956" s="2">
        <f>ff_portfolios25!K956-ff_factors!$E956</f>
        <v>-5.2509E-2</v>
      </c>
      <c r="L956" s="2">
        <f>ff_portfolios25!L956-ff_factors!$E956</f>
        <v>-3.0079000000000002E-2</v>
      </c>
      <c r="M956" s="2">
        <f>ff_portfolios25!M956-ff_factors!$E956</f>
        <v>-5.6372999999999999E-2</v>
      </c>
      <c r="N956" s="2">
        <f>ff_portfolios25!N956-ff_factors!$E956</f>
        <v>-4.8051000000000003E-2</v>
      </c>
      <c r="O956" s="2">
        <f>ff_portfolios25!O956-ff_factors!$E956</f>
        <v>-3.8538999999999997E-2</v>
      </c>
      <c r="P956" s="2">
        <f>ff_portfolios25!P956-ff_factors!$E956</f>
        <v>-3.1432000000000002E-2</v>
      </c>
      <c r="Q956" s="2">
        <f>ff_portfolios25!Q956-ff_factors!$E956</f>
        <v>-5.1739E-2</v>
      </c>
      <c r="R956" s="2">
        <f>ff_portfolios25!R956-ff_factors!$E956</f>
        <v>-3.9893999999999999E-2</v>
      </c>
      <c r="S956" s="2">
        <f>ff_portfolios25!S956-ff_factors!$E956</f>
        <v>-4.2804000000000002E-2</v>
      </c>
      <c r="T956" s="2">
        <f>ff_portfolios25!T956-ff_factors!$E956</f>
        <v>-3.2701000000000001E-2</v>
      </c>
      <c r="U956" s="2">
        <f>ff_portfolios25!U956-ff_factors!$E956</f>
        <v>-3.7505999999999998E-2</v>
      </c>
      <c r="V956" s="2">
        <f>ff_portfolios25!V956-ff_factors!$E956</f>
        <v>-2.7851999999999998E-2</v>
      </c>
      <c r="W956" s="2">
        <f>ff_portfolios25!W956-ff_factors!$E956</f>
        <v>-3.7830999999999997E-2</v>
      </c>
      <c r="X956" s="2">
        <f>ff_portfolios25!X956-ff_factors!$E956</f>
        <v>1.408E-3</v>
      </c>
      <c r="Y956" s="2">
        <f>ff_portfolios25!Y956-ff_factors!$E956</f>
        <v>-1.7462999999999999E-2</v>
      </c>
      <c r="Z956" s="2">
        <f>ff_portfolios25!Z956-ff_factors!$E956</f>
        <v>-1.4538000000000001E-2</v>
      </c>
      <c r="AA956" s="2">
        <f>ff_portfolios25!AA956-ff_factors!$E956</f>
        <v>-3.9655000000000003E-2</v>
      </c>
      <c r="AB956" s="2">
        <f>ff_portfolios25!AB956-ff_factors!$E956</f>
        <v>-5.4769999999999999E-2</v>
      </c>
    </row>
    <row r="957" spans="1:28" x14ac:dyDescent="0.2">
      <c r="A957">
        <v>20110831</v>
      </c>
      <c r="B957">
        <v>2011</v>
      </c>
      <c r="C957">
        <v>8</v>
      </c>
      <c r="D957" s="2">
        <f>ff_portfolios25!D957-ff_factors!$E957</f>
        <v>-0.122798</v>
      </c>
      <c r="E957" s="2">
        <f>ff_portfolios25!E957-ff_factors!$E957</f>
        <v>-0.12137100000000001</v>
      </c>
      <c r="F957" s="2">
        <f>ff_portfolios25!F957-ff_factors!$E957</f>
        <v>-8.8824E-2</v>
      </c>
      <c r="G957" s="2">
        <f>ff_portfolios25!G957-ff_factors!$E957</f>
        <v>-0.104464</v>
      </c>
      <c r="H957" s="2">
        <f>ff_portfolios25!H957-ff_factors!$E957</f>
        <v>-9.7387000000000001E-2</v>
      </c>
      <c r="I957" s="2">
        <f>ff_portfolios25!I957-ff_factors!$E957</f>
        <v>-9.3503000000000003E-2</v>
      </c>
      <c r="J957" s="2">
        <f>ff_portfolios25!J957-ff_factors!$E957</f>
        <v>-8.8041000000000008E-2</v>
      </c>
      <c r="K957" s="2">
        <f>ff_portfolios25!K957-ff_factors!$E957</f>
        <v>-0.10362</v>
      </c>
      <c r="L957" s="2">
        <f>ff_portfolios25!L957-ff_factors!$E957</f>
        <v>-7.9590000000000008E-2</v>
      </c>
      <c r="M957" s="2">
        <f>ff_portfolios25!M957-ff_factors!$E957</f>
        <v>-0.10932600000000001</v>
      </c>
      <c r="N957" s="2">
        <f>ff_portfolios25!N957-ff_factors!$E957</f>
        <v>-7.4310000000000001E-2</v>
      </c>
      <c r="O957" s="2">
        <f>ff_portfolios25!O957-ff_factors!$E957</f>
        <v>-8.3475000000000008E-2</v>
      </c>
      <c r="P957" s="2">
        <f>ff_portfolios25!P957-ff_factors!$E957</f>
        <v>-8.3978999999999998E-2</v>
      </c>
      <c r="Q957" s="2">
        <f>ff_portfolios25!Q957-ff_factors!$E957</f>
        <v>-8.7145E-2</v>
      </c>
      <c r="R957" s="2">
        <f>ff_portfolios25!R957-ff_factors!$E957</f>
        <v>-9.3224000000000001E-2</v>
      </c>
      <c r="S957" s="2">
        <f>ff_portfolios25!S957-ff_factors!$E957</f>
        <v>-8.0077999999999996E-2</v>
      </c>
      <c r="T957" s="2">
        <f>ff_portfolios25!T957-ff_factors!$E957</f>
        <v>-7.7335000000000001E-2</v>
      </c>
      <c r="U957" s="2">
        <f>ff_portfolios25!U957-ff_factors!$E957</f>
        <v>-8.8311000000000001E-2</v>
      </c>
      <c r="V957" s="2">
        <f>ff_portfolios25!V957-ff_factors!$E957</f>
        <v>-8.6814000000000002E-2</v>
      </c>
      <c r="W957" s="2">
        <f>ff_portfolios25!W957-ff_factors!$E957</f>
        <v>-6.7835000000000006E-2</v>
      </c>
      <c r="X957" s="2">
        <f>ff_portfolios25!X957-ff_factors!$E957</f>
        <v>-3.7575000000000004E-2</v>
      </c>
      <c r="Y957" s="2">
        <f>ff_portfolios25!Y957-ff_factors!$E957</f>
        <v>-4.6764E-2</v>
      </c>
      <c r="Z957" s="2">
        <f>ff_portfolios25!Z957-ff_factors!$E957</f>
        <v>-6.9731000000000001E-2</v>
      </c>
      <c r="AA957" s="2">
        <f>ff_portfolios25!AA957-ff_factors!$E957</f>
        <v>-3.9050000000000001E-2</v>
      </c>
      <c r="AB957" s="2">
        <f>ff_portfolios25!AB957-ff_factors!$E957</f>
        <v>-0.116346</v>
      </c>
    </row>
    <row r="958" spans="1:28" x14ac:dyDescent="0.2">
      <c r="A958">
        <v>20110930</v>
      </c>
      <c r="B958">
        <v>2011</v>
      </c>
      <c r="C958">
        <v>9</v>
      </c>
      <c r="D958" s="2">
        <f>ff_portfolios25!D958-ff_factors!$E958</f>
        <v>-0.113747</v>
      </c>
      <c r="E958" s="2">
        <f>ff_portfolios25!E958-ff_factors!$E958</f>
        <v>-0.127857</v>
      </c>
      <c r="F958" s="2">
        <f>ff_portfolios25!F958-ff_factors!$E958</f>
        <v>-0.10791199999999999</v>
      </c>
      <c r="G958" s="2">
        <f>ff_portfolios25!G958-ff_factors!$E958</f>
        <v>-0.109101</v>
      </c>
      <c r="H958" s="2">
        <f>ff_portfolios25!H958-ff_factors!$E958</f>
        <v>-0.103686</v>
      </c>
      <c r="I958" s="2">
        <f>ff_portfolios25!I958-ff_factors!$E958</f>
        <v>-0.10419</v>
      </c>
      <c r="J958" s="2">
        <f>ff_portfolios25!J958-ff_factors!$E958</f>
        <v>-0.11931799999999999</v>
      </c>
      <c r="K958" s="2">
        <f>ff_portfolios25!K958-ff_factors!$E958</f>
        <v>-0.11834699999999999</v>
      </c>
      <c r="L958" s="2">
        <f>ff_portfolios25!L958-ff_factors!$E958</f>
        <v>-0.107002</v>
      </c>
      <c r="M958" s="2">
        <f>ff_portfolios25!M958-ff_factors!$E958</f>
        <v>-0.109002</v>
      </c>
      <c r="N958" s="2">
        <f>ff_portfolios25!N958-ff_factors!$E958</f>
        <v>-0.103191</v>
      </c>
      <c r="O958" s="2">
        <f>ff_portfolios25!O958-ff_factors!$E958</f>
        <v>-0.129334</v>
      </c>
      <c r="P958" s="2">
        <f>ff_portfolios25!P958-ff_factors!$E958</f>
        <v>-0.118282</v>
      </c>
      <c r="Q958" s="2">
        <f>ff_portfolios25!Q958-ff_factors!$E958</f>
        <v>-0.110473</v>
      </c>
      <c r="R958" s="2">
        <f>ff_portfolios25!R958-ff_factors!$E958</f>
        <v>-0.108268</v>
      </c>
      <c r="S958" s="2">
        <f>ff_portfolios25!S958-ff_factors!$E958</f>
        <v>-9.0978000000000003E-2</v>
      </c>
      <c r="T958" s="2">
        <f>ff_portfolios25!T958-ff_factors!$E958</f>
        <v>-0.110662</v>
      </c>
      <c r="U958" s="2">
        <f>ff_portfolios25!U958-ff_factors!$E958</f>
        <v>-0.12548699999999999</v>
      </c>
      <c r="V958" s="2">
        <f>ff_portfolios25!V958-ff_factors!$E958</f>
        <v>-8.9113999999999999E-2</v>
      </c>
      <c r="W958" s="2">
        <f>ff_portfolios25!W958-ff_factors!$E958</f>
        <v>-9.5561999999999994E-2</v>
      </c>
      <c r="X958" s="2">
        <f>ff_portfolios25!X958-ff_factors!$E958</f>
        <v>-6.2302000000000003E-2</v>
      </c>
      <c r="Y958" s="2">
        <f>ff_portfolios25!Y958-ff_factors!$E958</f>
        <v>-5.0289E-2</v>
      </c>
      <c r="Z958" s="2">
        <f>ff_portfolios25!Z958-ff_factors!$E958</f>
        <v>-7.0641999999999996E-2</v>
      </c>
      <c r="AA958" s="2">
        <f>ff_portfolios25!AA958-ff_factors!$E958</f>
        <v>-5.8327999999999998E-2</v>
      </c>
      <c r="AB958" s="2">
        <f>ff_portfolios25!AB958-ff_factors!$E958</f>
        <v>-0.13744300000000001</v>
      </c>
    </row>
    <row r="959" spans="1:28" x14ac:dyDescent="0.2">
      <c r="A959">
        <v>20111031</v>
      </c>
      <c r="B959">
        <v>2011</v>
      </c>
      <c r="C959">
        <v>10</v>
      </c>
      <c r="D959" s="2">
        <f>ff_portfolios25!D959-ff_factors!$E959</f>
        <v>0.12776499999999999</v>
      </c>
      <c r="E959" s="2">
        <f>ff_portfolios25!E959-ff_factors!$E959</f>
        <v>0.152144</v>
      </c>
      <c r="F959" s="2">
        <f>ff_portfolios25!F959-ff_factors!$E959</f>
        <v>0.145428</v>
      </c>
      <c r="G959" s="2">
        <f>ff_portfolios25!G959-ff_factors!$E959</f>
        <v>0.14882500000000001</v>
      </c>
      <c r="H959" s="2">
        <f>ff_portfolios25!H959-ff_factors!$E959</f>
        <v>0.10084600000000001</v>
      </c>
      <c r="I959" s="2">
        <f>ff_portfolios25!I959-ff_factors!$E959</f>
        <v>0.17988199999999999</v>
      </c>
      <c r="J959" s="2">
        <f>ff_portfolios25!J959-ff_factors!$E959</f>
        <v>0.148176</v>
      </c>
      <c r="K959" s="2">
        <f>ff_portfolios25!K959-ff_factors!$E959</f>
        <v>0.16345499999999999</v>
      </c>
      <c r="L959" s="2">
        <f>ff_portfolios25!L959-ff_factors!$E959</f>
        <v>0.15021300000000001</v>
      </c>
      <c r="M959" s="2">
        <f>ff_portfolios25!M959-ff_factors!$E959</f>
        <v>0.148697</v>
      </c>
      <c r="N959" s="2">
        <f>ff_portfolios25!N959-ff_factors!$E959</f>
        <v>0.14130499999999999</v>
      </c>
      <c r="O959" s="2">
        <f>ff_portfolios25!O959-ff_factors!$E959</f>
        <v>0.16691400000000001</v>
      </c>
      <c r="P959" s="2">
        <f>ff_portfolios25!P959-ff_factors!$E959</f>
        <v>0.17160600000000001</v>
      </c>
      <c r="Q959" s="2">
        <f>ff_portfolios25!Q959-ff_factors!$E959</f>
        <v>0.15192800000000001</v>
      </c>
      <c r="R959" s="2">
        <f>ff_portfolios25!R959-ff_factors!$E959</f>
        <v>0.12470100000000001</v>
      </c>
      <c r="S959" s="2">
        <f>ff_portfolios25!S959-ff_factors!$E959</f>
        <v>0.150001</v>
      </c>
      <c r="T959" s="2">
        <f>ff_portfolios25!T959-ff_factors!$E959</f>
        <v>0.158558</v>
      </c>
      <c r="U959" s="2">
        <f>ff_portfolios25!U959-ff_factors!$E959</f>
        <v>0.15509300000000001</v>
      </c>
      <c r="V959" s="2">
        <f>ff_portfolios25!V959-ff_factors!$E959</f>
        <v>0.11842800000000001</v>
      </c>
      <c r="W959" s="2">
        <f>ff_portfolios25!W959-ff_factors!$E959</f>
        <v>0.122514</v>
      </c>
      <c r="X959" s="2">
        <f>ff_portfolios25!X959-ff_factors!$E959</f>
        <v>9.2886999999999997E-2</v>
      </c>
      <c r="Y959" s="2">
        <f>ff_portfolios25!Y959-ff_factors!$E959</f>
        <v>0.105424</v>
      </c>
      <c r="Z959" s="2">
        <f>ff_portfolios25!Z959-ff_factors!$E959</f>
        <v>0.12639</v>
      </c>
      <c r="AA959" s="2">
        <f>ff_portfolios25!AA959-ff_factors!$E959</f>
        <v>8.8391999999999998E-2</v>
      </c>
      <c r="AB959" s="2">
        <f>ff_portfolios25!AB959-ff_factors!$E959</f>
        <v>0.15043599999999999</v>
      </c>
    </row>
    <row r="960" spans="1:28" x14ac:dyDescent="0.2">
      <c r="A960">
        <v>20111130</v>
      </c>
      <c r="B960">
        <v>2011</v>
      </c>
      <c r="C960">
        <v>11</v>
      </c>
      <c r="D960" s="2">
        <f>ff_portfolios25!D960-ff_factors!$E960</f>
        <v>-2.3941E-2</v>
      </c>
      <c r="E960" s="2">
        <f>ff_portfolios25!E960-ff_factors!$E960</f>
        <v>-1.0101000000000001E-2</v>
      </c>
      <c r="F960" s="2">
        <f>ff_portfolios25!F960-ff_factors!$E960</f>
        <v>-3.0026000000000001E-2</v>
      </c>
      <c r="G960" s="2">
        <f>ff_portfolios25!G960-ff_factors!$E960</f>
        <v>-1.0819E-2</v>
      </c>
      <c r="H960" s="2">
        <f>ff_portfolios25!H960-ff_factors!$E960</f>
        <v>-2.189E-3</v>
      </c>
      <c r="I960" s="2">
        <f>ff_portfolios25!I960-ff_factors!$E960</f>
        <v>-2.0799999999999998E-3</v>
      </c>
      <c r="J960" s="2">
        <f>ff_portfolios25!J960-ff_factors!$E960</f>
        <v>-2.0079E-2</v>
      </c>
      <c r="K960" s="2">
        <f>ff_portfolios25!K960-ff_factors!$E960</f>
        <v>-7.1500000000000003E-4</v>
      </c>
      <c r="L960" s="2">
        <f>ff_portfolios25!L960-ff_factors!$E960</f>
        <v>1.7968000000000001E-2</v>
      </c>
      <c r="M960" s="2">
        <f>ff_portfolios25!M960-ff_factors!$E960</f>
        <v>2.996E-3</v>
      </c>
      <c r="N960" s="2">
        <f>ff_portfolios25!N960-ff_factors!$E960</f>
        <v>-1.4029E-2</v>
      </c>
      <c r="O960" s="2">
        <f>ff_portfolios25!O960-ff_factors!$E960</f>
        <v>1.3832000000000001E-2</v>
      </c>
      <c r="P960" s="2">
        <f>ff_portfolios25!P960-ff_factors!$E960</f>
        <v>-6.5709999999999996E-3</v>
      </c>
      <c r="Q960" s="2">
        <f>ff_portfolios25!Q960-ff_factors!$E960</f>
        <v>1.2789E-2</v>
      </c>
      <c r="R960" s="2">
        <f>ff_portfolios25!R960-ff_factors!$E960</f>
        <v>-1.114E-3</v>
      </c>
      <c r="S960" s="2">
        <f>ff_portfolios25!S960-ff_factors!$E960</f>
        <v>-5.1269999999999996E-3</v>
      </c>
      <c r="T960" s="2">
        <f>ff_portfolios25!T960-ff_factors!$E960</f>
        <v>-7.0130000000000001E-3</v>
      </c>
      <c r="U960" s="2">
        <f>ff_portfolios25!U960-ff_factors!$E960</f>
        <v>1.2309E-2</v>
      </c>
      <c r="V960" s="2">
        <f>ff_portfolios25!V960-ff_factors!$E960</f>
        <v>1.4670000000000001E-2</v>
      </c>
      <c r="W960" s="2">
        <f>ff_portfolios25!W960-ff_factors!$E960</f>
        <v>-1.3298000000000001E-2</v>
      </c>
      <c r="X960" s="2">
        <f>ff_portfolios25!X960-ff_factors!$E960</f>
        <v>-6.0390000000000001E-3</v>
      </c>
      <c r="Y960" s="2">
        <f>ff_portfolios25!Y960-ff_factors!$E960</f>
        <v>1.2976E-2</v>
      </c>
      <c r="Z960" s="2">
        <f>ff_portfolios25!Z960-ff_factors!$E960</f>
        <v>8.0800000000000004E-3</v>
      </c>
      <c r="AA960" s="2">
        <f>ff_portfolios25!AA960-ff_factors!$E960</f>
        <v>3.4299999999999999E-4</v>
      </c>
      <c r="AB960" s="2">
        <f>ff_portfolios25!AB960-ff_factors!$E960</f>
        <v>-6.2871999999999997E-2</v>
      </c>
    </row>
    <row r="961" spans="1:28" x14ac:dyDescent="0.2">
      <c r="A961">
        <v>20111230</v>
      </c>
      <c r="B961">
        <v>2011</v>
      </c>
      <c r="C961">
        <v>12</v>
      </c>
      <c r="D961" s="2">
        <f>ff_portfolios25!D961-ff_factors!$E961</f>
        <v>-5.2960000000000004E-3</v>
      </c>
      <c r="E961" s="2">
        <f>ff_portfolios25!E961-ff_factors!$E961</f>
        <v>1.9775999999999998E-2</v>
      </c>
      <c r="F961" s="2">
        <f>ff_portfolios25!F961-ff_factors!$E961</f>
        <v>8.7840000000000001E-3</v>
      </c>
      <c r="G961" s="2">
        <f>ff_portfolios25!G961-ff_factors!$E961</f>
        <v>1.9127000000000002E-2</v>
      </c>
      <c r="H961" s="2">
        <f>ff_portfolios25!H961-ff_factors!$E961</f>
        <v>1.3297E-2</v>
      </c>
      <c r="I961" s="2">
        <f>ff_portfolios25!I961-ff_factors!$E961</f>
        <v>-8.6580000000000008E-3</v>
      </c>
      <c r="J961" s="2">
        <f>ff_portfolios25!J961-ff_factors!$E961</f>
        <v>4.5279999999999999E-3</v>
      </c>
      <c r="K961" s="2">
        <f>ff_portfolios25!K961-ff_factors!$E961</f>
        <v>1.383E-2</v>
      </c>
      <c r="L961" s="2">
        <f>ff_portfolios25!L961-ff_factors!$E961</f>
        <v>5.6670000000000002E-3</v>
      </c>
      <c r="M961" s="2">
        <f>ff_portfolios25!M961-ff_factors!$E961</f>
        <v>1.2198000000000001E-2</v>
      </c>
      <c r="N961" s="2">
        <f>ff_portfolios25!N961-ff_factors!$E961</f>
        <v>-2.1264999999999999E-2</v>
      </c>
      <c r="O961" s="2">
        <f>ff_portfolios25!O961-ff_factors!$E961</f>
        <v>-2.6310000000000001E-3</v>
      </c>
      <c r="P961" s="2">
        <f>ff_portfolios25!P961-ff_factors!$E961</f>
        <v>3.79E-3</v>
      </c>
      <c r="Q961" s="2">
        <f>ff_portfolios25!Q961-ff_factors!$E961</f>
        <v>1.637E-3</v>
      </c>
      <c r="R961" s="2">
        <f>ff_portfolios25!R961-ff_factors!$E961</f>
        <v>2.9905999999999999E-2</v>
      </c>
      <c r="S961" s="2">
        <f>ff_portfolios25!S961-ff_factors!$E961</f>
        <v>-2.5647E-2</v>
      </c>
      <c r="T961" s="2">
        <f>ff_portfolios25!T961-ff_factors!$E961</f>
        <v>4.679E-3</v>
      </c>
      <c r="U961" s="2">
        <f>ff_portfolios25!U961-ff_factors!$E961</f>
        <v>-4.2209999999999999E-3</v>
      </c>
      <c r="V961" s="2">
        <f>ff_portfolios25!V961-ff_factors!$E961</f>
        <v>3.9934999999999998E-2</v>
      </c>
      <c r="W961" s="2">
        <f>ff_portfolios25!W961-ff_factors!$E961</f>
        <v>-3.1830000000000001E-3</v>
      </c>
      <c r="X961" s="2">
        <f>ff_portfolios25!X961-ff_factors!$E961</f>
        <v>-4.1419999999999998E-3</v>
      </c>
      <c r="Y961" s="2">
        <f>ff_portfolios25!Y961-ff_factors!$E961</f>
        <v>7.7759999999999999E-3</v>
      </c>
      <c r="Z961" s="2">
        <f>ff_portfolios25!Z961-ff_factors!$E961</f>
        <v>2.1080999999999999E-2</v>
      </c>
      <c r="AA961" s="2">
        <f>ff_portfolios25!AA961-ff_factors!$E961</f>
        <v>3.4959999999999998E-2</v>
      </c>
      <c r="AB961" s="2">
        <f>ff_portfolios25!AB961-ff_factors!$E961</f>
        <v>1.3697000000000001E-2</v>
      </c>
    </row>
    <row r="962" spans="1:28" x14ac:dyDescent="0.2">
      <c r="A962">
        <v>20120131</v>
      </c>
      <c r="B962">
        <v>2012</v>
      </c>
      <c r="C962">
        <v>1</v>
      </c>
      <c r="D962" s="2">
        <f>ff_portfolios25!D962-ff_factors!$E962</f>
        <v>0.12528400000000001</v>
      </c>
      <c r="E962" s="2">
        <f>ff_portfolios25!E962-ff_factors!$E962</f>
        <v>7.5361999999999998E-2</v>
      </c>
      <c r="F962" s="2">
        <f>ff_portfolios25!F962-ff_factors!$E962</f>
        <v>7.4175000000000005E-2</v>
      </c>
      <c r="G962" s="2">
        <f>ff_portfolios25!G962-ff_factors!$E962</f>
        <v>7.7011999999999997E-2</v>
      </c>
      <c r="H962" s="2">
        <f>ff_portfolios25!H962-ff_factors!$E962</f>
        <v>7.6754000000000003E-2</v>
      </c>
      <c r="I962" s="2">
        <f>ff_portfolios25!I962-ff_factors!$E962</f>
        <v>7.9689999999999997E-2</v>
      </c>
      <c r="J962" s="2">
        <f>ff_portfolios25!J962-ff_factors!$E962</f>
        <v>5.9429000000000003E-2</v>
      </c>
      <c r="K962" s="2">
        <f>ff_portfolios25!K962-ff_factors!$E962</f>
        <v>7.7662999999999996E-2</v>
      </c>
      <c r="L962" s="2">
        <f>ff_portfolios25!L962-ff_factors!$E962</f>
        <v>5.4442999999999998E-2</v>
      </c>
      <c r="M962" s="2">
        <f>ff_portfolios25!M962-ff_factors!$E962</f>
        <v>5.3053999999999997E-2</v>
      </c>
      <c r="N962" s="2">
        <f>ff_portfolios25!N962-ff_factors!$E962</f>
        <v>8.1017000000000006E-2</v>
      </c>
      <c r="O962" s="2">
        <f>ff_portfolios25!O962-ff_factors!$E962</f>
        <v>5.4482000000000003E-2</v>
      </c>
      <c r="P962" s="2">
        <f>ff_portfolios25!P962-ff_factors!$E962</f>
        <v>7.3663000000000006E-2</v>
      </c>
      <c r="Q962" s="2">
        <f>ff_portfolios25!Q962-ff_factors!$E962</f>
        <v>5.7597000000000002E-2</v>
      </c>
      <c r="R962" s="2">
        <f>ff_portfolios25!R962-ff_factors!$E962</f>
        <v>2.7213999999999999E-2</v>
      </c>
      <c r="S962" s="2">
        <f>ff_portfolios25!S962-ff_factors!$E962</f>
        <v>9.6155000000000004E-2</v>
      </c>
      <c r="T962" s="2">
        <f>ff_portfolios25!T962-ff_factors!$E962</f>
        <v>6.3738000000000003E-2</v>
      </c>
      <c r="U962" s="2">
        <f>ff_portfolios25!U962-ff_factors!$E962</f>
        <v>4.9484E-2</v>
      </c>
      <c r="V962" s="2">
        <f>ff_portfolios25!V962-ff_factors!$E962</f>
        <v>3.1989999999999998E-2</v>
      </c>
      <c r="W962" s="2">
        <f>ff_portfolios25!W962-ff_factors!$E962</f>
        <v>4.1620999999999998E-2</v>
      </c>
      <c r="X962" s="2">
        <f>ff_portfolios25!X962-ff_factors!$E962</f>
        <v>7.1775000000000005E-2</v>
      </c>
      <c r="Y962" s="2">
        <f>ff_portfolios25!Y962-ff_factors!$E962</f>
        <v>2.5413999999999999E-2</v>
      </c>
      <c r="Z962" s="2">
        <f>ff_portfolios25!Z962-ff_factors!$E962</f>
        <v>2.0435999999999999E-2</v>
      </c>
      <c r="AA962" s="2">
        <f>ff_portfolios25!AA962-ff_factors!$E962</f>
        <v>2.1654E-2</v>
      </c>
      <c r="AB962" s="2">
        <f>ff_portfolios25!AB962-ff_factors!$E962</f>
        <v>9.2604000000000006E-2</v>
      </c>
    </row>
    <row r="963" spans="1:28" x14ac:dyDescent="0.2">
      <c r="A963">
        <v>20120229</v>
      </c>
      <c r="B963">
        <v>2012</v>
      </c>
      <c r="C963">
        <v>2</v>
      </c>
      <c r="D963" s="2">
        <f>ff_portfolios25!D963-ff_factors!$E963</f>
        <v>1.2453000000000001E-2</v>
      </c>
      <c r="E963" s="2">
        <f>ff_portfolios25!E963-ff_factors!$E963</f>
        <v>7.9629999999999996E-3</v>
      </c>
      <c r="F963" s="2">
        <f>ff_portfolios25!F963-ff_factors!$E963</f>
        <v>1.3221999999999999E-2</v>
      </c>
      <c r="G963" s="2">
        <f>ff_portfolios25!G963-ff_factors!$E963</f>
        <v>1.0233000000000001E-2</v>
      </c>
      <c r="H963" s="2">
        <f>ff_portfolios25!H963-ff_factors!$E963</f>
        <v>2.598E-2</v>
      </c>
      <c r="I963" s="2">
        <f>ff_portfolios25!I963-ff_factors!$E963</f>
        <v>4.1119999999999997E-2</v>
      </c>
      <c r="J963" s="2">
        <f>ff_portfolios25!J963-ff_factors!$E963</f>
        <v>3.7074000000000003E-2</v>
      </c>
      <c r="K963" s="2">
        <f>ff_portfolios25!K963-ff_factors!$E963</f>
        <v>1.3677999999999999E-2</v>
      </c>
      <c r="L963" s="2">
        <f>ff_portfolios25!L963-ff_factors!$E963</f>
        <v>2.7195E-2</v>
      </c>
      <c r="M963" s="2">
        <f>ff_portfolios25!M963-ff_factors!$E963</f>
        <v>4.5585000000000001E-2</v>
      </c>
      <c r="N963" s="2">
        <f>ff_portfolios25!N963-ff_factors!$E963</f>
        <v>4.1551999999999999E-2</v>
      </c>
      <c r="O963" s="2">
        <f>ff_portfolios25!O963-ff_factors!$E963</f>
        <v>3.7891000000000001E-2</v>
      </c>
      <c r="P963" s="2">
        <f>ff_portfolios25!P963-ff_factors!$E963</f>
        <v>3.6211E-2</v>
      </c>
      <c r="Q963" s="2">
        <f>ff_portfolios25!Q963-ff_factors!$E963</f>
        <v>4.0398999999999997E-2</v>
      </c>
      <c r="R963" s="2">
        <f>ff_portfolios25!R963-ff_factors!$E963</f>
        <v>3.6347999999999998E-2</v>
      </c>
      <c r="S963" s="2">
        <f>ff_portfolios25!S963-ff_factors!$E963</f>
        <v>4.7280000000000003E-2</v>
      </c>
      <c r="T963" s="2">
        <f>ff_portfolios25!T963-ff_factors!$E963</f>
        <v>5.3059000000000002E-2</v>
      </c>
      <c r="U963" s="2">
        <f>ff_portfolios25!U963-ff_factors!$E963</f>
        <v>3.7888999999999999E-2</v>
      </c>
      <c r="V963" s="2">
        <f>ff_portfolios25!V963-ff_factors!$E963</f>
        <v>3.6371000000000001E-2</v>
      </c>
      <c r="W963" s="2">
        <f>ff_portfolios25!W963-ff_factors!$E963</f>
        <v>6.0817999999999997E-2</v>
      </c>
      <c r="X963" s="2">
        <f>ff_portfolios25!X963-ff_factors!$E963</f>
        <v>5.2117999999999998E-2</v>
      </c>
      <c r="Y963" s="2">
        <f>ff_portfolios25!Y963-ff_factors!$E963</f>
        <v>2.9635000000000002E-2</v>
      </c>
      <c r="Z963" s="2">
        <f>ff_portfolios25!Z963-ff_factors!$E963</f>
        <v>3.9632000000000001E-2</v>
      </c>
      <c r="AA963" s="2">
        <f>ff_portfolios25!AA963-ff_factors!$E963</f>
        <v>4.6119E-2</v>
      </c>
      <c r="AB963" s="2">
        <f>ff_portfolios25!AB963-ff_factors!$E963</f>
        <v>6.8243999999999999E-2</v>
      </c>
    </row>
    <row r="964" spans="1:28" x14ac:dyDescent="0.2">
      <c r="A964">
        <v>20120330</v>
      </c>
      <c r="B964">
        <v>2012</v>
      </c>
      <c r="C964">
        <v>3</v>
      </c>
      <c r="D964" s="2">
        <f>ff_portfolios25!D964-ff_factors!$E964</f>
        <v>2.6218000000000002E-2</v>
      </c>
      <c r="E964" s="2">
        <f>ff_portfolios25!E964-ff_factors!$E964</f>
        <v>3.5184E-2</v>
      </c>
      <c r="F964" s="2">
        <f>ff_portfolios25!F964-ff_factors!$E964</f>
        <v>3.4639000000000003E-2</v>
      </c>
      <c r="G964" s="2">
        <f>ff_portfolios25!G964-ff_factors!$E964</f>
        <v>3.1440999999999997E-2</v>
      </c>
      <c r="H964" s="2">
        <f>ff_portfolios25!H964-ff_factors!$E964</f>
        <v>4.8355000000000002E-2</v>
      </c>
      <c r="I964" s="2">
        <f>ff_portfolios25!I964-ff_factors!$E964</f>
        <v>1.839E-2</v>
      </c>
      <c r="J964" s="2">
        <f>ff_portfolios25!J964-ff_factors!$E964</f>
        <v>1.754E-2</v>
      </c>
      <c r="K964" s="2">
        <f>ff_portfolios25!K964-ff_factors!$E964</f>
        <v>2.7414000000000001E-2</v>
      </c>
      <c r="L964" s="2">
        <f>ff_portfolios25!L964-ff_factors!$E964</f>
        <v>3.8087000000000003E-2</v>
      </c>
      <c r="M964" s="2">
        <f>ff_portfolios25!M964-ff_factors!$E964</f>
        <v>2.7545E-2</v>
      </c>
      <c r="N964" s="2">
        <f>ff_portfolios25!N964-ff_factors!$E964</f>
        <v>1.5167E-2</v>
      </c>
      <c r="O964" s="2">
        <f>ff_portfolios25!O964-ff_factors!$E964</f>
        <v>1.2193000000000001E-2</v>
      </c>
      <c r="P964" s="2">
        <f>ff_portfolios25!P964-ff_factors!$E964</f>
        <v>1.7565999999999998E-2</v>
      </c>
      <c r="Q964" s="2">
        <f>ff_portfolios25!Q964-ff_factors!$E964</f>
        <v>1.7415E-2</v>
      </c>
      <c r="R964" s="2">
        <f>ff_portfolios25!R964-ff_factors!$E964</f>
        <v>-4.2399999999999998E-3</v>
      </c>
      <c r="S964" s="2">
        <f>ff_portfolios25!S964-ff_factors!$E964</f>
        <v>4.5095999999999997E-2</v>
      </c>
      <c r="T964" s="2">
        <f>ff_portfolios25!T964-ff_factors!$E964</f>
        <v>3.0379999999999999E-3</v>
      </c>
      <c r="U964" s="2">
        <f>ff_portfolios25!U964-ff_factors!$E964</f>
        <v>-8.7220000000000006E-3</v>
      </c>
      <c r="V964" s="2">
        <f>ff_portfolios25!V964-ff_factors!$E964</f>
        <v>2.5826999999999999E-2</v>
      </c>
      <c r="W964" s="2">
        <f>ff_portfolios25!W964-ff_factors!$E964</f>
        <v>1.8311999999999998E-2</v>
      </c>
      <c r="X964" s="2">
        <f>ff_portfolios25!X964-ff_factors!$E964</f>
        <v>4.1974999999999998E-2</v>
      </c>
      <c r="Y964" s="2">
        <f>ff_portfolios25!Y964-ff_factors!$E964</f>
        <v>2.1281000000000001E-2</v>
      </c>
      <c r="Z964" s="2">
        <f>ff_portfolios25!Z964-ff_factors!$E964</f>
        <v>4.731E-3</v>
      </c>
      <c r="AA964" s="2">
        <f>ff_portfolios25!AA964-ff_factors!$E964</f>
        <v>3.6525000000000002E-2</v>
      </c>
      <c r="AB964" s="2">
        <f>ff_portfolios25!AB964-ff_factors!$E964</f>
        <v>7.7969999999999998E-2</v>
      </c>
    </row>
    <row r="965" spans="1:28" x14ac:dyDescent="0.2">
      <c r="A965">
        <v>20120430</v>
      </c>
      <c r="B965">
        <v>2012</v>
      </c>
      <c r="C965">
        <v>4</v>
      </c>
      <c r="D965" s="2">
        <f>ff_portfolios25!D965-ff_factors!$E965</f>
        <v>-3.7527999999999999E-2</v>
      </c>
      <c r="E965" s="2">
        <f>ff_portfolios25!E965-ff_factors!$E965</f>
        <v>-2.1486000000000002E-2</v>
      </c>
      <c r="F965" s="2">
        <f>ff_portfolios25!F965-ff_factors!$E965</f>
        <v>-1.8069000000000002E-2</v>
      </c>
      <c r="G965" s="2">
        <f>ff_portfolios25!G965-ff_factors!$E965</f>
        <v>-1.6802000000000001E-2</v>
      </c>
      <c r="H965" s="2">
        <f>ff_portfolios25!H965-ff_factors!$E965</f>
        <v>-1.756E-3</v>
      </c>
      <c r="I965" s="2">
        <f>ff_portfolios25!I965-ff_factors!$E965</f>
        <v>-5.0900000000000001E-4</v>
      </c>
      <c r="J965" s="2">
        <f>ff_portfolios25!J965-ff_factors!$E965</f>
        <v>-2.6213E-2</v>
      </c>
      <c r="K965" s="2">
        <f>ff_portfolios25!K965-ff_factors!$E965</f>
        <v>-2.1534999999999999E-2</v>
      </c>
      <c r="L965" s="2">
        <f>ff_portfolios25!L965-ff_factors!$E965</f>
        <v>-2.4556999999999999E-2</v>
      </c>
      <c r="M965" s="2">
        <f>ff_portfolios25!M965-ff_factors!$E965</f>
        <v>-1.8356000000000001E-2</v>
      </c>
      <c r="N965" s="2">
        <f>ff_portfolios25!N965-ff_factors!$E965</f>
        <v>-2.4226999999999999E-2</v>
      </c>
      <c r="O965" s="2">
        <f>ff_portfolios25!O965-ff_factors!$E965</f>
        <v>-7.9769999999999997E-3</v>
      </c>
      <c r="P965" s="2">
        <f>ff_portfolios25!P965-ff_factors!$E965</f>
        <v>-1.3051999999999999E-2</v>
      </c>
      <c r="Q965" s="2">
        <f>ff_portfolios25!Q965-ff_factors!$E965</f>
        <v>-1.0068000000000001E-2</v>
      </c>
      <c r="R965" s="2">
        <f>ff_portfolios25!R965-ff_factors!$E965</f>
        <v>4.0229999999999997E-3</v>
      </c>
      <c r="S965" s="2">
        <f>ff_portfolios25!S965-ff_factors!$E965</f>
        <v>-5.999E-3</v>
      </c>
      <c r="T965" s="2">
        <f>ff_portfolios25!T965-ff_factors!$E965</f>
        <v>2.4260000000000002E-3</v>
      </c>
      <c r="U965" s="2">
        <f>ff_portfolios25!U965-ff_factors!$E965</f>
        <v>-3.7680000000000001E-3</v>
      </c>
      <c r="V965" s="2">
        <f>ff_portfolios25!V965-ff_factors!$E965</f>
        <v>8.2369999999999995E-3</v>
      </c>
      <c r="W965" s="2">
        <f>ff_portfolios25!W965-ff_factors!$E965</f>
        <v>-3.1863000000000002E-2</v>
      </c>
      <c r="X965" s="2">
        <f>ff_portfolios25!X965-ff_factors!$E965</f>
        <v>-2.7529999999999998E-3</v>
      </c>
      <c r="Y965" s="2">
        <f>ff_portfolios25!Y965-ff_factors!$E965</f>
        <v>-8.1969999999999994E-3</v>
      </c>
      <c r="Z965" s="2">
        <f>ff_portfolios25!Z965-ff_factors!$E965</f>
        <v>-4.4299999999999998E-4</v>
      </c>
      <c r="AA965" s="2">
        <f>ff_portfolios25!AA965-ff_factors!$E965</f>
        <v>-6.6239999999999997E-3</v>
      </c>
      <c r="AB965" s="2">
        <f>ff_portfolios25!AB965-ff_factors!$E965</f>
        <v>-4.0059999999999998E-2</v>
      </c>
    </row>
    <row r="966" spans="1:28" x14ac:dyDescent="0.2">
      <c r="A966">
        <v>20120531</v>
      </c>
      <c r="B966">
        <v>2012</v>
      </c>
      <c r="C966">
        <v>5</v>
      </c>
      <c r="D966" s="2">
        <f>ff_portfolios25!D966-ff_factors!$E966</f>
        <v>-8.5095000000000004E-2</v>
      </c>
      <c r="E966" s="2">
        <f>ff_portfolios25!E966-ff_factors!$E966</f>
        <v>-5.6565000000000004E-2</v>
      </c>
      <c r="F966" s="2">
        <f>ff_portfolios25!F966-ff_factors!$E966</f>
        <v>-7.2423000000000001E-2</v>
      </c>
      <c r="G966" s="2">
        <f>ff_portfolios25!G966-ff_factors!$E966</f>
        <v>-8.1895999999999997E-2</v>
      </c>
      <c r="H966" s="2">
        <f>ff_portfolios25!H966-ff_factors!$E966</f>
        <v>-4.9414E-2</v>
      </c>
      <c r="I966" s="2">
        <f>ff_portfolios25!I966-ff_factors!$E966</f>
        <v>-5.7745000000000005E-2</v>
      </c>
      <c r="J966" s="2">
        <f>ff_portfolios25!J966-ff_factors!$E966</f>
        <v>-5.8599000000000005E-2</v>
      </c>
      <c r="K966" s="2">
        <f>ff_portfolios25!K966-ff_factors!$E966</f>
        <v>-7.6855000000000007E-2</v>
      </c>
      <c r="L966" s="2">
        <f>ff_portfolios25!L966-ff_factors!$E966</f>
        <v>-5.3479000000000006E-2</v>
      </c>
      <c r="M966" s="2">
        <f>ff_portfolios25!M966-ff_factors!$E966</f>
        <v>-7.3015999999999998E-2</v>
      </c>
      <c r="N966" s="2">
        <f>ff_portfolios25!N966-ff_factors!$E966</f>
        <v>-6.5377000000000005E-2</v>
      </c>
      <c r="O966" s="2">
        <f>ff_portfolios25!O966-ff_factors!$E966</f>
        <v>-6.9078000000000001E-2</v>
      </c>
      <c r="P966" s="2">
        <f>ff_portfolios25!P966-ff_factors!$E966</f>
        <v>-7.6491000000000003E-2</v>
      </c>
      <c r="Q966" s="2">
        <f>ff_portfolios25!Q966-ff_factors!$E966</f>
        <v>-6.1353000000000005E-2</v>
      </c>
      <c r="R966" s="2">
        <f>ff_portfolios25!R966-ff_factors!$E966</f>
        <v>-6.9051000000000001E-2</v>
      </c>
      <c r="S966" s="2">
        <f>ff_portfolios25!S966-ff_factors!$E966</f>
        <v>-7.2675000000000003E-2</v>
      </c>
      <c r="T966" s="2">
        <f>ff_portfolios25!T966-ff_factors!$E966</f>
        <v>-8.607200000000001E-2</v>
      </c>
      <c r="U966" s="2">
        <f>ff_portfolios25!U966-ff_factors!$E966</f>
        <v>-9.3674000000000007E-2</v>
      </c>
      <c r="V966" s="2">
        <f>ff_portfolios25!V966-ff_factors!$E966</f>
        <v>-6.3996999999999998E-2</v>
      </c>
      <c r="W966" s="2">
        <f>ff_portfolios25!W966-ff_factors!$E966</f>
        <v>-5.7202000000000003E-2</v>
      </c>
      <c r="X966" s="2">
        <f>ff_portfolios25!X966-ff_factors!$E966</f>
        <v>-6.2896000000000007E-2</v>
      </c>
      <c r="Y966" s="2">
        <f>ff_portfolios25!Y966-ff_factors!$E966</f>
        <v>-5.2824000000000003E-2</v>
      </c>
      <c r="Z966" s="2">
        <f>ff_portfolios25!Z966-ff_factors!$E966</f>
        <v>-5.1615000000000001E-2</v>
      </c>
      <c r="AA966" s="2">
        <f>ff_portfolios25!AA966-ff_factors!$E966</f>
        <v>-2.8159E-2</v>
      </c>
      <c r="AB966" s="2">
        <f>ff_portfolios25!AB966-ff_factors!$E966</f>
        <v>-0.12657099999999999</v>
      </c>
    </row>
    <row r="967" spans="1:28" x14ac:dyDescent="0.2">
      <c r="A967">
        <v>20120629</v>
      </c>
      <c r="B967">
        <v>2012</v>
      </c>
      <c r="C967">
        <v>6</v>
      </c>
      <c r="D967" s="2">
        <f>ff_portfolios25!D967-ff_factors!$E967</f>
        <v>7.0023000000000002E-2</v>
      </c>
      <c r="E967" s="2">
        <f>ff_portfolios25!E967-ff_factors!$E967</f>
        <v>7.7238000000000001E-2</v>
      </c>
      <c r="F967" s="2">
        <f>ff_portfolios25!F967-ff_factors!$E967</f>
        <v>5.4119E-2</v>
      </c>
      <c r="G967" s="2">
        <f>ff_portfolios25!G967-ff_factors!$E967</f>
        <v>5.7709000000000003E-2</v>
      </c>
      <c r="H967" s="2">
        <f>ff_portfolios25!H967-ff_factors!$E967</f>
        <v>5.4445E-2</v>
      </c>
      <c r="I967" s="2">
        <f>ff_portfolios25!I967-ff_factors!$E967</f>
        <v>6.3782000000000005E-2</v>
      </c>
      <c r="J967" s="2">
        <f>ff_portfolios25!J967-ff_factors!$E967</f>
        <v>4.6183000000000002E-2</v>
      </c>
      <c r="K967" s="2">
        <f>ff_portfolios25!K967-ff_factors!$E967</f>
        <v>4.7432000000000002E-2</v>
      </c>
      <c r="L967" s="2">
        <f>ff_portfolios25!L967-ff_factors!$E967</f>
        <v>2.9877000000000001E-2</v>
      </c>
      <c r="M967" s="2">
        <f>ff_portfolios25!M967-ff_factors!$E967</f>
        <v>5.1919E-2</v>
      </c>
      <c r="N967" s="2">
        <f>ff_portfolios25!N967-ff_factors!$E967</f>
        <v>5.2387999999999997E-2</v>
      </c>
      <c r="O967" s="2">
        <f>ff_portfolios25!O967-ff_factors!$E967</f>
        <v>2.7118E-2</v>
      </c>
      <c r="P967" s="2">
        <f>ff_portfolios25!P967-ff_factors!$E967</f>
        <v>2.4336E-2</v>
      </c>
      <c r="Q967" s="2">
        <f>ff_portfolios25!Q967-ff_factors!$E967</f>
        <v>2.4681000000000002E-2</v>
      </c>
      <c r="R967" s="2">
        <f>ff_portfolios25!R967-ff_factors!$E967</f>
        <v>3.5000000000000003E-2</v>
      </c>
      <c r="S967" s="2">
        <f>ff_portfolios25!S967-ff_factors!$E967</f>
        <v>4.8260000000000004E-3</v>
      </c>
      <c r="T967" s="2">
        <f>ff_portfolios25!T967-ff_factors!$E967</f>
        <v>1.789E-2</v>
      </c>
      <c r="U967" s="2">
        <f>ff_portfolios25!U967-ff_factors!$E967</f>
        <v>3.4632000000000003E-2</v>
      </c>
      <c r="V967" s="2">
        <f>ff_portfolios25!V967-ff_factors!$E967</f>
        <v>2.7084E-2</v>
      </c>
      <c r="W967" s="2">
        <f>ff_portfolios25!W967-ff_factors!$E967</f>
        <v>3.5685000000000001E-2</v>
      </c>
      <c r="X967" s="2">
        <f>ff_portfolios25!X967-ff_factors!$E967</f>
        <v>2.6214000000000001E-2</v>
      </c>
      <c r="Y967" s="2">
        <f>ff_portfolios25!Y967-ff_factors!$E967</f>
        <v>4.4879000000000002E-2</v>
      </c>
      <c r="Z967" s="2">
        <f>ff_portfolios25!Z967-ff_factors!$E967</f>
        <v>4.6323999999999997E-2</v>
      </c>
      <c r="AA967" s="2">
        <f>ff_portfolios25!AA967-ff_factors!$E967</f>
        <v>5.4508000000000001E-2</v>
      </c>
      <c r="AB967" s="2">
        <f>ff_portfolios25!AB967-ff_factors!$E967</f>
        <v>5.9292999999999998E-2</v>
      </c>
    </row>
    <row r="968" spans="1:28" x14ac:dyDescent="0.2">
      <c r="A968">
        <v>20120731</v>
      </c>
      <c r="B968">
        <v>2012</v>
      </c>
      <c r="C968">
        <v>7</v>
      </c>
      <c r="D968" s="2">
        <f>ff_portfolios25!D968-ff_factors!$E968</f>
        <v>-2.6008E-2</v>
      </c>
      <c r="E968" s="2">
        <f>ff_portfolios25!E968-ff_factors!$E968</f>
        <v>1.278E-2</v>
      </c>
      <c r="F968" s="2">
        <f>ff_portfolios25!F968-ff_factors!$E968</f>
        <v>-2.9281000000000001E-2</v>
      </c>
      <c r="G968" s="2">
        <f>ff_portfolios25!G968-ff_factors!$E968</f>
        <v>-1.695E-2</v>
      </c>
      <c r="H968" s="2">
        <f>ff_portfolios25!H968-ff_factors!$E968</f>
        <v>-2.3956999999999999E-2</v>
      </c>
      <c r="I968" s="2">
        <f>ff_portfolios25!I968-ff_factors!$E968</f>
        <v>-4.1286000000000003E-2</v>
      </c>
      <c r="J968" s="2">
        <f>ff_portfolios25!J968-ff_factors!$E968</f>
        <v>-2.5089999999999999E-3</v>
      </c>
      <c r="K968" s="2">
        <f>ff_portfolios25!K968-ff_factors!$E968</f>
        <v>-1.1257E-2</v>
      </c>
      <c r="L968" s="2">
        <f>ff_portfolios25!L968-ff_factors!$E968</f>
        <v>-1.3191E-2</v>
      </c>
      <c r="M968" s="2">
        <f>ff_portfolios25!M968-ff_factors!$E968</f>
        <v>-4.5830000000000003E-3</v>
      </c>
      <c r="N968" s="2">
        <f>ff_portfolios25!N968-ff_factors!$E968</f>
        <v>-2.0122000000000001E-2</v>
      </c>
      <c r="O968" s="2">
        <f>ff_portfolios25!O968-ff_factors!$E968</f>
        <v>-2.66E-3</v>
      </c>
      <c r="P968" s="2">
        <f>ff_portfolios25!P968-ff_factors!$E968</f>
        <v>-2.7239999999999999E-3</v>
      </c>
      <c r="Q968" s="2">
        <f>ff_portfolios25!Q968-ff_factors!$E968</f>
        <v>5.0210000000000003E-3</v>
      </c>
      <c r="R968" s="2">
        <f>ff_portfolios25!R968-ff_factors!$E968</f>
        <v>-4.6355E-2</v>
      </c>
      <c r="S968" s="2">
        <f>ff_portfolios25!S968-ff_factors!$E968</f>
        <v>-2.4354000000000001E-2</v>
      </c>
      <c r="T968" s="2">
        <f>ff_portfolios25!T968-ff_factors!$E968</f>
        <v>3.026E-3</v>
      </c>
      <c r="U968" s="2">
        <f>ff_portfolios25!U968-ff_factors!$E968</f>
        <v>-3.0179999999999998E-3</v>
      </c>
      <c r="V968" s="2">
        <f>ff_portfolios25!V968-ff_factors!$E968</f>
        <v>-6.1799999999999997E-3</v>
      </c>
      <c r="W968" s="2">
        <f>ff_portfolios25!W968-ff_factors!$E968</f>
        <v>-1.1813000000000001E-2</v>
      </c>
      <c r="X968" s="2">
        <f>ff_portfolios25!X968-ff_factors!$E968</f>
        <v>1.0984000000000001E-2</v>
      </c>
      <c r="Y968" s="2">
        <f>ff_portfolios25!Y968-ff_factors!$E968</f>
        <v>2.5557E-2</v>
      </c>
      <c r="Z968" s="2">
        <f>ff_portfolios25!Z968-ff_factors!$E968</f>
        <v>1.217E-2</v>
      </c>
      <c r="AA968" s="2">
        <f>ff_portfolios25!AA968-ff_factors!$E968</f>
        <v>1.9324000000000001E-2</v>
      </c>
      <c r="AB968" s="2">
        <f>ff_portfolios25!AB968-ff_factors!$E968</f>
        <v>-1.2911000000000001E-2</v>
      </c>
    </row>
    <row r="969" spans="1:28" x14ac:dyDescent="0.2">
      <c r="A969">
        <v>20120831</v>
      </c>
      <c r="B969">
        <v>2012</v>
      </c>
      <c r="C969">
        <v>8</v>
      </c>
      <c r="D969" s="2">
        <f>ff_portfolios25!D969-ff_factors!$E969</f>
        <v>2.5208000000000001E-2</v>
      </c>
      <c r="E969" s="2">
        <f>ff_portfolios25!E969-ff_factors!$E969</f>
        <v>4.7759999999999999E-3</v>
      </c>
      <c r="F969" s="2">
        <f>ff_portfolios25!F969-ff_factors!$E969</f>
        <v>3.9333999999999994E-2</v>
      </c>
      <c r="G969" s="2">
        <f>ff_portfolios25!G969-ff_factors!$E969</f>
        <v>2.8043000000000002E-2</v>
      </c>
      <c r="H969" s="2">
        <f>ff_portfolios25!H969-ff_factors!$E969</f>
        <v>3.3390999999999997E-2</v>
      </c>
      <c r="I969" s="2">
        <f>ff_portfolios25!I969-ff_factors!$E969</f>
        <v>2.0711E-2</v>
      </c>
      <c r="J969" s="2">
        <f>ff_portfolios25!J969-ff_factors!$E969</f>
        <v>2.3764E-2</v>
      </c>
      <c r="K969" s="2">
        <f>ff_portfolios25!K969-ff_factors!$E969</f>
        <v>2.9953E-2</v>
      </c>
      <c r="L969" s="2">
        <f>ff_portfolios25!L969-ff_factors!$E969</f>
        <v>3.3326999999999996E-2</v>
      </c>
      <c r="M969" s="2">
        <f>ff_portfolios25!M969-ff_factors!$E969</f>
        <v>3.4549999999999997E-2</v>
      </c>
      <c r="N969" s="2">
        <f>ff_portfolios25!N969-ff_factors!$E969</f>
        <v>5.3933999999999996E-2</v>
      </c>
      <c r="O969" s="2">
        <f>ff_portfolios25!O969-ff_factors!$E969</f>
        <v>3.075E-2</v>
      </c>
      <c r="P969" s="2">
        <f>ff_portfolios25!P969-ff_factors!$E969</f>
        <v>4.3160999999999998E-2</v>
      </c>
      <c r="Q969" s="2">
        <f>ff_portfolios25!Q969-ff_factors!$E969</f>
        <v>4.1942999999999994E-2</v>
      </c>
      <c r="R969" s="2">
        <f>ff_portfolios25!R969-ff_factors!$E969</f>
        <v>3.4498999999999995E-2</v>
      </c>
      <c r="S969" s="2">
        <f>ff_portfolios25!S969-ff_factors!$E969</f>
        <v>4.0853999999999994E-2</v>
      </c>
      <c r="T969" s="2">
        <f>ff_portfolios25!T969-ff_factors!$E969</f>
        <v>4.1547000000000001E-2</v>
      </c>
      <c r="U969" s="2">
        <f>ff_portfolios25!U969-ff_factors!$E969</f>
        <v>2.3199000000000001E-2</v>
      </c>
      <c r="V969" s="2">
        <f>ff_portfolios25!V969-ff_factors!$E969</f>
        <v>3.9767999999999998E-2</v>
      </c>
      <c r="W969" s="2">
        <f>ff_portfolios25!W969-ff_factors!$E969</f>
        <v>5.9905999999999994E-2</v>
      </c>
      <c r="X969" s="2">
        <f>ff_portfolios25!X969-ff_factors!$E969</f>
        <v>2.7203999999999999E-2</v>
      </c>
      <c r="Y969" s="2">
        <f>ff_portfolios25!Y969-ff_factors!$E969</f>
        <v>1.9980000000000001E-2</v>
      </c>
      <c r="Z969" s="2">
        <f>ff_portfolios25!Z969-ff_factors!$E969</f>
        <v>1.3908E-2</v>
      </c>
      <c r="AA969" s="2">
        <f>ff_portfolios25!AA969-ff_factors!$E969</f>
        <v>-2.5969999999999999E-3</v>
      </c>
      <c r="AB969" s="2">
        <f>ff_portfolios25!AB969-ff_factors!$E969</f>
        <v>6.5911999999999998E-2</v>
      </c>
    </row>
    <row r="970" spans="1:28" x14ac:dyDescent="0.2">
      <c r="A970">
        <v>20120928</v>
      </c>
      <c r="B970">
        <v>2012</v>
      </c>
      <c r="C970">
        <v>9</v>
      </c>
      <c r="D970" s="2">
        <f>ff_portfolios25!D970-ff_factors!$E970</f>
        <v>4.9942999999999994E-2</v>
      </c>
      <c r="E970" s="2">
        <f>ff_portfolios25!E970-ff_factors!$E970</f>
        <v>5.1265999999999999E-2</v>
      </c>
      <c r="F970" s="2">
        <f>ff_portfolios25!F970-ff_factors!$E970</f>
        <v>4.7206999999999999E-2</v>
      </c>
      <c r="G970" s="2">
        <f>ff_portfolios25!G970-ff_factors!$E970</f>
        <v>4.5769999999999998E-2</v>
      </c>
      <c r="H970" s="2">
        <f>ff_portfolios25!H970-ff_factors!$E970</f>
        <v>4.5307E-2</v>
      </c>
      <c r="I970" s="2">
        <f>ff_portfolios25!I970-ff_factors!$E970</f>
        <v>4.8936999999999994E-2</v>
      </c>
      <c r="J970" s="2">
        <f>ff_portfolios25!J970-ff_factors!$E970</f>
        <v>3.4856999999999999E-2</v>
      </c>
      <c r="K970" s="2">
        <f>ff_portfolios25!K970-ff_factors!$E970</f>
        <v>4.0895999999999995E-2</v>
      </c>
      <c r="L970" s="2">
        <f>ff_portfolios25!L970-ff_factors!$E970</f>
        <v>3.8327999999999994E-2</v>
      </c>
      <c r="M970" s="2">
        <f>ff_portfolios25!M970-ff_factors!$E970</f>
        <v>3.4951999999999997E-2</v>
      </c>
      <c r="N970" s="2">
        <f>ff_portfolios25!N970-ff_factors!$E970</f>
        <v>2.6394000000000001E-2</v>
      </c>
      <c r="O970" s="2">
        <f>ff_portfolios25!O970-ff_factors!$E970</f>
        <v>1.5355000000000001E-2</v>
      </c>
      <c r="P970" s="2">
        <f>ff_portfolios25!P970-ff_factors!$E970</f>
        <v>1.9374000000000002E-2</v>
      </c>
      <c r="Q970" s="2">
        <f>ff_portfolios25!Q970-ff_factors!$E970</f>
        <v>2.8109000000000002E-2</v>
      </c>
      <c r="R970" s="2">
        <f>ff_portfolios25!R970-ff_factors!$E970</f>
        <v>3.5947E-2</v>
      </c>
      <c r="S970" s="2">
        <f>ff_portfolios25!S970-ff_factors!$E970</f>
        <v>1.9873999999999999E-2</v>
      </c>
      <c r="T970" s="2">
        <f>ff_portfolios25!T970-ff_factors!$E970</f>
        <v>2.0279000000000002E-2</v>
      </c>
      <c r="U970" s="2">
        <f>ff_portfolios25!U970-ff_factors!$E970</f>
        <v>2.6846999999999999E-2</v>
      </c>
      <c r="V970" s="2">
        <f>ff_portfolios25!V970-ff_factors!$E970</f>
        <v>2.3723000000000001E-2</v>
      </c>
      <c r="W970" s="2">
        <f>ff_portfolios25!W970-ff_factors!$E970</f>
        <v>3.2887E-2</v>
      </c>
      <c r="X970" s="2">
        <f>ff_portfolios25!X970-ff_factors!$E970</f>
        <v>1.5503000000000001E-2</v>
      </c>
      <c r="Y970" s="2">
        <f>ff_portfolios25!Y970-ff_factors!$E970</f>
        <v>2.3657000000000001E-2</v>
      </c>
      <c r="Z970" s="2">
        <f>ff_portfolios25!Z970-ff_factors!$E970</f>
        <v>3.8838999999999999E-2</v>
      </c>
      <c r="AA970" s="2">
        <f>ff_portfolios25!AA970-ff_factors!$E970</f>
        <v>3.2142999999999998E-2</v>
      </c>
      <c r="AB970" s="2">
        <f>ff_portfolios25!AB970-ff_factors!$E970</f>
        <v>5.3072999999999995E-2</v>
      </c>
    </row>
    <row r="971" spans="1:28" x14ac:dyDescent="0.2">
      <c r="A971">
        <v>20121031</v>
      </c>
      <c r="B971">
        <v>2012</v>
      </c>
      <c r="C971">
        <v>10</v>
      </c>
      <c r="D971" s="2">
        <f>ff_portfolios25!D971-ff_factors!$E971</f>
        <v>-5.6141000000000003E-2</v>
      </c>
      <c r="E971" s="2">
        <f>ff_portfolios25!E971-ff_factors!$E971</f>
        <v>-4.4392000000000001E-2</v>
      </c>
      <c r="F971" s="2">
        <f>ff_portfolios25!F971-ff_factors!$E971</f>
        <v>-3.7549000000000006E-2</v>
      </c>
      <c r="G971" s="2">
        <f>ff_portfolios25!G971-ff_factors!$E971</f>
        <v>-3.4615E-2</v>
      </c>
      <c r="H971" s="2">
        <f>ff_portfolios25!H971-ff_factors!$E971</f>
        <v>-1.1947999999999999E-2</v>
      </c>
      <c r="I971" s="2">
        <f>ff_portfolios25!I971-ff_factors!$E971</f>
        <v>-6.0289000000000002E-2</v>
      </c>
      <c r="J971" s="2">
        <f>ff_portfolios25!J971-ff_factors!$E971</f>
        <v>-2.2769000000000001E-2</v>
      </c>
      <c r="K971" s="2">
        <f>ff_portfolios25!K971-ff_factors!$E971</f>
        <v>-1.1597999999999999E-2</v>
      </c>
      <c r="L971" s="2">
        <f>ff_portfolios25!L971-ff_factors!$E971</f>
        <v>-1.8088E-2</v>
      </c>
      <c r="M971" s="2">
        <f>ff_portfolios25!M971-ff_factors!$E971</f>
        <v>-1.0251E-2</v>
      </c>
      <c r="N971" s="2">
        <f>ff_portfolios25!N971-ff_factors!$E971</f>
        <v>-3.9804000000000006E-2</v>
      </c>
      <c r="O971" s="2">
        <f>ff_portfolios25!O971-ff_factors!$E971</f>
        <v>3.4430000000000003E-3</v>
      </c>
      <c r="P971" s="2">
        <f>ff_portfolios25!P971-ff_factors!$E971</f>
        <v>-4.3470000000000002E-3</v>
      </c>
      <c r="Q971" s="2">
        <f>ff_portfolios25!Q971-ff_factors!$E971</f>
        <v>7.1119999999999994E-3</v>
      </c>
      <c r="R971" s="2">
        <f>ff_portfolios25!R971-ff_factors!$E971</f>
        <v>4.9199999999999992E-4</v>
      </c>
      <c r="S971" s="2">
        <f>ff_portfolios25!S971-ff_factors!$E971</f>
        <v>-1.2081E-2</v>
      </c>
      <c r="T971" s="2">
        <f>ff_portfolios25!T971-ff_factors!$E971</f>
        <v>2.8999999999999987E-5</v>
      </c>
      <c r="U971" s="2">
        <f>ff_portfolios25!U971-ff_factors!$E971</f>
        <v>-7.5230000000000002E-3</v>
      </c>
      <c r="V971" s="2">
        <f>ff_portfolios25!V971-ff_factors!$E971</f>
        <v>1.3908E-2</v>
      </c>
      <c r="W971" s="2">
        <f>ff_portfolios25!W971-ff_factors!$E971</f>
        <v>1.089E-2</v>
      </c>
      <c r="X971" s="2">
        <f>ff_portfolios25!X971-ff_factors!$E971</f>
        <v>-4.0608000000000005E-2</v>
      </c>
      <c r="Y971" s="2">
        <f>ff_portfolios25!Y971-ff_factors!$E971</f>
        <v>-9.7520000000000003E-3</v>
      </c>
      <c r="Z971" s="2">
        <f>ff_portfolios25!Z971-ff_factors!$E971</f>
        <v>-1.5973000000000001E-2</v>
      </c>
      <c r="AA971" s="2">
        <f>ff_portfolios25!AA971-ff_factors!$E971</f>
        <v>-1.8532E-2</v>
      </c>
      <c r="AB971" s="2">
        <f>ff_portfolios25!AB971-ff_factors!$E971</f>
        <v>3.9916E-2</v>
      </c>
    </row>
    <row r="972" spans="1:28" x14ac:dyDescent="0.2">
      <c r="A972">
        <v>20121130</v>
      </c>
      <c r="B972">
        <v>2012</v>
      </c>
      <c r="C972">
        <v>11</v>
      </c>
      <c r="D972" s="2">
        <f>ff_portfolios25!D972-ff_factors!$E972</f>
        <v>-6.339E-3</v>
      </c>
      <c r="E972" s="2">
        <f>ff_portfolios25!E972-ff_factors!$E972</f>
        <v>1.9066E-2</v>
      </c>
      <c r="F972" s="2">
        <f>ff_portfolios25!F972-ff_factors!$E972</f>
        <v>7.5859999999999999E-3</v>
      </c>
      <c r="G972" s="2">
        <f>ff_portfolios25!G972-ff_factors!$E972</f>
        <v>-5.3920000000000001E-3</v>
      </c>
      <c r="H972" s="2">
        <f>ff_portfolios25!H972-ff_factors!$E972</f>
        <v>1.1413000000000001E-2</v>
      </c>
      <c r="I972" s="2">
        <f>ff_portfolios25!I972-ff_factors!$E972</f>
        <v>-6.0239999999999998E-3</v>
      </c>
      <c r="J972" s="2">
        <f>ff_portfolios25!J972-ff_factors!$E972</f>
        <v>4.2269999999999999E-3</v>
      </c>
      <c r="K972" s="2">
        <f>ff_portfolios25!K972-ff_factors!$E972</f>
        <v>4.1489999999999999E-3</v>
      </c>
      <c r="L972" s="2">
        <f>ff_portfolios25!L972-ff_factors!$E972</f>
        <v>4.4919999999999995E-3</v>
      </c>
      <c r="M972" s="2">
        <f>ff_portfolios25!M972-ff_factors!$E972</f>
        <v>2.6745000000000001E-2</v>
      </c>
      <c r="N972" s="2">
        <f>ff_portfolios25!N972-ff_factors!$E972</f>
        <v>2.8558E-2</v>
      </c>
      <c r="O972" s="2">
        <f>ff_portfolios25!O972-ff_factors!$E972</f>
        <v>3.4449999999999995E-2</v>
      </c>
      <c r="P972" s="2">
        <f>ff_portfolios25!P972-ff_factors!$E972</f>
        <v>2.5627E-2</v>
      </c>
      <c r="Q972" s="2">
        <f>ff_portfolios25!Q972-ff_factors!$E972</f>
        <v>1.3376000000000001E-2</v>
      </c>
      <c r="R972" s="2">
        <f>ff_portfolios25!R972-ff_factors!$E972</f>
        <v>9.5970000000000014E-3</v>
      </c>
      <c r="S972" s="2">
        <f>ff_portfolios25!S972-ff_factors!$E972</f>
        <v>2.8570999999999999E-2</v>
      </c>
      <c r="T972" s="2">
        <f>ff_portfolios25!T972-ff_factors!$E972</f>
        <v>3.1417E-2</v>
      </c>
      <c r="U972" s="2">
        <f>ff_portfolios25!U972-ff_factors!$E972</f>
        <v>6.3449999999999999E-3</v>
      </c>
      <c r="V972" s="2">
        <f>ff_portfolios25!V972-ff_factors!$E972</f>
        <v>-4.7000000000000002E-3</v>
      </c>
      <c r="W972" s="2">
        <f>ff_portfolios25!W972-ff_factors!$E972</f>
        <v>8.5110000000000012E-3</v>
      </c>
      <c r="X972" s="2">
        <f>ff_portfolios25!X972-ff_factors!$E972</f>
        <v>1.6872000000000002E-2</v>
      </c>
      <c r="Y972" s="2">
        <f>ff_portfolios25!Y972-ff_factors!$E972</f>
        <v>2.0930000000000002E-3</v>
      </c>
      <c r="Z972" s="2">
        <f>ff_portfolios25!Z972-ff_factors!$E972</f>
        <v>-4.9900000000000005E-3</v>
      </c>
      <c r="AA972" s="2">
        <f>ff_portfolios25!AA972-ff_factors!$E972</f>
        <v>-5.9100000000000003E-3</v>
      </c>
      <c r="AB972" s="2">
        <f>ff_portfolios25!AB972-ff_factors!$E972</f>
        <v>-1.4487E-2</v>
      </c>
    </row>
    <row r="973" spans="1:28" x14ac:dyDescent="0.2">
      <c r="A973">
        <v>20121231</v>
      </c>
      <c r="B973">
        <v>2012</v>
      </c>
      <c r="C973">
        <v>12</v>
      </c>
      <c r="D973" s="2">
        <f>ff_portfolios25!D973-ff_factors!$E973</f>
        <v>3.3020000000000002E-3</v>
      </c>
      <c r="E973" s="2">
        <f>ff_portfolios25!E973-ff_factors!$E973</f>
        <v>3.662E-2</v>
      </c>
      <c r="F973" s="2">
        <f>ff_portfolios25!F973-ff_factors!$E973</f>
        <v>3.9418999999999996E-2</v>
      </c>
      <c r="G973" s="2">
        <f>ff_portfolios25!G973-ff_factors!$E973</f>
        <v>4.4255999999999997E-2</v>
      </c>
      <c r="H973" s="2">
        <f>ff_portfolios25!H973-ff_factors!$E973</f>
        <v>4.4378999999999995E-2</v>
      </c>
      <c r="I973" s="2">
        <f>ff_portfolios25!I973-ff_factors!$E973</f>
        <v>3.8355999999999994E-2</v>
      </c>
      <c r="J973" s="2">
        <f>ff_portfolios25!J973-ff_factors!$E973</f>
        <v>3.1106000000000002E-2</v>
      </c>
      <c r="K973" s="2">
        <f>ff_portfolios25!K973-ff_factors!$E973</f>
        <v>3.8469999999999997E-2</v>
      </c>
      <c r="L973" s="2">
        <f>ff_portfolios25!L973-ff_factors!$E973</f>
        <v>3.5987999999999999E-2</v>
      </c>
      <c r="M973" s="2">
        <f>ff_portfolios25!M973-ff_factors!$E973</f>
        <v>4.8195999999999996E-2</v>
      </c>
      <c r="N973" s="2">
        <f>ff_portfolios25!N973-ff_factors!$E973</f>
        <v>2.4011000000000001E-2</v>
      </c>
      <c r="O973" s="2">
        <f>ff_portfolios25!O973-ff_factors!$E973</f>
        <v>3.8237E-2</v>
      </c>
      <c r="P973" s="2">
        <f>ff_portfolios25!P973-ff_factors!$E973</f>
        <v>2.1705000000000002E-2</v>
      </c>
      <c r="Q973" s="2">
        <f>ff_portfolios25!Q973-ff_factors!$E973</f>
        <v>2.7487000000000001E-2</v>
      </c>
      <c r="R973" s="2">
        <f>ff_portfolios25!R973-ff_factors!$E973</f>
        <v>4.6162999999999996E-2</v>
      </c>
      <c r="S973" s="2">
        <f>ff_portfolios25!S973-ff_factors!$E973</f>
        <v>1.8688E-2</v>
      </c>
      <c r="T973" s="2">
        <f>ff_portfolios25!T973-ff_factors!$E973</f>
        <v>2.2307E-2</v>
      </c>
      <c r="U973" s="2">
        <f>ff_portfolios25!U973-ff_factors!$E973</f>
        <v>3.3647999999999997E-2</v>
      </c>
      <c r="V973" s="2">
        <f>ff_portfolios25!V973-ff_factors!$E973</f>
        <v>3.9409E-2</v>
      </c>
      <c r="W973" s="2">
        <f>ff_portfolios25!W973-ff_factors!$E973</f>
        <v>3.1747999999999998E-2</v>
      </c>
      <c r="X973" s="2">
        <f>ff_portfolios25!X973-ff_factors!$E973</f>
        <v>-1.06E-2</v>
      </c>
      <c r="Y973" s="2">
        <f>ff_portfolios25!Y973-ff_factors!$E973</f>
        <v>-1.714E-3</v>
      </c>
      <c r="Z973" s="2">
        <f>ff_portfolios25!Z973-ff_factors!$E973</f>
        <v>1.6834999999999999E-2</v>
      </c>
      <c r="AA973" s="2">
        <f>ff_portfolios25!AA973-ff_factors!$E973</f>
        <v>1.5044E-2</v>
      </c>
      <c r="AB973" s="2">
        <f>ff_portfolios25!AB973-ff_factors!$E973</f>
        <v>7.4880000000000002E-2</v>
      </c>
    </row>
    <row r="974" spans="1:28" x14ac:dyDescent="0.2">
      <c r="A974">
        <v>20130131</v>
      </c>
      <c r="B974">
        <v>2013</v>
      </c>
      <c r="C974">
        <v>1</v>
      </c>
      <c r="D974" s="2">
        <f>ff_portfolios25!D974-ff_factors!$E974</f>
        <v>6.6974000000000006E-2</v>
      </c>
      <c r="E974" s="2">
        <f>ff_portfolios25!E974-ff_factors!$E974</f>
        <v>4.2828999999999999E-2</v>
      </c>
      <c r="F974" s="2">
        <f>ff_portfolios25!F974-ff_factors!$E974</f>
        <v>6.0109999999999997E-2</v>
      </c>
      <c r="G974" s="2">
        <f>ff_portfolios25!G974-ff_factors!$E974</f>
        <v>5.5821999999999997E-2</v>
      </c>
      <c r="H974" s="2">
        <f>ff_portfolios25!H974-ff_factors!$E974</f>
        <v>5.6356000000000003E-2</v>
      </c>
      <c r="I974" s="2">
        <f>ff_portfolios25!I974-ff_factors!$E974</f>
        <v>7.6590000000000005E-2</v>
      </c>
      <c r="J974" s="2">
        <f>ff_portfolios25!J974-ff_factors!$E974</f>
        <v>6.2905000000000003E-2</v>
      </c>
      <c r="K974" s="2">
        <f>ff_portfolios25!K974-ff_factors!$E974</f>
        <v>6.4485000000000001E-2</v>
      </c>
      <c r="L974" s="2">
        <f>ff_portfolios25!L974-ff_factors!$E974</f>
        <v>7.7058000000000001E-2</v>
      </c>
      <c r="M974" s="2">
        <f>ff_portfolios25!M974-ff_factors!$E974</f>
        <v>4.0509000000000003E-2</v>
      </c>
      <c r="N974" s="2">
        <f>ff_portfolios25!N974-ff_factors!$E974</f>
        <v>5.3628000000000002E-2</v>
      </c>
      <c r="O974" s="2">
        <f>ff_portfolios25!O974-ff_factors!$E974</f>
        <v>6.3228000000000006E-2</v>
      </c>
      <c r="P974" s="2">
        <f>ff_portfolios25!P974-ff_factors!$E974</f>
        <v>6.3335000000000002E-2</v>
      </c>
      <c r="Q974" s="2">
        <f>ff_portfolios25!Q974-ff_factors!$E974</f>
        <v>6.6405000000000006E-2</v>
      </c>
      <c r="R974" s="2">
        <f>ff_portfolios25!R974-ff_factors!$E974</f>
        <v>8.5929000000000005E-2</v>
      </c>
      <c r="S974" s="2">
        <f>ff_portfolios25!S974-ff_factors!$E974</f>
        <v>7.3357000000000006E-2</v>
      </c>
      <c r="T974" s="2">
        <f>ff_portfolios25!T974-ff_factors!$E974</f>
        <v>6.6655000000000006E-2</v>
      </c>
      <c r="U974" s="2">
        <f>ff_portfolios25!U974-ff_factors!$E974</f>
        <v>7.6642000000000002E-2</v>
      </c>
      <c r="V974" s="2">
        <f>ff_portfolios25!V974-ff_factors!$E974</f>
        <v>8.5504999999999998E-2</v>
      </c>
      <c r="W974" s="2">
        <f>ff_portfolios25!W974-ff_factors!$E974</f>
        <v>9.3833E-2</v>
      </c>
      <c r="X974" s="2">
        <f>ff_portfolios25!X974-ff_factors!$E974</f>
        <v>3.6108000000000001E-2</v>
      </c>
      <c r="Y974" s="2">
        <f>ff_portfolios25!Y974-ff_factors!$E974</f>
        <v>5.4074999999999998E-2</v>
      </c>
      <c r="Z974" s="2">
        <f>ff_portfolios25!Z974-ff_factors!$E974</f>
        <v>5.6548000000000001E-2</v>
      </c>
      <c r="AA974" s="2">
        <f>ff_portfolios25!AA974-ff_factors!$E974</f>
        <v>6.5886E-2</v>
      </c>
      <c r="AB974" s="2">
        <f>ff_portfolios25!AB974-ff_factors!$E974</f>
        <v>6.7643999999999996E-2</v>
      </c>
    </row>
    <row r="975" spans="1:28" x14ac:dyDescent="0.2">
      <c r="A975">
        <v>20130228</v>
      </c>
      <c r="B975">
        <v>2013</v>
      </c>
      <c r="C975">
        <v>2</v>
      </c>
      <c r="D975" s="2">
        <f>ff_portfolios25!D975-ff_factors!$E975</f>
        <v>-1.2635E-2</v>
      </c>
      <c r="E975" s="2">
        <f>ff_portfolios25!E975-ff_factors!$E975</f>
        <v>-1.776E-3</v>
      </c>
      <c r="F975" s="2">
        <f>ff_portfolios25!F975-ff_factors!$E975</f>
        <v>-5.9740000000000001E-3</v>
      </c>
      <c r="G975" s="2">
        <f>ff_portfolios25!G975-ff_factors!$E975</f>
        <v>1.9268E-2</v>
      </c>
      <c r="H975" s="2">
        <f>ff_portfolios25!H975-ff_factors!$E975</f>
        <v>1.5903E-2</v>
      </c>
      <c r="I975" s="2">
        <f>ff_portfolios25!I975-ff_factors!$E975</f>
        <v>1.0104999999999999E-2</v>
      </c>
      <c r="J975" s="2">
        <f>ff_portfolios25!J975-ff_factors!$E975</f>
        <v>1.2848E-2</v>
      </c>
      <c r="K975" s="2">
        <f>ff_portfolios25!K975-ff_factors!$E975</f>
        <v>7.2630000000000004E-3</v>
      </c>
      <c r="L975" s="2">
        <f>ff_portfolios25!L975-ff_factors!$E975</f>
        <v>2.0212999999999998E-2</v>
      </c>
      <c r="M975" s="2">
        <f>ff_portfolios25!M975-ff_factors!$E975</f>
        <v>1.1364000000000001E-2</v>
      </c>
      <c r="N975" s="2">
        <f>ff_portfolios25!N975-ff_factors!$E975</f>
        <v>5.4320000000000002E-3</v>
      </c>
      <c r="O975" s="2">
        <f>ff_portfolios25!O975-ff_factors!$E975</f>
        <v>9.8359999999999993E-3</v>
      </c>
      <c r="P975" s="2">
        <f>ff_portfolios25!P975-ff_factors!$E975</f>
        <v>1.1837E-2</v>
      </c>
      <c r="Q975" s="2">
        <f>ff_portfolios25!Q975-ff_factors!$E975</f>
        <v>2.0278000000000001E-2</v>
      </c>
      <c r="R975" s="2">
        <f>ff_portfolios25!R975-ff_factors!$E975</f>
        <v>1.174E-2</v>
      </c>
      <c r="S975" s="2">
        <f>ff_portfolios25!S975-ff_factors!$E975</f>
        <v>7.1580000000000003E-3</v>
      </c>
      <c r="T975" s="2">
        <f>ff_portfolios25!T975-ff_factors!$E975</f>
        <v>1.4977000000000001E-2</v>
      </c>
      <c r="U975" s="2">
        <f>ff_portfolios25!U975-ff_factors!$E975</f>
        <v>1.8929000000000001E-2</v>
      </c>
      <c r="V975" s="2">
        <f>ff_portfolios25!V975-ff_factors!$E975</f>
        <v>1.647E-3</v>
      </c>
      <c r="W975" s="2">
        <f>ff_portfolios25!W975-ff_factors!$E975</f>
        <v>2.6922000000000001E-2</v>
      </c>
      <c r="X975" s="2">
        <f>ff_portfolios25!X975-ff_factors!$E975</f>
        <v>9.476E-3</v>
      </c>
      <c r="Y975" s="2">
        <f>ff_portfolios25!Y975-ff_factors!$E975</f>
        <v>1.4179000000000001E-2</v>
      </c>
      <c r="Z975" s="2">
        <f>ff_portfolios25!Z975-ff_factors!$E975</f>
        <v>1.9687E-2</v>
      </c>
      <c r="AA975" s="2">
        <f>ff_portfolios25!AA975-ff_factors!$E975</f>
        <v>2.9335E-2</v>
      </c>
      <c r="AB975" s="2">
        <f>ff_portfolios25!AB975-ff_factors!$E975</f>
        <v>1.84E-4</v>
      </c>
    </row>
    <row r="976" spans="1:28" x14ac:dyDescent="0.2">
      <c r="A976">
        <v>20130328</v>
      </c>
      <c r="B976">
        <v>2013</v>
      </c>
      <c r="C976">
        <v>3</v>
      </c>
      <c r="D976" s="2">
        <f>ff_portfolios25!D976-ff_factors!$E976</f>
        <v>7.5616000000000003E-2</v>
      </c>
      <c r="E976" s="2">
        <f>ff_portfolios25!E976-ff_factors!$E976</f>
        <v>6.7473000000000005E-2</v>
      </c>
      <c r="F976" s="2">
        <f>ff_portfolios25!F976-ff_factors!$E976</f>
        <v>5.0441E-2</v>
      </c>
      <c r="G976" s="2">
        <f>ff_portfolios25!G976-ff_factors!$E976</f>
        <v>3.9355000000000001E-2</v>
      </c>
      <c r="H976" s="2">
        <f>ff_portfolios25!H976-ff_factors!$E976</f>
        <v>4.5695E-2</v>
      </c>
      <c r="I976" s="2">
        <f>ff_portfolios25!I976-ff_factors!$E976</f>
        <v>5.2173999999999998E-2</v>
      </c>
      <c r="J976" s="2">
        <f>ff_portfolios25!J976-ff_factors!$E976</f>
        <v>4.7392999999999998E-2</v>
      </c>
      <c r="K976" s="2">
        <f>ff_portfolios25!K976-ff_factors!$E976</f>
        <v>3.9224000000000002E-2</v>
      </c>
      <c r="L976" s="2">
        <f>ff_portfolios25!L976-ff_factors!$E976</f>
        <v>4.4722999999999999E-2</v>
      </c>
      <c r="M976" s="2">
        <f>ff_portfolios25!M976-ff_factors!$E976</f>
        <v>4.2678000000000001E-2</v>
      </c>
      <c r="N976" s="2">
        <f>ff_portfolios25!N976-ff_factors!$E976</f>
        <v>4.1259999999999998E-2</v>
      </c>
      <c r="O976" s="2">
        <f>ff_portfolios25!O976-ff_factors!$E976</f>
        <v>4.7349000000000002E-2</v>
      </c>
      <c r="P976" s="2">
        <f>ff_portfolios25!P976-ff_factors!$E976</f>
        <v>5.8068000000000002E-2</v>
      </c>
      <c r="Q976" s="2">
        <f>ff_portfolios25!Q976-ff_factors!$E976</f>
        <v>3.1601999999999998E-2</v>
      </c>
      <c r="R976" s="2">
        <f>ff_portfolios25!R976-ff_factors!$E976</f>
        <v>6.1039999999999997E-2</v>
      </c>
      <c r="S976" s="2">
        <f>ff_portfolios25!S976-ff_factors!$E976</f>
        <v>3.9717000000000002E-2</v>
      </c>
      <c r="T976" s="2">
        <f>ff_portfolios25!T976-ff_factors!$E976</f>
        <v>4.2458999999999997E-2</v>
      </c>
      <c r="U976" s="2">
        <f>ff_portfolios25!U976-ff_factors!$E976</f>
        <v>5.4345999999999998E-2</v>
      </c>
      <c r="V976" s="2">
        <f>ff_portfolios25!V976-ff_factors!$E976</f>
        <v>5.2519999999999997E-2</v>
      </c>
      <c r="W976" s="2">
        <f>ff_portfolios25!W976-ff_factors!$E976</f>
        <v>5.9718E-2</v>
      </c>
      <c r="X976" s="2">
        <f>ff_portfolios25!X976-ff_factors!$E976</f>
        <v>3.6589000000000003E-2</v>
      </c>
      <c r="Y976" s="2">
        <f>ff_portfolios25!Y976-ff_factors!$E976</f>
        <v>3.3625000000000002E-2</v>
      </c>
      <c r="Z976" s="2">
        <f>ff_portfolios25!Z976-ff_factors!$E976</f>
        <v>4.2151000000000001E-2</v>
      </c>
      <c r="AA976" s="2">
        <f>ff_portfolios25!AA976-ff_factors!$E976</f>
        <v>4.5953000000000001E-2</v>
      </c>
      <c r="AB976" s="2">
        <f>ff_portfolios25!AB976-ff_factors!$E976</f>
        <v>3.2177999999999998E-2</v>
      </c>
    </row>
    <row r="977" spans="1:28" x14ac:dyDescent="0.2">
      <c r="A977">
        <v>20130430</v>
      </c>
      <c r="B977">
        <v>2013</v>
      </c>
      <c r="C977">
        <v>4</v>
      </c>
      <c r="D977" s="2">
        <f>ff_portfolios25!D977-ff_factors!$E977</f>
        <v>-9.0499999999999999E-4</v>
      </c>
      <c r="E977" s="2">
        <f>ff_portfolios25!E977-ff_factors!$E977</f>
        <v>-3.2910000000000001E-3</v>
      </c>
      <c r="F977" s="2">
        <f>ff_portfolios25!F977-ff_factors!$E977</f>
        <v>-9.7619999999999998E-3</v>
      </c>
      <c r="G977" s="2">
        <f>ff_portfolios25!G977-ff_factors!$E977</f>
        <v>-7.6420000000000004E-3</v>
      </c>
      <c r="H977" s="2">
        <f>ff_portfolios25!H977-ff_factors!$E977</f>
        <v>8.3689999999999997E-3</v>
      </c>
      <c r="I977" s="2">
        <f>ff_portfolios25!I977-ff_factors!$E977</f>
        <v>-1.2652999999999999E-2</v>
      </c>
      <c r="J977" s="2">
        <f>ff_portfolios25!J977-ff_factors!$E977</f>
        <v>-1.7741E-2</v>
      </c>
      <c r="K977" s="2">
        <f>ff_portfolios25!K977-ff_factors!$E977</f>
        <v>-1.1276E-2</v>
      </c>
      <c r="L977" s="2">
        <f>ff_portfolios25!L977-ff_factors!$E977</f>
        <v>-1.5406E-2</v>
      </c>
      <c r="M977" s="2">
        <f>ff_portfolios25!M977-ff_factors!$E977</f>
        <v>1.5632E-2</v>
      </c>
      <c r="N977" s="2">
        <f>ff_portfolios25!N977-ff_factors!$E977</f>
        <v>-1.9658999999999999E-2</v>
      </c>
      <c r="O977" s="2">
        <f>ff_portfolios25!O977-ff_factors!$E977</f>
        <v>6.672E-3</v>
      </c>
      <c r="P977" s="2">
        <f>ff_portfolios25!P977-ff_factors!$E977</f>
        <v>-7.4009999999999996E-3</v>
      </c>
      <c r="Q977" s="2">
        <f>ff_portfolios25!Q977-ff_factors!$E977</f>
        <v>-9.0559999999999998E-3</v>
      </c>
      <c r="R977" s="2">
        <f>ff_portfolios25!R977-ff_factors!$E977</f>
        <v>-1.6833999999999998E-2</v>
      </c>
      <c r="S977" s="2">
        <f>ff_portfolios25!S977-ff_factors!$E977</f>
        <v>9.3950000000000006E-3</v>
      </c>
      <c r="T977" s="2">
        <f>ff_portfolios25!T977-ff_factors!$E977</f>
        <v>1.2156999999999999E-2</v>
      </c>
      <c r="U977" s="2">
        <f>ff_portfolios25!U977-ff_factors!$E977</f>
        <v>1.9699999999999999E-4</v>
      </c>
      <c r="V977" s="2">
        <f>ff_portfolios25!V977-ff_factors!$E977</f>
        <v>1.5465E-2</v>
      </c>
      <c r="W977" s="2">
        <f>ff_portfolios25!W977-ff_factors!$E977</f>
        <v>8.4749999999999999E-3</v>
      </c>
      <c r="X977" s="2">
        <f>ff_portfolios25!X977-ff_factors!$E977</f>
        <v>1.8603000000000001E-2</v>
      </c>
      <c r="Y977" s="2">
        <f>ff_portfolios25!Y977-ff_factors!$E977</f>
        <v>1.5415999999999999E-2</v>
      </c>
      <c r="Z977" s="2">
        <f>ff_portfolios25!Z977-ff_factors!$E977</f>
        <v>2.4264999999999998E-2</v>
      </c>
      <c r="AA977" s="2">
        <f>ff_portfolios25!AA977-ff_factors!$E977</f>
        <v>1.5422999999999999E-2</v>
      </c>
      <c r="AB977" s="2">
        <f>ff_portfolios25!AB977-ff_factors!$E977</f>
        <v>3.3363999999999998E-2</v>
      </c>
    </row>
    <row r="978" spans="1:28" x14ac:dyDescent="0.2">
      <c r="A978">
        <v>20130531</v>
      </c>
      <c r="B978">
        <v>2013</v>
      </c>
      <c r="C978">
        <v>5</v>
      </c>
      <c r="D978" s="2">
        <f>ff_portfolios25!D978-ff_factors!$E978</f>
        <v>7.8063999999999995E-2</v>
      </c>
      <c r="E978" s="2">
        <f>ff_portfolios25!E978-ff_factors!$E978</f>
        <v>4.0386999999999999E-2</v>
      </c>
      <c r="F978" s="2">
        <f>ff_portfolios25!F978-ff_factors!$E978</f>
        <v>3.6475E-2</v>
      </c>
      <c r="G978" s="2">
        <f>ff_portfolios25!G978-ff_factors!$E978</f>
        <v>6.5017000000000005E-2</v>
      </c>
      <c r="H978" s="2">
        <f>ff_portfolios25!H978-ff_factors!$E978</f>
        <v>4.1340000000000002E-2</v>
      </c>
      <c r="I978" s="2">
        <f>ff_portfolios25!I978-ff_factors!$E978</f>
        <v>5.4514E-2</v>
      </c>
      <c r="J978" s="2">
        <f>ff_portfolios25!J978-ff_factors!$E978</f>
        <v>4.4428000000000002E-2</v>
      </c>
      <c r="K978" s="2">
        <f>ff_portfolios25!K978-ff_factors!$E978</f>
        <v>5.9910999999999999E-2</v>
      </c>
      <c r="L978" s="2">
        <f>ff_portfolios25!L978-ff_factors!$E978</f>
        <v>4.8601999999999999E-2</v>
      </c>
      <c r="M978" s="2">
        <f>ff_portfolios25!M978-ff_factors!$E978</f>
        <v>7.8307000000000002E-2</v>
      </c>
      <c r="N978" s="2">
        <f>ff_portfolios25!N978-ff_factors!$E978</f>
        <v>3.0776999999999999E-2</v>
      </c>
      <c r="O978" s="2">
        <f>ff_portfolios25!O978-ff_factors!$E978</f>
        <v>5.5891999999999997E-2</v>
      </c>
      <c r="P978" s="2">
        <f>ff_portfolios25!P978-ff_factors!$E978</f>
        <v>4.3721000000000003E-2</v>
      </c>
      <c r="Q978" s="2">
        <f>ff_portfolios25!Q978-ff_factors!$E978</f>
        <v>5.1808E-2</v>
      </c>
      <c r="R978" s="2">
        <f>ff_portfolios25!R978-ff_factors!$E978</f>
        <v>4.1908000000000001E-2</v>
      </c>
      <c r="S978" s="2">
        <f>ff_portfolios25!S978-ff_factors!$E978</f>
        <v>3.6977999999999997E-2</v>
      </c>
      <c r="T978" s="2">
        <f>ff_portfolios25!T978-ff_factors!$E978</f>
        <v>3.7186999999999998E-2</v>
      </c>
      <c r="U978" s="2">
        <f>ff_portfolios25!U978-ff_factors!$E978</f>
        <v>1.3911E-2</v>
      </c>
      <c r="V978" s="2">
        <f>ff_portfolios25!V978-ff_factors!$E978</f>
        <v>3.184E-2</v>
      </c>
      <c r="W978" s="2">
        <f>ff_portfolios25!W978-ff_factors!$E978</f>
        <v>5.0036999999999998E-2</v>
      </c>
      <c r="X978" s="2">
        <f>ff_portfolios25!X978-ff_factors!$E978</f>
        <v>1.9445E-2</v>
      </c>
      <c r="Y978" s="2">
        <f>ff_portfolios25!Y978-ff_factors!$E978</f>
        <v>2.3538E-2</v>
      </c>
      <c r="Z978" s="2">
        <f>ff_portfolios25!Z978-ff_factors!$E978</f>
        <v>5.3270000000000001E-3</v>
      </c>
      <c r="AA978" s="2">
        <f>ff_portfolios25!AA978-ff_factors!$E978</f>
        <v>1.9425999999999999E-2</v>
      </c>
      <c r="AB978" s="2">
        <f>ff_portfolios25!AB978-ff_factors!$E978</f>
        <v>8.7881000000000001E-2</v>
      </c>
    </row>
    <row r="979" spans="1:28" x14ac:dyDescent="0.2">
      <c r="A979">
        <v>20130628</v>
      </c>
      <c r="B979">
        <v>2013</v>
      </c>
      <c r="C979">
        <v>6</v>
      </c>
      <c r="D979" s="2">
        <f>ff_portfolios25!D979-ff_factors!$E979</f>
        <v>-8.2070000000000008E-3</v>
      </c>
      <c r="E979" s="2">
        <f>ff_portfolios25!E979-ff_factors!$E979</f>
        <v>-6.4409999999999997E-3</v>
      </c>
      <c r="F979" s="2">
        <f>ff_portfolios25!F979-ff_factors!$E979</f>
        <v>1.6053999999999999E-2</v>
      </c>
      <c r="G979" s="2">
        <f>ff_portfolios25!G979-ff_factors!$E979</f>
        <v>1.4416E-2</v>
      </c>
      <c r="H979" s="2">
        <f>ff_portfolios25!H979-ff_factors!$E979</f>
        <v>1.312E-3</v>
      </c>
      <c r="I979" s="2">
        <f>ff_portfolios25!I979-ff_factors!$E979</f>
        <v>1.8430999999999999E-2</v>
      </c>
      <c r="J979" s="2">
        <f>ff_portfolios25!J979-ff_factors!$E979</f>
        <v>-8.7200000000000005E-4</v>
      </c>
      <c r="K979" s="2">
        <f>ff_portfolios25!K979-ff_factors!$E979</f>
        <v>-4.6909999999999999E-3</v>
      </c>
      <c r="L979" s="2">
        <f>ff_portfolios25!L979-ff_factors!$E979</f>
        <v>-9.6500000000000006E-3</v>
      </c>
      <c r="M979" s="2">
        <f>ff_portfolios25!M979-ff_factors!$E979</f>
        <v>-4.8269999999999997E-3</v>
      </c>
      <c r="N979" s="2">
        <f>ff_portfolios25!N979-ff_factors!$E979</f>
        <v>-1.8439999999999999E-3</v>
      </c>
      <c r="O979" s="2">
        <f>ff_portfolios25!O979-ff_factors!$E979</f>
        <v>-1.1193E-2</v>
      </c>
      <c r="P979" s="2">
        <f>ff_portfolios25!P979-ff_factors!$E979</f>
        <v>-1.4805E-2</v>
      </c>
      <c r="Q979" s="2">
        <f>ff_portfolios25!Q979-ff_factors!$E979</f>
        <v>-8.7709999999999993E-3</v>
      </c>
      <c r="R979" s="2">
        <f>ff_portfolios25!R979-ff_factors!$E979</f>
        <v>-4.3299999999999996E-3</v>
      </c>
      <c r="S979" s="2">
        <f>ff_portfolios25!S979-ff_factors!$E979</f>
        <v>-2.0445999999999999E-2</v>
      </c>
      <c r="T979" s="2">
        <f>ff_portfolios25!T979-ff_factors!$E979</f>
        <v>-2.2218000000000002E-2</v>
      </c>
      <c r="U979" s="2">
        <f>ff_portfolios25!U979-ff_factors!$E979</f>
        <v>-9.7890000000000008E-3</v>
      </c>
      <c r="V979" s="2">
        <f>ff_portfolios25!V979-ff_factors!$E979</f>
        <v>-2.2815999999999999E-2</v>
      </c>
      <c r="W979" s="2">
        <f>ff_portfolios25!W979-ff_factors!$E979</f>
        <v>-1.2403000000000001E-2</v>
      </c>
      <c r="X979" s="2">
        <f>ff_portfolios25!X979-ff_factors!$E979</f>
        <v>-2.7581000000000001E-2</v>
      </c>
      <c r="Y979" s="2">
        <f>ff_portfolios25!Y979-ff_factors!$E979</f>
        <v>-2.9780000000000002E-3</v>
      </c>
      <c r="Z979" s="2">
        <f>ff_portfolios25!Z979-ff_factors!$E979</f>
        <v>2.032E-3</v>
      </c>
      <c r="AA979" s="2">
        <f>ff_portfolios25!AA979-ff_factors!$E979</f>
        <v>-1.6100000000000001E-4</v>
      </c>
      <c r="AB979" s="2">
        <f>ff_portfolios25!AB979-ff_factors!$E979</f>
        <v>-2.9269E-2</v>
      </c>
    </row>
    <row r="980" spans="1:28" x14ac:dyDescent="0.2">
      <c r="A980">
        <v>20130731</v>
      </c>
      <c r="B980">
        <v>2013</v>
      </c>
      <c r="C980">
        <v>7</v>
      </c>
      <c r="D980" s="2">
        <f>ff_portfolios25!D980-ff_factors!$E980</f>
        <v>7.5235999999999997E-2</v>
      </c>
      <c r="E980" s="2">
        <f>ff_portfolios25!E980-ff_factors!$E980</f>
        <v>9.5908999999999994E-2</v>
      </c>
      <c r="F980" s="2">
        <f>ff_portfolios25!F980-ff_factors!$E980</f>
        <v>7.8118999999999994E-2</v>
      </c>
      <c r="G980" s="2">
        <f>ff_portfolios25!G980-ff_factors!$E980</f>
        <v>8.6013000000000006E-2</v>
      </c>
      <c r="H980" s="2">
        <f>ff_portfolios25!H980-ff_factors!$E980</f>
        <v>7.4636999999999995E-2</v>
      </c>
      <c r="I980" s="2">
        <f>ff_portfolios25!I980-ff_factors!$E980</f>
        <v>6.7208000000000004E-2</v>
      </c>
      <c r="J980" s="2">
        <f>ff_portfolios25!J980-ff_factors!$E980</f>
        <v>7.1623000000000006E-2</v>
      </c>
      <c r="K980" s="2">
        <f>ff_portfolios25!K980-ff_factors!$E980</f>
        <v>6.7155999999999993E-2</v>
      </c>
      <c r="L980" s="2">
        <f>ff_portfolios25!L980-ff_factors!$E980</f>
        <v>6.8990999999999997E-2</v>
      </c>
      <c r="M980" s="2">
        <f>ff_portfolios25!M980-ff_factors!$E980</f>
        <v>7.9246999999999998E-2</v>
      </c>
      <c r="N980" s="2">
        <f>ff_portfolios25!N980-ff_factors!$E980</f>
        <v>8.5462999999999997E-2</v>
      </c>
      <c r="O980" s="2">
        <f>ff_portfolios25!O980-ff_factors!$E980</f>
        <v>6.9901000000000005E-2</v>
      </c>
      <c r="P980" s="2">
        <f>ff_portfolios25!P980-ff_factors!$E980</f>
        <v>6.1629000000000003E-2</v>
      </c>
      <c r="Q980" s="2">
        <f>ff_portfolios25!Q980-ff_factors!$E980</f>
        <v>8.0710000000000004E-2</v>
      </c>
      <c r="R980" s="2">
        <f>ff_portfolios25!R980-ff_factors!$E980</f>
        <v>9.0583999999999998E-2</v>
      </c>
      <c r="S980" s="2">
        <f>ff_portfolios25!S980-ff_factors!$E980</f>
        <v>7.9739000000000004E-2</v>
      </c>
      <c r="T980" s="2">
        <f>ff_portfolios25!T980-ff_factors!$E980</f>
        <v>4.4477000000000003E-2</v>
      </c>
      <c r="U980" s="2">
        <f>ff_portfolios25!U980-ff_factors!$E980</f>
        <v>6.3011999999999999E-2</v>
      </c>
      <c r="V980" s="2">
        <f>ff_portfolios25!V980-ff_factors!$E980</f>
        <v>7.6521000000000006E-2</v>
      </c>
      <c r="W980" s="2">
        <f>ff_portfolios25!W980-ff_factors!$E980</f>
        <v>5.7647999999999998E-2</v>
      </c>
      <c r="X980" s="2">
        <f>ff_portfolios25!X980-ff_factors!$E980</f>
        <v>5.2596999999999998E-2</v>
      </c>
      <c r="Y980" s="2">
        <f>ff_portfolios25!Y980-ff_factors!$E980</f>
        <v>4.8957000000000001E-2</v>
      </c>
      <c r="Z980" s="2">
        <f>ff_portfolios25!Z980-ff_factors!$E980</f>
        <v>4.6760999999999997E-2</v>
      </c>
      <c r="AA980" s="2">
        <f>ff_portfolios25!AA980-ff_factors!$E980</f>
        <v>5.0194999999999997E-2</v>
      </c>
      <c r="AB980" s="2">
        <f>ff_portfolios25!AB980-ff_factors!$E980</f>
        <v>6.8912000000000001E-2</v>
      </c>
    </row>
    <row r="981" spans="1:28" x14ac:dyDescent="0.2">
      <c r="A981">
        <v>20130830</v>
      </c>
      <c r="B981">
        <v>2013</v>
      </c>
      <c r="C981">
        <v>8</v>
      </c>
      <c r="D981" s="2">
        <f>ff_portfolios25!D981-ff_factors!$E981</f>
        <v>-2.3064000000000001E-2</v>
      </c>
      <c r="E981" s="2">
        <f>ff_portfolios25!E981-ff_factors!$E981</f>
        <v>-2.4424999999999999E-2</v>
      </c>
      <c r="F981" s="2">
        <f>ff_portfolios25!F981-ff_factors!$E981</f>
        <v>-2.7262000000000002E-2</v>
      </c>
      <c r="G981" s="2">
        <f>ff_portfolios25!G981-ff_factors!$E981</f>
        <v>-3.4868999999999997E-2</v>
      </c>
      <c r="H981" s="2">
        <f>ff_portfolios25!H981-ff_factors!$E981</f>
        <v>-3.2974000000000003E-2</v>
      </c>
      <c r="I981" s="2">
        <f>ff_portfolios25!I981-ff_factors!$E981</f>
        <v>-4.4510000000000001E-3</v>
      </c>
      <c r="J981" s="2">
        <f>ff_portfolios25!J981-ff_factors!$E981</f>
        <v>-1.5047E-2</v>
      </c>
      <c r="K981" s="2">
        <f>ff_portfolios25!K981-ff_factors!$E981</f>
        <v>-3.2210999999999997E-2</v>
      </c>
      <c r="L981" s="2">
        <f>ff_portfolios25!L981-ff_factors!$E981</f>
        <v>-3.5255000000000002E-2</v>
      </c>
      <c r="M981" s="2">
        <f>ff_portfolios25!M981-ff_factors!$E981</f>
        <v>-3.7630999999999998E-2</v>
      </c>
      <c r="N981" s="2">
        <f>ff_portfolios25!N981-ff_factors!$E981</f>
        <v>-1.8697999999999999E-2</v>
      </c>
      <c r="O981" s="2">
        <f>ff_portfolios25!O981-ff_factors!$E981</f>
        <v>-2.0056999999999998E-2</v>
      </c>
      <c r="P981" s="2">
        <f>ff_portfolios25!P981-ff_factors!$E981</f>
        <v>-3.5666999999999997E-2</v>
      </c>
      <c r="Q981" s="2">
        <f>ff_portfolios25!Q981-ff_factors!$E981</f>
        <v>-4.4788000000000001E-2</v>
      </c>
      <c r="R981" s="2">
        <f>ff_portfolios25!R981-ff_factors!$E981</f>
        <v>-4.0582E-2</v>
      </c>
      <c r="S981" s="2">
        <f>ff_portfolios25!S981-ff_factors!$E981</f>
        <v>-1.5899E-2</v>
      </c>
      <c r="T981" s="2">
        <f>ff_portfolios25!T981-ff_factors!$E981</f>
        <v>-1.9802E-2</v>
      </c>
      <c r="U981" s="2">
        <f>ff_portfolios25!U981-ff_factors!$E981</f>
        <v>-3.3978000000000001E-2</v>
      </c>
      <c r="V981" s="2">
        <f>ff_portfolios25!V981-ff_factors!$E981</f>
        <v>-3.0263000000000002E-2</v>
      </c>
      <c r="W981" s="2">
        <f>ff_portfolios25!W981-ff_factors!$E981</f>
        <v>-2.9602E-2</v>
      </c>
      <c r="X981" s="2">
        <f>ff_portfolios25!X981-ff_factors!$E981</f>
        <v>-9.5469999999999999E-3</v>
      </c>
      <c r="Y981" s="2">
        <f>ff_portfolios25!Y981-ff_factors!$E981</f>
        <v>-3.3105999999999997E-2</v>
      </c>
      <c r="Z981" s="2">
        <f>ff_portfolios25!Z981-ff_factors!$E981</f>
        <v>-3.4672000000000001E-2</v>
      </c>
      <c r="AA981" s="2">
        <f>ff_portfolios25!AA981-ff_factors!$E981</f>
        <v>-3.6170000000000001E-2</v>
      </c>
      <c r="AB981" s="2">
        <f>ff_portfolios25!AB981-ff_factors!$E981</f>
        <v>-4.4519000000000003E-2</v>
      </c>
    </row>
    <row r="982" spans="1:28" x14ac:dyDescent="0.2">
      <c r="A982">
        <v>20130930</v>
      </c>
      <c r="B982">
        <v>2013</v>
      </c>
      <c r="C982">
        <v>9</v>
      </c>
      <c r="D982" s="2">
        <f>ff_portfolios25!D982-ff_factors!$E982</f>
        <v>7.4597999999999998E-2</v>
      </c>
      <c r="E982" s="2">
        <f>ff_portfolios25!E982-ff_factors!$E982</f>
        <v>8.0443000000000001E-2</v>
      </c>
      <c r="F982" s="2">
        <f>ff_portfolios25!F982-ff_factors!$E982</f>
        <v>6.3988000000000003E-2</v>
      </c>
      <c r="G982" s="2">
        <f>ff_portfolios25!G982-ff_factors!$E982</f>
        <v>6.7357E-2</v>
      </c>
      <c r="H982" s="2">
        <f>ff_portfolios25!H982-ff_factors!$E982</f>
        <v>6.2052999999999997E-2</v>
      </c>
      <c r="I982" s="2">
        <f>ff_portfolios25!I982-ff_factors!$E982</f>
        <v>7.0235000000000006E-2</v>
      </c>
      <c r="J982" s="2">
        <f>ff_portfolios25!J982-ff_factors!$E982</f>
        <v>6.0964999999999998E-2</v>
      </c>
      <c r="K982" s="2">
        <f>ff_portfolios25!K982-ff_factors!$E982</f>
        <v>7.4026999999999996E-2</v>
      </c>
      <c r="L982" s="2">
        <f>ff_portfolios25!L982-ff_factors!$E982</f>
        <v>5.9718E-2</v>
      </c>
      <c r="M982" s="2">
        <f>ff_portfolios25!M982-ff_factors!$E982</f>
        <v>5.5342000000000002E-2</v>
      </c>
      <c r="N982" s="2">
        <f>ff_portfolios25!N982-ff_factors!$E982</f>
        <v>6.0058E-2</v>
      </c>
      <c r="O982" s="2">
        <f>ff_portfolios25!O982-ff_factors!$E982</f>
        <v>5.9506000000000003E-2</v>
      </c>
      <c r="P982" s="2">
        <f>ff_portfolios25!P982-ff_factors!$E982</f>
        <v>5.6974999999999998E-2</v>
      </c>
      <c r="Q982" s="2">
        <f>ff_portfolios25!Q982-ff_factors!$E982</f>
        <v>5.2108000000000002E-2</v>
      </c>
      <c r="R982" s="2">
        <f>ff_portfolios25!R982-ff_factors!$E982</f>
        <v>4.2403999999999997E-2</v>
      </c>
      <c r="S982" s="2">
        <f>ff_portfolios25!S982-ff_factors!$E982</f>
        <v>5.4414999999999998E-2</v>
      </c>
      <c r="T982" s="2">
        <f>ff_portfolios25!T982-ff_factors!$E982</f>
        <v>5.9158000000000002E-2</v>
      </c>
      <c r="U982" s="2">
        <f>ff_portfolios25!U982-ff_factors!$E982</f>
        <v>4.8335999999999997E-2</v>
      </c>
      <c r="V982" s="2">
        <f>ff_portfolios25!V982-ff_factors!$E982</f>
        <v>5.4854E-2</v>
      </c>
      <c r="W982" s="2">
        <f>ff_portfolios25!W982-ff_factors!$E982</f>
        <v>4.4896999999999999E-2</v>
      </c>
      <c r="X982" s="2">
        <f>ff_portfolios25!X982-ff_factors!$E982</f>
        <v>4.2101E-2</v>
      </c>
      <c r="Y982" s="2">
        <f>ff_portfolios25!Y982-ff_factors!$E982</f>
        <v>2.6193000000000001E-2</v>
      </c>
      <c r="Z982" s="2">
        <f>ff_portfolios25!Z982-ff_factors!$E982</f>
        <v>2.4143000000000001E-2</v>
      </c>
      <c r="AA982" s="2">
        <f>ff_portfolios25!AA982-ff_factors!$E982</f>
        <v>2.7747000000000001E-2</v>
      </c>
      <c r="AB982" s="2">
        <f>ff_portfolios25!AB982-ff_factors!$E982</f>
        <v>2.0388E-2</v>
      </c>
    </row>
    <row r="983" spans="1:28" x14ac:dyDescent="0.2">
      <c r="A983">
        <v>20131031</v>
      </c>
      <c r="B983">
        <v>2013</v>
      </c>
      <c r="C983">
        <v>10</v>
      </c>
      <c r="D983" s="2">
        <f>ff_portfolios25!D983-ff_factors!$E983</f>
        <v>-6.2630000000000003E-3</v>
      </c>
      <c r="E983" s="2">
        <f>ff_portfolios25!E983-ff_factors!$E983</f>
        <v>1.4074E-2</v>
      </c>
      <c r="F983" s="2">
        <f>ff_portfolios25!F983-ff_factors!$E983</f>
        <v>2.5715999999999999E-2</v>
      </c>
      <c r="G983" s="2">
        <f>ff_portfolios25!G983-ff_factors!$E983</f>
        <v>3.4687999999999997E-2</v>
      </c>
      <c r="H983" s="2">
        <f>ff_portfolios25!H983-ff_factors!$E983</f>
        <v>2.8604999999999998E-2</v>
      </c>
      <c r="I983" s="2">
        <f>ff_portfolios25!I983-ff_factors!$E983</f>
        <v>8.2799999999999992E-3</v>
      </c>
      <c r="J983" s="2">
        <f>ff_portfolios25!J983-ff_factors!$E983</f>
        <v>6.1799999999999997E-3</v>
      </c>
      <c r="K983" s="2">
        <f>ff_portfolios25!K983-ff_factors!$E983</f>
        <v>1.6205000000000001E-2</v>
      </c>
      <c r="L983" s="2">
        <f>ff_portfolios25!L983-ff_factors!$E983</f>
        <v>4.9473000000000003E-2</v>
      </c>
      <c r="M983" s="2">
        <f>ff_portfolios25!M983-ff_factors!$E983</f>
        <v>3.7463000000000003E-2</v>
      </c>
      <c r="N983" s="2">
        <f>ff_portfolios25!N983-ff_factors!$E983</f>
        <v>3.3252999999999998E-2</v>
      </c>
      <c r="O983" s="2">
        <f>ff_portfolios25!O983-ff_factors!$E983</f>
        <v>3.4809E-2</v>
      </c>
      <c r="P983" s="2">
        <f>ff_portfolios25!P983-ff_factors!$E983</f>
        <v>3.1688000000000001E-2</v>
      </c>
      <c r="Q983" s="2">
        <f>ff_portfolios25!Q983-ff_factors!$E983</f>
        <v>4.2323E-2</v>
      </c>
      <c r="R983" s="2">
        <f>ff_portfolios25!R983-ff_factors!$E983</f>
        <v>5.9809000000000001E-2</v>
      </c>
      <c r="S983" s="2">
        <f>ff_portfolios25!S983-ff_factors!$E983</f>
        <v>2.0688000000000002E-2</v>
      </c>
      <c r="T983" s="2">
        <f>ff_portfolios25!T983-ff_factors!$E983</f>
        <v>3.9461000000000003E-2</v>
      </c>
      <c r="U983" s="2">
        <f>ff_portfolios25!U983-ff_factors!$E983</f>
        <v>2.7951E-2</v>
      </c>
      <c r="V983" s="2">
        <f>ff_portfolios25!V983-ff_factors!$E983</f>
        <v>4.2085999999999998E-2</v>
      </c>
      <c r="W983" s="2">
        <f>ff_portfolios25!W983-ff_factors!$E983</f>
        <v>6.2212999999999997E-2</v>
      </c>
      <c r="X983" s="2">
        <f>ff_portfolios25!X983-ff_factors!$E983</f>
        <v>4.7847000000000001E-2</v>
      </c>
      <c r="Y983" s="2">
        <f>ff_portfolios25!Y983-ff_factors!$E983</f>
        <v>4.5134000000000001E-2</v>
      </c>
      <c r="Z983" s="2">
        <f>ff_portfolios25!Z983-ff_factors!$E983</f>
        <v>5.2509E-2</v>
      </c>
      <c r="AA983" s="2">
        <f>ff_portfolios25!AA983-ff_factors!$E983</f>
        <v>3.5238999999999999E-2</v>
      </c>
      <c r="AB983" s="2">
        <f>ff_portfolios25!AB983-ff_factors!$E983</f>
        <v>3.6351000000000001E-2</v>
      </c>
    </row>
    <row r="984" spans="1:28" x14ac:dyDescent="0.2">
      <c r="A984">
        <v>20131129</v>
      </c>
      <c r="B984">
        <v>2013</v>
      </c>
      <c r="C984">
        <v>11</v>
      </c>
      <c r="D984" s="2">
        <f>ff_portfolios25!D984-ff_factors!$E984</f>
        <v>7.7394000000000004E-2</v>
      </c>
      <c r="E984" s="2">
        <f>ff_portfolios25!E984-ff_factors!$E984</f>
        <v>5.8382000000000003E-2</v>
      </c>
      <c r="F984" s="2">
        <f>ff_portfolios25!F984-ff_factors!$E984</f>
        <v>5.6189000000000003E-2</v>
      </c>
      <c r="G984" s="2">
        <f>ff_portfolios25!G984-ff_factors!$E984</f>
        <v>7.2551000000000004E-2</v>
      </c>
      <c r="H984" s="2">
        <f>ff_portfolios25!H984-ff_factors!$E984</f>
        <v>4.5858999999999997E-2</v>
      </c>
      <c r="I984" s="2">
        <f>ff_portfolios25!I984-ff_factors!$E984</f>
        <v>5.9218E-2</v>
      </c>
      <c r="J984" s="2">
        <f>ff_portfolios25!J984-ff_factors!$E984</f>
        <v>3.4075000000000001E-2</v>
      </c>
      <c r="K984" s="2">
        <f>ff_portfolios25!K984-ff_factors!$E984</f>
        <v>3.5640999999999999E-2</v>
      </c>
      <c r="L984" s="2">
        <f>ff_portfolios25!L984-ff_factors!$E984</f>
        <v>2.9929000000000001E-2</v>
      </c>
      <c r="M984" s="2">
        <f>ff_portfolios25!M984-ff_factors!$E984</f>
        <v>5.2415999999999997E-2</v>
      </c>
      <c r="N984" s="2">
        <f>ff_portfolios25!N984-ff_factors!$E984</f>
        <v>3.0943999999999999E-2</v>
      </c>
      <c r="O984" s="2">
        <f>ff_portfolios25!O984-ff_factors!$E984</f>
        <v>3.2648000000000003E-2</v>
      </c>
      <c r="P984" s="2">
        <f>ff_portfolios25!P984-ff_factors!$E984</f>
        <v>3.2469999999999999E-2</v>
      </c>
      <c r="Q984" s="2">
        <f>ff_portfolios25!Q984-ff_factors!$E984</f>
        <v>2.7612999999999999E-2</v>
      </c>
      <c r="R984" s="2">
        <f>ff_portfolios25!R984-ff_factors!$E984</f>
        <v>3.5882999999999998E-2</v>
      </c>
      <c r="S984" s="2">
        <f>ff_portfolios25!S984-ff_factors!$E984</f>
        <v>2.0208E-2</v>
      </c>
      <c r="T984" s="2">
        <f>ff_portfolios25!T984-ff_factors!$E984</f>
        <v>1.7173000000000001E-2</v>
      </c>
      <c r="U984" s="2">
        <f>ff_portfolios25!U984-ff_factors!$E984</f>
        <v>1.0305E-2</v>
      </c>
      <c r="V984" s="2">
        <f>ff_portfolios25!V984-ff_factors!$E984</f>
        <v>-2.0500000000000002E-3</v>
      </c>
      <c r="W984" s="2">
        <f>ff_portfolios25!W984-ff_factors!$E984</f>
        <v>2.6918999999999998E-2</v>
      </c>
      <c r="X984" s="2">
        <f>ff_portfolios25!X984-ff_factors!$E984</f>
        <v>3.6361999999999998E-2</v>
      </c>
      <c r="Y984" s="2">
        <f>ff_portfolios25!Y984-ff_factors!$E984</f>
        <v>3.0567E-2</v>
      </c>
      <c r="Z984" s="2">
        <f>ff_portfolios25!Z984-ff_factors!$E984</f>
        <v>1.3938000000000001E-2</v>
      </c>
      <c r="AA984" s="2">
        <f>ff_portfolios25!AA984-ff_factors!$E984</f>
        <v>2.2638999999999999E-2</v>
      </c>
      <c r="AB984" s="2">
        <f>ff_portfolios25!AB984-ff_factors!$E984</f>
        <v>5.8986999999999998E-2</v>
      </c>
    </row>
    <row r="985" spans="1:28" x14ac:dyDescent="0.2">
      <c r="A985">
        <v>20131231</v>
      </c>
      <c r="B985">
        <v>2013</v>
      </c>
      <c r="C985">
        <v>12</v>
      </c>
      <c r="D985" s="2">
        <f>ff_portfolios25!D985-ff_factors!$E985</f>
        <v>2.4213999999999999E-2</v>
      </c>
      <c r="E985" s="2">
        <f>ff_portfolios25!E985-ff_factors!$E985</f>
        <v>3.7844000000000003E-2</v>
      </c>
      <c r="F985" s="2">
        <f>ff_portfolios25!F985-ff_factors!$E985</f>
        <v>2.0988E-2</v>
      </c>
      <c r="G985" s="2">
        <f>ff_portfolios25!G985-ff_factors!$E985</f>
        <v>1.3365E-2</v>
      </c>
      <c r="H985" s="2">
        <f>ff_portfolios25!H985-ff_factors!$E985</f>
        <v>1.5221E-2</v>
      </c>
      <c r="I985" s="2">
        <f>ff_portfolios25!I985-ff_factors!$E985</f>
        <v>2.6779000000000001E-2</v>
      </c>
      <c r="J985" s="2">
        <f>ff_portfolios25!J985-ff_factors!$E985</f>
        <v>5.6509999999999998E-3</v>
      </c>
      <c r="K985" s="2">
        <f>ff_portfolios25!K985-ff_factors!$E985</f>
        <v>3.4946999999999999E-2</v>
      </c>
      <c r="L985" s="2">
        <f>ff_portfolios25!L985-ff_factors!$E985</f>
        <v>1.5442000000000001E-2</v>
      </c>
      <c r="M985" s="2">
        <f>ff_portfolios25!M985-ff_factors!$E985</f>
        <v>1.3101E-2</v>
      </c>
      <c r="N985" s="2">
        <f>ff_portfolios25!N985-ff_factors!$E985</f>
        <v>1.6386999999999999E-2</v>
      </c>
      <c r="O985" s="2">
        <f>ff_portfolios25!O985-ff_factors!$E985</f>
        <v>3.9773000000000003E-2</v>
      </c>
      <c r="P985" s="2">
        <f>ff_portfolios25!P985-ff_factors!$E985</f>
        <v>3.1643999999999999E-2</v>
      </c>
      <c r="Q985" s="2">
        <f>ff_portfolios25!Q985-ff_factors!$E985</f>
        <v>3.0983E-2</v>
      </c>
      <c r="R985" s="2">
        <f>ff_portfolios25!R985-ff_factors!$E985</f>
        <v>2.2207000000000001E-2</v>
      </c>
      <c r="S985" s="2">
        <f>ff_portfolios25!S985-ff_factors!$E985</f>
        <v>3.1566999999999998E-2</v>
      </c>
      <c r="T985" s="2">
        <f>ff_portfolios25!T985-ff_factors!$E985</f>
        <v>3.3961999999999999E-2</v>
      </c>
      <c r="U985" s="2">
        <f>ff_portfolios25!U985-ff_factors!$E985</f>
        <v>3.1022000000000001E-2</v>
      </c>
      <c r="V985" s="2">
        <f>ff_portfolios25!V985-ff_factors!$E985</f>
        <v>3.6558E-2</v>
      </c>
      <c r="W985" s="2">
        <f>ff_portfolios25!W985-ff_factors!$E985</f>
        <v>2.6238999999999998E-2</v>
      </c>
      <c r="X985" s="2">
        <f>ff_portfolios25!X985-ff_factors!$E985</f>
        <v>2.3570000000000001E-2</v>
      </c>
      <c r="Y985" s="2">
        <f>ff_portfolios25!Y985-ff_factors!$E985</f>
        <v>2.6249000000000001E-2</v>
      </c>
      <c r="Z985" s="2">
        <f>ff_portfolios25!Z985-ff_factors!$E985</f>
        <v>3.8175000000000001E-2</v>
      </c>
      <c r="AA985" s="2">
        <f>ff_portfolios25!AA985-ff_factors!$E985</f>
        <v>2.4798000000000001E-2</v>
      </c>
      <c r="AB985" s="2">
        <f>ff_portfolios25!AB985-ff_factors!$E985</f>
        <v>1.8922000000000001E-2</v>
      </c>
    </row>
    <row r="986" spans="1:28" x14ac:dyDescent="0.2">
      <c r="A986">
        <v>20140131</v>
      </c>
      <c r="B986">
        <v>2014</v>
      </c>
      <c r="C986">
        <v>1</v>
      </c>
      <c r="D986" s="2">
        <f>ff_portfolios25!D986-ff_factors!$E986</f>
        <v>2.6161E-2</v>
      </c>
      <c r="E986" s="2">
        <f>ff_portfolios25!E986-ff_factors!$E986</f>
        <v>-2.8835E-2</v>
      </c>
      <c r="F986" s="2">
        <f>ff_portfolios25!F986-ff_factors!$E986</f>
        <v>-1.7894E-2</v>
      </c>
      <c r="G986" s="2">
        <f>ff_portfolios25!G986-ff_factors!$E986</f>
        <v>-4.1654999999999998E-2</v>
      </c>
      <c r="H986" s="2">
        <f>ff_portfolios25!H986-ff_factors!$E986</f>
        <v>-2.8354000000000001E-2</v>
      </c>
      <c r="I986" s="2">
        <f>ff_portfolios25!I986-ff_factors!$E986</f>
        <v>2.5500000000000002E-4</v>
      </c>
      <c r="J986" s="2">
        <f>ff_portfolios25!J986-ff_factors!$E986</f>
        <v>-2.0535000000000001E-2</v>
      </c>
      <c r="K986" s="2">
        <f>ff_portfolios25!K986-ff_factors!$E986</f>
        <v>-5.4463999999999999E-2</v>
      </c>
      <c r="L986" s="2">
        <f>ff_portfolios25!L986-ff_factors!$E986</f>
        <v>-4.5193999999999998E-2</v>
      </c>
      <c r="M986" s="2">
        <f>ff_portfolios25!M986-ff_factors!$E986</f>
        <v>-5.8664000000000001E-2</v>
      </c>
      <c r="N986" s="2">
        <f>ff_portfolios25!N986-ff_factors!$E986</f>
        <v>-2.8119999999999998E-3</v>
      </c>
      <c r="O986" s="2">
        <f>ff_portfolios25!O986-ff_factors!$E986</f>
        <v>-3.7113E-2</v>
      </c>
      <c r="P986" s="2">
        <f>ff_portfolios25!P986-ff_factors!$E986</f>
        <v>-4.9505E-2</v>
      </c>
      <c r="Q986" s="2">
        <f>ff_portfolios25!Q986-ff_factors!$E986</f>
        <v>-1.5053E-2</v>
      </c>
      <c r="R986" s="2">
        <f>ff_portfolios25!R986-ff_factors!$E986</f>
        <v>-2.3928000000000001E-2</v>
      </c>
      <c r="S986" s="2">
        <f>ff_portfolios25!S986-ff_factors!$E986</f>
        <v>-2.5037E-2</v>
      </c>
      <c r="T986" s="2">
        <f>ff_portfolios25!T986-ff_factors!$E986</f>
        <v>-3.6158999999999997E-2</v>
      </c>
      <c r="U986" s="2">
        <f>ff_portfolios25!U986-ff_factors!$E986</f>
        <v>-7.1349999999999998E-3</v>
      </c>
      <c r="V986" s="2">
        <f>ff_portfolios25!V986-ff_factors!$E986</f>
        <v>-2.7272999999999999E-2</v>
      </c>
      <c r="W986" s="2">
        <f>ff_portfolios25!W986-ff_factors!$E986</f>
        <v>-5.9205000000000001E-2</v>
      </c>
      <c r="X986" s="2">
        <f>ff_portfolios25!X986-ff_factors!$E986</f>
        <v>-3.8207999999999999E-2</v>
      </c>
      <c r="Y986" s="2">
        <f>ff_portfolios25!Y986-ff_factors!$E986</f>
        <v>-2.9190000000000001E-2</v>
      </c>
      <c r="Z986" s="2">
        <f>ff_portfolios25!Z986-ff_factors!$E986</f>
        <v>-2.9613E-2</v>
      </c>
      <c r="AA986" s="2">
        <f>ff_portfolios25!AA986-ff_factors!$E986</f>
        <v>-4.7626000000000002E-2</v>
      </c>
      <c r="AB986" s="2">
        <f>ff_portfolios25!AB986-ff_factors!$E986</f>
        <v>-4.0083000000000001E-2</v>
      </c>
    </row>
    <row r="987" spans="1:28" x14ac:dyDescent="0.2">
      <c r="A987">
        <v>20140228</v>
      </c>
      <c r="B987">
        <v>2014</v>
      </c>
      <c r="C987">
        <v>2</v>
      </c>
      <c r="D987" s="2">
        <f>ff_portfolios25!D987-ff_factors!$E987</f>
        <v>4.7564000000000002E-2</v>
      </c>
      <c r="E987" s="2">
        <f>ff_portfolios25!E987-ff_factors!$E987</f>
        <v>2.4627E-2</v>
      </c>
      <c r="F987" s="2">
        <f>ff_portfolios25!F987-ff_factors!$E987</f>
        <v>4.0542000000000002E-2</v>
      </c>
      <c r="G987" s="2">
        <f>ff_portfolios25!G987-ff_factors!$E987</f>
        <v>5.9150000000000001E-2</v>
      </c>
      <c r="H987" s="2">
        <f>ff_portfolios25!H987-ff_factors!$E987</f>
        <v>4.6635000000000003E-2</v>
      </c>
      <c r="I987" s="2">
        <f>ff_portfolios25!I987-ff_factors!$E987</f>
        <v>4.6205999999999997E-2</v>
      </c>
      <c r="J987" s="2">
        <f>ff_portfolios25!J987-ff_factors!$E987</f>
        <v>4.3434E-2</v>
      </c>
      <c r="K987" s="2">
        <f>ff_portfolios25!K987-ff_factors!$E987</f>
        <v>5.1711E-2</v>
      </c>
      <c r="L987" s="2">
        <f>ff_portfolios25!L987-ff_factors!$E987</f>
        <v>5.3155000000000001E-2</v>
      </c>
      <c r="M987" s="2">
        <f>ff_portfolios25!M987-ff_factors!$E987</f>
        <v>4.0482999999999998E-2</v>
      </c>
      <c r="N987" s="2">
        <f>ff_portfolios25!N987-ff_factors!$E987</f>
        <v>6.7476999999999995E-2</v>
      </c>
      <c r="O987" s="2">
        <f>ff_portfolios25!O987-ff_factors!$E987</f>
        <v>4.4172999999999997E-2</v>
      </c>
      <c r="P987" s="2">
        <f>ff_portfolios25!P987-ff_factors!$E987</f>
        <v>4.9098000000000003E-2</v>
      </c>
      <c r="Q987" s="2">
        <f>ff_portfolios25!Q987-ff_factors!$E987</f>
        <v>6.2247999999999998E-2</v>
      </c>
      <c r="R987" s="2">
        <f>ff_portfolios25!R987-ff_factors!$E987</f>
        <v>4.2001999999999998E-2</v>
      </c>
      <c r="S987" s="2">
        <f>ff_portfolios25!S987-ff_factors!$E987</f>
        <v>5.8990000000000001E-2</v>
      </c>
      <c r="T987" s="2">
        <f>ff_portfolios25!T987-ff_factors!$E987</f>
        <v>6.0430999999999999E-2</v>
      </c>
      <c r="U987" s="2">
        <f>ff_portfolios25!U987-ff_factors!$E987</f>
        <v>5.0014000000000003E-2</v>
      </c>
      <c r="V987" s="2">
        <f>ff_portfolios25!V987-ff_factors!$E987</f>
        <v>4.9548000000000002E-2</v>
      </c>
      <c r="W987" s="2">
        <f>ff_portfolios25!W987-ff_factors!$E987</f>
        <v>5.8763999999999997E-2</v>
      </c>
      <c r="X987" s="2">
        <f>ff_portfolios25!X987-ff_factors!$E987</f>
        <v>5.0944000000000003E-2</v>
      </c>
      <c r="Y987" s="2">
        <f>ff_portfolios25!Y987-ff_factors!$E987</f>
        <v>5.0196999999999999E-2</v>
      </c>
      <c r="Z987" s="2">
        <f>ff_portfolios25!Z987-ff_factors!$E987</f>
        <v>2.9647E-2</v>
      </c>
      <c r="AA987" s="2">
        <f>ff_portfolios25!AA987-ff_factors!$E987</f>
        <v>4.1546E-2</v>
      </c>
      <c r="AB987" s="2">
        <f>ff_portfolios25!AB987-ff_factors!$E987</f>
        <v>2.5604999999999999E-2</v>
      </c>
    </row>
    <row r="988" spans="1:28" x14ac:dyDescent="0.2">
      <c r="A988">
        <v>20140331</v>
      </c>
      <c r="B988">
        <v>2014</v>
      </c>
      <c r="C988">
        <v>3</v>
      </c>
      <c r="D988" s="2">
        <f>ff_portfolios25!D988-ff_factors!$E988</f>
        <v>-4.2111000000000003E-2</v>
      </c>
      <c r="E988" s="2">
        <f>ff_portfolios25!E988-ff_factors!$E988</f>
        <v>2.9090000000000001E-3</v>
      </c>
      <c r="F988" s="2">
        <f>ff_portfolios25!F988-ff_factors!$E988</f>
        <v>8.4010000000000005E-3</v>
      </c>
      <c r="G988" s="2">
        <f>ff_portfolios25!G988-ff_factors!$E988</f>
        <v>1.0290000000000001E-2</v>
      </c>
      <c r="H988" s="2">
        <f>ff_portfolios25!H988-ff_factors!$E988</f>
        <v>1.3679999999999999E-2</v>
      </c>
      <c r="I988" s="2">
        <f>ff_portfolios25!I988-ff_factors!$E988</f>
        <v>-3.9135999999999997E-2</v>
      </c>
      <c r="J988" s="2">
        <f>ff_portfolios25!J988-ff_factors!$E988</f>
        <v>5.1479999999999998E-3</v>
      </c>
      <c r="K988" s="2">
        <f>ff_portfolios25!K988-ff_factors!$E988</f>
        <v>1.5897000000000001E-2</v>
      </c>
      <c r="L988" s="2">
        <f>ff_portfolios25!L988-ff_factors!$E988</f>
        <v>9.2390000000000007E-3</v>
      </c>
      <c r="M988" s="2">
        <f>ff_portfolios25!M988-ff_factors!$E988</f>
        <v>2.7129E-2</v>
      </c>
      <c r="N988" s="2">
        <f>ff_portfolios25!N988-ff_factors!$E988</f>
        <v>-4.5307E-2</v>
      </c>
      <c r="O988" s="2">
        <f>ff_portfolios25!O988-ff_factors!$E988</f>
        <v>-2.918E-3</v>
      </c>
      <c r="P988" s="2">
        <f>ff_portfolios25!P988-ff_factors!$E988</f>
        <v>8.3820000000000006E-3</v>
      </c>
      <c r="Q988" s="2">
        <f>ff_portfolios25!Q988-ff_factors!$E988</f>
        <v>1.7791999999999999E-2</v>
      </c>
      <c r="R988" s="2">
        <f>ff_portfolios25!R988-ff_factors!$E988</f>
        <v>2.2682000000000001E-2</v>
      </c>
      <c r="S988" s="2">
        <f>ff_portfolios25!S988-ff_factors!$E988</f>
        <v>-2.2738000000000001E-2</v>
      </c>
      <c r="T988" s="2">
        <f>ff_portfolios25!T988-ff_factors!$E988</f>
        <v>2.7520000000000001E-3</v>
      </c>
      <c r="U988" s="2">
        <f>ff_portfolios25!U988-ff_factors!$E988</f>
        <v>2.48E-3</v>
      </c>
      <c r="V988" s="2">
        <f>ff_portfolios25!V988-ff_factors!$E988</f>
        <v>1.4557E-2</v>
      </c>
      <c r="W988" s="2">
        <f>ff_portfolios25!W988-ff_factors!$E988</f>
        <v>4.8021000000000001E-2</v>
      </c>
      <c r="X988" s="2">
        <f>ff_portfolios25!X988-ff_factors!$E988</f>
        <v>-1.0274999999999999E-2</v>
      </c>
      <c r="Y988" s="2">
        <f>ff_portfolios25!Y988-ff_factors!$E988</f>
        <v>2.4090000000000001E-3</v>
      </c>
      <c r="Z988" s="2">
        <f>ff_portfolios25!Z988-ff_factors!$E988</f>
        <v>2.4257999999999998E-2</v>
      </c>
      <c r="AA988" s="2">
        <f>ff_portfolios25!AA988-ff_factors!$E988</f>
        <v>3.5349999999999999E-2</v>
      </c>
      <c r="AB988" s="2">
        <f>ff_portfolios25!AB988-ff_factors!$E988</f>
        <v>3.7494E-2</v>
      </c>
    </row>
    <row r="989" spans="1:28" x14ac:dyDescent="0.2">
      <c r="A989">
        <v>20140430</v>
      </c>
      <c r="B989">
        <v>2014</v>
      </c>
      <c r="C989">
        <v>4</v>
      </c>
      <c r="D989" s="2">
        <f>ff_portfolios25!D989-ff_factors!$E989</f>
        <v>-8.5944000000000007E-2</v>
      </c>
      <c r="E989" s="2">
        <f>ff_portfolios25!E989-ff_factors!$E989</f>
        <v>-7.0576E-2</v>
      </c>
      <c r="F989" s="2">
        <f>ff_portfolios25!F989-ff_factors!$E989</f>
        <v>-4.8823999999999999E-2</v>
      </c>
      <c r="G989" s="2">
        <f>ff_portfolios25!G989-ff_factors!$E989</f>
        <v>-3.2487000000000002E-2</v>
      </c>
      <c r="H989" s="2">
        <f>ff_portfolios25!H989-ff_factors!$E989</f>
        <v>-4.3902999999999998E-2</v>
      </c>
      <c r="I989" s="2">
        <f>ff_portfolios25!I989-ff_factors!$E989</f>
        <v>-6.5425999999999998E-2</v>
      </c>
      <c r="J989" s="2">
        <f>ff_portfolios25!J989-ff_factors!$E989</f>
        <v>-3.1370000000000002E-2</v>
      </c>
      <c r="K989" s="2">
        <f>ff_portfolios25!K989-ff_factors!$E989</f>
        <v>-3.0367000000000002E-2</v>
      </c>
      <c r="L989" s="2">
        <f>ff_portfolios25!L989-ff_factors!$E989</f>
        <v>-1.9952000000000001E-2</v>
      </c>
      <c r="M989" s="2">
        <f>ff_portfolios25!M989-ff_factors!$E989</f>
        <v>-2.0138E-2</v>
      </c>
      <c r="N989" s="2">
        <f>ff_portfolios25!N989-ff_factors!$E989</f>
        <v>-5.4363000000000002E-2</v>
      </c>
      <c r="O989" s="2">
        <f>ff_portfolios25!O989-ff_factors!$E989</f>
        <v>-1.8046E-2</v>
      </c>
      <c r="P989" s="2">
        <f>ff_portfolios25!P989-ff_factors!$E989</f>
        <v>-1.3348E-2</v>
      </c>
      <c r="Q989" s="2">
        <f>ff_portfolios25!Q989-ff_factors!$E989</f>
        <v>-1.8402000000000002E-2</v>
      </c>
      <c r="R989" s="2">
        <f>ff_portfolios25!R989-ff_factors!$E989</f>
        <v>-2.8936E-2</v>
      </c>
      <c r="S989" s="2">
        <f>ff_portfolios25!S989-ff_factors!$E989</f>
        <v>-2.8607E-2</v>
      </c>
      <c r="T989" s="2">
        <f>ff_portfolios25!T989-ff_factors!$E989</f>
        <v>-1.1018999999999999E-2</v>
      </c>
      <c r="U989" s="2">
        <f>ff_portfolios25!U989-ff_factors!$E989</f>
        <v>3.3599999999999998E-4</v>
      </c>
      <c r="V989" s="2">
        <f>ff_portfolios25!V989-ff_factors!$E989</f>
        <v>3.1470000000000001E-3</v>
      </c>
      <c r="W989" s="2">
        <f>ff_portfolios25!W989-ff_factors!$E989</f>
        <v>-4.5999999999999999E-3</v>
      </c>
      <c r="X989" s="2">
        <f>ff_portfolios25!X989-ff_factors!$E989</f>
        <v>1.1913999999999999E-2</v>
      </c>
      <c r="Y989" s="2">
        <f>ff_portfolios25!Y989-ff_factors!$E989</f>
        <v>2.9640000000000001E-3</v>
      </c>
      <c r="Z989" s="2">
        <f>ff_portfolios25!Z989-ff_factors!$E989</f>
        <v>1.7462999999999999E-2</v>
      </c>
      <c r="AA989" s="2">
        <f>ff_portfolios25!AA989-ff_factors!$E989</f>
        <v>1.7162E-2</v>
      </c>
      <c r="AB989" s="2">
        <f>ff_portfolios25!AB989-ff_factors!$E989</f>
        <v>-1.8527999999999999E-2</v>
      </c>
    </row>
    <row r="990" spans="1:28" x14ac:dyDescent="0.2">
      <c r="A990">
        <v>20140530</v>
      </c>
      <c r="B990">
        <v>2014</v>
      </c>
      <c r="C990">
        <v>5</v>
      </c>
      <c r="D990" s="2">
        <f>ff_portfolios25!D990-ff_factors!$E990</f>
        <v>-2.3449999999999999E-2</v>
      </c>
      <c r="E990" s="2">
        <f>ff_portfolios25!E990-ff_factors!$E990</f>
        <v>-1.6487999999999999E-2</v>
      </c>
      <c r="F990" s="2">
        <f>ff_portfolios25!F990-ff_factors!$E990</f>
        <v>-7.7510000000000001E-3</v>
      </c>
      <c r="G990" s="2">
        <f>ff_portfolios25!G990-ff_factors!$E990</f>
        <v>-1.0704E-2</v>
      </c>
      <c r="H990" s="2">
        <f>ff_portfolios25!H990-ff_factors!$E990</f>
        <v>6.3199999999999997E-4</v>
      </c>
      <c r="I990" s="2">
        <f>ff_portfolios25!I990-ff_factors!$E990</f>
        <v>-4.7879999999999997E-3</v>
      </c>
      <c r="J990" s="2">
        <f>ff_portfolios25!J990-ff_factors!$E990</f>
        <v>2.5469999999999998E-3</v>
      </c>
      <c r="K990" s="2">
        <f>ff_portfolios25!K990-ff_factors!$E990</f>
        <v>1.5774E-2</v>
      </c>
      <c r="L990" s="2">
        <f>ff_portfolios25!L990-ff_factors!$E990</f>
        <v>-5.4029999999999998E-3</v>
      </c>
      <c r="M990" s="2">
        <f>ff_portfolios25!M990-ff_factors!$E990</f>
        <v>1.8500000000000001E-3</v>
      </c>
      <c r="N990" s="2">
        <f>ff_portfolios25!N990-ff_factors!$E990</f>
        <v>1.371E-2</v>
      </c>
      <c r="O990" s="2">
        <f>ff_portfolios25!O990-ff_factors!$E990</f>
        <v>3.8600000000000001E-3</v>
      </c>
      <c r="P990" s="2">
        <f>ff_portfolios25!P990-ff_factors!$E990</f>
        <v>2.5231E-2</v>
      </c>
      <c r="Q990" s="2">
        <f>ff_portfolios25!Q990-ff_factors!$E990</f>
        <v>3.7369999999999999E-3</v>
      </c>
      <c r="R990" s="2">
        <f>ff_portfolios25!R990-ff_factors!$E990</f>
        <v>1.3220000000000001E-2</v>
      </c>
      <c r="S990" s="2">
        <f>ff_portfolios25!S990-ff_factors!$E990</f>
        <v>2.8329E-2</v>
      </c>
      <c r="T990" s="2">
        <f>ff_portfolios25!T990-ff_factors!$E990</f>
        <v>1.9127999999999999E-2</v>
      </c>
      <c r="U990" s="2">
        <f>ff_portfolios25!U990-ff_factors!$E990</f>
        <v>2.6953000000000001E-2</v>
      </c>
      <c r="V990" s="2">
        <f>ff_portfolios25!V990-ff_factors!$E990</f>
        <v>1.4880000000000001E-2</v>
      </c>
      <c r="W990" s="2">
        <f>ff_portfolios25!W990-ff_factors!$E990</f>
        <v>1.5384999999999999E-2</v>
      </c>
      <c r="X990" s="2">
        <f>ff_portfolios25!X990-ff_factors!$E990</f>
        <v>2.9849000000000001E-2</v>
      </c>
      <c r="Y990" s="2">
        <f>ff_portfolios25!Y990-ff_factors!$E990</f>
        <v>1.5125E-2</v>
      </c>
      <c r="Z990" s="2">
        <f>ff_portfolios25!Z990-ff_factors!$E990</f>
        <v>2.3519000000000002E-2</v>
      </c>
      <c r="AA990" s="2">
        <f>ff_portfolios25!AA990-ff_factors!$E990</f>
        <v>1.6313000000000001E-2</v>
      </c>
      <c r="AB990" s="2">
        <f>ff_portfolios25!AB990-ff_factors!$E990</f>
        <v>1.4408000000000001E-2</v>
      </c>
    </row>
    <row r="991" spans="1:28" x14ac:dyDescent="0.2">
      <c r="A991">
        <v>20140630</v>
      </c>
      <c r="B991">
        <v>2014</v>
      </c>
      <c r="C991">
        <v>6</v>
      </c>
      <c r="D991" s="2">
        <f>ff_portfolios25!D991-ff_factors!$E991</f>
        <v>6.2675999999999996E-2</v>
      </c>
      <c r="E991" s="2">
        <f>ff_portfolios25!E991-ff_factors!$E991</f>
        <v>0.110443</v>
      </c>
      <c r="F991" s="2">
        <f>ff_portfolios25!F991-ff_factors!$E991</f>
        <v>3.5242999999999997E-2</v>
      </c>
      <c r="G991" s="2">
        <f>ff_portfolios25!G991-ff_factors!$E991</f>
        <v>4.2139000000000003E-2</v>
      </c>
      <c r="H991" s="2">
        <f>ff_portfolios25!H991-ff_factors!$E991</f>
        <v>3.8047999999999998E-2</v>
      </c>
      <c r="I991" s="2">
        <f>ff_portfolios25!I991-ff_factors!$E991</f>
        <v>7.5813000000000005E-2</v>
      </c>
      <c r="J991" s="2">
        <f>ff_portfolios25!J991-ff_factors!$E991</f>
        <v>7.1517999999999998E-2</v>
      </c>
      <c r="K991" s="2">
        <f>ff_portfolios25!K991-ff_factors!$E991</f>
        <v>5.3238000000000001E-2</v>
      </c>
      <c r="L991" s="2">
        <f>ff_portfolios25!L991-ff_factors!$E991</f>
        <v>4.9521999999999997E-2</v>
      </c>
      <c r="M991" s="2">
        <f>ff_portfolios25!M991-ff_factors!$E991</f>
        <v>5.9408000000000002E-2</v>
      </c>
      <c r="N991" s="2">
        <f>ff_portfolios25!N991-ff_factors!$E991</f>
        <v>5.9156E-2</v>
      </c>
      <c r="O991" s="2">
        <f>ff_portfolios25!O991-ff_factors!$E991</f>
        <v>5.1686999999999997E-2</v>
      </c>
      <c r="P991" s="2">
        <f>ff_portfolios25!P991-ff_factors!$E991</f>
        <v>4.0846E-2</v>
      </c>
      <c r="Q991" s="2">
        <f>ff_portfolios25!Q991-ff_factors!$E991</f>
        <v>4.4509E-2</v>
      </c>
      <c r="R991" s="2">
        <f>ff_portfolios25!R991-ff_factors!$E991</f>
        <v>5.4408999999999999E-2</v>
      </c>
      <c r="S991" s="2">
        <f>ff_portfolios25!S991-ff_factors!$E991</f>
        <v>4.4574000000000003E-2</v>
      </c>
      <c r="T991" s="2">
        <f>ff_portfolios25!T991-ff_factors!$E991</f>
        <v>3.7860999999999999E-2</v>
      </c>
      <c r="U991" s="2">
        <f>ff_portfolios25!U991-ff_factors!$E991</f>
        <v>3.4284000000000002E-2</v>
      </c>
      <c r="V991" s="2">
        <f>ff_portfolios25!V991-ff_factors!$E991</f>
        <v>4.1429000000000001E-2</v>
      </c>
      <c r="W991" s="2">
        <f>ff_portfolios25!W991-ff_factors!$E991</f>
        <v>3.7363E-2</v>
      </c>
      <c r="X991" s="2">
        <f>ff_portfolios25!X991-ff_factors!$E991</f>
        <v>1.4331999999999999E-2</v>
      </c>
      <c r="Y991" s="2">
        <f>ff_portfolios25!Y991-ff_factors!$E991</f>
        <v>9.5420000000000001E-3</v>
      </c>
      <c r="Z991" s="2">
        <f>ff_portfolios25!Z991-ff_factors!$E991</f>
        <v>2.3784E-2</v>
      </c>
      <c r="AA991" s="2">
        <f>ff_portfolios25!AA991-ff_factors!$E991</f>
        <v>3.3488999999999998E-2</v>
      </c>
      <c r="AB991" s="2">
        <f>ff_portfolios25!AB991-ff_factors!$E991</f>
        <v>3.3418000000000003E-2</v>
      </c>
    </row>
    <row r="992" spans="1:28" x14ac:dyDescent="0.2">
      <c r="A992">
        <v>20140731</v>
      </c>
      <c r="B992">
        <v>2014</v>
      </c>
      <c r="C992">
        <v>7</v>
      </c>
      <c r="D992" s="2">
        <f>ff_portfolios25!D992-ff_factors!$E992</f>
        <v>-9.0208999999999998E-2</v>
      </c>
      <c r="E992" s="2">
        <f>ff_portfolios25!E992-ff_factors!$E992</f>
        <v>-7.782E-2</v>
      </c>
      <c r="F992" s="2">
        <f>ff_portfolios25!F992-ff_factors!$E992</f>
        <v>-5.9278999999999998E-2</v>
      </c>
      <c r="G992" s="2">
        <f>ff_portfolios25!G992-ff_factors!$E992</f>
        <v>-4.5430999999999999E-2</v>
      </c>
      <c r="H992" s="2">
        <f>ff_portfolios25!H992-ff_factors!$E992</f>
        <v>-4.8854000000000002E-2</v>
      </c>
      <c r="I992" s="2">
        <f>ff_portfolios25!I992-ff_factors!$E992</f>
        <v>-5.4473000000000001E-2</v>
      </c>
      <c r="J992" s="2">
        <f>ff_portfolios25!J992-ff_factors!$E992</f>
        <v>-6.5293000000000004E-2</v>
      </c>
      <c r="K992" s="2">
        <f>ff_portfolios25!K992-ff_factors!$E992</f>
        <v>-5.1860999999999997E-2</v>
      </c>
      <c r="L992" s="2">
        <f>ff_portfolios25!L992-ff_factors!$E992</f>
        <v>-6.2398000000000002E-2</v>
      </c>
      <c r="M992" s="2">
        <f>ff_portfolios25!M992-ff_factors!$E992</f>
        <v>-6.1066000000000002E-2</v>
      </c>
      <c r="N992" s="2">
        <f>ff_portfolios25!N992-ff_factors!$E992</f>
        <v>-5.4924000000000001E-2</v>
      </c>
      <c r="O992" s="2">
        <f>ff_portfolios25!O992-ff_factors!$E992</f>
        <v>-5.7640999999999998E-2</v>
      </c>
      <c r="P992" s="2">
        <f>ff_portfolios25!P992-ff_factors!$E992</f>
        <v>-6.3505000000000006E-2</v>
      </c>
      <c r="Q992" s="2">
        <f>ff_portfolios25!Q992-ff_factors!$E992</f>
        <v>-6.0817000000000003E-2</v>
      </c>
      <c r="R992" s="2">
        <f>ff_portfolios25!R992-ff_factors!$E992</f>
        <v>-3.7142000000000001E-2</v>
      </c>
      <c r="S992" s="2">
        <f>ff_portfolios25!S992-ff_factors!$E992</f>
        <v>-2.1375999999999999E-2</v>
      </c>
      <c r="T992" s="2">
        <f>ff_portfolios25!T992-ff_factors!$E992</f>
        <v>-4.3836E-2</v>
      </c>
      <c r="U992" s="2">
        <f>ff_portfolios25!U992-ff_factors!$E992</f>
        <v>-3.6271999999999999E-2</v>
      </c>
      <c r="V992" s="2">
        <f>ff_portfolios25!V992-ff_factors!$E992</f>
        <v>-3.3037999999999998E-2</v>
      </c>
      <c r="W992" s="2">
        <f>ff_portfolios25!W992-ff_factors!$E992</f>
        <v>-3.6901000000000003E-2</v>
      </c>
      <c r="X992" s="2">
        <f>ff_portfolios25!X992-ff_factors!$E992</f>
        <v>-1.677E-2</v>
      </c>
      <c r="Y992" s="2">
        <f>ff_portfolios25!Y992-ff_factors!$E992</f>
        <v>-9.9979999999999999E-3</v>
      </c>
      <c r="Z992" s="2">
        <f>ff_portfolios25!Z992-ff_factors!$E992</f>
        <v>-3.4220000000000001E-3</v>
      </c>
      <c r="AA992" s="2">
        <f>ff_portfolios25!AA992-ff_factors!$E992</f>
        <v>-1.8724000000000001E-2</v>
      </c>
      <c r="AB992" s="2">
        <f>ff_portfolios25!AB992-ff_factors!$E992</f>
        <v>-1.6254999999999999E-2</v>
      </c>
    </row>
    <row r="993" spans="1:28" x14ac:dyDescent="0.2">
      <c r="A993">
        <v>20140829</v>
      </c>
      <c r="B993">
        <v>2014</v>
      </c>
      <c r="C993">
        <v>8</v>
      </c>
      <c r="D993" s="2">
        <f>ff_portfolios25!D993-ff_factors!$E993</f>
        <v>2.7484999999999999E-2</v>
      </c>
      <c r="E993" s="2">
        <f>ff_portfolios25!E993-ff_factors!$E993</f>
        <v>4.58E-2</v>
      </c>
      <c r="F993" s="2">
        <f>ff_portfolios25!F993-ff_factors!$E993</f>
        <v>2.6679999999999999E-2</v>
      </c>
      <c r="G993" s="2">
        <f>ff_portfolios25!G993-ff_factors!$E993</f>
        <v>4.7144999999999999E-2</v>
      </c>
      <c r="H993" s="2">
        <f>ff_portfolios25!H993-ff_factors!$E993</f>
        <v>3.3991E-2</v>
      </c>
      <c r="I993" s="2">
        <f>ff_portfolios25!I993-ff_factors!$E993</f>
        <v>5.7526000000000001E-2</v>
      </c>
      <c r="J993" s="2">
        <f>ff_portfolios25!J993-ff_factors!$E993</f>
        <v>5.0200000000000002E-2</v>
      </c>
      <c r="K993" s="2">
        <f>ff_portfolios25!K993-ff_factors!$E993</f>
        <v>3.9550000000000002E-2</v>
      </c>
      <c r="L993" s="2">
        <f>ff_portfolios25!L993-ff_factors!$E993</f>
        <v>4.6260999999999997E-2</v>
      </c>
      <c r="M993" s="2">
        <f>ff_portfolios25!M993-ff_factors!$E993</f>
        <v>5.4758000000000001E-2</v>
      </c>
      <c r="N993" s="2">
        <f>ff_portfolios25!N993-ff_factors!$E993</f>
        <v>5.8604999999999997E-2</v>
      </c>
      <c r="O993" s="2">
        <f>ff_portfolios25!O993-ff_factors!$E993</f>
        <v>4.3804000000000003E-2</v>
      </c>
      <c r="P993" s="2">
        <f>ff_portfolios25!P993-ff_factors!$E993</f>
        <v>4.9928E-2</v>
      </c>
      <c r="Q993" s="2">
        <f>ff_portfolios25!Q993-ff_factors!$E993</f>
        <v>5.2904E-2</v>
      </c>
      <c r="R993" s="2">
        <f>ff_portfolios25!R993-ff_factors!$E993</f>
        <v>4.1683999999999999E-2</v>
      </c>
      <c r="S993" s="2">
        <f>ff_portfolios25!S993-ff_factors!$E993</f>
        <v>5.9662E-2</v>
      </c>
      <c r="T993" s="2">
        <f>ff_portfolios25!T993-ff_factors!$E993</f>
        <v>4.8884999999999998E-2</v>
      </c>
      <c r="U993" s="2">
        <f>ff_portfolios25!U993-ff_factors!$E993</f>
        <v>5.491E-2</v>
      </c>
      <c r="V993" s="2">
        <f>ff_portfolios25!V993-ff_factors!$E993</f>
        <v>3.6891E-2</v>
      </c>
      <c r="W993" s="2">
        <f>ff_portfolios25!W993-ff_factors!$E993</f>
        <v>4.6011999999999997E-2</v>
      </c>
      <c r="X993" s="2">
        <f>ff_portfolios25!X993-ff_factors!$E993</f>
        <v>4.9510999999999999E-2</v>
      </c>
      <c r="Y993" s="2">
        <f>ff_portfolios25!Y993-ff_factors!$E993</f>
        <v>4.7452000000000001E-2</v>
      </c>
      <c r="Z993" s="2">
        <f>ff_portfolios25!Z993-ff_factors!$E993</f>
        <v>2.2693000000000001E-2</v>
      </c>
      <c r="AA993" s="2">
        <f>ff_portfolios25!AA993-ff_factors!$E993</f>
        <v>1.8450999999999999E-2</v>
      </c>
      <c r="AB993" s="2">
        <f>ff_portfolios25!AB993-ff_factors!$E993</f>
        <v>5.1372000000000001E-2</v>
      </c>
    </row>
    <row r="994" spans="1:28" x14ac:dyDescent="0.2">
      <c r="A994">
        <v>20140930</v>
      </c>
      <c r="B994">
        <v>2014</v>
      </c>
      <c r="C994">
        <v>9</v>
      </c>
      <c r="D994" s="2">
        <f>ff_portfolios25!D994-ff_factors!$E994</f>
        <v>-7.1374999999999994E-2</v>
      </c>
      <c r="E994" s="2">
        <f>ff_portfolios25!E994-ff_factors!$E994</f>
        <v>-4.7593000000000003E-2</v>
      </c>
      <c r="F994" s="2">
        <f>ff_portfolios25!F994-ff_factors!$E994</f>
        <v>-7.1053000000000005E-2</v>
      </c>
      <c r="G994" s="2">
        <f>ff_portfolios25!G994-ff_factors!$E994</f>
        <v>-5.3897E-2</v>
      </c>
      <c r="H994" s="2">
        <f>ff_portfolios25!H994-ff_factors!$E994</f>
        <v>-5.8861999999999998E-2</v>
      </c>
      <c r="I994" s="2">
        <f>ff_portfolios25!I994-ff_factors!$E994</f>
        <v>-4.5815000000000002E-2</v>
      </c>
      <c r="J994" s="2">
        <f>ff_portfolios25!J994-ff_factors!$E994</f>
        <v>-4.861E-2</v>
      </c>
      <c r="K994" s="2">
        <f>ff_portfolios25!K994-ff_factors!$E994</f>
        <v>-5.2086E-2</v>
      </c>
      <c r="L994" s="2">
        <f>ff_portfolios25!L994-ff_factors!$E994</f>
        <v>-5.2414000000000002E-2</v>
      </c>
      <c r="M994" s="2">
        <f>ff_portfolios25!M994-ff_factors!$E994</f>
        <v>-8.3405000000000007E-2</v>
      </c>
      <c r="N994" s="2">
        <f>ff_portfolios25!N994-ff_factors!$E994</f>
        <v>-2.8981E-2</v>
      </c>
      <c r="O994" s="2">
        <f>ff_portfolios25!O994-ff_factors!$E994</f>
        <v>-6.2440000000000002E-2</v>
      </c>
      <c r="P994" s="2">
        <f>ff_portfolios25!P994-ff_factors!$E994</f>
        <v>-4.6543000000000001E-2</v>
      </c>
      <c r="Q994" s="2">
        <f>ff_portfolios25!Q994-ff_factors!$E994</f>
        <v>-6.4838000000000007E-2</v>
      </c>
      <c r="R994" s="2">
        <f>ff_portfolios25!R994-ff_factors!$E994</f>
        <v>-7.0788000000000004E-2</v>
      </c>
      <c r="S994" s="2">
        <f>ff_portfolios25!S994-ff_factors!$E994</f>
        <v>-3.0023999999999999E-2</v>
      </c>
      <c r="T994" s="2">
        <f>ff_portfolios25!T994-ff_factors!$E994</f>
        <v>-3.5944999999999998E-2</v>
      </c>
      <c r="U994" s="2">
        <f>ff_portfolios25!U994-ff_factors!$E994</f>
        <v>-4.8591000000000002E-2</v>
      </c>
      <c r="V994" s="2">
        <f>ff_portfolios25!V994-ff_factors!$E994</f>
        <v>-3.7948000000000003E-2</v>
      </c>
      <c r="W994" s="2">
        <f>ff_portfolios25!W994-ff_factors!$E994</f>
        <v>-4.8272000000000002E-2</v>
      </c>
      <c r="X994" s="2">
        <f>ff_portfolios25!X994-ff_factors!$E994</f>
        <v>-5.254E-3</v>
      </c>
      <c r="Y994" s="2">
        <f>ff_portfolios25!Y994-ff_factors!$E994</f>
        <v>-8.1630000000000001E-3</v>
      </c>
      <c r="Z994" s="2">
        <f>ff_portfolios25!Z994-ff_factors!$E994</f>
        <v>-1.3535E-2</v>
      </c>
      <c r="AA994" s="2">
        <f>ff_portfolios25!AA994-ff_factors!$E994</f>
        <v>-3.9203000000000002E-2</v>
      </c>
      <c r="AB994" s="2">
        <f>ff_portfolios25!AB994-ff_factors!$E994</f>
        <v>-3.552E-3</v>
      </c>
    </row>
    <row r="995" spans="1:28" x14ac:dyDescent="0.2">
      <c r="A995">
        <v>20141031</v>
      </c>
      <c r="B995">
        <v>2014</v>
      </c>
      <c r="C995">
        <v>10</v>
      </c>
      <c r="D995" s="2">
        <f>ff_portfolios25!D995-ff_factors!$E995</f>
        <v>5.8339000000000002E-2</v>
      </c>
      <c r="E995" s="2">
        <f>ff_portfolios25!E995-ff_factors!$E995</f>
        <v>6.6243999999999997E-2</v>
      </c>
      <c r="F995" s="2">
        <f>ff_portfolios25!F995-ff_factors!$E995</f>
        <v>6.3002000000000002E-2</v>
      </c>
      <c r="G995" s="2">
        <f>ff_portfolios25!G995-ff_factors!$E995</f>
        <v>7.5017E-2</v>
      </c>
      <c r="H995" s="2">
        <f>ff_portfolios25!H995-ff_factors!$E995</f>
        <v>4.2081E-2</v>
      </c>
      <c r="I995" s="2">
        <f>ff_portfolios25!I995-ff_factors!$E995</f>
        <v>8.2714999999999997E-2</v>
      </c>
      <c r="J995" s="2">
        <f>ff_portfolios25!J995-ff_factors!$E995</f>
        <v>6.6194000000000003E-2</v>
      </c>
      <c r="K995" s="2">
        <f>ff_portfolios25!K995-ff_factors!$E995</f>
        <v>6.2784000000000006E-2</v>
      </c>
      <c r="L995" s="2">
        <f>ff_portfolios25!L995-ff_factors!$E995</f>
        <v>5.3463999999999998E-2</v>
      </c>
      <c r="M995" s="2">
        <f>ff_portfolios25!M995-ff_factors!$E995</f>
        <v>4.3783000000000002E-2</v>
      </c>
      <c r="N995" s="2">
        <f>ff_portfolios25!N995-ff_factors!$E995</f>
        <v>6.3725000000000004E-2</v>
      </c>
      <c r="O995" s="2">
        <f>ff_portfolios25!O995-ff_factors!$E995</f>
        <v>5.4805E-2</v>
      </c>
      <c r="P995" s="2">
        <f>ff_portfolios25!P995-ff_factors!$E995</f>
        <v>3.7404E-2</v>
      </c>
      <c r="Q995" s="2">
        <f>ff_portfolios25!Q995-ff_factors!$E995</f>
        <v>4.5059000000000002E-2</v>
      </c>
      <c r="R995" s="2">
        <f>ff_portfolios25!R995-ff_factors!$E995</f>
        <v>3.7388999999999999E-2</v>
      </c>
      <c r="S995" s="2">
        <f>ff_portfolios25!S995-ff_factors!$E995</f>
        <v>3.8508000000000001E-2</v>
      </c>
      <c r="T995" s="2">
        <f>ff_portfolios25!T995-ff_factors!$E995</f>
        <v>6.3119999999999999E-3</v>
      </c>
      <c r="U995" s="2">
        <f>ff_portfolios25!U995-ff_factors!$E995</f>
        <v>3.3198999999999999E-2</v>
      </c>
      <c r="V995" s="2">
        <f>ff_portfolios25!V995-ff_factors!$E995</f>
        <v>3.9896000000000001E-2</v>
      </c>
      <c r="W995" s="2">
        <f>ff_portfolios25!W995-ff_factors!$E995</f>
        <v>-1.1429E-2</v>
      </c>
      <c r="X995" s="2">
        <f>ff_portfolios25!X995-ff_factors!$E995</f>
        <v>2.2176999999999999E-2</v>
      </c>
      <c r="Y995" s="2">
        <f>ff_portfolios25!Y995-ff_factors!$E995</f>
        <v>2.7112000000000001E-2</v>
      </c>
      <c r="Z995" s="2">
        <f>ff_portfolios25!Z995-ff_factors!$E995</f>
        <v>2.2121999999999999E-2</v>
      </c>
      <c r="AA995" s="2">
        <f>ff_portfolios25!AA995-ff_factors!$E995</f>
        <v>-2.2399999999999998E-3</v>
      </c>
      <c r="AB995" s="2">
        <f>ff_portfolios25!AB995-ff_factors!$E995</f>
        <v>1.5153E-2</v>
      </c>
    </row>
    <row r="996" spans="1:28" x14ac:dyDescent="0.2">
      <c r="A996">
        <v>20141128</v>
      </c>
      <c r="B996">
        <v>2014</v>
      </c>
      <c r="C996">
        <v>11</v>
      </c>
      <c r="D996" s="2">
        <f>ff_portfolios25!D996-ff_factors!$E996</f>
        <v>1.108E-3</v>
      </c>
      <c r="E996" s="2">
        <f>ff_portfolios25!E996-ff_factors!$E996</f>
        <v>2.0890000000000001E-3</v>
      </c>
      <c r="F996" s="2">
        <f>ff_portfolios25!F996-ff_factors!$E996</f>
        <v>-1.1937E-2</v>
      </c>
      <c r="G996" s="2">
        <f>ff_portfolios25!G996-ff_factors!$E996</f>
        <v>-1.3539000000000001E-2</v>
      </c>
      <c r="H996" s="2">
        <f>ff_portfolios25!H996-ff_factors!$E996</f>
        <v>-2.648E-2</v>
      </c>
      <c r="I996" s="2">
        <f>ff_portfolios25!I996-ff_factors!$E996</f>
        <v>1.4964E-2</v>
      </c>
      <c r="J996" s="2">
        <f>ff_portfolios25!J996-ff_factors!$E996</f>
        <v>-5.6979999999999999E-3</v>
      </c>
      <c r="K996" s="2">
        <f>ff_portfolios25!K996-ff_factors!$E996</f>
        <v>-6.4530000000000004E-3</v>
      </c>
      <c r="L996" s="2">
        <f>ff_portfolios25!L996-ff_factors!$E996</f>
        <v>-6.7369999999999999E-3</v>
      </c>
      <c r="M996" s="2">
        <f>ff_portfolios25!M996-ff_factors!$E996</f>
        <v>-8.0870000000000004E-3</v>
      </c>
      <c r="N996" s="2">
        <f>ff_portfolios25!N996-ff_factors!$E996</f>
        <v>2.4747000000000002E-2</v>
      </c>
      <c r="O996" s="2">
        <f>ff_portfolios25!O996-ff_factors!$E996</f>
        <v>2.6268E-2</v>
      </c>
      <c r="P996" s="2">
        <f>ff_portfolios25!P996-ff_factors!$E996</f>
        <v>-2.1919999999999999E-3</v>
      </c>
      <c r="Q996" s="2">
        <f>ff_portfolios25!Q996-ff_factors!$E996</f>
        <v>5.104E-3</v>
      </c>
      <c r="R996" s="2">
        <f>ff_portfolios25!R996-ff_factors!$E996</f>
        <v>-4.411E-3</v>
      </c>
      <c r="S996" s="2">
        <f>ff_portfolios25!S996-ff_factors!$E996</f>
        <v>3.5076999999999997E-2</v>
      </c>
      <c r="T996" s="2">
        <f>ff_portfolios25!T996-ff_factors!$E996</f>
        <v>2.826E-2</v>
      </c>
      <c r="U996" s="2">
        <f>ff_portfolios25!U996-ff_factors!$E996</f>
        <v>3.2194E-2</v>
      </c>
      <c r="V996" s="2">
        <f>ff_portfolios25!V996-ff_factors!$E996</f>
        <v>1.1852E-2</v>
      </c>
      <c r="W996" s="2">
        <f>ff_portfolios25!W996-ff_factors!$E996</f>
        <v>-2.2338E-2</v>
      </c>
      <c r="X996" s="2">
        <f>ff_portfolios25!X996-ff_factors!$E996</f>
        <v>3.5215999999999997E-2</v>
      </c>
      <c r="Y996" s="2">
        <f>ff_portfolios25!Y996-ff_factors!$E996</f>
        <v>3.7566000000000002E-2</v>
      </c>
      <c r="Z996" s="2">
        <f>ff_portfolios25!Z996-ff_factors!$E996</f>
        <v>3.1188E-2</v>
      </c>
      <c r="AA996" s="2">
        <f>ff_portfolios25!AA996-ff_factors!$E996</f>
        <v>6.8800000000000003E-4</v>
      </c>
      <c r="AB996" s="2">
        <f>ff_portfolios25!AB996-ff_factors!$E996</f>
        <v>1.1231E-2</v>
      </c>
    </row>
    <row r="997" spans="1:28" x14ac:dyDescent="0.2">
      <c r="A997">
        <v>20141231</v>
      </c>
      <c r="B997">
        <v>2014</v>
      </c>
      <c r="C997">
        <v>12</v>
      </c>
      <c r="D997" s="2">
        <f>ff_portfolios25!D997-ff_factors!$E997</f>
        <v>5.8651000000000002E-2</v>
      </c>
      <c r="E997" s="2">
        <f>ff_portfolios25!E997-ff_factors!$E997</f>
        <v>7.2281999999999999E-2</v>
      </c>
      <c r="F997" s="2">
        <f>ff_portfolios25!F997-ff_factors!$E997</f>
        <v>5.4448999999999997E-2</v>
      </c>
      <c r="G997" s="2">
        <f>ff_portfolios25!G997-ff_factors!$E997</f>
        <v>4.4443999999999997E-2</v>
      </c>
      <c r="H997" s="2">
        <f>ff_portfolios25!H997-ff_factors!$E997</f>
        <v>3.5006000000000002E-2</v>
      </c>
      <c r="I997" s="2">
        <f>ff_portfolios25!I997-ff_factors!$E997</f>
        <v>1.0212000000000001E-2</v>
      </c>
      <c r="J997" s="2">
        <f>ff_portfolios25!J997-ff_factors!$E997</f>
        <v>3.8135000000000002E-2</v>
      </c>
      <c r="K997" s="2">
        <f>ff_portfolios25!K997-ff_factors!$E997</f>
        <v>2.7385E-2</v>
      </c>
      <c r="L997" s="2">
        <f>ff_portfolios25!L997-ff_factors!$E997</f>
        <v>2.9930999999999999E-2</v>
      </c>
      <c r="M997" s="2">
        <f>ff_portfolios25!M997-ff_factors!$E997</f>
        <v>2.5117E-2</v>
      </c>
      <c r="N997" s="2">
        <f>ff_portfolios25!N997-ff_factors!$E997</f>
        <v>1.7378999999999999E-2</v>
      </c>
      <c r="O997" s="2">
        <f>ff_portfolios25!O997-ff_factors!$E997</f>
        <v>7.5459999999999998E-3</v>
      </c>
      <c r="P997" s="2">
        <f>ff_portfolios25!P997-ff_factors!$E997</f>
        <v>5.6899999999999997E-3</v>
      </c>
      <c r="Q997" s="2">
        <f>ff_portfolios25!Q997-ff_factors!$E997</f>
        <v>1.9613999999999999E-2</v>
      </c>
      <c r="R997" s="2">
        <f>ff_portfolios25!R997-ff_factors!$E997</f>
        <v>-2.251E-3</v>
      </c>
      <c r="S997" s="2">
        <f>ff_portfolios25!S997-ff_factors!$E997</f>
        <v>3.9789999999999999E-3</v>
      </c>
      <c r="T997" s="2">
        <f>ff_portfolios25!T997-ff_factors!$E997</f>
        <v>3.3800000000000002E-3</v>
      </c>
      <c r="U997" s="2">
        <f>ff_portfolios25!U997-ff_factors!$E997</f>
        <v>8.3529999999999993E-3</v>
      </c>
      <c r="V997" s="2">
        <f>ff_portfolios25!V997-ff_factors!$E997</f>
        <v>7.9989999999999992E-3</v>
      </c>
      <c r="W997" s="2">
        <f>ff_portfolios25!W997-ff_factors!$E997</f>
        <v>2.777E-3</v>
      </c>
      <c r="X997" s="2">
        <f>ff_portfolios25!X997-ff_factors!$E997</f>
        <v>-1.3694E-2</v>
      </c>
      <c r="Y997" s="2">
        <f>ff_portfolios25!Y997-ff_factors!$E997</f>
        <v>-1.0397E-2</v>
      </c>
      <c r="Z997" s="2">
        <f>ff_portfolios25!Z997-ff_factors!$E997</f>
        <v>-4.006E-3</v>
      </c>
      <c r="AA997" s="2">
        <f>ff_portfolios25!AA997-ff_factors!$E997</f>
        <v>2.3839999999999998E-3</v>
      </c>
      <c r="AB997" s="2">
        <f>ff_portfolios25!AB997-ff_factors!$E997</f>
        <v>2.4500000000000001E-2</v>
      </c>
    </row>
    <row r="998" spans="1:28" x14ac:dyDescent="0.2">
      <c r="A998">
        <v>20150130</v>
      </c>
      <c r="B998">
        <v>2015</v>
      </c>
      <c r="C998">
        <v>1</v>
      </c>
      <c r="D998" s="2">
        <f>ff_portfolios25!D998-ff_factors!$E998</f>
        <v>-3.5604999999999998E-2</v>
      </c>
      <c r="E998" s="2">
        <f>ff_portfolios25!E998-ff_factors!$E998</f>
        <v>-6.5956000000000001E-2</v>
      </c>
      <c r="F998" s="2">
        <f>ff_portfolios25!F998-ff_factors!$E998</f>
        <v>-4.6031000000000002E-2</v>
      </c>
      <c r="G998" s="2">
        <f>ff_portfolios25!G998-ff_factors!$E998</f>
        <v>-4.8696999999999997E-2</v>
      </c>
      <c r="H998" s="2">
        <f>ff_portfolios25!H998-ff_factors!$E998</f>
        <v>-5.0555000000000003E-2</v>
      </c>
      <c r="I998" s="2">
        <f>ff_portfolios25!I998-ff_factors!$E998</f>
        <v>-1.7208000000000001E-2</v>
      </c>
      <c r="J998" s="2">
        <f>ff_portfolios25!J998-ff_factors!$E998</f>
        <v>-4.1117000000000001E-2</v>
      </c>
      <c r="K998" s="2">
        <f>ff_portfolios25!K998-ff_factors!$E998</f>
        <v>-4.4434000000000001E-2</v>
      </c>
      <c r="L998" s="2">
        <f>ff_portfolios25!L998-ff_factors!$E998</f>
        <v>-5.0823E-2</v>
      </c>
      <c r="M998" s="2">
        <f>ff_portfolios25!M998-ff_factors!$E998</f>
        <v>-6.6151000000000001E-2</v>
      </c>
      <c r="N998" s="2">
        <f>ff_portfolios25!N998-ff_factors!$E998</f>
        <v>-8.9409999999999993E-3</v>
      </c>
      <c r="O998" s="2">
        <f>ff_portfolios25!O998-ff_factors!$E998</f>
        <v>-1.1507E-2</v>
      </c>
      <c r="P998" s="2">
        <f>ff_portfolios25!P998-ff_factors!$E998</f>
        <v>-4.0481999999999997E-2</v>
      </c>
      <c r="Q998" s="2">
        <f>ff_portfolios25!Q998-ff_factors!$E998</f>
        <v>-4.7404000000000002E-2</v>
      </c>
      <c r="R998" s="2">
        <f>ff_portfolios25!R998-ff_factors!$E998</f>
        <v>-4.8842999999999998E-2</v>
      </c>
      <c r="S998" s="2">
        <f>ff_portfolios25!S998-ff_factors!$E998</f>
        <v>-1.3478E-2</v>
      </c>
      <c r="T998" s="2">
        <f>ff_portfolios25!T998-ff_factors!$E998</f>
        <v>-2.2703999999999998E-2</v>
      </c>
      <c r="U998" s="2">
        <f>ff_portfolios25!U998-ff_factors!$E998</f>
        <v>-9.9919999999999991E-3</v>
      </c>
      <c r="V998" s="2">
        <f>ff_portfolios25!V998-ff_factors!$E998</f>
        <v>-1.5696000000000002E-2</v>
      </c>
      <c r="W998" s="2">
        <f>ff_portfolios25!W998-ff_factors!$E998</f>
        <v>-3.9805E-2</v>
      </c>
      <c r="X998" s="2">
        <f>ff_portfolios25!X998-ff_factors!$E998</f>
        <v>-8.1370000000000001E-3</v>
      </c>
      <c r="Y998" s="2">
        <f>ff_portfolios25!Y998-ff_factors!$E998</f>
        <v>-2.7358E-2</v>
      </c>
      <c r="Z998" s="2">
        <f>ff_portfolios25!Z998-ff_factors!$E998</f>
        <v>-4.1647000000000003E-2</v>
      </c>
      <c r="AA998" s="2">
        <f>ff_portfolios25!AA998-ff_factors!$E998</f>
        <v>-3.9123999999999999E-2</v>
      </c>
      <c r="AB998" s="2">
        <f>ff_portfolios25!AB998-ff_factors!$E998</f>
        <v>-7.5465000000000004E-2</v>
      </c>
    </row>
    <row r="999" spans="1:28" x14ac:dyDescent="0.2">
      <c r="A999">
        <v>20150227</v>
      </c>
      <c r="B999">
        <v>2015</v>
      </c>
      <c r="C999">
        <v>2</v>
      </c>
      <c r="D999" s="2">
        <f>ff_portfolios25!D999-ff_factors!$E999</f>
        <v>4.3744999999999999E-2</v>
      </c>
      <c r="E999" s="2">
        <f>ff_portfolios25!E999-ff_factors!$E999</f>
        <v>6.1702E-2</v>
      </c>
      <c r="F999" s="2">
        <f>ff_portfolios25!F999-ff_factors!$E999</f>
        <v>6.2741000000000005E-2</v>
      </c>
      <c r="G999" s="2">
        <f>ff_portfolios25!G999-ff_factors!$E999</f>
        <v>5.3539000000000003E-2</v>
      </c>
      <c r="H999" s="2">
        <f>ff_portfolios25!H999-ff_factors!$E999</f>
        <v>5.6451000000000001E-2</v>
      </c>
      <c r="I999" s="2">
        <f>ff_portfolios25!I999-ff_factors!$E999</f>
        <v>7.0678000000000005E-2</v>
      </c>
      <c r="J999" s="2">
        <f>ff_portfolios25!J999-ff_factors!$E999</f>
        <v>8.7356000000000003E-2</v>
      </c>
      <c r="K999" s="2">
        <f>ff_portfolios25!K999-ff_factors!$E999</f>
        <v>6.3087000000000004E-2</v>
      </c>
      <c r="L999" s="2">
        <f>ff_portfolios25!L999-ff_factors!$E999</f>
        <v>5.8749000000000003E-2</v>
      </c>
      <c r="M999" s="2">
        <f>ff_portfolios25!M999-ff_factors!$E999</f>
        <v>4.8106000000000003E-2</v>
      </c>
      <c r="N999" s="2">
        <f>ff_portfolios25!N999-ff_factors!$E999</f>
        <v>7.9744999999999996E-2</v>
      </c>
      <c r="O999" s="2">
        <f>ff_portfolios25!O999-ff_factors!$E999</f>
        <v>7.9590999999999995E-2</v>
      </c>
      <c r="P999" s="2">
        <f>ff_portfolios25!P999-ff_factors!$E999</f>
        <v>8.2177E-2</v>
      </c>
      <c r="Q999" s="2">
        <f>ff_portfolios25!Q999-ff_factors!$E999</f>
        <v>6.8532999999999997E-2</v>
      </c>
      <c r="R999" s="2">
        <f>ff_portfolios25!R999-ff_factors!$E999</f>
        <v>5.7952999999999998E-2</v>
      </c>
      <c r="S999" s="2">
        <f>ff_portfolios25!S999-ff_factors!$E999</f>
        <v>7.8003000000000003E-2</v>
      </c>
      <c r="T999" s="2">
        <f>ff_portfolios25!T999-ff_factors!$E999</f>
        <v>6.8990999999999997E-2</v>
      </c>
      <c r="U999" s="2">
        <f>ff_portfolios25!U999-ff_factors!$E999</f>
        <v>7.5049000000000005E-2</v>
      </c>
      <c r="V999" s="2">
        <f>ff_portfolios25!V999-ff_factors!$E999</f>
        <v>5.0474999999999999E-2</v>
      </c>
      <c r="W999" s="2">
        <f>ff_portfolios25!W999-ff_factors!$E999</f>
        <v>8.7830000000000005E-2</v>
      </c>
      <c r="X999" s="2">
        <f>ff_portfolios25!X999-ff_factors!$E999</f>
        <v>6.4341999999999996E-2</v>
      </c>
      <c r="Y999" s="2">
        <f>ff_portfolios25!Y999-ff_factors!$E999</f>
        <v>5.5128000000000003E-2</v>
      </c>
      <c r="Z999" s="2">
        <f>ff_portfolios25!Z999-ff_factors!$E999</f>
        <v>6.7853999999999998E-2</v>
      </c>
      <c r="AA999" s="2">
        <f>ff_portfolios25!AA999-ff_factors!$E999</f>
        <v>4.0966000000000002E-2</v>
      </c>
      <c r="AB999" s="2">
        <f>ff_portfolios25!AB999-ff_factors!$E999</f>
        <v>5.9174999999999998E-2</v>
      </c>
    </row>
    <row r="1000" spans="1:28" x14ac:dyDescent="0.2">
      <c r="A1000">
        <v>20150331</v>
      </c>
      <c r="B1000">
        <v>2015</v>
      </c>
      <c r="C1000">
        <v>3</v>
      </c>
      <c r="D1000" s="2">
        <f>ff_portfolios25!D1000-ff_factors!$E1000</f>
        <v>-9.6989999999999993E-3</v>
      </c>
      <c r="E1000" s="2">
        <f>ff_portfolios25!E1000-ff_factors!$E1000</f>
        <v>2.6946999999999999E-2</v>
      </c>
      <c r="F1000" s="2">
        <f>ff_portfolios25!F1000-ff_factors!$E1000</f>
        <v>2.4829E-2</v>
      </c>
      <c r="G1000" s="2">
        <f>ff_portfolios25!G1000-ff_factors!$E1000</f>
        <v>1.5021E-2</v>
      </c>
      <c r="H1000" s="2">
        <f>ff_portfolios25!H1000-ff_factors!$E1000</f>
        <v>1.0777999999999999E-2</v>
      </c>
      <c r="I1000" s="2">
        <f>ff_portfolios25!I1000-ff_factors!$E1000</f>
        <v>2.9049999999999999E-2</v>
      </c>
      <c r="J1000" s="2">
        <f>ff_portfolios25!J1000-ff_factors!$E1000</f>
        <v>2.3813999999999998E-2</v>
      </c>
      <c r="K1000" s="2">
        <f>ff_portfolios25!K1000-ff_factors!$E1000</f>
        <v>3.5729999999999998E-3</v>
      </c>
      <c r="L1000" s="2">
        <f>ff_portfolios25!L1000-ff_factors!$E1000</f>
        <v>2.7907000000000001E-2</v>
      </c>
      <c r="M1000" s="2">
        <f>ff_portfolios25!M1000-ff_factors!$E1000</f>
        <v>1.3826E-2</v>
      </c>
      <c r="N1000" s="2">
        <f>ff_portfolios25!N1000-ff_factors!$E1000</f>
        <v>8.2690000000000003E-3</v>
      </c>
      <c r="O1000" s="2">
        <f>ff_portfolios25!O1000-ff_factors!$E1000</f>
        <v>9.8160000000000001E-3</v>
      </c>
      <c r="P1000" s="2">
        <f>ff_portfolios25!P1000-ff_factors!$E1000</f>
        <v>2.1499000000000001E-2</v>
      </c>
      <c r="Q1000" s="2">
        <f>ff_portfolios25!Q1000-ff_factors!$E1000</f>
        <v>1.1091999999999999E-2</v>
      </c>
      <c r="R1000" s="2">
        <f>ff_portfolios25!R1000-ff_factors!$E1000</f>
        <v>6.1419999999999999E-3</v>
      </c>
      <c r="S1000" s="2">
        <f>ff_portfolios25!S1000-ff_factors!$E1000</f>
        <v>9.3869999999999995E-3</v>
      </c>
      <c r="T1000" s="2">
        <f>ff_portfolios25!T1000-ff_factors!$E1000</f>
        <v>9.3609999999999995E-3</v>
      </c>
      <c r="U1000" s="2">
        <f>ff_portfolios25!U1000-ff_factors!$E1000</f>
        <v>1.3351999999999999E-2</v>
      </c>
      <c r="V1000" s="2">
        <f>ff_portfolios25!V1000-ff_factors!$E1000</f>
        <v>-1.634E-2</v>
      </c>
      <c r="W1000" s="2">
        <f>ff_portfolios25!W1000-ff_factors!$E1000</f>
        <v>-5.9519999999999998E-3</v>
      </c>
      <c r="X1000" s="2">
        <f>ff_portfolios25!X1000-ff_factors!$E1000</f>
        <v>-1.5665999999999999E-2</v>
      </c>
      <c r="Y1000" s="2">
        <f>ff_portfolios25!Y1000-ff_factors!$E1000</f>
        <v>-1.8225000000000002E-2</v>
      </c>
      <c r="Z1000" s="2">
        <f>ff_portfolios25!Z1000-ff_factors!$E1000</f>
        <v>-2.0715000000000001E-2</v>
      </c>
      <c r="AA1000" s="2">
        <f>ff_portfolios25!AA1000-ff_factors!$E1000</f>
        <v>-2.2468999999999999E-2</v>
      </c>
      <c r="AB1000" s="2">
        <f>ff_portfolios25!AB1000-ff_factors!$E1000</f>
        <v>-1.4654E-2</v>
      </c>
    </row>
    <row r="1001" spans="1:28" x14ac:dyDescent="0.2">
      <c r="A1001">
        <v>20150430</v>
      </c>
      <c r="B1001">
        <v>2015</v>
      </c>
      <c r="C1001">
        <v>4</v>
      </c>
      <c r="D1001" s="2">
        <f>ff_portfolios25!D1001-ff_factors!$E1001</f>
        <v>-3.8657999999999998E-2</v>
      </c>
      <c r="E1001" s="2">
        <f>ff_portfolios25!E1001-ff_factors!$E1001</f>
        <v>-2.5363E-2</v>
      </c>
      <c r="F1001" s="2">
        <f>ff_portfolios25!F1001-ff_factors!$E1001</f>
        <v>-2.8545000000000001E-2</v>
      </c>
      <c r="G1001" s="2">
        <f>ff_portfolios25!G1001-ff_factors!$E1001</f>
        <v>-2.1250999999999999E-2</v>
      </c>
      <c r="H1001" s="2">
        <f>ff_portfolios25!H1001-ff_factors!$E1001</f>
        <v>-3.581E-3</v>
      </c>
      <c r="I1001" s="2">
        <f>ff_portfolios25!I1001-ff_factors!$E1001</f>
        <v>-3.8858999999999998E-2</v>
      </c>
      <c r="J1001" s="2">
        <f>ff_portfolios25!J1001-ff_factors!$E1001</f>
        <v>-2.6841E-2</v>
      </c>
      <c r="K1001" s="2">
        <f>ff_portfolios25!K1001-ff_factors!$E1001</f>
        <v>-2.3599999999999999E-2</v>
      </c>
      <c r="L1001" s="2">
        <f>ff_portfolios25!L1001-ff_factors!$E1001</f>
        <v>-1.235E-3</v>
      </c>
      <c r="M1001" s="2">
        <f>ff_portfolios25!M1001-ff_factors!$E1001</f>
        <v>-6.097E-3</v>
      </c>
      <c r="N1001" s="2">
        <f>ff_portfolios25!N1001-ff_factors!$E1001</f>
        <v>-3.0422000000000001E-2</v>
      </c>
      <c r="O1001" s="2">
        <f>ff_portfolios25!O1001-ff_factors!$E1001</f>
        <v>-1.5469999999999999E-2</v>
      </c>
      <c r="P1001" s="2">
        <f>ff_portfolios25!P1001-ff_factors!$E1001</f>
        <v>-1.1147000000000001E-2</v>
      </c>
      <c r="Q1001" s="2">
        <f>ff_portfolios25!Q1001-ff_factors!$E1001</f>
        <v>-1.1632E-2</v>
      </c>
      <c r="R1001" s="2">
        <f>ff_portfolios25!R1001-ff_factors!$E1001</f>
        <v>-2.2049999999999999E-3</v>
      </c>
      <c r="S1001" s="2">
        <f>ff_portfolios25!S1001-ff_factors!$E1001</f>
        <v>-1.5184E-2</v>
      </c>
      <c r="T1001" s="2">
        <f>ff_portfolios25!T1001-ff_factors!$E1001</f>
        <v>1.3489999999999999E-3</v>
      </c>
      <c r="U1001" s="2">
        <f>ff_portfolios25!U1001-ff_factors!$E1001</f>
        <v>-1.5789999999999998E-2</v>
      </c>
      <c r="V1001" s="2">
        <f>ff_portfolios25!V1001-ff_factors!$E1001</f>
        <v>-7.783E-3</v>
      </c>
      <c r="W1001" s="2">
        <f>ff_portfolios25!W1001-ff_factors!$E1001</f>
        <v>7.7850000000000003E-3</v>
      </c>
      <c r="X1001" s="2">
        <f>ff_portfolios25!X1001-ff_factors!$E1001</f>
        <v>1.885E-3</v>
      </c>
      <c r="Y1001" s="2">
        <f>ff_portfolios25!Y1001-ff_factors!$E1001</f>
        <v>8.7080000000000005E-3</v>
      </c>
      <c r="Z1001" s="2">
        <f>ff_portfolios25!Z1001-ff_factors!$E1001</f>
        <v>1.4269E-2</v>
      </c>
      <c r="AA1001" s="2">
        <f>ff_portfolios25!AA1001-ff_factors!$E1001</f>
        <v>3.7601000000000002E-2</v>
      </c>
      <c r="AB1001" s="2">
        <f>ff_portfolios25!AB1001-ff_factors!$E1001</f>
        <v>1.5807000000000002E-2</v>
      </c>
    </row>
    <row r="1002" spans="1:28" x14ac:dyDescent="0.2">
      <c r="A1002">
        <v>20150529</v>
      </c>
      <c r="B1002">
        <v>2015</v>
      </c>
      <c r="C1002">
        <v>5</v>
      </c>
      <c r="D1002" s="2">
        <f>ff_portfolios25!D1002-ff_factors!$E1002</f>
        <v>3.2781999999999999E-2</v>
      </c>
      <c r="E1002" s="2">
        <f>ff_portfolios25!E1002-ff_factors!$E1002</f>
        <v>5.4198999999999997E-2</v>
      </c>
      <c r="F1002" s="2">
        <f>ff_portfolios25!F1002-ff_factors!$E1002</f>
        <v>5.9569999999999996E-3</v>
      </c>
      <c r="G1002" s="2">
        <f>ff_portfolios25!G1002-ff_factors!$E1002</f>
        <v>3.4740000000000001E-3</v>
      </c>
      <c r="H1002" s="2">
        <f>ff_portfolios25!H1002-ff_factors!$E1002</f>
        <v>-6.8599999999999998E-4</v>
      </c>
      <c r="I1002" s="2">
        <f>ff_portfolios25!I1002-ff_factors!$E1002</f>
        <v>2.9172E-2</v>
      </c>
      <c r="J1002" s="2">
        <f>ff_portfolios25!J1002-ff_factors!$E1002</f>
        <v>5.3488000000000001E-2</v>
      </c>
      <c r="K1002" s="2">
        <f>ff_portfolios25!K1002-ff_factors!$E1002</f>
        <v>2.5933999999999999E-2</v>
      </c>
      <c r="L1002" s="2">
        <f>ff_portfolios25!L1002-ff_factors!$E1002</f>
        <v>1.5056999999999999E-2</v>
      </c>
      <c r="M1002" s="2">
        <f>ff_portfolios25!M1002-ff_factors!$E1002</f>
        <v>-5.4949999999999999E-3</v>
      </c>
      <c r="N1002" s="2">
        <f>ff_portfolios25!N1002-ff_factors!$E1002</f>
        <v>4.4523E-2</v>
      </c>
      <c r="O1002" s="2">
        <f>ff_portfolios25!O1002-ff_factors!$E1002</f>
        <v>2.1676000000000001E-2</v>
      </c>
      <c r="P1002" s="2">
        <f>ff_portfolios25!P1002-ff_factors!$E1002</f>
        <v>3.5841999999999999E-2</v>
      </c>
      <c r="Q1002" s="2">
        <f>ff_portfolios25!Q1002-ff_factors!$E1002</f>
        <v>2.0244999999999999E-2</v>
      </c>
      <c r="R1002" s="2">
        <f>ff_portfolios25!R1002-ff_factors!$E1002</f>
        <v>8.8470000000000007E-3</v>
      </c>
      <c r="S1002" s="2">
        <f>ff_portfolios25!S1002-ff_factors!$E1002</f>
        <v>1.7003999999999998E-2</v>
      </c>
      <c r="T1002" s="2">
        <f>ff_portfolios25!T1002-ff_factors!$E1002</f>
        <v>2.0122000000000001E-2</v>
      </c>
      <c r="U1002" s="2">
        <f>ff_portfolios25!U1002-ff_factors!$E1002</f>
        <v>2.2127999999999998E-2</v>
      </c>
      <c r="V1002" s="2">
        <f>ff_portfolios25!V1002-ff_factors!$E1002</f>
        <v>1.3542E-2</v>
      </c>
      <c r="W1002" s="2">
        <f>ff_portfolios25!W1002-ff_factors!$E1002</f>
        <v>-3.48E-4</v>
      </c>
      <c r="X1002" s="2">
        <f>ff_portfolios25!X1002-ff_factors!$E1002</f>
        <v>1.8865E-2</v>
      </c>
      <c r="Y1002" s="2">
        <f>ff_portfolios25!Y1002-ff_factors!$E1002</f>
        <v>5.7229999999999998E-3</v>
      </c>
      <c r="Z1002" s="2">
        <f>ff_portfolios25!Z1002-ff_factors!$E1002</f>
        <v>1.1561E-2</v>
      </c>
      <c r="AA1002" s="2">
        <f>ff_portfolios25!AA1002-ff_factors!$E1002</f>
        <v>1.7769999999999999E-3</v>
      </c>
      <c r="AB1002" s="2">
        <f>ff_portfolios25!AB1002-ff_factors!$E1002</f>
        <v>1.7382999999999999E-2</v>
      </c>
    </row>
    <row r="1003" spans="1:28" x14ac:dyDescent="0.2">
      <c r="A1003">
        <v>20150630</v>
      </c>
      <c r="B1003">
        <v>2015</v>
      </c>
      <c r="C1003">
        <v>6</v>
      </c>
      <c r="D1003" s="2">
        <f>ff_portfolios25!D1003-ff_factors!$E1003</f>
        <v>4.0957E-2</v>
      </c>
      <c r="E1003" s="2">
        <f>ff_portfolios25!E1003-ff_factors!$E1003</f>
        <v>2.5425E-2</v>
      </c>
      <c r="F1003" s="2">
        <f>ff_portfolios25!F1003-ff_factors!$E1003</f>
        <v>1.9824000000000001E-2</v>
      </c>
      <c r="G1003" s="2">
        <f>ff_portfolios25!G1003-ff_factors!$E1003</f>
        <v>2.3359999999999999E-2</v>
      </c>
      <c r="H1003" s="2">
        <f>ff_portfolios25!H1003-ff_factors!$E1003</f>
        <v>1.8440999999999999E-2</v>
      </c>
      <c r="I1003" s="2">
        <f>ff_portfolios25!I1003-ff_factors!$E1003</f>
        <v>1.0066E-2</v>
      </c>
      <c r="J1003" s="2">
        <f>ff_portfolios25!J1003-ff_factors!$E1003</f>
        <v>1.5765999999999999E-2</v>
      </c>
      <c r="K1003" s="2">
        <f>ff_portfolios25!K1003-ff_factors!$E1003</f>
        <v>-7.1789999999999996E-3</v>
      </c>
      <c r="L1003" s="2">
        <f>ff_portfolios25!L1003-ff_factors!$E1003</f>
        <v>6.2719999999999998E-3</v>
      </c>
      <c r="M1003" s="2">
        <f>ff_portfolios25!M1003-ff_factors!$E1003</f>
        <v>1.7309999999999999E-3</v>
      </c>
      <c r="N1003" s="2">
        <f>ff_portfolios25!N1003-ff_factors!$E1003</f>
        <v>1.3753E-2</v>
      </c>
      <c r="O1003" s="2">
        <f>ff_portfolios25!O1003-ff_factors!$E1003</f>
        <v>3.8049999999999998E-3</v>
      </c>
      <c r="P1003" s="2">
        <f>ff_portfolios25!P1003-ff_factors!$E1003</f>
        <v>-4.6449999999999998E-3</v>
      </c>
      <c r="Q1003" s="2">
        <f>ff_portfolios25!Q1003-ff_factors!$E1003</f>
        <v>-1.9939999999999999E-2</v>
      </c>
      <c r="R1003" s="2">
        <f>ff_portfolios25!R1003-ff_factors!$E1003</f>
        <v>-2.039E-3</v>
      </c>
      <c r="S1003" s="2">
        <f>ff_portfolios25!S1003-ff_factors!$E1003</f>
        <v>-1.3263E-2</v>
      </c>
      <c r="T1003" s="2">
        <f>ff_portfolios25!T1003-ff_factors!$E1003</f>
        <v>-2.7139999999999998E-3</v>
      </c>
      <c r="U1003" s="2">
        <f>ff_portfolios25!U1003-ff_factors!$E1003</f>
        <v>-2.2641999999999999E-2</v>
      </c>
      <c r="V1003" s="2">
        <f>ff_portfolios25!V1003-ff_factors!$E1003</f>
        <v>-2.6835999999999999E-2</v>
      </c>
      <c r="W1003" s="2">
        <f>ff_portfolios25!W1003-ff_factors!$E1003</f>
        <v>4.6899999999999997E-3</v>
      </c>
      <c r="X1003" s="2">
        <f>ff_portfolios25!X1003-ff_factors!$E1003</f>
        <v>-6.5690000000000002E-3</v>
      </c>
      <c r="Y1003" s="2">
        <f>ff_portfolios25!Y1003-ff_factors!$E1003</f>
        <v>-3.1967000000000002E-2</v>
      </c>
      <c r="Z1003" s="2">
        <f>ff_portfolios25!Z1003-ff_factors!$E1003</f>
        <v>-2.1864000000000001E-2</v>
      </c>
      <c r="AA1003" s="2">
        <f>ff_portfolios25!AA1003-ff_factors!$E1003</f>
        <v>-2.3843E-2</v>
      </c>
      <c r="AB1003" s="2">
        <f>ff_portfolios25!AB1003-ff_factors!$E1003</f>
        <v>-8.1320000000000003E-3</v>
      </c>
    </row>
    <row r="1004" spans="1:28" x14ac:dyDescent="0.2">
      <c r="A1004">
        <v>20150731</v>
      </c>
      <c r="B1004">
        <v>2015</v>
      </c>
      <c r="C1004">
        <v>7</v>
      </c>
      <c r="D1004" s="2">
        <f>ff_portfolios25!D1004-ff_factors!$E1004</f>
        <v>-5.1482E-2</v>
      </c>
      <c r="E1004" s="2">
        <f>ff_portfolios25!E1004-ff_factors!$E1004</f>
        <v>-1.9913E-2</v>
      </c>
      <c r="F1004" s="2">
        <f>ff_portfolios25!F1004-ff_factors!$E1004</f>
        <v>-4.9876999999999998E-2</v>
      </c>
      <c r="G1004" s="2">
        <f>ff_portfolios25!G1004-ff_factors!$E1004</f>
        <v>-5.2983000000000002E-2</v>
      </c>
      <c r="H1004" s="2">
        <f>ff_portfolios25!H1004-ff_factors!$E1004</f>
        <v>-6.4710000000000004E-2</v>
      </c>
      <c r="I1004" s="2">
        <f>ff_portfolios25!I1004-ff_factors!$E1004</f>
        <v>-1.8860000000000001E-3</v>
      </c>
      <c r="J1004" s="2">
        <f>ff_portfolios25!J1004-ff_factors!$E1004</f>
        <v>-1.435E-2</v>
      </c>
      <c r="K1004" s="2">
        <f>ff_portfolios25!K1004-ff_factors!$E1004</f>
        <v>-1.1891000000000001E-2</v>
      </c>
      <c r="L1004" s="2">
        <f>ff_portfolios25!L1004-ff_factors!$E1004</f>
        <v>-3.3890000000000003E-2</v>
      </c>
      <c r="M1004" s="2">
        <f>ff_portfolios25!M1004-ff_factors!$E1004</f>
        <v>-5.3543E-2</v>
      </c>
      <c r="N1004" s="2">
        <f>ff_portfolios25!N1004-ff_factors!$E1004</f>
        <v>2.2856000000000001E-2</v>
      </c>
      <c r="O1004" s="2">
        <f>ff_portfolios25!O1004-ff_factors!$E1004</f>
        <v>1.243E-3</v>
      </c>
      <c r="P1004" s="2">
        <f>ff_portfolios25!P1004-ff_factors!$E1004</f>
        <v>-3.6400000000000002E-2</v>
      </c>
      <c r="Q1004" s="2">
        <f>ff_portfolios25!Q1004-ff_factors!$E1004</f>
        <v>-3.5902000000000003E-2</v>
      </c>
      <c r="R1004" s="2">
        <f>ff_portfolios25!R1004-ff_factors!$E1004</f>
        <v>-6.9991999999999999E-2</v>
      </c>
      <c r="S1004" s="2">
        <f>ff_portfolios25!S1004-ff_factors!$E1004</f>
        <v>2.2585999999999998E-2</v>
      </c>
      <c r="T1004" s="2">
        <f>ff_portfolios25!T1004-ff_factors!$E1004</f>
        <v>2.9700000000000001E-4</v>
      </c>
      <c r="U1004" s="2">
        <f>ff_portfolios25!U1004-ff_factors!$E1004</f>
        <v>-5.2960000000000004E-3</v>
      </c>
      <c r="V1004" s="2">
        <f>ff_portfolios25!V1004-ff_factors!$E1004</f>
        <v>2.0253E-2</v>
      </c>
      <c r="W1004" s="2">
        <f>ff_portfolios25!W1004-ff_factors!$E1004</f>
        <v>-2.1958999999999999E-2</v>
      </c>
      <c r="X1004" s="2">
        <f>ff_portfolios25!X1004-ff_factors!$E1004</f>
        <v>3.5414000000000001E-2</v>
      </c>
      <c r="Y1004" s="2">
        <f>ff_portfolios25!Y1004-ff_factors!$E1004</f>
        <v>2.8676E-2</v>
      </c>
      <c r="Z1004" s="2">
        <f>ff_portfolios25!Z1004-ff_factors!$E1004</f>
        <v>5.365E-3</v>
      </c>
      <c r="AA1004" s="2">
        <f>ff_portfolios25!AA1004-ff_factors!$E1004</f>
        <v>-1.3860000000000001E-3</v>
      </c>
      <c r="AB1004" s="2">
        <f>ff_portfolios25!AB1004-ff_factors!$E1004</f>
        <v>4.9290000000000002E-3</v>
      </c>
    </row>
    <row r="1005" spans="1:28" x14ac:dyDescent="0.2">
      <c r="A1005">
        <v>20150831</v>
      </c>
      <c r="B1005">
        <v>2015</v>
      </c>
      <c r="C1005">
        <v>8</v>
      </c>
      <c r="D1005" s="2">
        <f>ff_portfolios25!D1005-ff_factors!$E1005</f>
        <v>-8.3464999999999998E-2</v>
      </c>
      <c r="E1005" s="2">
        <f>ff_portfolios25!E1005-ff_factors!$E1005</f>
        <v>-7.5310000000000002E-2</v>
      </c>
      <c r="F1005" s="2">
        <f>ff_portfolios25!F1005-ff_factors!$E1005</f>
        <v>-4.5261000000000003E-2</v>
      </c>
      <c r="G1005" s="2">
        <f>ff_portfolios25!G1005-ff_factors!$E1005</f>
        <v>-3.7037E-2</v>
      </c>
      <c r="H1005" s="2">
        <f>ff_portfolios25!H1005-ff_factors!$E1005</f>
        <v>-9.9310000000000006E-3</v>
      </c>
      <c r="I1005" s="2">
        <f>ff_portfolios25!I1005-ff_factors!$E1005</f>
        <v>-9.9130999999999997E-2</v>
      </c>
      <c r="J1005" s="2">
        <f>ff_portfolios25!J1005-ff_factors!$E1005</f>
        <v>-5.5558999999999997E-2</v>
      </c>
      <c r="K1005" s="2">
        <f>ff_portfolios25!K1005-ff_factors!$E1005</f>
        <v>-3.7324000000000003E-2</v>
      </c>
      <c r="L1005" s="2">
        <f>ff_portfolios25!L1005-ff_factors!$E1005</f>
        <v>-5.0049000000000003E-2</v>
      </c>
      <c r="M1005" s="2">
        <f>ff_portfolios25!M1005-ff_factors!$E1005</f>
        <v>-4.5040999999999998E-2</v>
      </c>
      <c r="N1005" s="2">
        <f>ff_portfolios25!N1005-ff_factors!$E1005</f>
        <v>-7.8562999999999994E-2</v>
      </c>
      <c r="O1005" s="2">
        <f>ff_portfolios25!O1005-ff_factors!$E1005</f>
        <v>-5.3012999999999998E-2</v>
      </c>
      <c r="P1005" s="2">
        <f>ff_portfolios25!P1005-ff_factors!$E1005</f>
        <v>-4.2091000000000003E-2</v>
      </c>
      <c r="Q1005" s="2">
        <f>ff_portfolios25!Q1005-ff_factors!$E1005</f>
        <v>-3.7928999999999997E-2</v>
      </c>
      <c r="R1005" s="2">
        <f>ff_portfolios25!R1005-ff_factors!$E1005</f>
        <v>-2.9273E-2</v>
      </c>
      <c r="S1005" s="2">
        <f>ff_portfolios25!S1005-ff_factors!$E1005</f>
        <v>-8.2472000000000004E-2</v>
      </c>
      <c r="T1005" s="2">
        <f>ff_portfolios25!T1005-ff_factors!$E1005</f>
        <v>-4.9304000000000001E-2</v>
      </c>
      <c r="U1005" s="2">
        <f>ff_portfolios25!U1005-ff_factors!$E1005</f>
        <v>-4.6356000000000001E-2</v>
      </c>
      <c r="V1005" s="2">
        <f>ff_portfolios25!V1005-ff_factors!$E1005</f>
        <v>-3.2367E-2</v>
      </c>
      <c r="W1005" s="2">
        <f>ff_portfolios25!W1005-ff_factors!$E1005</f>
        <v>-5.7893E-2</v>
      </c>
      <c r="X1005" s="2">
        <f>ff_portfolios25!X1005-ff_factors!$E1005</f>
        <v>-5.9317000000000002E-2</v>
      </c>
      <c r="Y1005" s="2">
        <f>ff_portfolios25!Y1005-ff_factors!$E1005</f>
        <v>-6.5015000000000003E-2</v>
      </c>
      <c r="Z1005" s="2">
        <f>ff_portfolios25!Z1005-ff_factors!$E1005</f>
        <v>-6.0677000000000002E-2</v>
      </c>
      <c r="AA1005" s="2">
        <f>ff_portfolios25!AA1005-ff_factors!$E1005</f>
        <v>-5.2241000000000003E-2</v>
      </c>
      <c r="AB1005" s="2">
        <f>ff_portfolios25!AB1005-ff_factors!$E1005</f>
        <v>-7.6263999999999998E-2</v>
      </c>
    </row>
    <row r="1006" spans="1:28" x14ac:dyDescent="0.2">
      <c r="A1006">
        <v>20150930</v>
      </c>
      <c r="B1006">
        <v>2015</v>
      </c>
      <c r="C1006">
        <v>9</v>
      </c>
      <c r="D1006" s="2">
        <f>ff_portfolios25!D1006-ff_factors!$E1006</f>
        <v>-8.1773999999999999E-2</v>
      </c>
      <c r="E1006" s="2">
        <f>ff_portfolios25!E1006-ff_factors!$E1006</f>
        <v>-9.3405000000000002E-2</v>
      </c>
      <c r="F1006" s="2">
        <f>ff_portfolios25!F1006-ff_factors!$E1006</f>
        <v>-5.8372E-2</v>
      </c>
      <c r="G1006" s="2">
        <f>ff_portfolios25!G1006-ff_factors!$E1006</f>
        <v>-3.8330000000000003E-2</v>
      </c>
      <c r="H1006" s="2">
        <f>ff_portfolios25!H1006-ff_factors!$E1006</f>
        <v>-6.0413000000000001E-2</v>
      </c>
      <c r="I1006" s="2">
        <f>ff_portfolios25!I1006-ff_factors!$E1006</f>
        <v>-9.2650999999999997E-2</v>
      </c>
      <c r="J1006" s="2">
        <f>ff_portfolios25!J1006-ff_factors!$E1006</f>
        <v>-5.7375000000000002E-2</v>
      </c>
      <c r="K1006" s="2">
        <f>ff_portfolios25!K1006-ff_factors!$E1006</f>
        <v>-4.6755999999999999E-2</v>
      </c>
      <c r="L1006" s="2">
        <f>ff_portfolios25!L1006-ff_factors!$E1006</f>
        <v>-3.0287000000000001E-2</v>
      </c>
      <c r="M1006" s="2">
        <f>ff_portfolios25!M1006-ff_factors!$E1006</f>
        <v>-5.4176000000000002E-2</v>
      </c>
      <c r="N1006" s="2">
        <f>ff_portfolios25!N1006-ff_factors!$E1006</f>
        <v>-6.0699000000000003E-2</v>
      </c>
      <c r="O1006" s="2">
        <f>ff_portfolios25!O1006-ff_factors!$E1006</f>
        <v>-3.8533999999999999E-2</v>
      </c>
      <c r="P1006" s="2">
        <f>ff_portfolios25!P1006-ff_factors!$E1006</f>
        <v>-5.4739000000000003E-2</v>
      </c>
      <c r="Q1006" s="2">
        <f>ff_portfolios25!Q1006-ff_factors!$E1006</f>
        <v>-5.0505000000000001E-2</v>
      </c>
      <c r="R1006" s="2">
        <f>ff_portfolios25!R1006-ff_factors!$E1006</f>
        <v>-5.8354000000000003E-2</v>
      </c>
      <c r="S1006" s="2">
        <f>ff_portfolios25!S1006-ff_factors!$E1006</f>
        <v>-5.5418000000000002E-2</v>
      </c>
      <c r="T1006" s="2">
        <f>ff_portfolios25!T1006-ff_factors!$E1006</f>
        <v>-3.6091999999999999E-2</v>
      </c>
      <c r="U1006" s="2">
        <f>ff_portfolios25!U1006-ff_factors!$E1006</f>
        <v>-4.9146000000000002E-2</v>
      </c>
      <c r="V1006" s="2">
        <f>ff_portfolios25!V1006-ff_factors!$E1006</f>
        <v>-2.4433E-2</v>
      </c>
      <c r="W1006" s="2">
        <f>ff_portfolios25!W1006-ff_factors!$E1006</f>
        <v>-5.2830000000000002E-2</v>
      </c>
      <c r="X1006" s="2">
        <f>ff_portfolios25!X1006-ff_factors!$E1006</f>
        <v>-1.7166000000000001E-2</v>
      </c>
      <c r="Y1006" s="2">
        <f>ff_portfolios25!Y1006-ff_factors!$E1006</f>
        <v>-2.7739E-2</v>
      </c>
      <c r="Z1006" s="2">
        <f>ff_portfolios25!Z1006-ff_factors!$E1006</f>
        <v>-2.3975E-2</v>
      </c>
      <c r="AA1006" s="2">
        <f>ff_portfolios25!AA1006-ff_factors!$E1006</f>
        <v>-1.324E-2</v>
      </c>
      <c r="AB1006" s="2">
        <f>ff_portfolios25!AB1006-ff_factors!$E1006</f>
        <v>-5.6545999999999999E-2</v>
      </c>
    </row>
    <row r="1007" spans="1:28" x14ac:dyDescent="0.2">
      <c r="A1007">
        <v>20151030</v>
      </c>
      <c r="B1007">
        <v>2015</v>
      </c>
      <c r="C1007">
        <v>10</v>
      </c>
      <c r="D1007" s="2">
        <f>ff_portfolios25!D1007-ff_factors!$E1007</f>
        <v>6.2572000000000003E-2</v>
      </c>
      <c r="E1007" s="2">
        <f>ff_portfolios25!E1007-ff_factors!$E1007</f>
        <v>6.6187999999999997E-2</v>
      </c>
      <c r="F1007" s="2">
        <f>ff_portfolios25!F1007-ff_factors!$E1007</f>
        <v>5.6089E-2</v>
      </c>
      <c r="G1007" s="2">
        <f>ff_portfolios25!G1007-ff_factors!$E1007</f>
        <v>5.0953999999999999E-2</v>
      </c>
      <c r="H1007" s="2">
        <f>ff_portfolios25!H1007-ff_factors!$E1007</f>
        <v>4.4512999999999997E-2</v>
      </c>
      <c r="I1007" s="2">
        <f>ff_portfolios25!I1007-ff_factors!$E1007</f>
        <v>2.7552E-2</v>
      </c>
      <c r="J1007" s="2">
        <f>ff_portfolios25!J1007-ff_factors!$E1007</f>
        <v>7.2350999999999999E-2</v>
      </c>
      <c r="K1007" s="2">
        <f>ff_portfolios25!K1007-ff_factors!$E1007</f>
        <v>6.2978999999999993E-2</v>
      </c>
      <c r="L1007" s="2">
        <f>ff_portfolios25!L1007-ff_factors!$E1007</f>
        <v>5.6391999999999998E-2</v>
      </c>
      <c r="M1007" s="2">
        <f>ff_portfolios25!M1007-ff_factors!$E1007</f>
        <v>5.5053999999999999E-2</v>
      </c>
      <c r="N1007" s="2">
        <f>ff_portfolios25!N1007-ff_factors!$E1007</f>
        <v>3.7530000000000001E-2</v>
      </c>
      <c r="O1007" s="2">
        <f>ff_portfolios25!O1007-ff_factors!$E1007</f>
        <v>6.0680999999999999E-2</v>
      </c>
      <c r="P1007" s="2">
        <f>ff_portfolios25!P1007-ff_factors!$E1007</f>
        <v>8.3809999999999996E-2</v>
      </c>
      <c r="Q1007" s="2">
        <f>ff_portfolios25!Q1007-ff_factors!$E1007</f>
        <v>4.9965000000000002E-2</v>
      </c>
      <c r="R1007" s="2">
        <f>ff_portfolios25!R1007-ff_factors!$E1007</f>
        <v>7.1540000000000006E-2</v>
      </c>
      <c r="S1007" s="2">
        <f>ff_portfolios25!S1007-ff_factors!$E1007</f>
        <v>6.5912999999999999E-2</v>
      </c>
      <c r="T1007" s="2">
        <f>ff_portfolios25!T1007-ff_factors!$E1007</f>
        <v>7.0123000000000005E-2</v>
      </c>
      <c r="U1007" s="2">
        <f>ff_portfolios25!U1007-ff_factors!$E1007</f>
        <v>6.8989999999999996E-2</v>
      </c>
      <c r="V1007" s="2">
        <f>ff_portfolios25!V1007-ff_factors!$E1007</f>
        <v>3.2550999999999997E-2</v>
      </c>
      <c r="W1007" s="2">
        <f>ff_portfolios25!W1007-ff_factors!$E1007</f>
        <v>5.4566999999999997E-2</v>
      </c>
      <c r="X1007" s="2">
        <f>ff_portfolios25!X1007-ff_factors!$E1007</f>
        <v>8.4122000000000002E-2</v>
      </c>
      <c r="Y1007" s="2">
        <f>ff_portfolios25!Y1007-ff_factors!$E1007</f>
        <v>8.6942000000000005E-2</v>
      </c>
      <c r="Z1007" s="2">
        <f>ff_portfolios25!Z1007-ff_factors!$E1007</f>
        <v>8.6617E-2</v>
      </c>
      <c r="AA1007" s="2">
        <f>ff_portfolios25!AA1007-ff_factors!$E1007</f>
        <v>7.0258000000000001E-2</v>
      </c>
      <c r="AB1007" s="2">
        <f>ff_portfolios25!AB1007-ff_factors!$E1007</f>
        <v>7.6216000000000006E-2</v>
      </c>
    </row>
    <row r="1008" spans="1:28" x14ac:dyDescent="0.2">
      <c r="A1008">
        <v>20151130</v>
      </c>
      <c r="B1008">
        <v>2015</v>
      </c>
      <c r="C1008">
        <v>11</v>
      </c>
      <c r="D1008" s="2">
        <f>ff_portfolios25!D1008-ff_factors!$E1008</f>
        <v>4.8541000000000001E-2</v>
      </c>
      <c r="E1008" s="2">
        <f>ff_portfolios25!E1008-ff_factors!$E1008</f>
        <v>5.3041999999999999E-2</v>
      </c>
      <c r="F1008" s="2">
        <f>ff_portfolios25!F1008-ff_factors!$E1008</f>
        <v>2.002E-2</v>
      </c>
      <c r="G1008" s="2">
        <f>ff_portfolios25!G1008-ff_factors!$E1008</f>
        <v>3.1599000000000002E-2</v>
      </c>
      <c r="H1008" s="2">
        <f>ff_portfolios25!H1008-ff_factors!$E1008</f>
        <v>2.0045E-2</v>
      </c>
      <c r="I1008" s="2">
        <f>ff_portfolios25!I1008-ff_factors!$E1008</f>
        <v>8.1985000000000002E-2</v>
      </c>
      <c r="J1008" s="2">
        <f>ff_portfolios25!J1008-ff_factors!$E1008</f>
        <v>2.2644000000000001E-2</v>
      </c>
      <c r="K1008" s="2">
        <f>ff_portfolios25!K1008-ff_factors!$E1008</f>
        <v>3.1142E-2</v>
      </c>
      <c r="L1008" s="2">
        <f>ff_portfolios25!L1008-ff_factors!$E1008</f>
        <v>5.1700000000000003E-2</v>
      </c>
      <c r="M1008" s="2">
        <f>ff_portfolios25!M1008-ff_factors!$E1008</f>
        <v>5.2205000000000001E-2</v>
      </c>
      <c r="N1008" s="2">
        <f>ff_portfolios25!N1008-ff_factors!$E1008</f>
        <v>2.1229000000000001E-2</v>
      </c>
      <c r="O1008" s="2">
        <f>ff_portfolios25!O1008-ff_factors!$E1008</f>
        <v>2.316E-2</v>
      </c>
      <c r="P1008" s="2">
        <f>ff_portfolios25!P1008-ff_factors!$E1008</f>
        <v>6.3400000000000001E-3</v>
      </c>
      <c r="Q1008" s="2">
        <f>ff_portfolios25!Q1008-ff_factors!$E1008</f>
        <v>2.3963999999999999E-2</v>
      </c>
      <c r="R1008" s="2">
        <f>ff_portfolios25!R1008-ff_factors!$E1008</f>
        <v>2.4105000000000001E-2</v>
      </c>
      <c r="S1008" s="2">
        <f>ff_portfolios25!S1008-ff_factors!$E1008</f>
        <v>1.2609E-2</v>
      </c>
      <c r="T1008" s="2">
        <f>ff_portfolios25!T1008-ff_factors!$E1008</f>
        <v>9.7739999999999997E-3</v>
      </c>
      <c r="U1008" s="2">
        <f>ff_portfolios25!U1008-ff_factors!$E1008</f>
        <v>4.6610000000000002E-3</v>
      </c>
      <c r="V1008" s="2">
        <f>ff_portfolios25!V1008-ff_factors!$E1008</f>
        <v>1.6819000000000001E-2</v>
      </c>
      <c r="W1008" s="2">
        <f>ff_portfolios25!W1008-ff_factors!$E1008</f>
        <v>5.0749999999999997E-3</v>
      </c>
      <c r="X1008" s="2">
        <f>ff_portfolios25!X1008-ff_factors!$E1008</f>
        <v>1.3780000000000001E-3</v>
      </c>
      <c r="Y1008" s="2">
        <f>ff_portfolios25!Y1008-ff_factors!$E1008</f>
        <v>4.26E-4</v>
      </c>
      <c r="Z1008" s="2">
        <f>ff_portfolios25!Z1008-ff_factors!$E1008</f>
        <v>-7.2389999999999998E-3</v>
      </c>
      <c r="AA1008" s="2">
        <f>ff_portfolios25!AA1008-ff_factors!$E1008</f>
        <v>5.1409999999999997E-3</v>
      </c>
      <c r="AB1008" s="2">
        <f>ff_portfolios25!AB1008-ff_factors!$E1008</f>
        <v>3.1335000000000002E-2</v>
      </c>
    </row>
    <row r="1009" spans="1:28" x14ac:dyDescent="0.2">
      <c r="A1009">
        <v>20151231</v>
      </c>
      <c r="B1009">
        <v>2015</v>
      </c>
      <c r="C1009">
        <v>12</v>
      </c>
      <c r="D1009" s="2">
        <f>ff_portfolios25!D1009-ff_factors!$E1009</f>
        <v>-4.0505000000000006E-2</v>
      </c>
      <c r="E1009" s="2">
        <f>ff_portfolios25!E1009-ff_factors!$E1009</f>
        <v>-4.9459000000000003E-2</v>
      </c>
      <c r="F1009" s="2">
        <f>ff_portfolios25!F1009-ff_factors!$E1009</f>
        <v>-5.1385E-2</v>
      </c>
      <c r="G1009" s="2">
        <f>ff_portfolios25!G1009-ff_factors!$E1009</f>
        <v>-5.3671000000000003E-2</v>
      </c>
      <c r="H1009" s="2">
        <f>ff_portfolios25!H1009-ff_factors!$E1009</f>
        <v>-4.5489000000000002E-2</v>
      </c>
      <c r="I1009" s="2">
        <f>ff_portfolios25!I1009-ff_factors!$E1009</f>
        <v>-2.7282000000000001E-2</v>
      </c>
      <c r="J1009" s="2">
        <f>ff_portfolios25!J1009-ff_factors!$E1009</f>
        <v>-4.1305000000000001E-2</v>
      </c>
      <c r="K1009" s="2">
        <f>ff_portfolios25!K1009-ff_factors!$E1009</f>
        <v>-5.5462000000000004E-2</v>
      </c>
      <c r="L1009" s="2">
        <f>ff_portfolios25!L1009-ff_factors!$E1009</f>
        <v>-5.5949000000000006E-2</v>
      </c>
      <c r="M1009" s="2">
        <f>ff_portfolios25!M1009-ff_factors!$E1009</f>
        <v>-6.4754000000000006E-2</v>
      </c>
      <c r="N1009" s="2">
        <f>ff_portfolios25!N1009-ff_factors!$E1009</f>
        <v>-3.0578000000000001E-2</v>
      </c>
      <c r="O1009" s="2">
        <f>ff_portfolios25!O1009-ff_factors!$E1009</f>
        <v>-4.9782E-2</v>
      </c>
      <c r="P1009" s="2">
        <f>ff_portfolios25!P1009-ff_factors!$E1009</f>
        <v>-4.7464000000000006E-2</v>
      </c>
      <c r="Q1009" s="2">
        <f>ff_portfolios25!Q1009-ff_factors!$E1009</f>
        <v>-6.2502000000000002E-2</v>
      </c>
      <c r="R1009" s="2">
        <f>ff_portfolios25!R1009-ff_factors!$E1009</f>
        <v>-9.2291999999999999E-2</v>
      </c>
      <c r="S1009" s="2">
        <f>ff_portfolios25!S1009-ff_factors!$E1009</f>
        <v>-2.9960999999999998E-2</v>
      </c>
      <c r="T1009" s="2">
        <f>ff_portfolios25!T1009-ff_factors!$E1009</f>
        <v>-3.1386000000000004E-2</v>
      </c>
      <c r="U1009" s="2">
        <f>ff_portfolios25!U1009-ff_factors!$E1009</f>
        <v>-4.8264000000000001E-2</v>
      </c>
      <c r="V1009" s="2">
        <f>ff_portfolios25!V1009-ff_factors!$E1009</f>
        <v>-4.9301000000000005E-2</v>
      </c>
      <c r="W1009" s="2">
        <f>ff_portfolios25!W1009-ff_factors!$E1009</f>
        <v>-6.2884000000000009E-2</v>
      </c>
      <c r="X1009" s="2">
        <f>ff_portfolios25!X1009-ff_factors!$E1009</f>
        <v>-1.2451E-2</v>
      </c>
      <c r="Y1009" s="2">
        <f>ff_portfolios25!Y1009-ff_factors!$E1009</f>
        <v>-1.2180999999999999E-2</v>
      </c>
      <c r="Z1009" s="2">
        <f>ff_portfolios25!Z1009-ff_factors!$E1009</f>
        <v>-2.4274E-2</v>
      </c>
      <c r="AA1009" s="2">
        <f>ff_portfolios25!AA1009-ff_factors!$E1009</f>
        <v>-9.9589999999999991E-3</v>
      </c>
      <c r="AB1009" s="2">
        <f>ff_portfolios25!AB1009-ff_factors!$E1009</f>
        <v>-4.1803E-2</v>
      </c>
    </row>
    <row r="1010" spans="1:28" x14ac:dyDescent="0.2">
      <c r="A1010">
        <v>20160129</v>
      </c>
      <c r="B1010">
        <v>2016</v>
      </c>
      <c r="C1010">
        <v>1</v>
      </c>
      <c r="D1010" s="2">
        <f>ff_portfolios25!D1010-ff_factors!$E1010</f>
        <v>-0.12894899999999998</v>
      </c>
      <c r="E1010" s="2">
        <f>ff_portfolios25!E1010-ff_factors!$E1010</f>
        <v>-0.14765799999999998</v>
      </c>
      <c r="F1010" s="2">
        <f>ff_portfolios25!F1010-ff_factors!$E1010</f>
        <v>-9.4295000000000004E-2</v>
      </c>
      <c r="G1010" s="2">
        <f>ff_portfolios25!G1010-ff_factors!$E1010</f>
        <v>-6.595100000000001E-2</v>
      </c>
      <c r="H1010" s="2">
        <f>ff_portfolios25!H1010-ff_factors!$E1010</f>
        <v>-7.3387000000000008E-2</v>
      </c>
      <c r="I1010" s="2">
        <f>ff_portfolios25!I1010-ff_factors!$E1010</f>
        <v>-0.17000599999999999</v>
      </c>
      <c r="J1010" s="2">
        <f>ff_portfolios25!J1010-ff_factors!$E1010</f>
        <v>-7.0927000000000004E-2</v>
      </c>
      <c r="K1010" s="2">
        <f>ff_portfolios25!K1010-ff_factors!$E1010</f>
        <v>-8.3814E-2</v>
      </c>
      <c r="L1010" s="2">
        <f>ff_portfolios25!L1010-ff_factors!$E1010</f>
        <v>-7.3757000000000003E-2</v>
      </c>
      <c r="M1010" s="2">
        <f>ff_portfolios25!M1010-ff_factors!$E1010</f>
        <v>-8.6753999999999998E-2</v>
      </c>
      <c r="N1010" s="2">
        <f>ff_portfolios25!N1010-ff_factors!$E1010</f>
        <v>-0.123693</v>
      </c>
      <c r="O1010" s="2">
        <f>ff_portfolios25!O1010-ff_factors!$E1010</f>
        <v>-6.1769000000000004E-2</v>
      </c>
      <c r="P1010" s="2">
        <f>ff_portfolios25!P1010-ff_factors!$E1010</f>
        <v>-7.3166999999999996E-2</v>
      </c>
      <c r="Q1010" s="2">
        <f>ff_portfolios25!Q1010-ff_factors!$E1010</f>
        <v>-6.4018000000000005E-2</v>
      </c>
      <c r="R1010" s="2">
        <f>ff_portfolios25!R1010-ff_factors!$E1010</f>
        <v>-7.6065000000000008E-2</v>
      </c>
      <c r="S1010" s="2">
        <f>ff_portfolios25!S1010-ff_factors!$E1010</f>
        <v>-0.104084</v>
      </c>
      <c r="T1010" s="2">
        <f>ff_portfolios25!T1010-ff_factors!$E1010</f>
        <v>-6.6673999999999997E-2</v>
      </c>
      <c r="U1010" s="2">
        <f>ff_portfolios25!U1010-ff_factors!$E1010</f>
        <v>-6.5612000000000004E-2</v>
      </c>
      <c r="V1010" s="2">
        <f>ff_portfolios25!V1010-ff_factors!$E1010</f>
        <v>-5.9822E-2</v>
      </c>
      <c r="W1010" s="2">
        <f>ff_portfolios25!W1010-ff_factors!$E1010</f>
        <v>-7.8650999999999999E-2</v>
      </c>
      <c r="X1010" s="2">
        <f>ff_portfolios25!X1010-ff_factors!$E1010</f>
        <v>-5.8507000000000003E-2</v>
      </c>
      <c r="Y1010" s="2">
        <f>ff_portfolios25!Y1010-ff_factors!$E1010</f>
        <v>-3.3514000000000002E-2</v>
      </c>
      <c r="Z1010" s="2">
        <f>ff_portfolios25!Z1010-ff_factors!$E1010</f>
        <v>-5.0260000000000006E-2</v>
      </c>
      <c r="AA1010" s="2">
        <f>ff_portfolios25!AA1010-ff_factors!$E1010</f>
        <v>-3.3733000000000006E-2</v>
      </c>
      <c r="AB1010" s="2">
        <f>ff_portfolios25!AB1010-ff_factors!$E1010</f>
        <v>-0.12077700000000001</v>
      </c>
    </row>
    <row r="1011" spans="1:28" x14ac:dyDescent="0.2">
      <c r="A1011">
        <v>20160229</v>
      </c>
      <c r="B1011">
        <v>2016</v>
      </c>
      <c r="C1011">
        <v>2</v>
      </c>
      <c r="D1011" s="2">
        <f>ff_portfolios25!D1011-ff_factors!$E1011</f>
        <v>-2.6835999999999999E-2</v>
      </c>
      <c r="E1011" s="2">
        <f>ff_portfolios25!E1011-ff_factors!$E1011</f>
        <v>5.653E-3</v>
      </c>
      <c r="F1011" s="2">
        <f>ff_portfolios25!F1011-ff_factors!$E1011</f>
        <v>-4.1779999999999994E-3</v>
      </c>
      <c r="G1011" s="2">
        <f>ff_portfolios25!G1011-ff_factors!$E1011</f>
        <v>-9.3400000000000011E-3</v>
      </c>
      <c r="H1011" s="2">
        <f>ff_portfolios25!H1011-ff_factors!$E1011</f>
        <v>5.5600000000000007E-4</v>
      </c>
      <c r="I1011" s="2">
        <f>ff_portfolios25!I1011-ff_factors!$E1011</f>
        <v>-1.5695000000000001E-2</v>
      </c>
      <c r="J1011" s="2">
        <f>ff_portfolios25!J1011-ff_factors!$E1011</f>
        <v>6.8599999999999998E-4</v>
      </c>
      <c r="K1011" s="2">
        <f>ff_portfolios25!K1011-ff_factors!$E1011</f>
        <v>2.4466000000000002E-2</v>
      </c>
      <c r="L1011" s="2">
        <f>ff_portfolios25!L1011-ff_factors!$E1011</f>
        <v>8.5859999999999999E-3</v>
      </c>
      <c r="M1011" s="2">
        <f>ff_portfolios25!M1011-ff_factors!$E1011</f>
        <v>5.1500000000000001E-3</v>
      </c>
      <c r="N1011" s="2">
        <f>ff_portfolios25!N1011-ff_factors!$E1011</f>
        <v>-2.9100000000000003E-4</v>
      </c>
      <c r="O1011" s="2">
        <f>ff_portfolios25!O1011-ff_factors!$E1011</f>
        <v>1.1556E-2</v>
      </c>
      <c r="P1011" s="2">
        <f>ff_portfolios25!P1011-ff_factors!$E1011</f>
        <v>2.5679E-2</v>
      </c>
      <c r="Q1011" s="2">
        <f>ff_portfolios25!Q1011-ff_factors!$E1011</f>
        <v>1.4168E-2</v>
      </c>
      <c r="R1011" s="2">
        <f>ff_portfolios25!R1011-ff_factors!$E1011</f>
        <v>2.0126000000000002E-2</v>
      </c>
      <c r="S1011" s="2">
        <f>ff_portfolios25!S1011-ff_factors!$E1011</f>
        <v>7.7019999999999996E-3</v>
      </c>
      <c r="T1011" s="2">
        <f>ff_portfolios25!T1011-ff_factors!$E1011</f>
        <v>1.4981E-2</v>
      </c>
      <c r="U1011" s="2">
        <f>ff_portfolios25!U1011-ff_factors!$E1011</f>
        <v>6.6110000000000006E-3</v>
      </c>
      <c r="V1011" s="2">
        <f>ff_portfolios25!V1011-ff_factors!$E1011</f>
        <v>1.0874E-2</v>
      </c>
      <c r="W1011" s="2">
        <f>ff_portfolios25!W1011-ff_factors!$E1011</f>
        <v>-2.6338E-2</v>
      </c>
      <c r="X1011" s="2">
        <f>ff_portfolios25!X1011-ff_factors!$E1011</f>
        <v>-1.603E-3</v>
      </c>
      <c r="Y1011" s="2">
        <f>ff_portfolios25!Y1011-ff_factors!$E1011</f>
        <v>-1.217E-3</v>
      </c>
      <c r="Z1011" s="2">
        <f>ff_portfolios25!Z1011-ff_factors!$E1011</f>
        <v>1.6904000000000002E-2</v>
      </c>
      <c r="AA1011" s="2">
        <f>ff_portfolios25!AA1011-ff_factors!$E1011</f>
        <v>3.2569999999999999E-3</v>
      </c>
      <c r="AB1011" s="2">
        <f>ff_portfolios25!AB1011-ff_factors!$E1011</f>
        <v>-6.0655000000000001E-2</v>
      </c>
    </row>
    <row r="1012" spans="1:28" x14ac:dyDescent="0.2">
      <c r="A1012">
        <v>20160331</v>
      </c>
      <c r="B1012">
        <v>2016</v>
      </c>
      <c r="C1012">
        <v>3</v>
      </c>
      <c r="D1012" s="2">
        <f>ff_portfolios25!D1012-ff_factors!$E1012</f>
        <v>4.2453999999999999E-2</v>
      </c>
      <c r="E1012" s="2">
        <f>ff_portfolios25!E1012-ff_factors!$E1012</f>
        <v>8.5512999999999992E-2</v>
      </c>
      <c r="F1012" s="2">
        <f>ff_portfolios25!F1012-ff_factors!$E1012</f>
        <v>6.6474999999999992E-2</v>
      </c>
      <c r="G1012" s="2">
        <f>ff_portfolios25!G1012-ff_factors!$E1012</f>
        <v>6.9936999999999999E-2</v>
      </c>
      <c r="H1012" s="2">
        <f>ff_portfolios25!H1012-ff_factors!$E1012</f>
        <v>6.5737999999999991E-2</v>
      </c>
      <c r="I1012" s="2">
        <f>ff_portfolios25!I1012-ff_factors!$E1012</f>
        <v>9.1199999999999989E-2</v>
      </c>
      <c r="J1012" s="2">
        <f>ff_portfolios25!J1012-ff_factors!$E1012</f>
        <v>7.6027999999999998E-2</v>
      </c>
      <c r="K1012" s="2">
        <f>ff_portfolios25!K1012-ff_factors!$E1012</f>
        <v>7.5531000000000001E-2</v>
      </c>
      <c r="L1012" s="2">
        <f>ff_portfolios25!L1012-ff_factors!$E1012</f>
        <v>7.4220999999999995E-2</v>
      </c>
      <c r="M1012" s="2">
        <f>ff_portfolios25!M1012-ff_factors!$E1012</f>
        <v>8.9462E-2</v>
      </c>
      <c r="N1012" s="2">
        <f>ff_portfolios25!N1012-ff_factors!$E1012</f>
        <v>5.6503000000000005E-2</v>
      </c>
      <c r="O1012" s="2">
        <f>ff_portfolios25!O1012-ff_factors!$E1012</f>
        <v>7.6064999999999994E-2</v>
      </c>
      <c r="P1012" s="2">
        <f>ff_portfolios25!P1012-ff_factors!$E1012</f>
        <v>8.1645999999999996E-2</v>
      </c>
      <c r="Q1012" s="2">
        <f>ff_portfolios25!Q1012-ff_factors!$E1012</f>
        <v>9.4463999999999992E-2</v>
      </c>
      <c r="R1012" s="2">
        <f>ff_portfolios25!R1012-ff_factors!$E1012</f>
        <v>0.11819299999999999</v>
      </c>
      <c r="S1012" s="2">
        <f>ff_portfolios25!S1012-ff_factors!$E1012</f>
        <v>8.2663E-2</v>
      </c>
      <c r="T1012" s="2">
        <f>ff_portfolios25!T1012-ff_factors!$E1012</f>
        <v>7.2114999999999999E-2</v>
      </c>
      <c r="U1012" s="2">
        <f>ff_portfolios25!U1012-ff_factors!$E1012</f>
        <v>9.7071999999999992E-2</v>
      </c>
      <c r="V1012" s="2">
        <f>ff_portfolios25!V1012-ff_factors!$E1012</f>
        <v>8.4451999999999999E-2</v>
      </c>
      <c r="W1012" s="2">
        <f>ff_portfolios25!W1012-ff_factors!$E1012</f>
        <v>9.9065999999999987E-2</v>
      </c>
      <c r="X1012" s="2">
        <f>ff_portfolios25!X1012-ff_factors!$E1012</f>
        <v>6.5290000000000001E-2</v>
      </c>
      <c r="Y1012" s="2">
        <f>ff_portfolios25!Y1012-ff_factors!$E1012</f>
        <v>6.3826999999999995E-2</v>
      </c>
      <c r="Z1012" s="2">
        <f>ff_portfolios25!Z1012-ff_factors!$E1012</f>
        <v>6.13E-2</v>
      </c>
      <c r="AA1012" s="2">
        <f>ff_portfolios25!AA1012-ff_factors!$E1012</f>
        <v>7.4846999999999997E-2</v>
      </c>
      <c r="AB1012" s="2">
        <f>ff_portfolios25!AB1012-ff_factors!$E1012</f>
        <v>7.6125999999999999E-2</v>
      </c>
    </row>
    <row r="1013" spans="1:28" x14ac:dyDescent="0.2">
      <c r="A1013">
        <v>20160429</v>
      </c>
      <c r="B1013">
        <v>2016</v>
      </c>
      <c r="C1013">
        <v>4</v>
      </c>
      <c r="D1013" s="2">
        <f>ff_portfolios25!D1013-ff_factors!$E1013</f>
        <v>2.1261000000000002E-2</v>
      </c>
      <c r="E1013" s="2">
        <f>ff_portfolios25!E1013-ff_factors!$E1013</f>
        <v>3.5776999999999996E-2</v>
      </c>
      <c r="F1013" s="2">
        <f>ff_portfolios25!F1013-ff_factors!$E1013</f>
        <v>2.0471E-2</v>
      </c>
      <c r="G1013" s="2">
        <f>ff_portfolios25!G1013-ff_factors!$E1013</f>
        <v>1.7266E-2</v>
      </c>
      <c r="H1013" s="2">
        <f>ff_portfolios25!H1013-ff_factors!$E1013</f>
        <v>5.9305999999999998E-2</v>
      </c>
      <c r="I1013" s="2">
        <f>ff_portfolios25!I1013-ff_factors!$E1013</f>
        <v>5.1468E-2</v>
      </c>
      <c r="J1013" s="2">
        <f>ff_portfolios25!J1013-ff_factors!$E1013</f>
        <v>-3.954E-3</v>
      </c>
      <c r="K1013" s="2">
        <f>ff_portfolios25!K1013-ff_factors!$E1013</f>
        <v>-3.6379999999999997E-3</v>
      </c>
      <c r="L1013" s="2">
        <f>ff_portfolios25!L1013-ff_factors!$E1013</f>
        <v>3.3918999999999998E-2</v>
      </c>
      <c r="M1013" s="2">
        <f>ff_portfolios25!M1013-ff_factors!$E1013</f>
        <v>2.9323999999999999E-2</v>
      </c>
      <c r="N1013" s="2">
        <f>ff_portfolios25!N1013-ff_factors!$E1013</f>
        <v>6.9889999999999996E-3</v>
      </c>
      <c r="O1013" s="2">
        <f>ff_portfolios25!O1013-ff_factors!$E1013</f>
        <v>-3.3409999999999998E-3</v>
      </c>
      <c r="P1013" s="2">
        <f>ff_portfolios25!P1013-ff_factors!$E1013</f>
        <v>1.2282000000000001E-2</v>
      </c>
      <c r="Q1013" s="2">
        <f>ff_portfolios25!Q1013-ff_factors!$E1013</f>
        <v>3.7676999999999995E-2</v>
      </c>
      <c r="R1013" s="2">
        <f>ff_portfolios25!R1013-ff_factors!$E1013</f>
        <v>4.7161999999999996E-2</v>
      </c>
      <c r="S1013" s="2">
        <f>ff_portfolios25!S1013-ff_factors!$E1013</f>
        <v>1.7868000000000002E-2</v>
      </c>
      <c r="T1013" s="2">
        <f>ff_portfolios25!T1013-ff_factors!$E1013</f>
        <v>4.4689999999999999E-3</v>
      </c>
      <c r="U1013" s="2">
        <f>ff_portfolios25!U1013-ff_factors!$E1013</f>
        <v>2.5652000000000001E-2</v>
      </c>
      <c r="V1013" s="2">
        <f>ff_portfolios25!V1013-ff_factors!$E1013</f>
        <v>8.43E-3</v>
      </c>
      <c r="W1013" s="2">
        <f>ff_portfolios25!W1013-ff_factors!$E1013</f>
        <v>5.4092999999999995E-2</v>
      </c>
      <c r="X1013" s="2">
        <f>ff_portfolios25!X1013-ff_factors!$E1013</f>
        <v>-7.561E-3</v>
      </c>
      <c r="Y1013" s="2">
        <f>ff_portfolios25!Y1013-ff_factors!$E1013</f>
        <v>-1.0464999999999999E-2</v>
      </c>
      <c r="Z1013" s="2">
        <f>ff_portfolios25!Z1013-ff_factors!$E1013</f>
        <v>3.6114999999999994E-2</v>
      </c>
      <c r="AA1013" s="2">
        <f>ff_portfolios25!AA1013-ff_factors!$E1013</f>
        <v>1.5504E-2</v>
      </c>
      <c r="AB1013" s="2">
        <f>ff_portfolios25!AB1013-ff_factors!$E1013</f>
        <v>7.1244000000000002E-2</v>
      </c>
    </row>
    <row r="1014" spans="1:28" x14ac:dyDescent="0.2">
      <c r="A1014">
        <v>20160531</v>
      </c>
      <c r="B1014">
        <v>2016</v>
      </c>
      <c r="C1014">
        <v>5</v>
      </c>
      <c r="D1014" s="2">
        <f>ff_portfolios25!D1014-ff_factors!$E1014</f>
        <v>6.8919999999999997E-3</v>
      </c>
      <c r="E1014" s="2">
        <f>ff_portfolios25!E1014-ff_factors!$E1014</f>
        <v>2.2554000000000001E-2</v>
      </c>
      <c r="F1014" s="2">
        <f>ff_portfolios25!F1014-ff_factors!$E1014</f>
        <v>1.4328E-2</v>
      </c>
      <c r="G1014" s="2">
        <f>ff_portfolios25!G1014-ff_factors!$E1014</f>
        <v>-9.8160000000000001E-3</v>
      </c>
      <c r="H1014" s="2">
        <f>ff_portfolios25!H1014-ff_factors!$E1014</f>
        <v>-1.2123999999999999E-2</v>
      </c>
      <c r="I1014" s="2">
        <f>ff_portfolios25!I1014-ff_factors!$E1014</f>
        <v>3.9240999999999998E-2</v>
      </c>
      <c r="J1014" s="2">
        <f>ff_portfolios25!J1014-ff_factors!$E1014</f>
        <v>2.2225999999999999E-2</v>
      </c>
      <c r="K1014" s="2">
        <f>ff_portfolios25!K1014-ff_factors!$E1014</f>
        <v>9.2919999999999999E-3</v>
      </c>
      <c r="L1014" s="2">
        <f>ff_portfolios25!L1014-ff_factors!$E1014</f>
        <v>1.8862E-2</v>
      </c>
      <c r="M1014" s="2">
        <f>ff_portfolios25!M1014-ff_factors!$E1014</f>
        <v>1.1397000000000001E-2</v>
      </c>
      <c r="N1014" s="2">
        <f>ff_portfolios25!N1014-ff_factors!$E1014</f>
        <v>3.4124999999999996E-2</v>
      </c>
      <c r="O1014" s="2">
        <f>ff_portfolios25!O1014-ff_factors!$E1014</f>
        <v>1.6289000000000001E-2</v>
      </c>
      <c r="P1014" s="2">
        <f>ff_portfolios25!P1014-ff_factors!$E1014</f>
        <v>6.339E-3</v>
      </c>
      <c r="Q1014" s="2">
        <f>ff_portfolios25!Q1014-ff_factors!$E1014</f>
        <v>5.0199999999999995E-4</v>
      </c>
      <c r="R1014" s="2">
        <f>ff_portfolios25!R1014-ff_factors!$E1014</f>
        <v>7.3629999999999998E-3</v>
      </c>
      <c r="S1014" s="2">
        <f>ff_portfolios25!S1014-ff_factors!$E1014</f>
        <v>3.1928999999999999E-2</v>
      </c>
      <c r="T1014" s="2">
        <f>ff_portfolios25!T1014-ff_factors!$E1014</f>
        <v>2.0329E-2</v>
      </c>
      <c r="U1014" s="2">
        <f>ff_portfolios25!U1014-ff_factors!$E1014</f>
        <v>4.4254999999999996E-2</v>
      </c>
      <c r="V1014" s="2">
        <f>ff_portfolios25!V1014-ff_factors!$E1014</f>
        <v>2.2180999999999999E-2</v>
      </c>
      <c r="W1014" s="2">
        <f>ff_portfolios25!W1014-ff_factors!$E1014</f>
        <v>2.1543E-2</v>
      </c>
      <c r="X1014" s="2">
        <f>ff_portfolios25!X1014-ff_factors!$E1014</f>
        <v>1.8152000000000001E-2</v>
      </c>
      <c r="Y1014" s="2">
        <f>ff_portfolios25!Y1014-ff_factors!$E1014</f>
        <v>2.0621E-2</v>
      </c>
      <c r="Z1014" s="2">
        <f>ff_portfolios25!Z1014-ff_factors!$E1014</f>
        <v>2.6641999999999999E-2</v>
      </c>
      <c r="AA1014" s="2">
        <f>ff_portfolios25!AA1014-ff_factors!$E1014</f>
        <v>-3.215E-3</v>
      </c>
      <c r="AB1014" s="2">
        <f>ff_portfolios25!AB1014-ff_factors!$E1014</f>
        <v>1.4828000000000001E-2</v>
      </c>
    </row>
    <row r="1015" spans="1:28" x14ac:dyDescent="0.2">
      <c r="A1015">
        <v>20160630</v>
      </c>
      <c r="B1015">
        <v>2016</v>
      </c>
      <c r="C1015">
        <v>6</v>
      </c>
      <c r="D1015" s="2">
        <f>ff_portfolios25!D1015-ff_factors!$E1015</f>
        <v>-4.1708000000000002E-2</v>
      </c>
      <c r="E1015" s="2">
        <f>ff_portfolios25!E1015-ff_factors!$E1015</f>
        <v>-1.6125E-2</v>
      </c>
      <c r="F1015" s="2">
        <f>ff_portfolios25!F1015-ff_factors!$E1015</f>
        <v>-2.457E-3</v>
      </c>
      <c r="G1015" s="2">
        <f>ff_portfolios25!G1015-ff_factors!$E1015</f>
        <v>2.8579999999999999E-3</v>
      </c>
      <c r="H1015" s="2">
        <f>ff_portfolios25!H1015-ff_factors!$E1015</f>
        <v>1.3219999999999999E-2</v>
      </c>
      <c r="I1015" s="2">
        <f>ff_portfolios25!I1015-ff_factors!$E1015</f>
        <v>3.225E-3</v>
      </c>
      <c r="J1015" s="2">
        <f>ff_portfolios25!J1015-ff_factors!$E1015</f>
        <v>6.9290000000000003E-3</v>
      </c>
      <c r="K1015" s="2">
        <f>ff_portfolios25!K1015-ff_factors!$E1015</f>
        <v>-1.14E-2</v>
      </c>
      <c r="L1015" s="2">
        <f>ff_portfolios25!L1015-ff_factors!$E1015</f>
        <v>-1.3376000000000001E-2</v>
      </c>
      <c r="M1015" s="2">
        <f>ff_portfolios25!M1015-ff_factors!$E1015</f>
        <v>-2.4659999999999999E-3</v>
      </c>
      <c r="N1015" s="2">
        <f>ff_portfolios25!N1015-ff_factors!$E1015</f>
        <v>9.7789999999999995E-3</v>
      </c>
      <c r="O1015" s="2">
        <f>ff_portfolios25!O1015-ff_factors!$E1015</f>
        <v>-2.0531999999999998E-2</v>
      </c>
      <c r="P1015" s="2">
        <f>ff_portfolios25!P1015-ff_factors!$E1015</f>
        <v>-2.0300000000000001E-3</v>
      </c>
      <c r="Q1015" s="2">
        <f>ff_portfolios25!Q1015-ff_factors!$E1015</f>
        <v>-2.5709999999999999E-3</v>
      </c>
      <c r="R1015" s="2">
        <f>ff_portfolios25!R1015-ff_factors!$E1015</f>
        <v>-2.1086999999999998E-2</v>
      </c>
      <c r="S1015" s="2">
        <f>ff_portfolios25!S1015-ff_factors!$E1015</f>
        <v>-9.8270000000000007E-3</v>
      </c>
      <c r="T1015" s="2">
        <f>ff_portfolios25!T1015-ff_factors!$E1015</f>
        <v>-1.4536E-2</v>
      </c>
      <c r="U1015" s="2">
        <f>ff_portfolios25!U1015-ff_factors!$E1015</f>
        <v>-9.7640000000000001E-3</v>
      </c>
      <c r="V1015" s="2">
        <f>ff_portfolios25!V1015-ff_factors!$E1015</f>
        <v>3.6149999999999997E-3</v>
      </c>
      <c r="W1015" s="2">
        <f>ff_portfolios25!W1015-ff_factors!$E1015</f>
        <v>-4.5009E-2</v>
      </c>
      <c r="X1015" s="2">
        <f>ff_portfolios25!X1015-ff_factors!$E1015</f>
        <v>-2.0739999999999999E-3</v>
      </c>
      <c r="Y1015" s="2">
        <f>ff_portfolios25!Y1015-ff_factors!$E1015</f>
        <v>2.9979999999999998E-3</v>
      </c>
      <c r="Z1015" s="2">
        <f>ff_portfolios25!Z1015-ff_factors!$E1015</f>
        <v>1.4069E-2</v>
      </c>
      <c r="AA1015" s="2">
        <f>ff_portfolios25!AA1015-ff_factors!$E1015</f>
        <v>2.2042000000000003E-2</v>
      </c>
      <c r="AB1015" s="2">
        <f>ff_portfolios25!AB1015-ff_factors!$E1015</f>
        <v>-6.5711000000000006E-2</v>
      </c>
    </row>
    <row r="1016" spans="1:28" x14ac:dyDescent="0.2">
      <c r="A1016">
        <v>20160729</v>
      </c>
      <c r="B1016">
        <v>2016</v>
      </c>
      <c r="C1016">
        <v>7</v>
      </c>
      <c r="D1016" s="2">
        <f>ff_portfolios25!D1016-ff_factors!$E1016</f>
        <v>4.7722000000000001E-2</v>
      </c>
      <c r="E1016" s="2">
        <f>ff_portfolios25!E1016-ff_factors!$E1016</f>
        <v>6.0444999999999999E-2</v>
      </c>
      <c r="F1016" s="2">
        <f>ff_portfolios25!F1016-ff_factors!$E1016</f>
        <v>6.7996000000000001E-2</v>
      </c>
      <c r="G1016" s="2">
        <f>ff_portfolios25!G1016-ff_factors!$E1016</f>
        <v>4.7945000000000002E-2</v>
      </c>
      <c r="H1016" s="2">
        <f>ff_portfolios25!H1016-ff_factors!$E1016</f>
        <v>5.9744999999999999E-2</v>
      </c>
      <c r="I1016" s="2">
        <f>ff_portfolios25!I1016-ff_factors!$E1016</f>
        <v>8.4755999999999998E-2</v>
      </c>
      <c r="J1016" s="2">
        <f>ff_portfolios25!J1016-ff_factors!$E1016</f>
        <v>6.5985999999999989E-2</v>
      </c>
      <c r="K1016" s="2">
        <f>ff_portfolios25!K1016-ff_factors!$E1016</f>
        <v>6.191E-2</v>
      </c>
      <c r="L1016" s="2">
        <f>ff_portfolios25!L1016-ff_factors!$E1016</f>
        <v>4.4971999999999998E-2</v>
      </c>
      <c r="M1016" s="2">
        <f>ff_portfolios25!M1016-ff_factors!$E1016</f>
        <v>6.6492999999999997E-2</v>
      </c>
      <c r="N1016" s="2">
        <f>ff_portfolios25!N1016-ff_factors!$E1016</f>
        <v>7.2608999999999993E-2</v>
      </c>
      <c r="O1016" s="2">
        <f>ff_portfolios25!O1016-ff_factors!$E1016</f>
        <v>4.7227999999999999E-2</v>
      </c>
      <c r="P1016" s="2">
        <f>ff_portfolios25!P1016-ff_factors!$E1016</f>
        <v>5.8979000000000004E-2</v>
      </c>
      <c r="Q1016" s="2">
        <f>ff_portfolios25!Q1016-ff_factors!$E1016</f>
        <v>4.3561000000000002E-2</v>
      </c>
      <c r="R1016" s="2">
        <f>ff_portfolios25!R1016-ff_factors!$E1016</f>
        <v>6.4999999999999988E-2</v>
      </c>
      <c r="S1016" s="2">
        <f>ff_portfolios25!S1016-ff_factors!$E1016</f>
        <v>5.2582000000000004E-2</v>
      </c>
      <c r="T1016" s="2">
        <f>ff_portfolios25!T1016-ff_factors!$E1016</f>
        <v>4.1855000000000003E-2</v>
      </c>
      <c r="U1016" s="2">
        <f>ff_portfolios25!U1016-ff_factors!$E1016</f>
        <v>3.2004000000000005E-2</v>
      </c>
      <c r="V1016" s="2">
        <f>ff_portfolios25!V1016-ff_factors!$E1016</f>
        <v>1.8562000000000002E-2</v>
      </c>
      <c r="W1016" s="2">
        <f>ff_portfolios25!W1016-ff_factors!$E1016</f>
        <v>6.6908999999999996E-2</v>
      </c>
      <c r="X1016" s="2">
        <f>ff_portfolios25!X1016-ff_factors!$E1016</f>
        <v>5.0414E-2</v>
      </c>
      <c r="Y1016" s="2">
        <f>ff_portfolios25!Y1016-ff_factors!$E1016</f>
        <v>3.3876000000000003E-2</v>
      </c>
      <c r="Z1016" s="2">
        <f>ff_portfolios25!Z1016-ff_factors!$E1016</f>
        <v>1.9129E-2</v>
      </c>
      <c r="AA1016" s="2">
        <f>ff_portfolios25!AA1016-ff_factors!$E1016</f>
        <v>1.2782E-2</v>
      </c>
      <c r="AB1016" s="2">
        <f>ff_portfolios25!AB1016-ff_factors!$E1016</f>
        <v>4.6700999999999999E-2</v>
      </c>
    </row>
    <row r="1017" spans="1:28" x14ac:dyDescent="0.2">
      <c r="A1017">
        <v>20160831</v>
      </c>
      <c r="B1017">
        <v>2016</v>
      </c>
      <c r="C1017">
        <v>8</v>
      </c>
      <c r="D1017" s="2">
        <f>ff_portfolios25!D1017-ff_factors!$E1017</f>
        <v>2.5570000000000002E-2</v>
      </c>
      <c r="E1017" s="2">
        <f>ff_portfolios25!E1017-ff_factors!$E1017</f>
        <v>3.5701000000000004E-2</v>
      </c>
      <c r="F1017" s="2">
        <f>ff_portfolios25!F1017-ff_factors!$E1017</f>
        <v>3.9192000000000005E-2</v>
      </c>
      <c r="G1017" s="2">
        <f>ff_portfolios25!G1017-ff_factors!$E1017</f>
        <v>4.4940000000000001E-2</v>
      </c>
      <c r="H1017" s="2">
        <f>ff_portfolios25!H1017-ff_factors!$E1017</f>
        <v>2.9676000000000001E-2</v>
      </c>
      <c r="I1017" s="2">
        <f>ff_portfolios25!I1017-ff_factors!$E1017</f>
        <v>6.9200000000000002E-4</v>
      </c>
      <c r="J1017" s="2">
        <f>ff_portfolios25!J1017-ff_factors!$E1017</f>
        <v>2.7588000000000001E-2</v>
      </c>
      <c r="K1017" s="2">
        <f>ff_portfolios25!K1017-ff_factors!$E1017</f>
        <v>2.1513000000000001E-2</v>
      </c>
      <c r="L1017" s="2">
        <f>ff_portfolios25!L1017-ff_factors!$E1017</f>
        <v>3.3188000000000002E-2</v>
      </c>
      <c r="M1017" s="2">
        <f>ff_portfolios25!M1017-ff_factors!$E1017</f>
        <v>3.1969999999999998E-2</v>
      </c>
      <c r="N1017" s="2">
        <f>ff_portfolios25!N1017-ff_factors!$E1017</f>
        <v>-9.947000000000001E-3</v>
      </c>
      <c r="O1017" s="2">
        <f>ff_portfolios25!O1017-ff_factors!$E1017</f>
        <v>2.3091E-2</v>
      </c>
      <c r="P1017" s="2">
        <f>ff_portfolios25!P1017-ff_factors!$E1017</f>
        <v>3.6125999999999998E-2</v>
      </c>
      <c r="Q1017" s="2">
        <f>ff_portfolios25!Q1017-ff_factors!$E1017</f>
        <v>2.4098000000000001E-2</v>
      </c>
      <c r="R1017" s="2">
        <f>ff_portfolios25!R1017-ff_factors!$E1017</f>
        <v>1.2999999999999999E-2</v>
      </c>
      <c r="S1017" s="2">
        <f>ff_portfolios25!S1017-ff_factors!$E1017</f>
        <v>1.3313E-2</v>
      </c>
      <c r="T1017" s="2">
        <f>ff_portfolios25!T1017-ff_factors!$E1017</f>
        <v>8.0579999999999992E-3</v>
      </c>
      <c r="U1017" s="2">
        <f>ff_portfolios25!U1017-ff_factors!$E1017</f>
        <v>1.9113000000000002E-2</v>
      </c>
      <c r="V1017" s="2">
        <f>ff_portfolios25!V1017-ff_factors!$E1017</f>
        <v>-3.6110000000000001E-3</v>
      </c>
      <c r="W1017" s="2">
        <f>ff_portfolios25!W1017-ff_factors!$E1017</f>
        <v>4.9850999999999999E-2</v>
      </c>
      <c r="X1017" s="2">
        <f>ff_portfolios25!X1017-ff_factors!$E1017</f>
        <v>-7.0669999999999995E-3</v>
      </c>
      <c r="Y1017" s="2">
        <f>ff_portfolios25!Y1017-ff_factors!$E1017</f>
        <v>-4.0999999999999995E-3</v>
      </c>
      <c r="Z1017" s="2">
        <f>ff_portfolios25!Z1017-ff_factors!$E1017</f>
        <v>5.6180000000000006E-3</v>
      </c>
      <c r="AA1017" s="2">
        <f>ff_portfolios25!AA1017-ff_factors!$E1017</f>
        <v>1.8026E-2</v>
      </c>
      <c r="AB1017" s="2">
        <f>ff_portfolios25!AB1017-ff_factors!$E1017</f>
        <v>4.3459000000000005E-2</v>
      </c>
    </row>
    <row r="1018" spans="1:28" x14ac:dyDescent="0.2">
      <c r="A1018">
        <v>20160930</v>
      </c>
      <c r="B1018">
        <v>2016</v>
      </c>
      <c r="C1018">
        <v>9</v>
      </c>
      <c r="D1018" s="2">
        <f>ff_portfolios25!D1018-ff_factors!$E1018</f>
        <v>0.11190699999999999</v>
      </c>
      <c r="E1018" s="2">
        <f>ff_portfolios25!E1018-ff_factors!$E1018</f>
        <v>3.1441000000000004E-2</v>
      </c>
      <c r="F1018" s="2">
        <f>ff_portfolios25!F1018-ff_factors!$E1018</f>
        <v>4.0703000000000003E-2</v>
      </c>
      <c r="G1018" s="2">
        <f>ff_portfolios25!G1018-ff_factors!$E1018</f>
        <v>2.7548E-2</v>
      </c>
      <c r="H1018" s="2">
        <f>ff_portfolios25!H1018-ff_factors!$E1018</f>
        <v>1.7405E-2</v>
      </c>
      <c r="I1018" s="2">
        <f>ff_portfolios25!I1018-ff_factors!$E1018</f>
        <v>5.5980000000000002E-2</v>
      </c>
      <c r="J1018" s="2">
        <f>ff_portfolios25!J1018-ff_factors!$E1018</f>
        <v>2.0815E-2</v>
      </c>
      <c r="K1018" s="2">
        <f>ff_portfolios25!K1018-ff_factors!$E1018</f>
        <v>1.1871E-2</v>
      </c>
      <c r="L1018" s="2">
        <f>ff_portfolios25!L1018-ff_factors!$E1018</f>
        <v>-4.7239999999999999E-3</v>
      </c>
      <c r="M1018" s="2">
        <f>ff_portfolios25!M1018-ff_factors!$E1018</f>
        <v>2.1846000000000001E-2</v>
      </c>
      <c r="N1018" s="2">
        <f>ff_portfolios25!N1018-ff_factors!$E1018</f>
        <v>-2.738E-3</v>
      </c>
      <c r="O1018" s="2">
        <f>ff_portfolios25!O1018-ff_factors!$E1018</f>
        <v>-5.6099999999999998E-4</v>
      </c>
      <c r="P1018" s="2">
        <f>ff_portfolios25!P1018-ff_factors!$E1018</f>
        <v>5.3200000000000001E-3</v>
      </c>
      <c r="Q1018" s="2">
        <f>ff_portfolios25!Q1018-ff_factors!$E1018</f>
        <v>1.0778999999999999E-2</v>
      </c>
      <c r="R1018" s="2">
        <f>ff_portfolios25!R1018-ff_factors!$E1018</f>
        <v>1.6420000000000001E-2</v>
      </c>
      <c r="S1018" s="2">
        <f>ff_portfolios25!S1018-ff_factors!$E1018</f>
        <v>-1.0350000000000001E-3</v>
      </c>
      <c r="T1018" s="2">
        <f>ff_portfolios25!T1018-ff_factors!$E1018</f>
        <v>-3.0479999999999999E-3</v>
      </c>
      <c r="U1018" s="2">
        <f>ff_portfolios25!U1018-ff_factors!$E1018</f>
        <v>6.607E-3</v>
      </c>
      <c r="V1018" s="2">
        <f>ff_portfolios25!V1018-ff_factors!$E1018</f>
        <v>2.3010000000000001E-3</v>
      </c>
      <c r="W1018" s="2">
        <f>ff_portfolios25!W1018-ff_factors!$E1018</f>
        <v>-1.7740000000000002E-3</v>
      </c>
      <c r="X1018" s="2">
        <f>ff_portfolios25!X1018-ff_factors!$E1018</f>
        <v>4.568E-3</v>
      </c>
      <c r="Y1018" s="2">
        <f>ff_portfolios25!Y1018-ff_factors!$E1018</f>
        <v>1.5759999999999999E-3</v>
      </c>
      <c r="Z1018" s="2">
        <f>ff_portfolios25!Z1018-ff_factors!$E1018</f>
        <v>1.1927999999999999E-2</v>
      </c>
      <c r="AA1018" s="2">
        <f>ff_portfolios25!AA1018-ff_factors!$E1018</f>
        <v>-2.4357E-2</v>
      </c>
      <c r="AB1018" s="2">
        <f>ff_portfolios25!AB1018-ff_factors!$E1018</f>
        <v>6.8690000000000001E-3</v>
      </c>
    </row>
    <row r="1019" spans="1:28" x14ac:dyDescent="0.2">
      <c r="A1019">
        <v>20161031</v>
      </c>
      <c r="B1019">
        <v>2016</v>
      </c>
      <c r="C1019">
        <v>10</v>
      </c>
      <c r="D1019" s="2">
        <f>ff_portfolios25!D1019-ff_factors!$E1019</f>
        <v>-0.104811</v>
      </c>
      <c r="E1019" s="2">
        <f>ff_portfolios25!E1019-ff_factors!$E1019</f>
        <v>-9.4104000000000007E-2</v>
      </c>
      <c r="F1019" s="2">
        <f>ff_portfolios25!F1019-ff_factors!$E1019</f>
        <v>-6.6036000000000011E-2</v>
      </c>
      <c r="G1019" s="2">
        <f>ff_portfolios25!G1019-ff_factors!$E1019</f>
        <v>-3.2825E-2</v>
      </c>
      <c r="H1019" s="2">
        <f>ff_portfolios25!H1019-ff_factors!$E1019</f>
        <v>-3.4374000000000002E-2</v>
      </c>
      <c r="I1019" s="2">
        <f>ff_portfolios25!I1019-ff_factors!$E1019</f>
        <v>-0.100123</v>
      </c>
      <c r="J1019" s="2">
        <f>ff_portfolios25!J1019-ff_factors!$E1019</f>
        <v>-7.0909E-2</v>
      </c>
      <c r="K1019" s="2">
        <f>ff_portfolios25!K1019-ff_factors!$E1019</f>
        <v>-5.5587999999999999E-2</v>
      </c>
      <c r="L1019" s="2">
        <f>ff_portfolios25!L1019-ff_factors!$E1019</f>
        <v>-2.5443E-2</v>
      </c>
      <c r="M1019" s="2">
        <f>ff_portfolios25!M1019-ff_factors!$E1019</f>
        <v>-4.9495999999999998E-2</v>
      </c>
      <c r="N1019" s="2">
        <f>ff_portfolios25!N1019-ff_factors!$E1019</f>
        <v>-5.2012999999999997E-2</v>
      </c>
      <c r="O1019" s="2">
        <f>ff_portfolios25!O1019-ff_factors!$E1019</f>
        <v>-4.9640999999999998E-2</v>
      </c>
      <c r="P1019" s="2">
        <f>ff_portfolios25!P1019-ff_factors!$E1019</f>
        <v>-2.6782999999999998E-2</v>
      </c>
      <c r="Q1019" s="2">
        <f>ff_portfolios25!Q1019-ff_factors!$E1019</f>
        <v>-2.6494E-2</v>
      </c>
      <c r="R1019" s="2">
        <f>ff_portfolios25!R1019-ff_factors!$E1019</f>
        <v>-4.1382000000000002E-2</v>
      </c>
      <c r="S1019" s="2">
        <f>ff_portfolios25!S1019-ff_factors!$E1019</f>
        <v>-3.3860000000000001E-2</v>
      </c>
      <c r="T1019" s="2">
        <f>ff_portfolios25!T1019-ff_factors!$E1019</f>
        <v>-1.8327999999999997E-2</v>
      </c>
      <c r="U1019" s="2">
        <f>ff_portfolios25!U1019-ff_factors!$E1019</f>
        <v>-1.0450000000000001E-2</v>
      </c>
      <c r="V1019" s="2">
        <f>ff_portfolios25!V1019-ff_factors!$E1019</f>
        <v>-1.9352999999999999E-2</v>
      </c>
      <c r="W1019" s="2">
        <f>ff_portfolios25!W1019-ff_factors!$E1019</f>
        <v>-4.385E-3</v>
      </c>
      <c r="X1019" s="2">
        <f>ff_portfolios25!X1019-ff_factors!$E1019</f>
        <v>-2.4337999999999999E-2</v>
      </c>
      <c r="Y1019" s="2">
        <f>ff_portfolios25!Y1019-ff_factors!$E1019</f>
        <v>-2.0211E-2</v>
      </c>
      <c r="Z1019" s="2">
        <f>ff_portfolios25!Z1019-ff_factors!$E1019</f>
        <v>-1.3914000000000001E-2</v>
      </c>
      <c r="AA1019" s="2">
        <f>ff_portfolios25!AA1019-ff_factors!$E1019</f>
        <v>1.0449999999999999E-3</v>
      </c>
      <c r="AB1019" s="2">
        <f>ff_portfolios25!AB1019-ff_factors!$E1019</f>
        <v>1.7072E-2</v>
      </c>
    </row>
    <row r="1020" spans="1:28" x14ac:dyDescent="0.2">
      <c r="A1020">
        <v>20161130</v>
      </c>
      <c r="B1020">
        <v>2016</v>
      </c>
      <c r="C1020">
        <v>11</v>
      </c>
      <c r="D1020" s="2">
        <f>ff_portfolios25!D1020-ff_factors!$E1020</f>
        <v>7.6892000000000002E-2</v>
      </c>
      <c r="E1020" s="2">
        <f>ff_portfolios25!E1020-ff_factors!$E1020</f>
        <v>9.2672999999999991E-2</v>
      </c>
      <c r="F1020" s="2">
        <f>ff_portfolios25!F1020-ff_factors!$E1020</f>
        <v>0.133052</v>
      </c>
      <c r="G1020" s="2">
        <f>ff_portfolios25!G1020-ff_factors!$E1020</f>
        <v>0.134549</v>
      </c>
      <c r="H1020" s="2">
        <f>ff_portfolios25!H1020-ff_factors!$E1020</f>
        <v>0.13212500000000002</v>
      </c>
      <c r="I1020" s="2">
        <f>ff_portfolios25!I1020-ff_factors!$E1020</f>
        <v>9.7299999999999998E-2</v>
      </c>
      <c r="J1020" s="2">
        <f>ff_portfolios25!J1020-ff_factors!$E1020</f>
        <v>0.10507</v>
      </c>
      <c r="K1020" s="2">
        <f>ff_portfolios25!K1020-ff_factors!$E1020</f>
        <v>0.12439499999999999</v>
      </c>
      <c r="L1020" s="2">
        <f>ff_portfolios25!L1020-ff_factors!$E1020</f>
        <v>0.162441</v>
      </c>
      <c r="M1020" s="2">
        <f>ff_portfolios25!M1020-ff_factors!$E1020</f>
        <v>0.136684</v>
      </c>
      <c r="N1020" s="2">
        <f>ff_portfolios25!N1020-ff_factors!$E1020</f>
        <v>5.5605999999999996E-2</v>
      </c>
      <c r="O1020" s="2">
        <f>ff_portfolios25!O1020-ff_factors!$E1020</f>
        <v>8.3638999999999991E-2</v>
      </c>
      <c r="P1020" s="2">
        <f>ff_portfolios25!P1020-ff_factors!$E1020</f>
        <v>0.10298399999999999</v>
      </c>
      <c r="Q1020" s="2">
        <f>ff_portfolios25!Q1020-ff_factors!$E1020</f>
        <v>0.13750100000000001</v>
      </c>
      <c r="R1020" s="2">
        <f>ff_portfolios25!R1020-ff_factors!$E1020</f>
        <v>0.17382300000000001</v>
      </c>
      <c r="S1020" s="2">
        <f>ff_portfolios25!S1020-ff_factors!$E1020</f>
        <v>3.8310999999999998E-2</v>
      </c>
      <c r="T1020" s="2">
        <f>ff_portfolios25!T1020-ff_factors!$E1020</f>
        <v>6.6445000000000004E-2</v>
      </c>
      <c r="U1020" s="2">
        <f>ff_portfolios25!U1020-ff_factors!$E1020</f>
        <v>7.0882000000000001E-2</v>
      </c>
      <c r="V1020" s="2">
        <f>ff_portfolios25!V1020-ff_factors!$E1020</f>
        <v>8.3513000000000004E-2</v>
      </c>
      <c r="W1020" s="2">
        <f>ff_portfolios25!W1020-ff_factors!$E1020</f>
        <v>0.155278</v>
      </c>
      <c r="X1020" s="2">
        <f>ff_portfolios25!X1020-ff_factors!$E1020</f>
        <v>8.6449999999999999E-3</v>
      </c>
      <c r="Y1020" s="2">
        <f>ff_portfolios25!Y1020-ff_factors!$E1020</f>
        <v>3.8399999999999997E-2</v>
      </c>
      <c r="Z1020" s="2">
        <f>ff_portfolios25!Z1020-ff_factors!$E1020</f>
        <v>4.5746999999999996E-2</v>
      </c>
      <c r="AA1020" s="2">
        <f>ff_portfolios25!AA1020-ff_factors!$E1020</f>
        <v>7.4446999999999999E-2</v>
      </c>
      <c r="AB1020" s="2">
        <f>ff_portfolios25!AB1020-ff_factors!$E1020</f>
        <v>0.13631800000000002</v>
      </c>
    </row>
    <row r="1021" spans="1:28" x14ac:dyDescent="0.2">
      <c r="A1021">
        <v>20161230</v>
      </c>
      <c r="B1021">
        <v>2016</v>
      </c>
      <c r="C1021">
        <v>12</v>
      </c>
      <c r="D1021" s="2">
        <f>ff_portfolios25!D1021-ff_factors!$E1021</f>
        <v>1.5571E-2</v>
      </c>
      <c r="E1021" s="2">
        <f>ff_portfolios25!E1021-ff_factors!$E1021</f>
        <v>3.5744999999999999E-2</v>
      </c>
      <c r="F1021" s="2">
        <f>ff_portfolios25!F1021-ff_factors!$E1021</f>
        <v>2.3091999999999998E-2</v>
      </c>
      <c r="G1021" s="2">
        <f>ff_portfolios25!G1021-ff_factors!$E1021</f>
        <v>7.9702000000000009E-2</v>
      </c>
      <c r="H1021" s="2">
        <f>ff_portfolios25!H1021-ff_factors!$E1021</f>
        <v>4.5224E-2</v>
      </c>
      <c r="I1021" s="2">
        <f>ff_portfolios25!I1021-ff_factors!$E1021</f>
        <v>-3.2751000000000002E-2</v>
      </c>
      <c r="J1021" s="2">
        <f>ff_portfolios25!J1021-ff_factors!$E1021</f>
        <v>1.5244000000000001E-2</v>
      </c>
      <c r="K1021" s="2">
        <f>ff_portfolios25!K1021-ff_factors!$E1021</f>
        <v>2.5189999999999997E-2</v>
      </c>
      <c r="L1021" s="2">
        <f>ff_portfolios25!L1021-ff_factors!$E1021</f>
        <v>4.9458999999999996E-2</v>
      </c>
      <c r="M1021" s="2">
        <f>ff_portfolios25!M1021-ff_factors!$E1021</f>
        <v>3.6433E-2</v>
      </c>
      <c r="N1021" s="2">
        <f>ff_portfolios25!N1021-ff_factors!$E1021</f>
        <v>4.4540000000000005E-3</v>
      </c>
      <c r="O1021" s="2">
        <f>ff_portfolios25!O1021-ff_factors!$E1021</f>
        <v>1.8206E-2</v>
      </c>
      <c r="P1021" s="2">
        <f>ff_portfolios25!P1021-ff_factors!$E1021</f>
        <v>2.1985999999999999E-2</v>
      </c>
      <c r="Q1021" s="2">
        <f>ff_portfolios25!Q1021-ff_factors!$E1021</f>
        <v>2.2023999999999998E-2</v>
      </c>
      <c r="R1021" s="2">
        <f>ff_portfolios25!R1021-ff_factors!$E1021</f>
        <v>1.2015E-2</v>
      </c>
      <c r="S1021" s="2">
        <f>ff_portfolios25!S1021-ff_factors!$E1021</f>
        <v>-3.8070000000000001E-3</v>
      </c>
      <c r="T1021" s="2">
        <f>ff_portfolios25!T1021-ff_factors!$E1021</f>
        <v>3.5950000000000001E-3</v>
      </c>
      <c r="U1021" s="2">
        <f>ff_portfolios25!U1021-ff_factors!$E1021</f>
        <v>1.1301E-2</v>
      </c>
      <c r="V1021" s="2">
        <f>ff_portfolios25!V1021-ff_factors!$E1021</f>
        <v>1.2741000000000001E-2</v>
      </c>
      <c r="W1021" s="2">
        <f>ff_portfolios25!W1021-ff_factors!$E1021</f>
        <v>1.9408999999999999E-2</v>
      </c>
      <c r="X1021" s="2">
        <f>ff_portfolios25!X1021-ff_factors!$E1021</f>
        <v>1.2829999999999999E-2</v>
      </c>
      <c r="Y1021" s="2">
        <f>ff_portfolios25!Y1021-ff_factors!$E1021</f>
        <v>1.3239000000000001E-2</v>
      </c>
      <c r="Z1021" s="2">
        <f>ff_portfolios25!Z1021-ff_factors!$E1021</f>
        <v>1.5474E-2</v>
      </c>
      <c r="AA1021" s="2">
        <f>ff_portfolios25!AA1021-ff_factors!$E1021</f>
        <v>5.0837E-2</v>
      </c>
      <c r="AB1021" s="2">
        <f>ff_portfolios25!AB1021-ff_factors!$E1021</f>
        <v>3.3197999999999998E-2</v>
      </c>
    </row>
    <row r="1022" spans="1:28" x14ac:dyDescent="0.2">
      <c r="A1022">
        <v>20170131</v>
      </c>
      <c r="B1022">
        <v>2017</v>
      </c>
      <c r="C1022">
        <v>1</v>
      </c>
      <c r="D1022" s="2">
        <f>ff_portfolios25!D1022-ff_factors!$E1022</f>
        <v>1.5736999999999998E-2</v>
      </c>
      <c r="E1022" s="2">
        <f>ff_portfolios25!E1022-ff_factors!$E1022</f>
        <v>-3.8452999999999994E-2</v>
      </c>
      <c r="F1022" s="2">
        <f>ff_portfolios25!F1022-ff_factors!$E1022</f>
        <v>-1.81E-3</v>
      </c>
      <c r="G1022" s="2">
        <f>ff_portfolios25!G1022-ff_factors!$E1022</f>
        <v>-1.7482000000000001E-2</v>
      </c>
      <c r="H1022" s="2">
        <f>ff_portfolios25!H1022-ff_factors!$E1022</f>
        <v>-1.903E-3</v>
      </c>
      <c r="I1022" s="2">
        <f>ff_portfolios25!I1022-ff_factors!$E1022</f>
        <v>2.8697E-2</v>
      </c>
      <c r="J1022" s="2">
        <f>ff_portfolios25!J1022-ff_factors!$E1022</f>
        <v>1.8172000000000001E-2</v>
      </c>
      <c r="K1022" s="2">
        <f>ff_portfolios25!K1022-ff_factors!$E1022</f>
        <v>-4.9750000000000003E-3</v>
      </c>
      <c r="L1022" s="2">
        <f>ff_portfolios25!L1022-ff_factors!$E1022</f>
        <v>-2.3495000000000002E-2</v>
      </c>
      <c r="M1022" s="2">
        <f>ff_portfolios25!M1022-ff_factors!$E1022</f>
        <v>8.038E-3</v>
      </c>
      <c r="N1022" s="2">
        <f>ff_portfolios25!N1022-ff_factors!$E1022</f>
        <v>2.3722E-2</v>
      </c>
      <c r="O1022" s="2">
        <f>ff_portfolios25!O1022-ff_factors!$E1022</f>
        <v>1.3140000000000001E-2</v>
      </c>
      <c r="P1022" s="2">
        <f>ff_portfolios25!P1022-ff_factors!$E1022</f>
        <v>1.3763000000000001E-2</v>
      </c>
      <c r="Q1022" s="2">
        <f>ff_portfolios25!Q1022-ff_factors!$E1022</f>
        <v>1.4090000000000001E-3</v>
      </c>
      <c r="R1022" s="2">
        <f>ff_portfolios25!R1022-ff_factors!$E1022</f>
        <v>6.8989999999999998E-3</v>
      </c>
      <c r="S1022" s="2">
        <f>ff_portfolios25!S1022-ff_factors!$E1022</f>
        <v>3.4425000000000004E-2</v>
      </c>
      <c r="T1022" s="2">
        <f>ff_portfolios25!T1022-ff_factors!$E1022</f>
        <v>3.5636000000000001E-2</v>
      </c>
      <c r="U1022" s="2">
        <f>ff_portfolios25!U1022-ff_factors!$E1022</f>
        <v>1.7058999999999998E-2</v>
      </c>
      <c r="V1022" s="2">
        <f>ff_portfolios25!V1022-ff_factors!$E1022</f>
        <v>1.1895000000000001E-2</v>
      </c>
      <c r="W1022" s="2">
        <f>ff_portfolios25!W1022-ff_factors!$E1022</f>
        <v>2.0648999999999997E-2</v>
      </c>
      <c r="X1022" s="2">
        <f>ff_portfolios25!X1022-ff_factors!$E1022</f>
        <v>3.4615E-2</v>
      </c>
      <c r="Y1022" s="2">
        <f>ff_portfolios25!Y1022-ff_factors!$E1022</f>
        <v>2.2536E-2</v>
      </c>
      <c r="Z1022" s="2">
        <f>ff_portfolios25!Z1022-ff_factors!$E1022</f>
        <v>-6.581E-3</v>
      </c>
      <c r="AA1022" s="2">
        <f>ff_portfolios25!AA1022-ff_factors!$E1022</f>
        <v>7.803E-3</v>
      </c>
      <c r="AB1022" s="2">
        <f>ff_portfolios25!AB1022-ff_factors!$E1022</f>
        <v>-6.2699999999999995E-4</v>
      </c>
    </row>
    <row r="1023" spans="1:28" x14ac:dyDescent="0.2">
      <c r="A1023">
        <v>20170228</v>
      </c>
      <c r="B1023">
        <v>2017</v>
      </c>
      <c r="C1023">
        <v>2</v>
      </c>
      <c r="D1023" s="2">
        <f>ff_portfolios25!D1023-ff_factors!$E1023</f>
        <v>2.3452000000000001E-2</v>
      </c>
      <c r="E1023" s="2">
        <f>ff_portfolios25!E1023-ff_factors!$E1023</f>
        <v>1.456E-2</v>
      </c>
      <c r="F1023" s="2">
        <f>ff_portfolios25!F1023-ff_factors!$E1023</f>
        <v>2.2952999999999998E-2</v>
      </c>
      <c r="G1023" s="2">
        <f>ff_portfolios25!G1023-ff_factors!$E1023</f>
        <v>6.7009999999999995E-3</v>
      </c>
      <c r="H1023" s="2">
        <f>ff_portfolios25!H1023-ff_factors!$E1023</f>
        <v>-1.8991000000000001E-2</v>
      </c>
      <c r="I1023" s="2">
        <f>ff_portfolios25!I1023-ff_factors!$E1023</f>
        <v>5.7280000000000005E-2</v>
      </c>
      <c r="J1023" s="2">
        <f>ff_portfolios25!J1023-ff_factors!$E1023</f>
        <v>4.9899999999999996E-3</v>
      </c>
      <c r="K1023" s="2">
        <f>ff_portfolios25!K1023-ff_factors!$E1023</f>
        <v>1.3595000000000001E-2</v>
      </c>
      <c r="L1023" s="2">
        <f>ff_portfolios25!L1023-ff_factors!$E1023</f>
        <v>1.3073000000000001E-2</v>
      </c>
      <c r="M1023" s="2">
        <f>ff_portfolios25!M1023-ff_factors!$E1023</f>
        <v>1.3721000000000001E-2</v>
      </c>
      <c r="N1023" s="2">
        <f>ff_portfolios25!N1023-ff_factors!$E1023</f>
        <v>4.3213000000000001E-2</v>
      </c>
      <c r="O1023" s="2">
        <f>ff_portfolios25!O1023-ff_factors!$E1023</f>
        <v>2.2422999999999998E-2</v>
      </c>
      <c r="P1023" s="2">
        <f>ff_portfolios25!P1023-ff_factors!$E1023</f>
        <v>5.7959999999999999E-3</v>
      </c>
      <c r="Q1023" s="2">
        <f>ff_portfolios25!Q1023-ff_factors!$E1023</f>
        <v>1.0388000000000001E-2</v>
      </c>
      <c r="R1023" s="2">
        <f>ff_portfolios25!R1023-ff_factors!$E1023</f>
        <v>2.8939999999999999E-3</v>
      </c>
      <c r="S1023" s="2">
        <f>ff_portfolios25!S1023-ff_factors!$E1023</f>
        <v>3.8729E-2</v>
      </c>
      <c r="T1023" s="2">
        <f>ff_portfolios25!T1023-ff_factors!$E1023</f>
        <v>2.6463E-2</v>
      </c>
      <c r="U1023" s="2">
        <f>ff_portfolios25!U1023-ff_factors!$E1023</f>
        <v>2.9177999999999999E-2</v>
      </c>
      <c r="V1023" s="2">
        <f>ff_portfolios25!V1023-ff_factors!$E1023</f>
        <v>1.5708E-2</v>
      </c>
      <c r="W1023" s="2">
        <f>ff_portfolios25!W1023-ff_factors!$E1023</f>
        <v>3.3307000000000003E-2</v>
      </c>
      <c r="X1023" s="2">
        <f>ff_portfolios25!X1023-ff_factors!$E1023</f>
        <v>4.8067000000000006E-2</v>
      </c>
      <c r="Y1023" s="2">
        <f>ff_portfolios25!Y1023-ff_factors!$E1023</f>
        <v>3.1889000000000001E-2</v>
      </c>
      <c r="Z1023" s="2">
        <f>ff_portfolios25!Z1023-ff_factors!$E1023</f>
        <v>2.5065999999999998E-2</v>
      </c>
      <c r="AA1023" s="2">
        <f>ff_portfolios25!AA1023-ff_factors!$E1023</f>
        <v>3.5564999999999999E-2</v>
      </c>
      <c r="AB1023" s="2">
        <f>ff_portfolios25!AB1023-ff_factors!$E1023</f>
        <v>4.1198000000000005E-2</v>
      </c>
    </row>
    <row r="1024" spans="1:28" x14ac:dyDescent="0.2">
      <c r="A1024">
        <v>20170331</v>
      </c>
      <c r="B1024">
        <v>2017</v>
      </c>
      <c r="C1024">
        <v>3</v>
      </c>
      <c r="D1024" s="2">
        <f>ff_portfolios25!D1024-ff_factors!$E1024</f>
        <v>1.9369999999999998E-2</v>
      </c>
      <c r="E1024" s="2">
        <f>ff_portfolios25!E1024-ff_factors!$E1024</f>
        <v>3.1673E-2</v>
      </c>
      <c r="F1024" s="2">
        <f>ff_portfolios25!F1024-ff_factors!$E1024</f>
        <v>2.0038999999999998E-2</v>
      </c>
      <c r="G1024" s="2">
        <f>ff_portfolios25!G1024-ff_factors!$E1024</f>
        <v>7.7230000000000007E-3</v>
      </c>
      <c r="H1024" s="2">
        <f>ff_portfolios25!H1024-ff_factors!$E1024</f>
        <v>2.7650000000000001E-3</v>
      </c>
      <c r="I1024" s="2">
        <f>ff_portfolios25!I1024-ff_factors!$E1024</f>
        <v>3.7102999999999997E-2</v>
      </c>
      <c r="J1024" s="2">
        <f>ff_portfolios25!J1024-ff_factors!$E1024</f>
        <v>3.8440000000000002E-3</v>
      </c>
      <c r="K1024" s="2">
        <f>ff_portfolios25!K1024-ff_factors!$E1024</f>
        <v>-5.6189999999999999E-3</v>
      </c>
      <c r="L1024" s="2">
        <f>ff_portfolios25!L1024-ff_factors!$E1024</f>
        <v>-8.5920000000000007E-3</v>
      </c>
      <c r="M1024" s="2">
        <f>ff_portfolios25!M1024-ff_factors!$E1024</f>
        <v>-1.7155E-2</v>
      </c>
      <c r="N1024" s="2">
        <f>ff_portfolios25!N1024-ff_factors!$E1024</f>
        <v>1.5467E-2</v>
      </c>
      <c r="O1024" s="2">
        <f>ff_portfolios25!O1024-ff_factors!$E1024</f>
        <v>-3.787E-3</v>
      </c>
      <c r="P1024" s="2">
        <f>ff_portfolios25!P1024-ff_factors!$E1024</f>
        <v>3.4160000000000002E-3</v>
      </c>
      <c r="Q1024" s="2">
        <f>ff_portfolios25!Q1024-ff_factors!$E1024</f>
        <v>-7.8820000000000001E-3</v>
      </c>
      <c r="R1024" s="2">
        <f>ff_portfolios25!R1024-ff_factors!$E1024</f>
        <v>-2.3303000000000001E-2</v>
      </c>
      <c r="S1024" s="2">
        <f>ff_portfolios25!S1024-ff_factors!$E1024</f>
        <v>2.7660000000000002E-3</v>
      </c>
      <c r="T1024" s="2">
        <f>ff_portfolios25!T1024-ff_factors!$E1024</f>
        <v>9.8000000000000019E-4</v>
      </c>
      <c r="U1024" s="2">
        <f>ff_portfolios25!U1024-ff_factors!$E1024</f>
        <v>2.5830000000000002E-3</v>
      </c>
      <c r="V1024" s="2">
        <f>ff_portfolios25!V1024-ff_factors!$E1024</f>
        <v>-1.867E-3</v>
      </c>
      <c r="W1024" s="2">
        <f>ff_portfolios25!W1024-ff_factors!$E1024</f>
        <v>-3.3947000000000005E-2</v>
      </c>
      <c r="X1024" s="2">
        <f>ff_portfolios25!X1024-ff_factors!$E1024</f>
        <v>1.5292999999999999E-2</v>
      </c>
      <c r="Y1024" s="2">
        <f>ff_portfolios25!Y1024-ff_factors!$E1024</f>
        <v>2.875E-3</v>
      </c>
      <c r="Z1024" s="2">
        <f>ff_portfolios25!Z1024-ff_factors!$E1024</f>
        <v>-5.4260000000000003E-3</v>
      </c>
      <c r="AA1024" s="2">
        <f>ff_portfolios25!AA1024-ff_factors!$E1024</f>
        <v>-1.6574000000000002E-2</v>
      </c>
      <c r="AB1024" s="2">
        <f>ff_portfolios25!AB1024-ff_factors!$E1024</f>
        <v>-3.0156000000000002E-2</v>
      </c>
    </row>
    <row r="1025" spans="1:28" x14ac:dyDescent="0.2">
      <c r="A1025">
        <v>20170428</v>
      </c>
      <c r="B1025">
        <v>2017</v>
      </c>
      <c r="C1025">
        <v>4</v>
      </c>
      <c r="D1025" s="2">
        <f>ff_portfolios25!D1025-ff_factors!$E1025</f>
        <v>3.6124999999999997E-2</v>
      </c>
      <c r="E1025" s="2">
        <f>ff_portfolios25!E1025-ff_factors!$E1025</f>
        <v>4.8809999999999999E-3</v>
      </c>
      <c r="F1025" s="2">
        <f>ff_portfolios25!F1025-ff_factors!$E1025</f>
        <v>1.0853999999999999E-2</v>
      </c>
      <c r="G1025" s="2">
        <f>ff_portfolios25!G1025-ff_factors!$E1025</f>
        <v>1.9019999999999999E-2</v>
      </c>
      <c r="H1025" s="2">
        <f>ff_portfolios25!H1025-ff_factors!$E1025</f>
        <v>1.5249999999999999E-3</v>
      </c>
      <c r="I1025" s="2">
        <f>ff_portfolios25!I1025-ff_factors!$E1025</f>
        <v>3.8889E-2</v>
      </c>
      <c r="J1025" s="2">
        <f>ff_portfolios25!J1025-ff_factors!$E1025</f>
        <v>7.901E-3</v>
      </c>
      <c r="K1025" s="2">
        <f>ff_portfolios25!K1025-ff_factors!$E1025</f>
        <v>1.7489999999999999E-2</v>
      </c>
      <c r="L1025" s="2">
        <f>ff_portfolios25!L1025-ff_factors!$E1025</f>
        <v>1.1972E-2</v>
      </c>
      <c r="M1025" s="2">
        <f>ff_portfolios25!M1025-ff_factors!$E1025</f>
        <v>7.3080000000000003E-3</v>
      </c>
      <c r="N1025" s="2">
        <f>ff_portfolios25!N1025-ff_factors!$E1025</f>
        <v>1.6298E-2</v>
      </c>
      <c r="O1025" s="2">
        <f>ff_portfolios25!O1025-ff_factors!$E1025</f>
        <v>1.4459E-2</v>
      </c>
      <c r="P1025" s="2">
        <f>ff_portfolios25!P1025-ff_factors!$E1025</f>
        <v>9.0999999999999987E-3</v>
      </c>
      <c r="Q1025" s="2">
        <f>ff_portfolios25!Q1025-ff_factors!$E1025</f>
        <v>-5.6499999999999996E-4</v>
      </c>
      <c r="R1025" s="2">
        <f>ff_portfolios25!R1025-ff_factors!$E1025</f>
        <v>-2.8015000000000002E-2</v>
      </c>
      <c r="S1025" s="2">
        <f>ff_portfolios25!S1025-ff_factors!$E1025</f>
        <v>1.7156999999999999E-2</v>
      </c>
      <c r="T1025" s="2">
        <f>ff_portfolios25!T1025-ff_factors!$E1025</f>
        <v>1.4156999999999999E-2</v>
      </c>
      <c r="U1025" s="2">
        <f>ff_portfolios25!U1025-ff_factors!$E1025</f>
        <v>1.575E-3</v>
      </c>
      <c r="V1025" s="2">
        <f>ff_portfolios25!V1025-ff_factors!$E1025</f>
        <v>-1.9979999999999998E-3</v>
      </c>
      <c r="W1025" s="2">
        <f>ff_portfolios25!W1025-ff_factors!$E1025</f>
        <v>-8.9160000000000003E-3</v>
      </c>
      <c r="X1025" s="2">
        <f>ff_portfolios25!X1025-ff_factors!$E1025</f>
        <v>1.7887E-2</v>
      </c>
      <c r="Y1025" s="2">
        <f>ff_portfolios25!Y1025-ff_factors!$E1025</f>
        <v>1.8848E-2</v>
      </c>
      <c r="Z1025" s="2">
        <f>ff_portfolios25!Z1025-ff_factors!$E1025</f>
        <v>1.0704E-2</v>
      </c>
      <c r="AA1025" s="2">
        <f>ff_portfolios25!AA1025-ff_factors!$E1025</f>
        <v>-8.4970000000000011E-3</v>
      </c>
      <c r="AB1025" s="2">
        <f>ff_portfolios25!AB1025-ff_factors!$E1025</f>
        <v>-7.6620000000000004E-3</v>
      </c>
    </row>
    <row r="1026" spans="1:28" x14ac:dyDescent="0.2">
      <c r="A1026">
        <v>20170531</v>
      </c>
      <c r="B1026">
        <v>2017</v>
      </c>
      <c r="C1026">
        <v>5</v>
      </c>
      <c r="D1026" s="2">
        <f>ff_portfolios25!D1026-ff_factors!$E1026</f>
        <v>-1.8005E-2</v>
      </c>
      <c r="E1026" s="2">
        <f>ff_portfolios25!E1026-ff_factors!$E1026</f>
        <v>-2.3511999999999998E-2</v>
      </c>
      <c r="F1026" s="2">
        <f>ff_portfolios25!F1026-ff_factors!$E1026</f>
        <v>-2.3699000000000001E-2</v>
      </c>
      <c r="G1026" s="2">
        <f>ff_portfolios25!G1026-ff_factors!$E1026</f>
        <v>-2.7022000000000001E-2</v>
      </c>
      <c r="H1026" s="2">
        <f>ff_portfolios25!H1026-ff_factors!$E1026</f>
        <v>-3.048E-2</v>
      </c>
      <c r="I1026" s="2">
        <f>ff_portfolios25!I1026-ff_factors!$E1026</f>
        <v>8.9000000000000006E-4</v>
      </c>
      <c r="J1026" s="2">
        <f>ff_portfolios25!J1026-ff_factors!$E1026</f>
        <v>-1.2983999999999999E-2</v>
      </c>
      <c r="K1026" s="2">
        <f>ff_portfolios25!K1026-ff_factors!$E1026</f>
        <v>-1.6493999999999998E-2</v>
      </c>
      <c r="L1026" s="2">
        <f>ff_portfolios25!L1026-ff_factors!$E1026</f>
        <v>-4.7218000000000003E-2</v>
      </c>
      <c r="M1026" s="2">
        <f>ff_portfolios25!M1026-ff_factors!$E1026</f>
        <v>-4.2669000000000006E-2</v>
      </c>
      <c r="N1026" s="2">
        <f>ff_portfolios25!N1026-ff_factors!$E1026</f>
        <v>2.0229E-2</v>
      </c>
      <c r="O1026" s="2">
        <f>ff_portfolios25!O1026-ff_factors!$E1026</f>
        <v>-1.2075000000000001E-2</v>
      </c>
      <c r="P1026" s="2">
        <f>ff_portfolios25!P1026-ff_factors!$E1026</f>
        <v>-2.3722E-2</v>
      </c>
      <c r="Q1026" s="2">
        <f>ff_portfolios25!Q1026-ff_factors!$E1026</f>
        <v>-2.3643999999999998E-2</v>
      </c>
      <c r="R1026" s="2">
        <f>ff_portfolios25!R1026-ff_factors!$E1026</f>
        <v>-4.2539E-2</v>
      </c>
      <c r="S1026" s="2">
        <f>ff_portfolios25!S1026-ff_factors!$E1026</f>
        <v>1.8655999999999999E-2</v>
      </c>
      <c r="T1026" s="2">
        <f>ff_portfolios25!T1026-ff_factors!$E1026</f>
        <v>-6.228E-3</v>
      </c>
      <c r="U1026" s="2">
        <f>ff_portfolios25!U1026-ff_factors!$E1026</f>
        <v>1.2079999999999999E-3</v>
      </c>
      <c r="V1026" s="2">
        <f>ff_portfolios25!V1026-ff_factors!$E1026</f>
        <v>-1.9239999999999999E-3</v>
      </c>
      <c r="W1026" s="2">
        <f>ff_portfolios25!W1026-ff_factors!$E1026</f>
        <v>-3.2228000000000007E-2</v>
      </c>
      <c r="X1026" s="2">
        <f>ff_portfolios25!X1026-ff_factors!$E1026</f>
        <v>2.8480999999999999E-2</v>
      </c>
      <c r="Y1026" s="2">
        <f>ff_portfolios25!Y1026-ff_factors!$E1026</f>
        <v>2.1224E-2</v>
      </c>
      <c r="Z1026" s="2">
        <f>ff_portfolios25!Z1026-ff_factors!$E1026</f>
        <v>9.7710000000000002E-3</v>
      </c>
      <c r="AA1026" s="2">
        <f>ff_portfolios25!AA1026-ff_factors!$E1026</f>
        <v>-1.3899999999999999E-2</v>
      </c>
      <c r="AB1026" s="2">
        <f>ff_portfolios25!AB1026-ff_factors!$E1026</f>
        <v>-1.4662E-2</v>
      </c>
    </row>
    <row r="1027" spans="1:28" x14ac:dyDescent="0.2">
      <c r="A1027">
        <v>20170630</v>
      </c>
      <c r="B1027">
        <v>2017</v>
      </c>
      <c r="C1027">
        <v>6</v>
      </c>
      <c r="D1027" s="2">
        <f>ff_portfolios25!D1027-ff_factors!$E1027</f>
        <v>8.8304999999999995E-2</v>
      </c>
      <c r="E1027" s="2">
        <f>ff_portfolios25!E1027-ff_factors!$E1027</f>
        <v>8.7288999999999992E-2</v>
      </c>
      <c r="F1027" s="2">
        <f>ff_portfolios25!F1027-ff_factors!$E1027</f>
        <v>4.4578E-2</v>
      </c>
      <c r="G1027" s="2">
        <f>ff_portfolios25!G1027-ff_factors!$E1027</f>
        <v>3.9718999999999997E-2</v>
      </c>
      <c r="H1027" s="2">
        <f>ff_portfolios25!H1027-ff_factors!$E1027</f>
        <v>4.2739999999999993E-2</v>
      </c>
      <c r="I1027" s="2">
        <f>ff_portfolios25!I1027-ff_factors!$E1027</f>
        <v>6.1534999999999999E-2</v>
      </c>
      <c r="J1027" s="2">
        <f>ff_portfolios25!J1027-ff_factors!$E1027</f>
        <v>2.9845E-2</v>
      </c>
      <c r="K1027" s="2">
        <f>ff_portfolios25!K1027-ff_factors!$E1027</f>
        <v>3.4383999999999998E-2</v>
      </c>
      <c r="L1027" s="2">
        <f>ff_portfolios25!L1027-ff_factors!$E1027</f>
        <v>2.6017999999999999E-2</v>
      </c>
      <c r="M1027" s="2">
        <f>ff_portfolios25!M1027-ff_factors!$E1027</f>
        <v>3.7444999999999999E-2</v>
      </c>
      <c r="N1027" s="2">
        <f>ff_portfolios25!N1027-ff_factors!$E1027</f>
        <v>2.4164999999999999E-2</v>
      </c>
      <c r="O1027" s="2">
        <f>ff_portfolios25!O1027-ff_factors!$E1027</f>
        <v>2.1739999999999999E-2</v>
      </c>
      <c r="P1027" s="2">
        <f>ff_portfolios25!P1027-ff_factors!$E1027</f>
        <v>2.4166E-2</v>
      </c>
      <c r="Q1027" s="2">
        <f>ff_portfolios25!Q1027-ff_factors!$E1027</f>
        <v>2.2509000000000001E-2</v>
      </c>
      <c r="R1027" s="2">
        <f>ff_portfolios25!R1027-ff_factors!$E1027</f>
        <v>3.2534999999999994E-2</v>
      </c>
      <c r="S1027" s="2">
        <f>ff_portfolios25!S1027-ff_factors!$E1027</f>
        <v>1.5456000000000001E-2</v>
      </c>
      <c r="T1027" s="2">
        <f>ff_portfolios25!T1027-ff_factors!$E1027</f>
        <v>1.4761E-2</v>
      </c>
      <c r="U1027" s="2">
        <f>ff_portfolios25!U1027-ff_factors!$E1027</f>
        <v>1.5082999999999999E-2</v>
      </c>
      <c r="V1027" s="2">
        <f>ff_portfolios25!V1027-ff_factors!$E1027</f>
        <v>2.0643999999999999E-2</v>
      </c>
      <c r="W1027" s="2">
        <f>ff_portfolios25!W1027-ff_factors!$E1027</f>
        <v>4.3256999999999997E-2</v>
      </c>
      <c r="X1027" s="2">
        <f>ff_portfolios25!X1027-ff_factors!$E1027</f>
        <v>-6.0409999999999995E-3</v>
      </c>
      <c r="Y1027" s="2">
        <f>ff_portfolios25!Y1027-ff_factors!$E1027</f>
        <v>2.6740000000000002E-3</v>
      </c>
      <c r="Z1027" s="2">
        <f>ff_portfolios25!Z1027-ff_factors!$E1027</f>
        <v>-5.8519999999999996E-3</v>
      </c>
      <c r="AA1027" s="2">
        <f>ff_portfolios25!AA1027-ff_factors!$E1027</f>
        <v>3.0481000000000001E-2</v>
      </c>
      <c r="AB1027" s="2">
        <f>ff_portfolios25!AB1027-ff_factors!$E1027</f>
        <v>3.5608999999999995E-2</v>
      </c>
    </row>
    <row r="1028" spans="1:28" x14ac:dyDescent="0.2">
      <c r="A1028">
        <v>20170731</v>
      </c>
      <c r="B1028">
        <v>2017</v>
      </c>
      <c r="C1028">
        <v>7</v>
      </c>
      <c r="D1028" s="2">
        <f>ff_portfolios25!D1028-ff_factors!$E1028</f>
        <v>-8.2719999999999998E-3</v>
      </c>
      <c r="E1028" s="2">
        <f>ff_portfolios25!E1028-ff_factors!$E1028</f>
        <v>-2.6189999999999998E-2</v>
      </c>
      <c r="F1028" s="2">
        <f>ff_portfolios25!F1028-ff_factors!$E1028</f>
        <v>-9.2899999999999996E-3</v>
      </c>
      <c r="G1028" s="2">
        <f>ff_portfolios25!G1028-ff_factors!$E1028</f>
        <v>-8.7679999999999998E-3</v>
      </c>
      <c r="H1028" s="2">
        <f>ff_portfolios25!H1028-ff_factors!$E1028</f>
        <v>-3.029E-3</v>
      </c>
      <c r="I1028" s="2">
        <f>ff_portfolios25!I1028-ff_factors!$E1028</f>
        <v>-5.7350000000000005E-3</v>
      </c>
      <c r="J1028" s="2">
        <f>ff_portfolios25!J1028-ff_factors!$E1028</f>
        <v>1.0862E-2</v>
      </c>
      <c r="K1028" s="2">
        <f>ff_portfolios25!K1028-ff_factors!$E1028</f>
        <v>8.541E-3</v>
      </c>
      <c r="L1028" s="2">
        <f>ff_portfolios25!L1028-ff_factors!$E1028</f>
        <v>1.5519000000000002E-2</v>
      </c>
      <c r="M1028" s="2">
        <f>ff_portfolios25!M1028-ff_factors!$E1028</f>
        <v>1.5914000000000001E-2</v>
      </c>
      <c r="N1028" s="2">
        <f>ff_portfolios25!N1028-ff_factors!$E1028</f>
        <v>7.0920000000000002E-3</v>
      </c>
      <c r="O1028" s="2">
        <f>ff_portfolios25!O1028-ff_factors!$E1028</f>
        <v>6.3860000000000002E-3</v>
      </c>
      <c r="P1028" s="2">
        <f>ff_portfolios25!P1028-ff_factors!$E1028</f>
        <v>1.4367000000000001E-2</v>
      </c>
      <c r="Q1028" s="2">
        <f>ff_portfolios25!Q1028-ff_factors!$E1028</f>
        <v>1.8419999999999999E-3</v>
      </c>
      <c r="R1028" s="2">
        <f>ff_portfolios25!R1028-ff_factors!$E1028</f>
        <v>2.3557999999999999E-2</v>
      </c>
      <c r="S1028" s="2">
        <f>ff_portfolios25!S1028-ff_factors!$E1028</f>
        <v>1.6342000000000002E-2</v>
      </c>
      <c r="T1028" s="2">
        <f>ff_portfolios25!T1028-ff_factors!$E1028</f>
        <v>1.4484E-2</v>
      </c>
      <c r="U1028" s="2">
        <f>ff_portfolios25!U1028-ff_factors!$E1028</f>
        <v>1.0472E-2</v>
      </c>
      <c r="V1028" s="2">
        <f>ff_portfolios25!V1028-ff_factors!$E1028</f>
        <v>2.3464000000000002E-2</v>
      </c>
      <c r="W1028" s="2">
        <f>ff_portfolios25!W1028-ff_factors!$E1028</f>
        <v>2.4083E-2</v>
      </c>
      <c r="X1028" s="2">
        <f>ff_portfolios25!X1028-ff_factors!$E1028</f>
        <v>2.4822E-2</v>
      </c>
      <c r="Y1028" s="2">
        <f>ff_portfolios25!Y1028-ff_factors!$E1028</f>
        <v>2.0029000000000002E-2</v>
      </c>
      <c r="Z1028" s="2">
        <f>ff_portfolios25!Z1028-ff_factors!$E1028</f>
        <v>1.524E-2</v>
      </c>
      <c r="AA1028" s="2">
        <f>ff_portfolios25!AA1028-ff_factors!$E1028</f>
        <v>2.3536000000000001E-2</v>
      </c>
      <c r="AB1028" s="2">
        <f>ff_portfolios25!AB1028-ff_factors!$E1028</f>
        <v>2.2026E-2</v>
      </c>
    </row>
    <row r="1029" spans="1:28" x14ac:dyDescent="0.2">
      <c r="A1029">
        <v>20170831</v>
      </c>
      <c r="B1029">
        <v>2017</v>
      </c>
      <c r="C1029">
        <v>8</v>
      </c>
      <c r="D1029" s="2">
        <f>ff_portfolios25!D1029-ff_factors!$E1029</f>
        <v>-3.5640000000000003E-3</v>
      </c>
      <c r="E1029" s="2">
        <f>ff_portfolios25!E1029-ff_factors!$E1029</f>
        <v>-3.797E-3</v>
      </c>
      <c r="F1029" s="2">
        <f>ff_portfolios25!F1029-ff_factors!$E1029</f>
        <v>-2.0441000000000001E-2</v>
      </c>
      <c r="G1029" s="2">
        <f>ff_portfolios25!G1029-ff_factors!$E1029</f>
        <v>-1.8137E-2</v>
      </c>
      <c r="H1029" s="2">
        <f>ff_portfolios25!H1029-ff_factors!$E1029</f>
        <v>-2.1202000000000002E-2</v>
      </c>
      <c r="I1029" s="2">
        <f>ff_portfolios25!I1029-ff_factors!$E1029</f>
        <v>-5.1489999999999999E-3</v>
      </c>
      <c r="J1029" s="2">
        <f>ff_portfolios25!J1029-ff_factors!$E1029</f>
        <v>-1.2961E-2</v>
      </c>
      <c r="K1029" s="2">
        <f>ff_portfolios25!K1029-ff_factors!$E1029</f>
        <v>-2.0405000000000003E-2</v>
      </c>
      <c r="L1029" s="2">
        <f>ff_portfolios25!L1029-ff_factors!$E1029</f>
        <v>-3.3368999999999996E-2</v>
      </c>
      <c r="M1029" s="2">
        <f>ff_portfolios25!M1029-ff_factors!$E1029</f>
        <v>-3.7586000000000001E-2</v>
      </c>
      <c r="N1029" s="2">
        <f>ff_portfolios25!N1029-ff_factors!$E1029</f>
        <v>5.8380000000000003E-3</v>
      </c>
      <c r="O1029" s="2">
        <f>ff_portfolios25!O1029-ff_factors!$E1029</f>
        <v>-2.1652000000000001E-2</v>
      </c>
      <c r="P1029" s="2">
        <f>ff_portfolios25!P1029-ff_factors!$E1029</f>
        <v>-1.9231000000000002E-2</v>
      </c>
      <c r="Q1029" s="2">
        <f>ff_portfolios25!Q1029-ff_factors!$E1029</f>
        <v>-1.1231E-2</v>
      </c>
      <c r="R1029" s="2">
        <f>ff_portfolios25!R1029-ff_factors!$E1029</f>
        <v>-3.1289999999999998E-2</v>
      </c>
      <c r="S1029" s="2">
        <f>ff_portfolios25!S1029-ff_factors!$E1029</f>
        <v>8.1580000000000003E-3</v>
      </c>
      <c r="T1029" s="2">
        <f>ff_portfolios25!T1029-ff_factors!$E1029</f>
        <v>-4.104E-3</v>
      </c>
      <c r="U1029" s="2">
        <f>ff_portfolios25!U1029-ff_factors!$E1029</f>
        <v>-1.0989999999999999E-3</v>
      </c>
      <c r="V1029" s="2">
        <f>ff_portfolios25!V1029-ff_factors!$E1029</f>
        <v>-2.0152E-2</v>
      </c>
      <c r="W1029" s="2">
        <f>ff_portfolios25!W1029-ff_factors!$E1029</f>
        <v>-2.1365000000000002E-2</v>
      </c>
      <c r="X1029" s="2">
        <f>ff_portfolios25!X1029-ff_factors!$E1029</f>
        <v>2.0693999999999997E-2</v>
      </c>
      <c r="Y1029" s="2">
        <f>ff_portfolios25!Y1029-ff_factors!$E1029</f>
        <v>1.699999999999998E-5</v>
      </c>
      <c r="Z1029" s="2">
        <f>ff_portfolios25!Z1029-ff_factors!$E1029</f>
        <v>-4.5630000000000002E-3</v>
      </c>
      <c r="AA1029" s="2">
        <f>ff_portfolios25!AA1029-ff_factors!$E1029</f>
        <v>-4.7060000000000001E-3</v>
      </c>
      <c r="AB1029" s="2">
        <f>ff_portfolios25!AB1029-ff_factors!$E1029</f>
        <v>-1.7684000000000002E-2</v>
      </c>
    </row>
    <row r="1030" spans="1:28" x14ac:dyDescent="0.2">
      <c r="A1030">
        <v>20170929</v>
      </c>
      <c r="B1030">
        <v>2017</v>
      </c>
      <c r="C1030">
        <v>9</v>
      </c>
      <c r="D1030" s="2">
        <f>ff_portfolios25!D1030-ff_factors!$E1030</f>
        <v>7.4162000000000006E-2</v>
      </c>
      <c r="E1030" s="2">
        <f>ff_portfolios25!E1030-ff_factors!$E1030</f>
        <v>5.4358000000000004E-2</v>
      </c>
      <c r="F1030" s="2">
        <f>ff_portfolios25!F1030-ff_factors!$E1030</f>
        <v>0.102495</v>
      </c>
      <c r="G1030" s="2">
        <f>ff_portfolios25!G1030-ff_factors!$E1030</f>
        <v>9.1972999999999999E-2</v>
      </c>
      <c r="H1030" s="2">
        <f>ff_portfolios25!H1030-ff_factors!$E1030</f>
        <v>9.2024999999999996E-2</v>
      </c>
      <c r="I1030" s="2">
        <f>ff_portfolios25!I1030-ff_factors!$E1030</f>
        <v>5.3849000000000001E-2</v>
      </c>
      <c r="J1030" s="2">
        <f>ff_portfolios25!J1030-ff_factors!$E1030</f>
        <v>6.9690000000000002E-2</v>
      </c>
      <c r="K1030" s="2">
        <f>ff_portfolios25!K1030-ff_factors!$E1030</f>
        <v>8.8789000000000007E-2</v>
      </c>
      <c r="L1030" s="2">
        <f>ff_portfolios25!L1030-ff_factors!$E1030</f>
        <v>9.1809000000000002E-2</v>
      </c>
      <c r="M1030" s="2">
        <f>ff_portfolios25!M1030-ff_factors!$E1030</f>
        <v>6.9211000000000009E-2</v>
      </c>
      <c r="N1030" s="2">
        <f>ff_portfolios25!N1030-ff_factors!$E1030</f>
        <v>2.1918999999999998E-2</v>
      </c>
      <c r="O1030" s="2">
        <f>ff_portfolios25!O1030-ff_factors!$E1030</f>
        <v>4.7611000000000001E-2</v>
      </c>
      <c r="P1030" s="2">
        <f>ff_portfolios25!P1030-ff_factors!$E1030</f>
        <v>6.9685999999999998E-2</v>
      </c>
      <c r="Q1030" s="2">
        <f>ff_portfolios25!Q1030-ff_factors!$E1030</f>
        <v>6.4774999999999999E-2</v>
      </c>
      <c r="R1030" s="2">
        <f>ff_portfolios25!R1030-ff_factors!$E1030</f>
        <v>5.2073000000000001E-2</v>
      </c>
      <c r="S1030" s="2">
        <f>ff_portfolios25!S1030-ff_factors!$E1030</f>
        <v>2.6261E-2</v>
      </c>
      <c r="T1030" s="2">
        <f>ff_portfolios25!T1030-ff_factors!$E1030</f>
        <v>3.6854999999999999E-2</v>
      </c>
      <c r="U1030" s="2">
        <f>ff_portfolios25!U1030-ff_factors!$E1030</f>
        <v>4.249E-2</v>
      </c>
      <c r="V1030" s="2">
        <f>ff_portfolios25!V1030-ff_factors!$E1030</f>
        <v>4.0184000000000004E-2</v>
      </c>
      <c r="W1030" s="2">
        <f>ff_portfolios25!W1030-ff_factors!$E1030</f>
        <v>5.0491000000000001E-2</v>
      </c>
      <c r="X1030" s="2">
        <f>ff_portfolios25!X1030-ff_factors!$E1030</f>
        <v>9.1230000000000009E-3</v>
      </c>
      <c r="Y1030" s="2">
        <f>ff_portfolios25!Y1030-ff_factors!$E1030</f>
        <v>1.3068E-2</v>
      </c>
      <c r="Z1030" s="2">
        <f>ff_portfolios25!Z1030-ff_factors!$E1030</f>
        <v>3.1764000000000001E-2</v>
      </c>
      <c r="AA1030" s="2">
        <f>ff_portfolios25!AA1030-ff_factors!$E1030</f>
        <v>2.8785999999999999E-2</v>
      </c>
      <c r="AB1030" s="2">
        <f>ff_portfolios25!AB1030-ff_factors!$E1030</f>
        <v>5.0840000000000003E-2</v>
      </c>
    </row>
    <row r="1031" spans="1:28" x14ac:dyDescent="0.2">
      <c r="A1031">
        <v>20171031</v>
      </c>
      <c r="B1031">
        <v>2017</v>
      </c>
      <c r="C1031">
        <v>10</v>
      </c>
      <c r="D1031" s="2">
        <f>ff_portfolios25!D1031-ff_factors!$E1031</f>
        <v>-3.3373E-2</v>
      </c>
      <c r="E1031" s="2">
        <f>ff_portfolios25!E1031-ff_factors!$E1031</f>
        <v>-2.9359000000000003E-2</v>
      </c>
      <c r="F1031" s="2">
        <f>ff_portfolios25!F1031-ff_factors!$E1031</f>
        <v>2.4857999999999998E-2</v>
      </c>
      <c r="G1031" s="2">
        <f>ff_portfolios25!G1031-ff_factors!$E1031</f>
        <v>1.2849999999999999E-3</v>
      </c>
      <c r="H1031" s="2">
        <f>ff_portfolios25!H1031-ff_factors!$E1031</f>
        <v>7.3799999999999994E-3</v>
      </c>
      <c r="I1031" s="2">
        <f>ff_portfolios25!I1031-ff_factors!$E1031</f>
        <v>1.926E-3</v>
      </c>
      <c r="J1031" s="2">
        <f>ff_portfolios25!J1031-ff_factors!$E1031</f>
        <v>1.3871E-2</v>
      </c>
      <c r="K1031" s="2">
        <f>ff_portfolios25!K1031-ff_factors!$E1031</f>
        <v>4.0540000000000003E-3</v>
      </c>
      <c r="L1031" s="2">
        <f>ff_portfolios25!L1031-ff_factors!$E1031</f>
        <v>-2.8469999999999997E-3</v>
      </c>
      <c r="M1031" s="2">
        <f>ff_portfolios25!M1031-ff_factors!$E1031</f>
        <v>2.0499999999999997E-3</v>
      </c>
      <c r="N1031" s="2">
        <f>ff_portfolios25!N1031-ff_factors!$E1031</f>
        <v>2.6625999999999997E-2</v>
      </c>
      <c r="O1031" s="2">
        <f>ff_portfolios25!O1031-ff_factors!$E1031</f>
        <v>1.4110000000000001E-2</v>
      </c>
      <c r="P1031" s="2">
        <f>ff_portfolios25!P1031-ff_factors!$E1031</f>
        <v>1.2898E-2</v>
      </c>
      <c r="Q1031" s="2">
        <f>ff_portfolios25!Q1031-ff_factors!$E1031</f>
        <v>6.5630000000000003E-3</v>
      </c>
      <c r="R1031" s="2">
        <f>ff_portfolios25!R1031-ff_factors!$E1031</f>
        <v>3.1273000000000002E-2</v>
      </c>
      <c r="S1031" s="2">
        <f>ff_portfolios25!S1031-ff_factors!$E1031</f>
        <v>2.4922999999999997E-2</v>
      </c>
      <c r="T1031" s="2">
        <f>ff_portfolios25!T1031-ff_factors!$E1031</f>
        <v>3.3311E-2</v>
      </c>
      <c r="U1031" s="2">
        <f>ff_portfolios25!U1031-ff_factors!$E1031</f>
        <v>2.1592999999999998E-2</v>
      </c>
      <c r="V1031" s="2">
        <f>ff_portfolios25!V1031-ff_factors!$E1031</f>
        <v>-1.1767E-2</v>
      </c>
      <c r="W1031" s="2">
        <f>ff_portfolios25!W1031-ff_factors!$E1031</f>
        <v>2.0627E-2</v>
      </c>
      <c r="X1031" s="2">
        <f>ff_portfolios25!X1031-ff_factors!$E1031</f>
        <v>4.0466000000000002E-2</v>
      </c>
      <c r="Y1031" s="2">
        <f>ff_portfolios25!Y1031-ff_factors!$E1031</f>
        <v>1.1518E-2</v>
      </c>
      <c r="Z1031" s="2">
        <f>ff_portfolios25!Z1031-ff_factors!$E1031</f>
        <v>2.8506999999999998E-2</v>
      </c>
      <c r="AA1031" s="2">
        <f>ff_portfolios25!AA1031-ff_factors!$E1031</f>
        <v>-2.637E-3</v>
      </c>
      <c r="AB1031" s="2">
        <f>ff_portfolios25!AB1031-ff_factors!$E1031</f>
        <v>4.1392999999999999E-2</v>
      </c>
    </row>
    <row r="1032" spans="1:28" x14ac:dyDescent="0.2">
      <c r="A1032">
        <v>20171130</v>
      </c>
      <c r="B1032">
        <v>2017</v>
      </c>
      <c r="C1032">
        <v>11</v>
      </c>
      <c r="D1032" s="2">
        <f>ff_portfolios25!D1032-ff_factors!$E1032</f>
        <v>1.8979000000000003E-2</v>
      </c>
      <c r="E1032" s="2">
        <f>ff_portfolios25!E1032-ff_factors!$E1032</f>
        <v>4.0774999999999999E-2</v>
      </c>
      <c r="F1032" s="2">
        <f>ff_portfolios25!F1032-ff_factors!$E1032</f>
        <v>2.8949000000000003E-2</v>
      </c>
      <c r="G1032" s="2">
        <f>ff_portfolios25!G1032-ff_factors!$E1032</f>
        <v>1.9360000000000002E-2</v>
      </c>
      <c r="H1032" s="2">
        <f>ff_portfolios25!H1032-ff_factors!$E1032</f>
        <v>4.0397999999999996E-2</v>
      </c>
      <c r="I1032" s="2">
        <f>ff_portfolios25!I1032-ff_factors!$E1032</f>
        <v>1.8039000000000003E-2</v>
      </c>
      <c r="J1032" s="2">
        <f>ff_portfolios25!J1032-ff_factors!$E1032</f>
        <v>3.4703999999999999E-2</v>
      </c>
      <c r="K1032" s="2">
        <f>ff_portfolios25!K1032-ff_factors!$E1032</f>
        <v>2.9015000000000003E-2</v>
      </c>
      <c r="L1032" s="2">
        <f>ff_portfolios25!L1032-ff_factors!$E1032</f>
        <v>2.1965000000000002E-2</v>
      </c>
      <c r="M1032" s="2">
        <f>ff_portfolios25!M1032-ff_factors!$E1032</f>
        <v>5.8699999999999994E-3</v>
      </c>
      <c r="N1032" s="2">
        <f>ff_portfolios25!N1032-ff_factors!$E1032</f>
        <v>3.4814999999999999E-2</v>
      </c>
      <c r="O1032" s="2">
        <f>ff_portfolios25!O1032-ff_factors!$E1032</f>
        <v>3.7898999999999995E-2</v>
      </c>
      <c r="P1032" s="2">
        <f>ff_portfolios25!P1032-ff_factors!$E1032</f>
        <v>3.3403999999999996E-2</v>
      </c>
      <c r="Q1032" s="2">
        <f>ff_portfolios25!Q1032-ff_factors!$E1032</f>
        <v>3.1149E-2</v>
      </c>
      <c r="R1032" s="2">
        <f>ff_portfolios25!R1032-ff_factors!$E1032</f>
        <v>3.6860999999999998E-2</v>
      </c>
      <c r="S1032" s="2">
        <f>ff_portfolios25!S1032-ff_factors!$E1032</f>
        <v>4.4882999999999999E-2</v>
      </c>
      <c r="T1032" s="2">
        <f>ff_portfolios25!T1032-ff_factors!$E1032</f>
        <v>4.9107999999999999E-2</v>
      </c>
      <c r="U1032" s="2">
        <f>ff_portfolios25!U1032-ff_factors!$E1032</f>
        <v>4.3200999999999996E-2</v>
      </c>
      <c r="V1032" s="2">
        <f>ff_portfolios25!V1032-ff_factors!$E1032</f>
        <v>3.0505000000000001E-2</v>
      </c>
      <c r="W1032" s="2">
        <f>ff_portfolios25!W1032-ff_factors!$E1032</f>
        <v>4.4101999999999995E-2</v>
      </c>
      <c r="X1032" s="2">
        <f>ff_portfolios25!X1032-ff_factors!$E1032</f>
        <v>3.0502000000000005E-2</v>
      </c>
      <c r="Y1032" s="2">
        <f>ff_portfolios25!Y1032-ff_factors!$E1032</f>
        <v>2.4732000000000001E-2</v>
      </c>
      <c r="Z1032" s="2">
        <f>ff_portfolios25!Z1032-ff_factors!$E1032</f>
        <v>4.3779999999999999E-2</v>
      </c>
      <c r="AA1032" s="2">
        <f>ff_portfolios25!AA1032-ff_factors!$E1032</f>
        <v>3.2930000000000001E-2</v>
      </c>
      <c r="AB1032" s="2">
        <f>ff_portfolios25!AB1032-ff_factors!$E1032</f>
        <v>2.3226E-2</v>
      </c>
    </row>
    <row r="1033" spans="1:28" x14ac:dyDescent="0.2">
      <c r="A1033">
        <v>20171229</v>
      </c>
      <c r="B1033">
        <v>2017</v>
      </c>
      <c r="C1033">
        <v>12</v>
      </c>
      <c r="D1033" s="2">
        <f>ff_portfolios25!D1033-ff_factors!$E1033</f>
        <v>1.3993E-2</v>
      </c>
      <c r="E1033" s="2">
        <f>ff_portfolios25!E1033-ff_factors!$E1033</f>
        <v>4.4850000000000003E-3</v>
      </c>
      <c r="F1033" s="2">
        <f>ff_portfolios25!F1033-ff_factors!$E1033</f>
        <v>-6.2319999999999997E-3</v>
      </c>
      <c r="G1033" s="2">
        <f>ff_portfolios25!G1033-ff_factors!$E1033</f>
        <v>-1.7708000000000002E-2</v>
      </c>
      <c r="H1033" s="2">
        <f>ff_portfolios25!H1033-ff_factors!$E1033</f>
        <v>1.792E-3</v>
      </c>
      <c r="I1033" s="2">
        <f>ff_portfolios25!I1033-ff_factors!$E1033</f>
        <v>-2.7799999999999999E-3</v>
      </c>
      <c r="J1033" s="2">
        <f>ff_portfolios25!J1033-ff_factors!$E1033</f>
        <v>2.1111999999999999E-2</v>
      </c>
      <c r="K1033" s="2">
        <f>ff_portfolios25!K1033-ff_factors!$E1033</f>
        <v>-1.3561E-2</v>
      </c>
      <c r="L1033" s="2">
        <f>ff_portfolios25!L1033-ff_factors!$E1033</f>
        <v>-3.62E-3</v>
      </c>
      <c r="M1033" s="2">
        <f>ff_portfolios25!M1033-ff_factors!$E1033</f>
        <v>4.4260000000000002E-3</v>
      </c>
      <c r="N1033" s="2">
        <f>ff_portfolios25!N1033-ff_factors!$E1033</f>
        <v>1.0024E-2</v>
      </c>
      <c r="O1033" s="2">
        <f>ff_portfolios25!O1033-ff_factors!$E1033</f>
        <v>-3.2110000000000003E-3</v>
      </c>
      <c r="P1033" s="2">
        <f>ff_portfolios25!P1033-ff_factors!$E1033</f>
        <v>3.1310000000000001E-3</v>
      </c>
      <c r="Q1033" s="2">
        <f>ff_portfolios25!Q1033-ff_factors!$E1033</f>
        <v>-1.5209E-2</v>
      </c>
      <c r="R1033" s="2">
        <f>ff_portfolios25!R1033-ff_factors!$E1033</f>
        <v>5.3350000000000003E-3</v>
      </c>
      <c r="S1033" s="2">
        <f>ff_portfolios25!S1033-ff_factors!$E1033</f>
        <v>2.5929999999999998E-3</v>
      </c>
      <c r="T1033" s="2">
        <f>ff_portfolios25!T1033-ff_factors!$E1033</f>
        <v>8.5579999999999996E-3</v>
      </c>
      <c r="U1033" s="2">
        <f>ff_portfolios25!U1033-ff_factors!$E1033</f>
        <v>2.6680000000000002E-3</v>
      </c>
      <c r="V1033" s="2">
        <f>ff_portfolios25!V1033-ff_factors!$E1033</f>
        <v>1.3587999999999999E-2</v>
      </c>
      <c r="W1033" s="2">
        <f>ff_portfolios25!W1033-ff_factors!$E1033</f>
        <v>3.0646999999999997E-2</v>
      </c>
      <c r="X1033" s="2">
        <f>ff_portfolios25!X1033-ff_factors!$E1033</f>
        <v>9.9270000000000001E-3</v>
      </c>
      <c r="Y1033" s="2">
        <f>ff_portfolios25!Y1033-ff_factors!$E1033</f>
        <v>1.0234E-2</v>
      </c>
      <c r="Z1033" s="2">
        <f>ff_portfolios25!Z1033-ff_factors!$E1033</f>
        <v>1.3828E-2</v>
      </c>
      <c r="AA1033" s="2">
        <f>ff_portfolios25!AA1033-ff_factors!$E1033</f>
        <v>1.6062999999999997E-2</v>
      </c>
      <c r="AB1033" s="2">
        <f>ff_portfolios25!AB1033-ff_factors!$E1033</f>
        <v>1.0779E-2</v>
      </c>
    </row>
    <row r="1034" spans="1:28" x14ac:dyDescent="0.2">
      <c r="A1034">
        <v>20180131</v>
      </c>
      <c r="B1034">
        <v>2018</v>
      </c>
      <c r="C1034">
        <v>1</v>
      </c>
      <c r="D1034" s="2">
        <f>ff_portfolios25!D1034-ff_factors!$E1034</f>
        <v>2.5350000000000001E-2</v>
      </c>
      <c r="E1034" s="2">
        <f>ff_portfolios25!E1034-ff_factors!$E1034</f>
        <v>2.3629000000000001E-2</v>
      </c>
      <c r="F1034" s="2">
        <f>ff_portfolios25!F1034-ff_factors!$E1034</f>
        <v>3.1991000000000006E-2</v>
      </c>
      <c r="G1034" s="2">
        <f>ff_portfolios25!G1034-ff_factors!$E1034</f>
        <v>2.7400000000000001E-2</v>
      </c>
      <c r="H1034" s="2">
        <f>ff_portfolios25!H1034-ff_factors!$E1034</f>
        <v>3.6299999999999995E-3</v>
      </c>
      <c r="I1034" s="2">
        <f>ff_portfolios25!I1034-ff_factors!$E1034</f>
        <v>3.5463000000000001E-2</v>
      </c>
      <c r="J1034" s="2">
        <f>ff_portfolios25!J1034-ff_factors!$E1034</f>
        <v>1.8068000000000001E-2</v>
      </c>
      <c r="K1034" s="2">
        <f>ff_portfolios25!K1034-ff_factors!$E1034</f>
        <v>2.7951E-2</v>
      </c>
      <c r="L1034" s="2">
        <f>ff_portfolios25!L1034-ff_factors!$E1034</f>
        <v>2.2703000000000001E-2</v>
      </c>
      <c r="M1034" s="2">
        <f>ff_portfolios25!M1034-ff_factors!$E1034</f>
        <v>1.7648999999999998E-2</v>
      </c>
      <c r="N1034" s="2">
        <f>ff_portfolios25!N1034-ff_factors!$E1034</f>
        <v>5.0754000000000001E-2</v>
      </c>
      <c r="O1034" s="2">
        <f>ff_portfolios25!O1034-ff_factors!$E1034</f>
        <v>3.7109000000000003E-2</v>
      </c>
      <c r="P1034" s="2">
        <f>ff_portfolios25!P1034-ff_factors!$E1034</f>
        <v>3.4746000000000006E-2</v>
      </c>
      <c r="Q1034" s="2">
        <f>ff_portfolios25!Q1034-ff_factors!$E1034</f>
        <v>3.1910000000000001E-2</v>
      </c>
      <c r="R1034" s="2">
        <f>ff_portfolios25!R1034-ff_factors!$E1034</f>
        <v>2.2924E-2</v>
      </c>
      <c r="S1034" s="2">
        <f>ff_portfolios25!S1034-ff_factors!$E1034</f>
        <v>5.3347000000000006E-2</v>
      </c>
      <c r="T1034" s="2">
        <f>ff_portfolios25!T1034-ff_factors!$E1034</f>
        <v>5.2623000000000003E-2</v>
      </c>
      <c r="U1034" s="2">
        <f>ff_portfolios25!U1034-ff_factors!$E1034</f>
        <v>4.7397000000000002E-2</v>
      </c>
      <c r="V1034" s="2">
        <f>ff_portfolios25!V1034-ff_factors!$E1034</f>
        <v>3.0862999999999998E-2</v>
      </c>
      <c r="W1034" s="2">
        <f>ff_portfolios25!W1034-ff_factors!$E1034</f>
        <v>2.0579E-2</v>
      </c>
      <c r="X1034" s="2">
        <f>ff_portfolios25!X1034-ff_factors!$E1034</f>
        <v>7.8404000000000001E-2</v>
      </c>
      <c r="Y1034" s="2">
        <f>ff_portfolios25!Y1034-ff_factors!$E1034</f>
        <v>5.0819000000000003E-2</v>
      </c>
      <c r="Z1034" s="2">
        <f>ff_portfolios25!Z1034-ff_factors!$E1034</f>
        <v>5.6926000000000004E-2</v>
      </c>
      <c r="AA1034" s="2">
        <f>ff_portfolios25!AA1034-ff_factors!$E1034</f>
        <v>3.6649000000000001E-2</v>
      </c>
      <c r="AB1034" s="2">
        <f>ff_portfolios25!AB1034-ff_factors!$E1034</f>
        <v>5.5105000000000001E-2</v>
      </c>
    </row>
    <row r="1035" spans="1:28" x14ac:dyDescent="0.2">
      <c r="A1035">
        <v>20180228</v>
      </c>
      <c r="B1035">
        <v>2018</v>
      </c>
      <c r="C1035">
        <v>2</v>
      </c>
      <c r="D1035" s="2">
        <f>ff_portfolios25!D1035-ff_factors!$E1035</f>
        <v>-2.3529999999999999E-2</v>
      </c>
      <c r="E1035" s="2">
        <f>ff_portfolios25!E1035-ff_factors!$E1035</f>
        <v>-1.9126000000000001E-2</v>
      </c>
      <c r="F1035" s="2">
        <f>ff_portfolios25!F1035-ff_factors!$E1035</f>
        <v>-4.036E-2</v>
      </c>
      <c r="G1035" s="2">
        <f>ff_portfolios25!G1035-ff_factors!$E1035</f>
        <v>-3.5364E-2</v>
      </c>
      <c r="H1035" s="2">
        <f>ff_portfolios25!H1035-ff_factors!$E1035</f>
        <v>-3.9E-2</v>
      </c>
      <c r="I1035" s="2">
        <f>ff_portfolios25!I1035-ff_factors!$E1035</f>
        <v>-3.7236999999999999E-2</v>
      </c>
      <c r="J1035" s="2">
        <f>ff_portfolios25!J1035-ff_factors!$E1035</f>
        <v>-2.5204000000000001E-2</v>
      </c>
      <c r="K1035" s="2">
        <f>ff_portfolios25!K1035-ff_factors!$E1035</f>
        <v>-3.6791999999999998E-2</v>
      </c>
      <c r="L1035" s="2">
        <f>ff_portfolios25!L1035-ff_factors!$E1035</f>
        <v>-3.8810999999999998E-2</v>
      </c>
      <c r="M1035" s="2">
        <f>ff_portfolios25!M1035-ff_factors!$E1035</f>
        <v>-4.7379999999999999E-2</v>
      </c>
      <c r="N1035" s="2">
        <f>ff_portfolios25!N1035-ff_factors!$E1035</f>
        <v>-2.6988000000000002E-2</v>
      </c>
      <c r="O1035" s="2">
        <f>ff_portfolios25!O1035-ff_factors!$E1035</f>
        <v>-4.2108E-2</v>
      </c>
      <c r="P1035" s="2">
        <f>ff_portfolios25!P1035-ff_factors!$E1035</f>
        <v>-5.0772999999999999E-2</v>
      </c>
      <c r="Q1035" s="2">
        <f>ff_portfolios25!Q1035-ff_factors!$E1035</f>
        <v>-4.5005999999999997E-2</v>
      </c>
      <c r="R1035" s="2">
        <f>ff_portfolios25!R1035-ff_factors!$E1035</f>
        <v>-4.6061999999999999E-2</v>
      </c>
      <c r="S1035" s="2">
        <f>ff_portfolios25!S1035-ff_factors!$E1035</f>
        <v>-3.2153999999999995E-2</v>
      </c>
      <c r="T1035" s="2">
        <f>ff_portfolios25!T1035-ff_factors!$E1035</f>
        <v>-4.9511999999999994E-2</v>
      </c>
      <c r="U1035" s="2">
        <f>ff_portfolios25!U1035-ff_factors!$E1035</f>
        <v>-3.4555999999999996E-2</v>
      </c>
      <c r="V1035" s="2">
        <f>ff_portfolios25!V1035-ff_factors!$E1035</f>
        <v>-4.7820999999999995E-2</v>
      </c>
      <c r="W1035" s="2">
        <f>ff_portfolios25!W1035-ff_factors!$E1035</f>
        <v>-5.0666999999999997E-2</v>
      </c>
      <c r="X1035" s="2">
        <f>ff_portfolios25!X1035-ff_factors!$E1035</f>
        <v>-1.5056E-2</v>
      </c>
      <c r="Y1035" s="2">
        <f>ff_portfolios25!Y1035-ff_factors!$E1035</f>
        <v>-4.9160999999999996E-2</v>
      </c>
      <c r="Z1035" s="2">
        <f>ff_portfolios25!Z1035-ff_factors!$E1035</f>
        <v>-5.4115999999999997E-2</v>
      </c>
      <c r="AA1035" s="2">
        <f>ff_portfolios25!AA1035-ff_factors!$E1035</f>
        <v>-5.6471999999999994E-2</v>
      </c>
      <c r="AB1035" s="2">
        <f>ff_portfolios25!AB1035-ff_factors!$E1035</f>
        <v>-2.1211000000000001E-2</v>
      </c>
    </row>
    <row r="1036" spans="1:28" x14ac:dyDescent="0.2">
      <c r="A1036">
        <v>20180329</v>
      </c>
      <c r="B1036">
        <v>2018</v>
      </c>
      <c r="C1036">
        <v>3</v>
      </c>
      <c r="D1036" s="2">
        <f>ff_portfolios25!D1036-ff_factors!$E1036</f>
        <v>2.3515999999999999E-2</v>
      </c>
      <c r="E1036" s="2">
        <f>ff_portfolios25!E1036-ff_factors!$E1036</f>
        <v>-1.3613999999999999E-2</v>
      </c>
      <c r="F1036" s="2">
        <f>ff_portfolios25!F1036-ff_factors!$E1036</f>
        <v>5.5890000000000002E-3</v>
      </c>
      <c r="G1036" s="2">
        <f>ff_portfolios25!G1036-ff_factors!$E1036</f>
        <v>2.6648000000000002E-2</v>
      </c>
      <c r="H1036" s="2">
        <f>ff_portfolios25!H1036-ff_factors!$E1036</f>
        <v>2.1798999999999999E-2</v>
      </c>
      <c r="I1036" s="2">
        <f>ff_portfolios25!I1036-ff_factors!$E1036</f>
        <v>1.3881000000000001E-2</v>
      </c>
      <c r="J1036" s="2">
        <f>ff_portfolios25!J1036-ff_factors!$E1036</f>
        <v>5.6500000000000005E-3</v>
      </c>
      <c r="K1036" s="2">
        <f>ff_portfolios25!K1036-ff_factors!$E1036</f>
        <v>7.8510000000000003E-3</v>
      </c>
      <c r="L1036" s="2">
        <f>ff_portfolios25!L1036-ff_factors!$E1036</f>
        <v>1.5901000000000002E-2</v>
      </c>
      <c r="M1036" s="2">
        <f>ff_portfolios25!M1036-ff_factors!$E1036</f>
        <v>3.1819999999999999E-3</v>
      </c>
      <c r="N1036" s="2">
        <f>ff_portfolios25!N1036-ff_factors!$E1036</f>
        <v>1.6775999999999999E-2</v>
      </c>
      <c r="O1036" s="2">
        <f>ff_portfolios25!O1036-ff_factors!$E1036</f>
        <v>9.2950000000000012E-3</v>
      </c>
      <c r="P1036" s="2">
        <f>ff_portfolios25!P1036-ff_factors!$E1036</f>
        <v>-1.1554999999999999E-2</v>
      </c>
      <c r="Q1036" s="2">
        <f>ff_portfolios25!Q1036-ff_factors!$E1036</f>
        <v>1.4662000000000001E-2</v>
      </c>
      <c r="R1036" s="2">
        <f>ff_portfolios25!R1036-ff_factors!$E1036</f>
        <v>5.7220000000000005E-3</v>
      </c>
      <c r="S1036" s="2">
        <f>ff_portfolios25!S1036-ff_factors!$E1036</f>
        <v>-3.6930000000000001E-3</v>
      </c>
      <c r="T1036" s="2">
        <f>ff_portfolios25!T1036-ff_factors!$E1036</f>
        <v>-1.569999999999998E-4</v>
      </c>
      <c r="U1036" s="2">
        <f>ff_portfolios25!U1036-ff_factors!$E1036</f>
        <v>-1.4319999999999999E-3</v>
      </c>
      <c r="V1036" s="2">
        <f>ff_portfolios25!V1036-ff_factors!$E1036</f>
        <v>1.0170999999999999E-2</v>
      </c>
      <c r="W1036" s="2">
        <f>ff_portfolios25!W1036-ff_factors!$E1036</f>
        <v>-3.784E-3</v>
      </c>
      <c r="X1036" s="2">
        <f>ff_portfolios25!X1036-ff_factors!$E1036</f>
        <v>-2.9368999999999999E-2</v>
      </c>
      <c r="Y1036" s="2">
        <f>ff_portfolios25!Y1036-ff_factors!$E1036</f>
        <v>-3.9183000000000003E-2</v>
      </c>
      <c r="Z1036" s="2">
        <f>ff_portfolios25!Z1036-ff_factors!$E1036</f>
        <v>-1.7721999999999998E-2</v>
      </c>
      <c r="AA1036" s="2">
        <f>ff_portfolios25!AA1036-ff_factors!$E1036</f>
        <v>-1.7389999999999999E-2</v>
      </c>
      <c r="AB1036" s="2">
        <f>ff_portfolios25!AB1036-ff_factors!$E1036</f>
        <v>-4.5677999999999996E-2</v>
      </c>
    </row>
    <row r="1037" spans="1:28" x14ac:dyDescent="0.2">
      <c r="A1037">
        <v>20180430</v>
      </c>
      <c r="B1037">
        <v>2018</v>
      </c>
      <c r="C1037">
        <v>4</v>
      </c>
      <c r="D1037" s="2">
        <f>ff_portfolios25!D1037-ff_factors!$E1037</f>
        <v>-4.0689999999999997E-3</v>
      </c>
      <c r="E1037" s="2">
        <f>ff_portfolios25!E1037-ff_factors!$E1037</f>
        <v>4.8631000000000001E-2</v>
      </c>
      <c r="F1037" s="2">
        <f>ff_portfolios25!F1037-ff_factors!$E1037</f>
        <v>3.006E-3</v>
      </c>
      <c r="G1037" s="2">
        <f>ff_portfolios25!G1037-ff_factors!$E1037</f>
        <v>7.0399999999999994E-3</v>
      </c>
      <c r="H1037" s="2">
        <f>ff_portfolios25!H1037-ff_factors!$E1037</f>
        <v>1.2749999999999999E-2</v>
      </c>
      <c r="I1037" s="2">
        <f>ff_portfolios25!I1037-ff_factors!$E1037</f>
        <v>9.833999999999999E-3</v>
      </c>
      <c r="J1037" s="2">
        <f>ff_portfolios25!J1037-ff_factors!$E1037</f>
        <v>2.2909999999999996E-3</v>
      </c>
      <c r="K1037" s="2">
        <f>ff_portfolios25!K1037-ff_factors!$E1037</f>
        <v>1.0836E-2</v>
      </c>
      <c r="L1037" s="2">
        <f>ff_portfolios25!L1037-ff_factors!$E1037</f>
        <v>5.9619999999999994E-3</v>
      </c>
      <c r="M1037" s="2">
        <f>ff_portfolios25!M1037-ff_factors!$E1037</f>
        <v>4.7945000000000002E-2</v>
      </c>
      <c r="N1037" s="2">
        <f>ff_portfolios25!N1037-ff_factors!$E1037</f>
        <v>-5.7450000000000001E-3</v>
      </c>
      <c r="O1037" s="2">
        <f>ff_portfolios25!O1037-ff_factors!$E1037</f>
        <v>3.4979999999999994E-3</v>
      </c>
      <c r="P1037" s="2">
        <f>ff_portfolios25!P1037-ff_factors!$E1037</f>
        <v>-1.8296E-2</v>
      </c>
      <c r="Q1037" s="2">
        <f>ff_portfolios25!Q1037-ff_factors!$E1037</f>
        <v>7.6489999999999995E-3</v>
      </c>
      <c r="R1037" s="2">
        <f>ff_portfolios25!R1037-ff_factors!$E1037</f>
        <v>5.4079999999999996E-3</v>
      </c>
      <c r="S1037" s="2">
        <f>ff_portfolios25!S1037-ff_factors!$E1037</f>
        <v>-3.8710000000000003E-3</v>
      </c>
      <c r="T1037" s="2">
        <f>ff_portfolios25!T1037-ff_factors!$E1037</f>
        <v>-7.2780000000000006E-3</v>
      </c>
      <c r="U1037" s="2">
        <f>ff_portfolios25!U1037-ff_factors!$E1037</f>
        <v>-9.1120000000000003E-3</v>
      </c>
      <c r="V1037" s="2">
        <f>ff_portfolios25!V1037-ff_factors!$E1037</f>
        <v>4.9350000000000002E-3</v>
      </c>
      <c r="W1037" s="2">
        <f>ff_portfolios25!W1037-ff_factors!$E1037</f>
        <v>1.1273E-2</v>
      </c>
      <c r="X1037" s="2">
        <f>ff_portfolios25!X1037-ff_factors!$E1037</f>
        <v>1.7089999999999998E-3</v>
      </c>
      <c r="Y1037" s="2">
        <f>ff_portfolios25!Y1037-ff_factors!$E1037</f>
        <v>7.0069999999999993E-3</v>
      </c>
      <c r="Z1037" s="2">
        <f>ff_portfolios25!Z1037-ff_factors!$E1037</f>
        <v>1.2388E-2</v>
      </c>
      <c r="AA1037" s="2">
        <f>ff_portfolios25!AA1037-ff_factors!$E1037</f>
        <v>5.2399999999999994E-4</v>
      </c>
      <c r="AB1037" s="2">
        <f>ff_portfolios25!AB1037-ff_factors!$E1037</f>
        <v>-1.7290000000000001E-3</v>
      </c>
    </row>
    <row r="1038" spans="1:28" x14ac:dyDescent="0.2">
      <c r="A1038">
        <v>20180531</v>
      </c>
      <c r="B1038">
        <v>2018</v>
      </c>
      <c r="C1038">
        <v>5</v>
      </c>
      <c r="D1038" s="2">
        <f>ff_portfolios25!D1038-ff_factors!$E1038</f>
        <v>0.13547799999999999</v>
      </c>
      <c r="E1038" s="2">
        <f>ff_portfolios25!E1038-ff_factors!$E1038</f>
        <v>8.8056999999999996E-2</v>
      </c>
      <c r="F1038" s="2">
        <f>ff_portfolios25!F1038-ff_factors!$E1038</f>
        <v>7.3183999999999999E-2</v>
      </c>
      <c r="G1038" s="2">
        <f>ff_portfolios25!G1038-ff_factors!$E1038</f>
        <v>6.2025999999999998E-2</v>
      </c>
      <c r="H1038" s="2">
        <f>ff_portfolios25!H1038-ff_factors!$E1038</f>
        <v>6.2407000000000004E-2</v>
      </c>
      <c r="I1038" s="2">
        <f>ff_portfolios25!I1038-ff_factors!$E1038</f>
        <v>8.6360000000000006E-2</v>
      </c>
      <c r="J1038" s="2">
        <f>ff_portfolios25!J1038-ff_factors!$E1038</f>
        <v>6.4452999999999996E-2</v>
      </c>
      <c r="K1038" s="2">
        <f>ff_portfolios25!K1038-ff_factors!$E1038</f>
        <v>7.4241000000000001E-2</v>
      </c>
      <c r="L1038" s="2">
        <f>ff_portfolios25!L1038-ff_factors!$E1038</f>
        <v>7.1013000000000007E-2</v>
      </c>
      <c r="M1038" s="2">
        <f>ff_portfolios25!M1038-ff_factors!$E1038</f>
        <v>3.5875000000000004E-2</v>
      </c>
      <c r="N1038" s="2">
        <f>ff_portfolios25!N1038-ff_factors!$E1038</f>
        <v>6.2104000000000006E-2</v>
      </c>
      <c r="O1038" s="2">
        <f>ff_portfolios25!O1038-ff_factors!$E1038</f>
        <v>4.7442000000000005E-2</v>
      </c>
      <c r="P1038" s="2">
        <f>ff_portfolios25!P1038-ff_factors!$E1038</f>
        <v>4.3244999999999999E-2</v>
      </c>
      <c r="Q1038" s="2">
        <f>ff_portfolios25!Q1038-ff_factors!$E1038</f>
        <v>5.1697E-2</v>
      </c>
      <c r="R1038" s="2">
        <f>ff_portfolios25!R1038-ff_factors!$E1038</f>
        <v>5.2178000000000002E-2</v>
      </c>
      <c r="S1038" s="2">
        <f>ff_portfolios25!S1038-ff_factors!$E1038</f>
        <v>4.206E-2</v>
      </c>
      <c r="T1038" s="2">
        <f>ff_portfolios25!T1038-ff_factors!$E1038</f>
        <v>3.8582999999999999E-2</v>
      </c>
      <c r="U1038" s="2">
        <f>ff_portfolios25!U1038-ff_factors!$E1038</f>
        <v>2.7661000000000002E-2</v>
      </c>
      <c r="V1038" s="2">
        <f>ff_portfolios25!V1038-ff_factors!$E1038</f>
        <v>1.5226999999999999E-2</v>
      </c>
      <c r="W1038" s="2">
        <f>ff_portfolios25!W1038-ff_factors!$E1038</f>
        <v>1.6377000000000003E-2</v>
      </c>
      <c r="X1038" s="2">
        <f>ff_portfolios25!X1038-ff_factors!$E1038</f>
        <v>4.2602000000000001E-2</v>
      </c>
      <c r="Y1038" s="2">
        <f>ff_portfolios25!Y1038-ff_factors!$E1038</f>
        <v>2.2376E-2</v>
      </c>
      <c r="Z1038" s="2">
        <f>ff_portfolios25!Z1038-ff_factors!$E1038</f>
        <v>9.5460000000000007E-3</v>
      </c>
      <c r="AA1038" s="2">
        <f>ff_portfolios25!AA1038-ff_factors!$E1038</f>
        <v>2.2160000000000001E-3</v>
      </c>
      <c r="AB1038" s="2">
        <f>ff_portfolios25!AB1038-ff_factors!$E1038</f>
        <v>-1.6326999999999998E-2</v>
      </c>
    </row>
    <row r="1039" spans="1:28" x14ac:dyDescent="0.2">
      <c r="A1039">
        <v>20180629</v>
      </c>
      <c r="B1039">
        <v>2018</v>
      </c>
      <c r="C1039">
        <v>6</v>
      </c>
      <c r="D1039" s="2">
        <f>ff_portfolios25!D1039-ff_factors!$E1039</f>
        <v>3.6458000000000004E-2</v>
      </c>
      <c r="E1039" s="2">
        <f>ff_portfolios25!E1039-ff_factors!$E1039</f>
        <v>3.1544000000000003E-2</v>
      </c>
      <c r="F1039" s="2">
        <f>ff_portfolios25!F1039-ff_factors!$E1039</f>
        <v>3.2600000000000012E-4</v>
      </c>
      <c r="G1039" s="2">
        <f>ff_portfolios25!G1039-ff_factors!$E1039</f>
        <v>1.1658E-2</v>
      </c>
      <c r="H1039" s="2">
        <f>ff_portfolios25!H1039-ff_factors!$E1039</f>
        <v>1.5692000000000001E-2</v>
      </c>
      <c r="I1039" s="2">
        <f>ff_portfolios25!I1039-ff_factors!$E1039</f>
        <v>7.5499999999999994E-3</v>
      </c>
      <c r="J1039" s="2">
        <f>ff_portfolios25!J1039-ff_factors!$E1039</f>
        <v>4.5014999999999999E-2</v>
      </c>
      <c r="K1039" s="2">
        <f>ff_portfolios25!K1039-ff_factors!$E1039</f>
        <v>-1.9109999999999999E-3</v>
      </c>
      <c r="L1039" s="2">
        <f>ff_portfolios25!L1039-ff_factors!$E1039</f>
        <v>-9.1319999999999995E-3</v>
      </c>
      <c r="M1039" s="2">
        <f>ff_portfolios25!M1039-ff_factors!$E1039</f>
        <v>7.1540000000000006E-3</v>
      </c>
      <c r="N1039" s="2">
        <f>ff_portfolios25!N1039-ff_factors!$E1039</f>
        <v>-4.8069999999999996E-3</v>
      </c>
      <c r="O1039" s="2">
        <f>ff_portfolios25!O1039-ff_factors!$E1039</f>
        <v>1.0213E-2</v>
      </c>
      <c r="P1039" s="2">
        <f>ff_portfolios25!P1039-ff_factors!$E1039</f>
        <v>-1.722E-3</v>
      </c>
      <c r="Q1039" s="2">
        <f>ff_portfolios25!Q1039-ff_factors!$E1039</f>
        <v>4.8999999999999998E-5</v>
      </c>
      <c r="R1039" s="2">
        <f>ff_portfolios25!R1039-ff_factors!$E1039</f>
        <v>-1.6781999999999998E-2</v>
      </c>
      <c r="S1039" s="2">
        <f>ff_portfolios25!S1039-ff_factors!$E1039</f>
        <v>1.2238000000000001E-2</v>
      </c>
      <c r="T1039" s="2">
        <f>ff_portfolios25!T1039-ff_factors!$E1039</f>
        <v>1.9078000000000001E-2</v>
      </c>
      <c r="U1039" s="2">
        <f>ff_portfolios25!U1039-ff_factors!$E1039</f>
        <v>-8.1329999999999996E-3</v>
      </c>
      <c r="V1039" s="2">
        <f>ff_portfolios25!V1039-ff_factors!$E1039</f>
        <v>-1.1627999999999999E-2</v>
      </c>
      <c r="W1039" s="2">
        <f>ff_portfolios25!W1039-ff_factors!$E1039</f>
        <v>-4.6540000000000002E-3</v>
      </c>
      <c r="X1039" s="2">
        <f>ff_portfolios25!X1039-ff_factors!$E1039</f>
        <v>9.0030000000000006E-3</v>
      </c>
      <c r="Y1039" s="2">
        <f>ff_portfolios25!Y1039-ff_factors!$E1039</f>
        <v>9.6039999999999997E-3</v>
      </c>
      <c r="Z1039" s="2">
        <f>ff_portfolios25!Z1039-ff_factors!$E1039</f>
        <v>-1.1280000000000001E-3</v>
      </c>
      <c r="AA1039" s="2">
        <f>ff_portfolios25!AA1039-ff_factors!$E1039</f>
        <v>2.5309999999999994E-3</v>
      </c>
      <c r="AB1039" s="2">
        <f>ff_portfolios25!AB1039-ff_factors!$E1039</f>
        <v>-2.5357999999999999E-2</v>
      </c>
    </row>
    <row r="1040" spans="1:28" x14ac:dyDescent="0.2">
      <c r="B1040">
        <v>2018</v>
      </c>
      <c r="C1040">
        <v>7</v>
      </c>
      <c r="D1040" s="2">
        <f>ff_portfolios25!D1040-ff_factors!$E1040</f>
        <v>-9.189000000000001E-3</v>
      </c>
      <c r="E1040" s="2">
        <f>ff_portfolios25!E1040-ff_factors!$E1040</f>
        <v>-1.2285000000000001E-2</v>
      </c>
      <c r="F1040" s="2">
        <f>ff_portfolios25!F1040-ff_factors!$E1040</f>
        <v>9.7869999999999988E-3</v>
      </c>
      <c r="G1040" s="2">
        <f>ff_portfolios25!G1040-ff_factors!$E1040</f>
        <v>-5.1419999999999999E-3</v>
      </c>
      <c r="H1040" s="2">
        <f>ff_portfolios25!H1040-ff_factors!$E1040</f>
        <v>7.5899999999999991E-4</v>
      </c>
      <c r="I1040" s="2">
        <f>ff_portfolios25!I1040-ff_factors!$E1040</f>
        <v>1.0234E-2</v>
      </c>
      <c r="J1040" s="2">
        <f>ff_portfolios25!J1040-ff_factors!$E1040</f>
        <v>4.0764000000000002E-2</v>
      </c>
      <c r="K1040" s="2">
        <f>ff_portfolios25!K1040-ff_factors!$E1040</f>
        <v>3.2780000000000004E-2</v>
      </c>
      <c r="L1040" s="2">
        <f>ff_portfolios25!L1040-ff_factors!$E1040</f>
        <v>5.7099999999999998E-3</v>
      </c>
      <c r="M1040" s="2">
        <f>ff_portfolios25!M1040-ff_factors!$E1040</f>
        <v>2.6481999999999999E-2</v>
      </c>
      <c r="N1040" s="2">
        <f>ff_portfolios25!N1040-ff_factors!$E1040</f>
        <v>1.0921999999999999E-2</v>
      </c>
      <c r="O1040" s="2">
        <f>ff_portfolios25!O1040-ff_factors!$E1040</f>
        <v>2.5766000000000001E-2</v>
      </c>
      <c r="P1040" s="2">
        <f>ff_portfolios25!P1040-ff_factors!$E1040</f>
        <v>2.0115999999999998E-2</v>
      </c>
      <c r="Q1040" s="2">
        <f>ff_portfolios25!Q1040-ff_factors!$E1040</f>
        <v>2.1572000000000001E-2</v>
      </c>
      <c r="R1040" s="2">
        <f>ff_portfolios25!R1040-ff_factors!$E1040</f>
        <v>-3.003E-3</v>
      </c>
      <c r="S1040" s="2">
        <f>ff_portfolios25!S1040-ff_factors!$E1040</f>
        <v>2.0867999999999998E-2</v>
      </c>
      <c r="T1040" s="2">
        <f>ff_portfolios25!T1040-ff_factors!$E1040</f>
        <v>3.0025E-2</v>
      </c>
      <c r="U1040" s="2">
        <f>ff_portfolios25!U1040-ff_factors!$E1040</f>
        <v>2.2977999999999998E-2</v>
      </c>
      <c r="V1040" s="2">
        <f>ff_portfolios25!V1040-ff_factors!$E1040</f>
        <v>9.134999999999999E-3</v>
      </c>
      <c r="W1040" s="2">
        <f>ff_portfolios25!W1040-ff_factors!$E1040</f>
        <v>2.6173999999999999E-2</v>
      </c>
      <c r="X1040" s="2">
        <f>ff_portfolios25!X1040-ff_factors!$E1040</f>
        <v>2.7369999999999998E-2</v>
      </c>
      <c r="Y1040" s="2">
        <f>ff_portfolios25!Y1040-ff_factors!$E1040</f>
        <v>5.0939000000000005E-2</v>
      </c>
      <c r="Z1040" s="2">
        <f>ff_portfolios25!Z1040-ff_factors!$E1040</f>
        <v>3.1094E-2</v>
      </c>
      <c r="AA1040" s="2">
        <f>ff_portfolios25!AA1040-ff_factors!$E1040</f>
        <v>3.6244999999999999E-2</v>
      </c>
      <c r="AB1040" s="2">
        <f>ff_portfolios25!AB1040-ff_factors!$E1040</f>
        <v>5.0306000000000003E-2</v>
      </c>
    </row>
    <row r="1041" spans="1:28" x14ac:dyDescent="0.2">
      <c r="B1041">
        <v>2018</v>
      </c>
      <c r="C1041">
        <v>8</v>
      </c>
      <c r="D1041" s="2">
        <f>ff_portfolios25!D1041-ff_factors!$E1041</f>
        <v>4.1889000000000003E-2</v>
      </c>
      <c r="E1041" s="2">
        <f>ff_portfolios25!E1041-ff_factors!$E1041</f>
        <v>8.0450999999999995E-2</v>
      </c>
      <c r="F1041" s="2">
        <f>ff_portfolios25!F1041-ff_factors!$E1041</f>
        <v>2.6436999999999999E-2</v>
      </c>
      <c r="G1041" s="2">
        <f>ff_portfolios25!G1041-ff_factors!$E1041</f>
        <v>1.5722E-2</v>
      </c>
      <c r="H1041" s="2">
        <f>ff_portfolios25!H1041-ff_factors!$E1041</f>
        <v>2.7806000000000001E-2</v>
      </c>
      <c r="I1041" s="2">
        <f>ff_portfolios25!I1041-ff_factors!$E1041</f>
        <v>7.2692999999999994E-2</v>
      </c>
      <c r="J1041" s="2">
        <f>ff_portfolios25!J1041-ff_factors!$E1041</f>
        <v>4.7828000000000002E-2</v>
      </c>
      <c r="K1041" s="2">
        <f>ff_portfolios25!K1041-ff_factors!$E1041</f>
        <v>3.6126999999999999E-2</v>
      </c>
      <c r="L1041" s="2">
        <f>ff_portfolios25!L1041-ff_factors!$E1041</f>
        <v>2.3653E-2</v>
      </c>
      <c r="M1041" s="2">
        <f>ff_portfolios25!M1041-ff_factors!$E1041</f>
        <v>2.6665999999999999E-2</v>
      </c>
      <c r="N1041" s="2">
        <f>ff_portfolios25!N1041-ff_factors!$E1041</f>
        <v>6.3719999999999999E-2</v>
      </c>
      <c r="O1041" s="2">
        <f>ff_portfolios25!O1041-ff_factors!$E1041</f>
        <v>5.0624000000000002E-2</v>
      </c>
      <c r="P1041" s="2">
        <f>ff_portfolios25!P1041-ff_factors!$E1041</f>
        <v>2.2276000000000001E-2</v>
      </c>
      <c r="Q1041" s="2">
        <f>ff_portfolios25!Q1041-ff_factors!$E1041</f>
        <v>2.4878999999999998E-2</v>
      </c>
      <c r="R1041" s="2">
        <f>ff_portfolios25!R1041-ff_factors!$E1041</f>
        <v>4.0934000000000005E-2</v>
      </c>
      <c r="S1041" s="2">
        <f>ff_portfolios25!S1041-ff_factors!$E1041</f>
        <v>7.1887999999999994E-2</v>
      </c>
      <c r="T1041" s="2">
        <f>ff_portfolios25!T1041-ff_factors!$E1041</f>
        <v>3.1546000000000005E-2</v>
      </c>
      <c r="U1041" s="2">
        <f>ff_portfolios25!U1041-ff_factors!$E1041</f>
        <v>-1.1585000000000002E-2</v>
      </c>
      <c r="V1041" s="2">
        <f>ff_portfolios25!V1041-ff_factors!$E1041</f>
        <v>9.1249999999999994E-3</v>
      </c>
      <c r="W1041" s="2">
        <f>ff_portfolios25!W1041-ff_factors!$E1041</f>
        <v>-1.0294000000000001E-2</v>
      </c>
      <c r="X1041" s="2">
        <f>ff_portfolios25!X1041-ff_factors!$E1041</f>
        <v>5.9387000000000002E-2</v>
      </c>
      <c r="Y1041" s="2">
        <f>ff_portfolios25!Y1041-ff_factors!$E1041</f>
        <v>1.8460999999999998E-2</v>
      </c>
      <c r="Z1041" s="2">
        <f>ff_portfolios25!Z1041-ff_factors!$E1041</f>
        <v>2.3727999999999999E-2</v>
      </c>
      <c r="AA1041" s="2">
        <f>ff_portfolios25!AA1041-ff_factors!$E1041</f>
        <v>1.2159999999999999E-3</v>
      </c>
      <c r="AB1041" s="2">
        <f>ff_portfolios25!AB1041-ff_factors!$E1041</f>
        <v>1.0026999999999999E-2</v>
      </c>
    </row>
    <row r="1043" spans="1:28" x14ac:dyDescent="0.2">
      <c r="A1043" s="3" t="s">
        <v>66</v>
      </c>
    </row>
    <row r="1044" spans="1:28" x14ac:dyDescent="0.2">
      <c r="A1044" s="3" t="s">
        <v>67</v>
      </c>
    </row>
    <row r="1045" spans="1:28" x14ac:dyDescent="0.2">
      <c r="A1045" s="3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9F9E-E7A9-804A-BF30-7E3D2D754B94}">
  <dimension ref="A1:Z12"/>
  <sheetViews>
    <sheetView zoomScale="188" zoomScaleNormal="188" workbookViewId="0">
      <selection activeCell="B1" sqref="B1:Z1"/>
    </sheetView>
  </sheetViews>
  <sheetFormatPr baseColWidth="10" defaultRowHeight="15" x14ac:dyDescent="0.2"/>
  <cols>
    <col min="1" max="1" width="10.83203125" customWidth="1"/>
    <col min="2" max="2" width="14.6640625" bestFit="1" customWidth="1"/>
    <col min="3" max="3" width="14.1640625" bestFit="1" customWidth="1"/>
    <col min="4" max="6" width="13.6640625" bestFit="1" customWidth="1"/>
    <col min="7" max="7" width="14.1640625" bestFit="1" customWidth="1"/>
    <col min="8" max="11" width="13.6640625" bestFit="1" customWidth="1"/>
    <col min="12" max="12" width="14.1640625" bestFit="1" customWidth="1"/>
    <col min="13" max="21" width="13.6640625" bestFit="1" customWidth="1"/>
    <col min="22" max="23" width="14.1640625" bestFit="1" customWidth="1"/>
    <col min="24" max="24" width="13.6640625" bestFit="1" customWidth="1"/>
    <col min="25" max="25" width="14.1640625" bestFit="1" customWidth="1"/>
    <col min="26" max="26" width="13.6640625" bestFit="1" customWidth="1"/>
  </cols>
  <sheetData>
    <row r="1" spans="1:26" x14ac:dyDescent="0.2">
      <c r="A1" s="3" t="s">
        <v>65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</row>
    <row r="2" spans="1:26" x14ac:dyDescent="0.2">
      <c r="A2" s="3" t="s">
        <v>66</v>
      </c>
      <c r="B2" s="6">
        <f>SLOPE(CAPM!D2:D1041, ff_factors!$D$2:$D$1041)</f>
        <v>1.6460394928549753</v>
      </c>
      <c r="C2" s="6">
        <f>SLOPE(CAPM!E2:E1041, ff_factors!$D$2:$D$1041)</f>
        <v>1.4434669822194814</v>
      </c>
      <c r="D2" s="6">
        <f>SLOPE(CAPM!F2:F1041, ff_factors!$D$2:$D$1041)</f>
        <v>1.3953045632352168</v>
      </c>
      <c r="E2" s="6">
        <f>SLOPE(CAPM!G2:G1041, ff_factors!$D$2:$D$1041)</f>
        <v>1.2713463447727256</v>
      </c>
      <c r="F2" s="6">
        <f>SLOPE(CAPM!H2:H1041, ff_factors!$D$2:$D$1041)</f>
        <v>1.3925207718037074</v>
      </c>
      <c r="G2" s="7">
        <f>SLOPE(CAPM!I2:I1041, ff_factors!$D$2:$D$1041)</f>
        <v>1.3068637672742185</v>
      </c>
      <c r="H2" s="7">
        <f>SLOPE(CAPM!J2:J1041, ff_factors!$D$2:$D$1041)</f>
        <v>1.2626304770951768</v>
      </c>
      <c r="I2" s="7">
        <f>SLOPE(CAPM!K2:K1041, ff_factors!$D$2:$D$1041)</f>
        <v>1.2272336605814949</v>
      </c>
      <c r="J2" s="7">
        <f>SLOPE(CAPM!L2:L1041, ff_factors!$D$2:$D$1041)</f>
        <v>1.2367851256840414</v>
      </c>
      <c r="K2" s="7">
        <f>SLOPE(CAPM!M2:M1041, ff_factors!$D$2:$D$1041)</f>
        <v>1.3949343403262358</v>
      </c>
      <c r="L2" s="8">
        <f>SLOPE(CAPM!N2:N1041, ff_factors!$D$2:$D$1041)</f>
        <v>1.2818455567219009</v>
      </c>
      <c r="M2" s="8">
        <f>SLOPE(CAPM!O2:O1041, ff_factors!$D$2:$D$1041)</f>
        <v>1.1296383449135319</v>
      </c>
      <c r="N2" s="8">
        <f>SLOPE(CAPM!P2:P1041, ff_factors!$D$2:$D$1041)</f>
        <v>1.1474101661118308</v>
      </c>
      <c r="O2" s="8">
        <f>SLOPE(CAPM!Q2:Q1041, ff_factors!$D$2:$D$1041)</f>
        <v>1.1772727623242598</v>
      </c>
      <c r="P2" s="8">
        <f>SLOPE(CAPM!R2:R1041, ff_factors!$D$2:$D$1041)</f>
        <v>1.384787837397818</v>
      </c>
      <c r="Q2" s="9">
        <f>SLOPE(CAPM!S2:S1041, ff_factors!$D$2:$D$1041)</f>
        <v>1.0901543649918193</v>
      </c>
      <c r="R2" s="9">
        <f>SLOPE(CAPM!T2:T1041, ff_factors!$D$2:$D$1041)</f>
        <v>1.0906304253777115</v>
      </c>
      <c r="S2" s="9">
        <f>SLOPE(CAPM!U2:U1041, ff_factors!$D$2:$D$1041)</f>
        <v>1.133749673139556</v>
      </c>
      <c r="T2" s="9">
        <f>SLOPE(CAPM!V2:V1041, ff_factors!$D$2:$D$1041)</f>
        <v>1.1565829803009895</v>
      </c>
      <c r="U2" s="9">
        <f>SLOPE(CAPM!W2:W1041, ff_factors!$D$2:$D$1041)</f>
        <v>1.4304719867582392</v>
      </c>
      <c r="V2" s="10">
        <f>SLOPE(CAPM!X2:X1041, ff_factors!$D$2:$D$1041)</f>
        <v>0.94695189201229457</v>
      </c>
      <c r="W2" s="10">
        <f>SLOPE(CAPM!Y2:Y1041, ff_factors!$D$2:$D$1041)</f>
        <v>0.9448819568565906</v>
      </c>
      <c r="X2" s="10">
        <f>SLOPE(CAPM!Z2:Z1041, ff_factors!$D$2:$D$1041)</f>
        <v>0.96092691120342533</v>
      </c>
      <c r="Y2" s="10">
        <f>SLOPE(CAPM!AA2:AA1041, ff_factors!$D$2:$D$1041)</f>
        <v>1.1111554595210571</v>
      </c>
      <c r="Z2" s="10">
        <f>SLOPE(CAPM!AB2:AB1041, ff_factors!$D$2:$D$1041)</f>
        <v>1.2750059089600665</v>
      </c>
    </row>
    <row r="3" spans="1:26" x14ac:dyDescent="0.2">
      <c r="A3" s="3" t="s">
        <v>67</v>
      </c>
      <c r="B3" s="6">
        <f>INTERCEPT(CAPM!D2:D1041, ff_factors!$D$2:$D$1041)</f>
        <v>-4.064681536216079E-3</v>
      </c>
      <c r="C3" s="6">
        <f>INTERCEPT(CAPM!E2:E1041, ff_factors!$D$2:$D$1041)</f>
        <v>-1.3527690165805635E-3</v>
      </c>
      <c r="D3" s="6">
        <f>INTERCEPT(CAPM!F2:F1041, ff_factors!$D$2:$D$1041)</f>
        <v>1.5992942992542562E-3</v>
      </c>
      <c r="E3" s="6">
        <f>INTERCEPT(CAPM!G2:G1041, ff_factors!$D$2:$D$1041)</f>
        <v>4.2814506199553969E-3</v>
      </c>
      <c r="F3" s="6">
        <f>INTERCEPT(CAPM!H2:H1041, ff_factors!$D$2:$D$1041)</f>
        <v>4.9252466376007355E-3</v>
      </c>
      <c r="G3" s="7">
        <f>INTERCEPT(CAPM!I2:I1041, ff_factors!$D$2:$D$1041)</f>
        <v>-1.6504575517369141E-3</v>
      </c>
      <c r="H3" s="7">
        <f>INTERCEPT(CAPM!J2:J1041, ff_factors!$D$2:$D$1041)</f>
        <v>1.4219812376218E-3</v>
      </c>
      <c r="I3" s="7">
        <f>INTERCEPT(CAPM!K2:K1041, ff_factors!$D$2:$D$1041)</f>
        <v>2.1496615442355583E-3</v>
      </c>
      <c r="J3" s="7">
        <f>INTERCEPT(CAPM!L2:L1041, ff_factors!$D$2:$D$1041)</f>
        <v>3.2383095104866321E-3</v>
      </c>
      <c r="K3" s="7">
        <f>INTERCEPT(CAPM!M2:M1041, ff_factors!$D$2:$D$1041)</f>
        <v>3.4795949521183953E-3</v>
      </c>
      <c r="L3" s="8">
        <f>INTERCEPT(CAPM!N2:N1041, ff_factors!$D$2:$D$1041)</f>
        <v>-9.7714767808279764E-4</v>
      </c>
      <c r="M3" s="8">
        <f>INTERCEPT(CAPM!O2:O1041, ff_factors!$D$2:$D$1041)</f>
        <v>1.8305958504509917E-3</v>
      </c>
      <c r="N3" s="8">
        <f>INTERCEPT(CAPM!P2:P1041, ff_factors!$D$2:$D$1041)</f>
        <v>1.769601398564441E-3</v>
      </c>
      <c r="O3" s="8">
        <f>INTERCEPT(CAPM!Q2:Q1041, ff_factors!$D$2:$D$1041)</f>
        <v>2.8789219431933979E-3</v>
      </c>
      <c r="P3" s="8">
        <f>INTERCEPT(CAPM!R2:R1041, ff_factors!$D$2:$D$1041)</f>
        <v>2.5971444265957284E-3</v>
      </c>
      <c r="Q3" s="9">
        <f>INTERCEPT(CAPM!S2:S1041, ff_factors!$D$2:$D$1041)</f>
        <v>5.7962488667311421E-5</v>
      </c>
      <c r="R3" s="9">
        <f>INTERCEPT(CAPM!T2:T1041, ff_factors!$D$2:$D$1041)</f>
        <v>5.6423758219773835E-4</v>
      </c>
      <c r="S3" s="9">
        <f>INTERCEPT(CAPM!U2:U1041, ff_factors!$D$2:$D$1041)</f>
        <v>1.5462016996877423E-3</v>
      </c>
      <c r="T3" s="9">
        <f>INTERCEPT(CAPM!V2:V1041, ff_factors!$D$2:$D$1041)</f>
        <v>2.4170605153207708E-3</v>
      </c>
      <c r="U3" s="9">
        <f>INTERCEPT(CAPM!W2:W1041, ff_factors!$D$2:$D$1041)</f>
        <v>9.7594661038076687E-4</v>
      </c>
      <c r="V3" s="10">
        <f>INTERCEPT(CAPM!X2:X1041, ff_factors!$D$2:$D$1041)</f>
        <v>-1.3413619559030261E-4</v>
      </c>
      <c r="W3" s="10">
        <f>INTERCEPT(CAPM!Y2:Y1041, ff_factors!$D$2:$D$1041)</f>
        <v>-8.8829577772670323E-5</v>
      </c>
      <c r="X3" s="10">
        <f>INTERCEPT(CAPM!Z2:Z1041, ff_factors!$D$2:$D$1041)</f>
        <v>1.1555993978504759E-3</v>
      </c>
      <c r="Y3" s="10">
        <f>INTERCEPT(CAPM!AA2:AA1041, ff_factors!$D$2:$D$1041)</f>
        <v>-4.2971157933355264E-4</v>
      </c>
      <c r="Z3" s="10">
        <f>INTERCEPT(CAPM!AB2:AB1041, ff_factors!$D$2:$D$1041)</f>
        <v>1.314764890042508E-3</v>
      </c>
    </row>
    <row r="4" spans="1:26" x14ac:dyDescent="0.2">
      <c r="A4" s="3" t="s">
        <v>68</v>
      </c>
      <c r="B4" s="6">
        <f>B3*12*100</f>
        <v>-4.8776178434592952</v>
      </c>
      <c r="C4" s="6">
        <f t="shared" ref="C4:O4" si="0">C3*12*100</f>
        <v>-1.6233228198966763</v>
      </c>
      <c r="D4" s="6">
        <f t="shared" si="0"/>
        <v>1.9191531591051074</v>
      </c>
      <c r="E4" s="6">
        <f t="shared" si="0"/>
        <v>5.137740743946476</v>
      </c>
      <c r="F4" s="6">
        <f t="shared" si="0"/>
        <v>5.9102959651208824</v>
      </c>
      <c r="G4" s="7">
        <f t="shared" si="0"/>
        <v>-1.9805490620842969</v>
      </c>
      <c r="H4" s="7">
        <f t="shared" si="0"/>
        <v>1.7063774851461599</v>
      </c>
      <c r="I4" s="7">
        <f t="shared" si="0"/>
        <v>2.5795938530826699</v>
      </c>
      <c r="J4" s="7">
        <f t="shared" si="0"/>
        <v>3.8859714125839586</v>
      </c>
      <c r="K4" s="7">
        <f t="shared" si="0"/>
        <v>4.1755139425420742</v>
      </c>
      <c r="L4" s="8">
        <f t="shared" si="0"/>
        <v>-1.1725772136993571</v>
      </c>
      <c r="M4" s="8">
        <f t="shared" si="0"/>
        <v>2.1967150205411903</v>
      </c>
      <c r="N4" s="8">
        <f t="shared" si="0"/>
        <v>2.1235216782773292</v>
      </c>
      <c r="O4" s="8">
        <f t="shared" si="0"/>
        <v>3.4547063318320776</v>
      </c>
      <c r="P4" s="8">
        <f>P3*12*100</f>
        <v>3.1165733119148742</v>
      </c>
      <c r="Q4" s="9">
        <f t="shared" ref="Q4" si="1">Q3*12*100</f>
        <v>6.9554986400773705E-2</v>
      </c>
      <c r="R4" s="9">
        <f t="shared" ref="R4" si="2">R3*12*100</f>
        <v>0.67708509863728605</v>
      </c>
      <c r="S4" s="9">
        <f t="shared" ref="S4" si="3">S3*12*100</f>
        <v>1.8554420396252906</v>
      </c>
      <c r="T4" s="9">
        <f t="shared" ref="T4" si="4">T3*12*100</f>
        <v>2.9004726183849252</v>
      </c>
      <c r="U4" s="9">
        <f t="shared" ref="U4" si="5">U3*12*100</f>
        <v>1.1711359324569202</v>
      </c>
      <c r="V4" s="10">
        <f t="shared" ref="V4" si="6">V3*12*100</f>
        <v>-0.16096343470836313</v>
      </c>
      <c r="W4" s="10">
        <f t="shared" ref="W4" si="7">W3*12*100</f>
        <v>-0.10659549332720439</v>
      </c>
      <c r="X4" s="10">
        <f t="shared" ref="X4" si="8">X3*12*100</f>
        <v>1.386719277420571</v>
      </c>
      <c r="Y4" s="10">
        <f t="shared" ref="Y4" si="9">Y3*12*100</f>
        <v>-0.51565389520026317</v>
      </c>
      <c r="Z4" s="10">
        <f t="shared" ref="Z4" si="10">Z3*12*100</f>
        <v>1.5777178680510096</v>
      </c>
    </row>
    <row r="5" spans="1:26" x14ac:dyDescent="0.2">
      <c r="A5" s="3" t="s">
        <v>69</v>
      </c>
      <c r="B5" s="5">
        <f>AVERAGE(CAPM!D2:D1041)*12*100</f>
        <v>9.7517480769230911</v>
      </c>
      <c r="C5" s="5">
        <f>AVERAGE(CAPM!E2:E1041)*12*100</f>
        <v>11.205656538461531</v>
      </c>
      <c r="D5" s="5">
        <f>AVERAGE(CAPM!F2:F1041)*12*100</f>
        <v>14.320083461538472</v>
      </c>
      <c r="E5" s="5">
        <f>AVERAGE(CAPM!G2:G1041)*12*100</f>
        <v>16.43697807692309</v>
      </c>
      <c r="F5" s="5">
        <f>AVERAGE(CAPM!H2:H1041)*12*100</f>
        <v>18.286485000000003</v>
      </c>
      <c r="G5" s="5">
        <f>AVERAGE(CAPM!I2:I1041)*12*100</f>
        <v>9.6343534615384669</v>
      </c>
      <c r="H5" s="5">
        <f>AVERAGE(CAPM!J2:J1041)*12*100</f>
        <v>12.928151538461519</v>
      </c>
      <c r="I5" s="5">
        <f>AVERAGE(CAPM!K2:K1041)*12*100</f>
        <v>13.48677461538462</v>
      </c>
      <c r="J5" s="5">
        <f>AVERAGE(CAPM!L2:L1041)*12*100</f>
        <v>14.878041923076918</v>
      </c>
      <c r="K5" s="5">
        <f>AVERAGE(CAPM!M2:M1041)*12*100</f>
        <v>16.57315384615384</v>
      </c>
      <c r="L5" s="5">
        <f>AVERAGE(CAPM!N2:N1041)*12*100</f>
        <v>10.219973076923083</v>
      </c>
      <c r="M5" s="5">
        <f>AVERAGE(CAPM!O2:O1041)*12*100</f>
        <v>12.236506153846157</v>
      </c>
      <c r="N5" s="5">
        <f>AVERAGE(CAPM!P2:P1041)*12*100</f>
        <v>12.321261923076932</v>
      </c>
      <c r="O5" s="5">
        <f>AVERAGE(CAPM!Q2:Q1041)*12*100</f>
        <v>13.917853846153822</v>
      </c>
      <c r="P5" s="5">
        <f>AVERAGE(CAPM!R2:R1041)*12*100</f>
        <v>15.424034999999989</v>
      </c>
      <c r="Q5" s="5">
        <f>AVERAGE(CAPM!S2:S1041)*12*100</f>
        <v>9.7584276923076843</v>
      </c>
      <c r="R5" s="5">
        <f>AVERAGE(CAPM!T2:T1041)*12*100</f>
        <v>10.370188846153857</v>
      </c>
      <c r="S5" s="5">
        <f>AVERAGE(CAPM!U2:U1041)*12*100</f>
        <v>11.931773076923074</v>
      </c>
      <c r="T5" s="5">
        <f>AVERAGE(CAPM!V2:V1041)*12*100</f>
        <v>13.179737307692314</v>
      </c>
      <c r="U5" s="5">
        <f>AVERAGE(CAPM!W2:W1041)*12*100</f>
        <v>13.884620769230782</v>
      </c>
      <c r="V5" s="5">
        <f>AVERAGE(CAPM!X2:X1041)*12*100</f>
        <v>8.2551807692307531</v>
      </c>
      <c r="W5" s="5">
        <f>AVERAGE(CAPM!Y2:Y1041)*12*100</f>
        <v>8.2911519230769226</v>
      </c>
      <c r="X5" s="5">
        <f>AVERAGE(CAPM!Z2:Z1041)*12*100</f>
        <v>9.9270680769230761</v>
      </c>
      <c r="Y5" s="5">
        <f>AVERAGE(CAPM!AA2:AA1041)*12*100</f>
        <v>9.3598684615384613</v>
      </c>
      <c r="Z5" s="5">
        <f>AVERAGE(CAPM!AB2:AB1041)*12*100</f>
        <v>12.90948000000002</v>
      </c>
    </row>
    <row r="6" spans="1:26" x14ac:dyDescent="0.2">
      <c r="B6" s="11">
        <f>(B5-B4)/B2</f>
        <v>8.8876153846153869</v>
      </c>
      <c r="C6" s="11">
        <f t="shared" ref="C6:R6" si="11">(C5-C4)/C2</f>
        <v>8.8876153846153869</v>
      </c>
      <c r="D6" s="11">
        <f t="shared" si="11"/>
        <v>8.8876153846153851</v>
      </c>
      <c r="E6" s="11">
        <f t="shared" si="11"/>
        <v>8.8876153846153869</v>
      </c>
      <c r="F6" s="11">
        <f t="shared" si="11"/>
        <v>8.8876153846153851</v>
      </c>
      <c r="G6" s="11">
        <f t="shared" si="11"/>
        <v>8.8876153846153851</v>
      </c>
      <c r="H6" s="11">
        <f t="shared" si="11"/>
        <v>8.8876153846153869</v>
      </c>
      <c r="I6" s="11">
        <f t="shared" si="11"/>
        <v>8.8876153846153851</v>
      </c>
      <c r="J6" s="11">
        <f t="shared" si="11"/>
        <v>8.8876153846153851</v>
      </c>
      <c r="K6" s="11">
        <f t="shared" si="11"/>
        <v>8.8876153846153834</v>
      </c>
      <c r="L6" s="11">
        <f t="shared" si="11"/>
        <v>8.8876153846153851</v>
      </c>
      <c r="M6" s="11">
        <f t="shared" si="11"/>
        <v>8.8876153846153851</v>
      </c>
      <c r="N6" s="11">
        <f t="shared" si="11"/>
        <v>8.8876153846153851</v>
      </c>
      <c r="O6" s="11">
        <f t="shared" si="11"/>
        <v>8.8876153846153851</v>
      </c>
      <c r="P6" s="11">
        <f t="shared" si="11"/>
        <v>8.8876153846153851</v>
      </c>
      <c r="Q6" s="11">
        <f t="shared" si="11"/>
        <v>8.8876153846153851</v>
      </c>
      <c r="R6" s="11">
        <f t="shared" si="11"/>
        <v>8.8876153846153851</v>
      </c>
    </row>
    <row r="11" spans="1:26" x14ac:dyDescent="0.2">
      <c r="A11" t="s">
        <v>70</v>
      </c>
      <c r="B11" s="11">
        <f>AVERAGE(ff_factors!D2:D1041)*12*100</f>
        <v>8.8876153846153851</v>
      </c>
    </row>
    <row r="12" spans="1:26" x14ac:dyDescent="0.2">
      <c r="A12" t="s">
        <v>71</v>
      </c>
      <c r="B12" s="5">
        <f>B2*$B$11</f>
        <v>14.629365920382385</v>
      </c>
      <c r="C12" s="5">
        <f t="shared" ref="C12:Z12" si="12">C2*$B$11</f>
        <v>12.828979358358206</v>
      </c>
      <c r="D12" s="5">
        <f t="shared" si="12"/>
        <v>12.400930302433363</v>
      </c>
      <c r="E12" s="5">
        <f t="shared" si="12"/>
        <v>11.299237332976611</v>
      </c>
      <c r="F12" s="5">
        <f t="shared" si="12"/>
        <v>12.37618903487912</v>
      </c>
      <c r="G12" s="5">
        <f t="shared" si="12"/>
        <v>11.614902523622765</v>
      </c>
      <c r="H12" s="5">
        <f t="shared" si="12"/>
        <v>11.221774053315357</v>
      </c>
      <c r="I12" s="5">
        <f t="shared" si="12"/>
        <v>10.90718076230195</v>
      </c>
      <c r="J12" s="5">
        <f t="shared" si="12"/>
        <v>10.99207051049296</v>
      </c>
      <c r="K12" s="5">
        <f t="shared" si="12"/>
        <v>12.397639903611767</v>
      </c>
      <c r="L12" s="5">
        <f t="shared" si="12"/>
        <v>11.39255029062244</v>
      </c>
      <c r="M12" s="5">
        <f t="shared" si="12"/>
        <v>10.039791133304966</v>
      </c>
      <c r="N12" s="5">
        <f t="shared" si="12"/>
        <v>10.197740244799602</v>
      </c>
      <c r="O12" s="5">
        <f t="shared" si="12"/>
        <v>10.463147514321744</v>
      </c>
      <c r="P12" s="5">
        <f t="shared" si="12"/>
        <v>12.307461688085116</v>
      </c>
      <c r="Q12" s="5">
        <f t="shared" si="12"/>
        <v>9.6888727059069097</v>
      </c>
      <c r="R12" s="5">
        <f t="shared" si="12"/>
        <v>9.6931037475165702</v>
      </c>
      <c r="S12" s="5">
        <f t="shared" si="12"/>
        <v>10.076331037297782</v>
      </c>
      <c r="T12" s="5">
        <f t="shared" si="12"/>
        <v>10.279264689307388</v>
      </c>
      <c r="U12" s="5">
        <f t="shared" si="12"/>
        <v>12.713484836773862</v>
      </c>
      <c r="V12" s="5">
        <f t="shared" si="12"/>
        <v>8.4161442039391154</v>
      </c>
      <c r="W12" s="5">
        <f t="shared" si="12"/>
        <v>8.3977474164041244</v>
      </c>
      <c r="X12" s="5">
        <f t="shared" si="12"/>
        <v>8.5403487995025049</v>
      </c>
      <c r="Y12" s="5">
        <f t="shared" si="12"/>
        <v>9.875522356738724</v>
      </c>
      <c r="Z12" s="5">
        <f t="shared" si="12"/>
        <v>11.331762131949009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3879-FE33-7B4A-8CDC-E4B148990C15}">
  <dimension ref="A1:Z10"/>
  <sheetViews>
    <sheetView tabSelected="1" workbookViewId="0">
      <selection activeCell="E2" sqref="E2:F2"/>
    </sheetView>
  </sheetViews>
  <sheetFormatPr baseColWidth="10" defaultRowHeight="15" x14ac:dyDescent="0.2"/>
  <sheetData>
    <row r="1" spans="1:26" x14ac:dyDescent="0.2"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12" t="s">
        <v>15</v>
      </c>
      <c r="K1" s="12" t="s">
        <v>16</v>
      </c>
      <c r="L1" s="12" t="s">
        <v>17</v>
      </c>
      <c r="M1" s="12" t="s">
        <v>18</v>
      </c>
      <c r="N1" s="12" t="s">
        <v>19</v>
      </c>
      <c r="O1" s="12" t="s">
        <v>20</v>
      </c>
      <c r="P1" s="12" t="s">
        <v>21</v>
      </c>
      <c r="Q1" s="12" t="s">
        <v>22</v>
      </c>
      <c r="R1" s="12" t="s">
        <v>23</v>
      </c>
      <c r="S1" s="12" t="s">
        <v>24</v>
      </c>
      <c r="T1" s="12" t="s">
        <v>25</v>
      </c>
      <c r="U1" s="12" t="s">
        <v>26</v>
      </c>
      <c r="V1" s="12" t="s">
        <v>27</v>
      </c>
      <c r="W1" s="12" t="s">
        <v>28</v>
      </c>
      <c r="X1" s="12" t="s">
        <v>29</v>
      </c>
      <c r="Y1" s="12" t="s">
        <v>30</v>
      </c>
      <c r="Z1" s="12" t="s">
        <v>31</v>
      </c>
    </row>
    <row r="2" spans="1:26" x14ac:dyDescent="0.2">
      <c r="A2" t="s">
        <v>72</v>
      </c>
      <c r="B2">
        <v>9.7517480769230911</v>
      </c>
      <c r="C2">
        <v>11.205656538461531</v>
      </c>
      <c r="D2">
        <v>14.320083461538472</v>
      </c>
      <c r="E2">
        <v>16.43697807692309</v>
      </c>
      <c r="F2">
        <v>18.286485000000003</v>
      </c>
      <c r="G2">
        <v>9.6343534615384669</v>
      </c>
      <c r="H2">
        <v>12.928151538461519</v>
      </c>
      <c r="I2">
        <v>13.48677461538462</v>
      </c>
      <c r="J2">
        <v>14.878041923076918</v>
      </c>
      <c r="K2">
        <v>16.57315384615384</v>
      </c>
      <c r="L2">
        <v>10.219973076923083</v>
      </c>
      <c r="M2">
        <v>12.236506153846157</v>
      </c>
      <c r="N2">
        <v>12.321261923076932</v>
      </c>
      <c r="O2">
        <v>13.917853846153822</v>
      </c>
      <c r="P2">
        <v>15.424034999999989</v>
      </c>
      <c r="Q2">
        <v>9.7584276923076843</v>
      </c>
      <c r="R2">
        <v>10.370188846153857</v>
      </c>
      <c r="S2">
        <v>11.931773076923074</v>
      </c>
      <c r="T2">
        <v>13.179737307692314</v>
      </c>
      <c r="U2">
        <v>13.884620769230782</v>
      </c>
      <c r="V2">
        <v>8.2551807692307531</v>
      </c>
      <c r="W2">
        <v>8.2911519230769226</v>
      </c>
      <c r="X2">
        <v>9.9270680769230761</v>
      </c>
      <c r="Y2">
        <v>9.3598684615384613</v>
      </c>
      <c r="Z2">
        <v>12.90948000000002</v>
      </c>
    </row>
    <row r="3" spans="1:26" x14ac:dyDescent="0.2">
      <c r="A3" t="s">
        <v>71</v>
      </c>
      <c r="B3">
        <v>14.629365920382385</v>
      </c>
      <c r="C3">
        <v>12.828979358358206</v>
      </c>
      <c r="D3">
        <v>12.400930302433363</v>
      </c>
      <c r="E3">
        <v>11.299237332976611</v>
      </c>
      <c r="F3">
        <v>12.37618903487912</v>
      </c>
      <c r="G3">
        <v>11.614902523622765</v>
      </c>
      <c r="H3">
        <v>11.221774053315357</v>
      </c>
      <c r="I3">
        <v>10.90718076230195</v>
      </c>
      <c r="J3">
        <v>10.99207051049296</v>
      </c>
      <c r="K3">
        <v>12.397639903611767</v>
      </c>
      <c r="L3">
        <v>11.39255029062244</v>
      </c>
      <c r="M3">
        <v>10.039791133304966</v>
      </c>
      <c r="N3">
        <v>10.197740244799602</v>
      </c>
      <c r="O3">
        <v>10.463147514321744</v>
      </c>
      <c r="P3">
        <v>12.307461688085116</v>
      </c>
      <c r="Q3">
        <v>9.6888727059069097</v>
      </c>
      <c r="R3">
        <v>9.6931037475165702</v>
      </c>
      <c r="S3">
        <v>10.076331037297782</v>
      </c>
      <c r="T3">
        <v>10.279264689307388</v>
      </c>
      <c r="U3">
        <v>12.713484836773862</v>
      </c>
      <c r="V3">
        <v>8.4161442039391154</v>
      </c>
      <c r="W3">
        <v>8.3977474164041244</v>
      </c>
      <c r="X3">
        <v>8.5403487995025049</v>
      </c>
      <c r="Y3">
        <v>9.875522356738724</v>
      </c>
      <c r="Z3">
        <v>11.331762131949009</v>
      </c>
    </row>
    <row r="9" spans="1:26" x14ac:dyDescent="0.2">
      <c r="C9" s="4">
        <f>MIN(B2:Z3)</f>
        <v>8.2551807692307531</v>
      </c>
    </row>
    <row r="10" spans="1:26" x14ac:dyDescent="0.2">
      <c r="C10" s="4">
        <f>MAX(B2:Z3)</f>
        <v>18.286485000000003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1"/>
  <sheetViews>
    <sheetView topLeftCell="A1010" zoomScale="157" zoomScaleNormal="157" workbookViewId="0">
      <selection activeCell="G8" sqref="G8"/>
    </sheetView>
  </sheetViews>
  <sheetFormatPr baseColWidth="10" defaultColWidth="8.83203125" defaultRowHeight="15" x14ac:dyDescent="0.2"/>
  <cols>
    <col min="1" max="1" width="9" bestFit="1" customWidth="1"/>
    <col min="2" max="2" width="5" bestFit="1" customWidth="1"/>
    <col min="3" max="3" width="6.83203125" bestFit="1" customWidth="1"/>
    <col min="4" max="7" width="7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19320130</v>
      </c>
      <c r="B2">
        <v>1932</v>
      </c>
      <c r="C2">
        <v>1</v>
      </c>
      <c r="D2">
        <v>-1.5800000000000002E-2</v>
      </c>
      <c r="E2">
        <v>2.3E-3</v>
      </c>
      <c r="F2">
        <v>3.9399999999999998E-2</v>
      </c>
      <c r="G2">
        <v>9.0399999999999994E-2</v>
      </c>
    </row>
    <row r="3" spans="1:7" x14ac:dyDescent="0.2">
      <c r="A3">
        <v>19320229</v>
      </c>
      <c r="B3">
        <v>1932</v>
      </c>
      <c r="C3">
        <v>2</v>
      </c>
      <c r="D3">
        <v>5.4600000000000003E-2</v>
      </c>
      <c r="E3">
        <v>2.3E-3</v>
      </c>
      <c r="F3">
        <v>-2.7699999999999999E-2</v>
      </c>
      <c r="G3">
        <v>-1.4500000000000001E-2</v>
      </c>
    </row>
    <row r="4" spans="1:7" x14ac:dyDescent="0.2">
      <c r="A4">
        <v>19320331</v>
      </c>
      <c r="B4">
        <v>1932</v>
      </c>
      <c r="C4">
        <v>3</v>
      </c>
      <c r="D4">
        <v>-0.11210000000000001</v>
      </c>
      <c r="E4">
        <v>1.6000000000000001E-3</v>
      </c>
      <c r="F4">
        <v>2.2700000000000001E-2</v>
      </c>
      <c r="G4">
        <v>-2.3199999999999998E-2</v>
      </c>
    </row>
    <row r="5" spans="1:7" x14ac:dyDescent="0.2">
      <c r="A5">
        <v>19320430</v>
      </c>
      <c r="B5">
        <v>1932</v>
      </c>
      <c r="C5">
        <v>4</v>
      </c>
      <c r="D5">
        <v>-0.17960000000000001</v>
      </c>
      <c r="E5">
        <v>1.1000000000000001E-3</v>
      </c>
      <c r="F5">
        <v>1.44E-2</v>
      </c>
      <c r="G5">
        <v>1.4200000000000001E-2</v>
      </c>
    </row>
    <row r="6" spans="1:7" x14ac:dyDescent="0.2">
      <c r="A6">
        <v>19320531</v>
      </c>
      <c r="B6">
        <v>1932</v>
      </c>
      <c r="C6">
        <v>5</v>
      </c>
      <c r="D6">
        <v>-0.2051</v>
      </c>
      <c r="E6">
        <v>5.9999999999999995E-4</v>
      </c>
      <c r="F6">
        <v>3.7199999999999997E-2</v>
      </c>
      <c r="G6">
        <v>-3.2800000000000003E-2</v>
      </c>
    </row>
    <row r="7" spans="1:7" x14ac:dyDescent="0.2">
      <c r="A7">
        <v>19320630</v>
      </c>
      <c r="B7">
        <v>1932</v>
      </c>
      <c r="C7">
        <v>6</v>
      </c>
      <c r="D7">
        <v>-7.0000000000000001E-3</v>
      </c>
      <c r="E7">
        <v>2.0000000000000001E-4</v>
      </c>
      <c r="F7">
        <v>3.5000000000000001E-3</v>
      </c>
      <c r="G7">
        <v>5.3199999999999997E-2</v>
      </c>
    </row>
    <row r="8" spans="1:7" x14ac:dyDescent="0.2">
      <c r="A8">
        <v>19320730</v>
      </c>
      <c r="B8">
        <v>1932</v>
      </c>
      <c r="C8">
        <v>7</v>
      </c>
      <c r="D8">
        <v>0.33839999999999998</v>
      </c>
      <c r="E8">
        <v>2.9999999999999997E-4</v>
      </c>
      <c r="F8">
        <v>-4.4400000000000002E-2</v>
      </c>
      <c r="G8">
        <v>0.35460000000000003</v>
      </c>
    </row>
    <row r="9" spans="1:7" x14ac:dyDescent="0.2">
      <c r="A9">
        <v>19320831</v>
      </c>
      <c r="B9">
        <v>1932</v>
      </c>
      <c r="C9">
        <v>8</v>
      </c>
      <c r="D9">
        <v>0.37059999999999998</v>
      </c>
      <c r="E9">
        <v>2.9999999999999997E-4</v>
      </c>
      <c r="F9">
        <v>0.1429</v>
      </c>
      <c r="G9">
        <v>0.33029999999999998</v>
      </c>
    </row>
    <row r="10" spans="1:7" x14ac:dyDescent="0.2">
      <c r="A10">
        <v>19320930</v>
      </c>
      <c r="B10">
        <v>1932</v>
      </c>
      <c r="C10">
        <v>9</v>
      </c>
      <c r="D10">
        <v>-2.9399999999999999E-2</v>
      </c>
      <c r="E10">
        <v>2.9999999999999997E-4</v>
      </c>
      <c r="F10">
        <v>-2.4299999999999999E-2</v>
      </c>
      <c r="G10">
        <v>-6.8199999999999997E-2</v>
      </c>
    </row>
    <row r="11" spans="1:7" x14ac:dyDescent="0.2">
      <c r="A11">
        <v>19321031</v>
      </c>
      <c r="B11">
        <v>1932</v>
      </c>
      <c r="C11">
        <v>10</v>
      </c>
      <c r="D11">
        <v>-0.13170000000000001</v>
      </c>
      <c r="E11">
        <v>2.0000000000000001E-4</v>
      </c>
      <c r="F11">
        <v>-2.76E-2</v>
      </c>
      <c r="G11">
        <v>-0.1004</v>
      </c>
    </row>
    <row r="12" spans="1:7" x14ac:dyDescent="0.2">
      <c r="A12">
        <v>19321130</v>
      </c>
      <c r="B12">
        <v>1932</v>
      </c>
      <c r="C12">
        <v>11</v>
      </c>
      <c r="D12">
        <v>-5.8799999999999998E-2</v>
      </c>
      <c r="E12">
        <v>2.0000000000000001E-4</v>
      </c>
      <c r="F12">
        <v>2.0799999999999999E-2</v>
      </c>
      <c r="G12">
        <v>-0.1328</v>
      </c>
    </row>
    <row r="13" spans="1:7" x14ac:dyDescent="0.2">
      <c r="A13">
        <v>19321231</v>
      </c>
      <c r="B13">
        <v>1932</v>
      </c>
      <c r="C13">
        <v>12</v>
      </c>
      <c r="D13">
        <v>4.3999999999999997E-2</v>
      </c>
      <c r="E13">
        <v>1E-4</v>
      </c>
      <c r="F13">
        <v>-8.2699999999999996E-2</v>
      </c>
      <c r="G13">
        <v>-8.1699999999999995E-2</v>
      </c>
    </row>
    <row r="14" spans="1:7" x14ac:dyDescent="0.2">
      <c r="A14">
        <v>19330131</v>
      </c>
      <c r="B14">
        <v>1933</v>
      </c>
      <c r="C14">
        <v>1</v>
      </c>
      <c r="D14">
        <v>1.2500000000000001E-2</v>
      </c>
      <c r="E14">
        <v>1E-4</v>
      </c>
      <c r="F14">
        <v>6.8999999999999999E-3</v>
      </c>
      <c r="G14">
        <v>6.2300000000000001E-2</v>
      </c>
    </row>
    <row r="15" spans="1:7" x14ac:dyDescent="0.2">
      <c r="A15">
        <v>19330228</v>
      </c>
      <c r="B15">
        <v>1933</v>
      </c>
      <c r="C15">
        <v>2</v>
      </c>
      <c r="D15">
        <v>-0.15240000000000001</v>
      </c>
      <c r="E15">
        <v>-2.9999999999999997E-4</v>
      </c>
      <c r="F15">
        <v>-2.75E-2</v>
      </c>
      <c r="G15">
        <v>-2.7300000000000001E-2</v>
      </c>
    </row>
    <row r="16" spans="1:7" x14ac:dyDescent="0.2">
      <c r="A16">
        <v>19330331</v>
      </c>
      <c r="B16">
        <v>1933</v>
      </c>
      <c r="C16">
        <v>3</v>
      </c>
      <c r="D16">
        <v>3.2899999999999999E-2</v>
      </c>
      <c r="E16">
        <v>4.0000000000000002E-4</v>
      </c>
      <c r="F16">
        <v>3.9E-2</v>
      </c>
      <c r="G16">
        <v>7.3800000000000004E-2</v>
      </c>
    </row>
    <row r="17" spans="1:7" x14ac:dyDescent="0.2">
      <c r="A17">
        <v>19330429</v>
      </c>
      <c r="B17">
        <v>1933</v>
      </c>
      <c r="C17">
        <v>4</v>
      </c>
      <c r="D17">
        <v>0.38850000000000001</v>
      </c>
      <c r="E17">
        <v>1E-3</v>
      </c>
      <c r="F17">
        <v>4.5600000000000002E-2</v>
      </c>
      <c r="G17">
        <v>0.17430000000000001</v>
      </c>
    </row>
    <row r="18" spans="1:7" x14ac:dyDescent="0.2">
      <c r="A18">
        <v>19330531</v>
      </c>
      <c r="B18">
        <v>1933</v>
      </c>
      <c r="C18">
        <v>5</v>
      </c>
      <c r="D18">
        <v>0.21429999999999999</v>
      </c>
      <c r="E18">
        <v>4.0000000000000002E-4</v>
      </c>
      <c r="F18">
        <v>0.36699999999999999</v>
      </c>
      <c r="G18">
        <v>0.1903</v>
      </c>
    </row>
    <row r="19" spans="1:7" x14ac:dyDescent="0.2">
      <c r="A19">
        <v>19330630</v>
      </c>
      <c r="B19">
        <v>1933</v>
      </c>
      <c r="C19">
        <v>6</v>
      </c>
      <c r="D19">
        <v>0.13109999999999999</v>
      </c>
      <c r="E19">
        <v>2.0000000000000001E-4</v>
      </c>
      <c r="F19">
        <v>8.6699999999999999E-2</v>
      </c>
      <c r="G19">
        <v>-1.8800000000000001E-2</v>
      </c>
    </row>
    <row r="20" spans="1:7" x14ac:dyDescent="0.2">
      <c r="A20">
        <v>19330731</v>
      </c>
      <c r="B20">
        <v>1933</v>
      </c>
      <c r="C20">
        <v>7</v>
      </c>
      <c r="D20">
        <v>-9.6299999999999997E-2</v>
      </c>
      <c r="E20">
        <v>2.0000000000000001E-4</v>
      </c>
      <c r="F20">
        <v>-1.01E-2</v>
      </c>
      <c r="G20">
        <v>3.27E-2</v>
      </c>
    </row>
    <row r="21" spans="1:7" x14ac:dyDescent="0.2">
      <c r="A21">
        <v>19330831</v>
      </c>
      <c r="B21">
        <v>1933</v>
      </c>
      <c r="C21">
        <v>8</v>
      </c>
      <c r="D21">
        <v>0.1205</v>
      </c>
      <c r="E21">
        <v>2.9999999999999997E-4</v>
      </c>
      <c r="F21">
        <v>-5.45E-2</v>
      </c>
      <c r="G21">
        <v>2.9600000000000001E-2</v>
      </c>
    </row>
    <row r="22" spans="1:7" x14ac:dyDescent="0.2">
      <c r="A22">
        <v>19330930</v>
      </c>
      <c r="B22">
        <v>1933</v>
      </c>
      <c r="C22">
        <v>9</v>
      </c>
      <c r="D22">
        <v>-0.1065</v>
      </c>
      <c r="E22">
        <v>2.0000000000000001E-4</v>
      </c>
      <c r="F22">
        <v>-3.2000000000000002E-3</v>
      </c>
      <c r="G22">
        <v>-0.1177</v>
      </c>
    </row>
    <row r="23" spans="1:7" x14ac:dyDescent="0.2">
      <c r="A23">
        <v>19331031</v>
      </c>
      <c r="B23">
        <v>1933</v>
      </c>
      <c r="C23">
        <v>10</v>
      </c>
      <c r="D23">
        <v>-8.3599999999999994E-2</v>
      </c>
      <c r="E23">
        <v>1E-4</v>
      </c>
      <c r="F23">
        <v>-8.0000000000000004E-4</v>
      </c>
      <c r="G23">
        <v>-8.4599999999999995E-2</v>
      </c>
    </row>
    <row r="24" spans="1:7" x14ac:dyDescent="0.2">
      <c r="A24">
        <v>19331129</v>
      </c>
      <c r="B24">
        <v>1933</v>
      </c>
      <c r="C24">
        <v>11</v>
      </c>
      <c r="D24">
        <v>9.9699999999999997E-2</v>
      </c>
      <c r="E24">
        <v>2.0000000000000001E-4</v>
      </c>
      <c r="F24">
        <v>-6.4799999999999996E-2</v>
      </c>
      <c r="G24">
        <v>2.3300000000000001E-2</v>
      </c>
    </row>
    <row r="25" spans="1:7" x14ac:dyDescent="0.2">
      <c r="A25">
        <v>19331230</v>
      </c>
      <c r="B25">
        <v>1933</v>
      </c>
      <c r="C25">
        <v>12</v>
      </c>
      <c r="D25">
        <v>1.83E-2</v>
      </c>
      <c r="E25">
        <v>2.0000000000000001E-4</v>
      </c>
      <c r="F25">
        <v>6.6E-3</v>
      </c>
      <c r="G25">
        <v>-1.5299999999999999E-2</v>
      </c>
    </row>
    <row r="26" spans="1:7" x14ac:dyDescent="0.2">
      <c r="A26">
        <v>19340131</v>
      </c>
      <c r="B26">
        <v>1934</v>
      </c>
      <c r="C26">
        <v>1</v>
      </c>
      <c r="D26">
        <v>0.126</v>
      </c>
      <c r="E26">
        <v>5.0000000000000001E-4</v>
      </c>
      <c r="F26">
        <v>0.12529999999999999</v>
      </c>
      <c r="G26">
        <v>0.15540000000000001</v>
      </c>
    </row>
    <row r="27" spans="1:7" x14ac:dyDescent="0.2">
      <c r="A27">
        <v>19340228</v>
      </c>
      <c r="B27">
        <v>1934</v>
      </c>
      <c r="C27">
        <v>2</v>
      </c>
      <c r="D27">
        <v>-2.5000000000000001E-2</v>
      </c>
      <c r="E27">
        <v>2.0000000000000001E-4</v>
      </c>
      <c r="F27">
        <v>5.1900000000000002E-2</v>
      </c>
      <c r="G27">
        <v>2.12E-2</v>
      </c>
    </row>
    <row r="28" spans="1:7" x14ac:dyDescent="0.2">
      <c r="A28">
        <v>19340331</v>
      </c>
      <c r="B28">
        <v>1934</v>
      </c>
      <c r="C28">
        <v>3</v>
      </c>
      <c r="D28">
        <v>8.9999999999999998E-4</v>
      </c>
      <c r="E28">
        <v>2.0000000000000001E-4</v>
      </c>
      <c r="F28">
        <v>2.5100000000000001E-2</v>
      </c>
      <c r="G28">
        <v>-2.7300000000000001E-2</v>
      </c>
    </row>
    <row r="29" spans="1:7" x14ac:dyDescent="0.2">
      <c r="A29">
        <v>19340430</v>
      </c>
      <c r="B29">
        <v>1934</v>
      </c>
      <c r="C29">
        <v>4</v>
      </c>
      <c r="D29">
        <v>-1.7899999999999999E-2</v>
      </c>
      <c r="E29">
        <v>1E-4</v>
      </c>
      <c r="F29">
        <v>2.8000000000000001E-2</v>
      </c>
      <c r="G29">
        <v>-3.7499999999999999E-2</v>
      </c>
    </row>
    <row r="30" spans="1:7" x14ac:dyDescent="0.2">
      <c r="A30">
        <v>19340531</v>
      </c>
      <c r="B30">
        <v>1934</v>
      </c>
      <c r="C30">
        <v>5</v>
      </c>
      <c r="D30">
        <v>-7.2499999999999995E-2</v>
      </c>
      <c r="E30">
        <v>1E-4</v>
      </c>
      <c r="F30">
        <v>-2.5999999999999999E-3</v>
      </c>
      <c r="G30">
        <v>-5.91E-2</v>
      </c>
    </row>
    <row r="31" spans="1:7" x14ac:dyDescent="0.2">
      <c r="A31">
        <v>19340630</v>
      </c>
      <c r="B31">
        <v>1934</v>
      </c>
      <c r="C31">
        <v>6</v>
      </c>
      <c r="D31">
        <v>2.64E-2</v>
      </c>
      <c r="E31">
        <v>1E-4</v>
      </c>
      <c r="F31">
        <v>-2.1399999999999999E-2</v>
      </c>
      <c r="G31">
        <v>-2.92E-2</v>
      </c>
    </row>
    <row r="32" spans="1:7" x14ac:dyDescent="0.2">
      <c r="A32">
        <v>19340731</v>
      </c>
      <c r="B32">
        <v>1934</v>
      </c>
      <c r="C32">
        <v>7</v>
      </c>
      <c r="D32">
        <v>-0.1096</v>
      </c>
      <c r="E32">
        <v>1E-4</v>
      </c>
      <c r="F32">
        <v>-6.9400000000000003E-2</v>
      </c>
      <c r="G32">
        <v>-0.1066</v>
      </c>
    </row>
    <row r="33" spans="1:7" x14ac:dyDescent="0.2">
      <c r="A33">
        <v>19340831</v>
      </c>
      <c r="B33">
        <v>1934</v>
      </c>
      <c r="C33">
        <v>8</v>
      </c>
      <c r="D33">
        <v>5.5800000000000002E-2</v>
      </c>
      <c r="E33">
        <v>1E-4</v>
      </c>
      <c r="F33">
        <v>5.4199999999999998E-2</v>
      </c>
      <c r="G33">
        <v>5.0000000000000001E-3</v>
      </c>
    </row>
    <row r="34" spans="1:7" x14ac:dyDescent="0.2">
      <c r="A34">
        <v>19340929</v>
      </c>
      <c r="B34">
        <v>1934</v>
      </c>
      <c r="C34">
        <v>9</v>
      </c>
      <c r="D34">
        <v>-2.3E-3</v>
      </c>
      <c r="E34">
        <v>1E-4</v>
      </c>
      <c r="F34">
        <v>-1.52E-2</v>
      </c>
      <c r="G34">
        <v>-1.24E-2</v>
      </c>
    </row>
    <row r="35" spans="1:7" x14ac:dyDescent="0.2">
      <c r="A35">
        <v>19341031</v>
      </c>
      <c r="B35">
        <v>1934</v>
      </c>
      <c r="C35">
        <v>10</v>
      </c>
      <c r="D35">
        <v>-1.66E-2</v>
      </c>
      <c r="E35">
        <v>1E-4</v>
      </c>
      <c r="F35">
        <v>1.24E-2</v>
      </c>
      <c r="G35">
        <v>-5.11E-2</v>
      </c>
    </row>
    <row r="36" spans="1:7" x14ac:dyDescent="0.2">
      <c r="A36">
        <v>19341130</v>
      </c>
      <c r="B36">
        <v>1934</v>
      </c>
      <c r="C36">
        <v>11</v>
      </c>
      <c r="D36">
        <v>8.3299999999999999E-2</v>
      </c>
      <c r="E36">
        <v>1E-4</v>
      </c>
      <c r="F36">
        <v>6.4899999999999999E-2</v>
      </c>
      <c r="G36">
        <v>-2.24E-2</v>
      </c>
    </row>
    <row r="37" spans="1:7" x14ac:dyDescent="0.2">
      <c r="A37">
        <v>19341231</v>
      </c>
      <c r="B37">
        <v>1934</v>
      </c>
      <c r="C37">
        <v>12</v>
      </c>
      <c r="D37">
        <v>3.5999999999999999E-3</v>
      </c>
      <c r="E37">
        <v>1E-4</v>
      </c>
      <c r="F37">
        <v>3.0800000000000001E-2</v>
      </c>
      <c r="G37">
        <v>-3.1699999999999999E-2</v>
      </c>
    </row>
    <row r="38" spans="1:7" x14ac:dyDescent="0.2">
      <c r="A38">
        <v>19350131</v>
      </c>
      <c r="B38">
        <v>1935</v>
      </c>
      <c r="C38">
        <v>1</v>
      </c>
      <c r="D38">
        <v>-3.4500000000000003E-2</v>
      </c>
      <c r="E38">
        <v>1E-4</v>
      </c>
      <c r="F38">
        <v>1.0699999999999999E-2</v>
      </c>
      <c r="G38">
        <v>-1.89E-2</v>
      </c>
    </row>
    <row r="39" spans="1:7" x14ac:dyDescent="0.2">
      <c r="A39">
        <v>19350228</v>
      </c>
      <c r="B39">
        <v>1935</v>
      </c>
      <c r="C39">
        <v>2</v>
      </c>
      <c r="D39">
        <v>-1.9400000000000001E-2</v>
      </c>
      <c r="E39">
        <v>2.0000000000000001E-4</v>
      </c>
      <c r="F39">
        <v>4.1999999999999997E-3</v>
      </c>
      <c r="G39">
        <v>-7.2400000000000006E-2</v>
      </c>
    </row>
    <row r="40" spans="1:7" x14ac:dyDescent="0.2">
      <c r="A40">
        <v>19350330</v>
      </c>
      <c r="B40">
        <v>1935</v>
      </c>
      <c r="C40">
        <v>3</v>
      </c>
      <c r="D40">
        <v>-3.6799999999999999E-2</v>
      </c>
      <c r="E40">
        <v>1E-4</v>
      </c>
      <c r="F40">
        <v>-3.5400000000000001E-2</v>
      </c>
      <c r="G40">
        <v>-5.0599999999999999E-2</v>
      </c>
    </row>
    <row r="41" spans="1:7" x14ac:dyDescent="0.2">
      <c r="A41">
        <v>19350430</v>
      </c>
      <c r="B41">
        <v>1935</v>
      </c>
      <c r="C41">
        <v>4</v>
      </c>
      <c r="D41">
        <v>9.06E-2</v>
      </c>
      <c r="E41">
        <v>1E-4</v>
      </c>
      <c r="F41">
        <v>-1.5599999999999999E-2</v>
      </c>
      <c r="G41">
        <v>4.2700000000000002E-2</v>
      </c>
    </row>
    <row r="42" spans="1:7" x14ac:dyDescent="0.2">
      <c r="A42">
        <v>19350531</v>
      </c>
      <c r="B42">
        <v>1935</v>
      </c>
      <c r="C42">
        <v>5</v>
      </c>
      <c r="D42">
        <v>3.4700000000000002E-2</v>
      </c>
      <c r="E42">
        <v>1E-4</v>
      </c>
      <c r="F42">
        <v>-3.3399999999999999E-2</v>
      </c>
      <c r="G42">
        <v>2.6100000000000002E-2</v>
      </c>
    </row>
    <row r="43" spans="1:7" x14ac:dyDescent="0.2">
      <c r="A43">
        <v>19350629</v>
      </c>
      <c r="B43">
        <v>1935</v>
      </c>
      <c r="C43">
        <v>6</v>
      </c>
      <c r="D43">
        <v>5.9299999999999999E-2</v>
      </c>
      <c r="E43">
        <v>1E-4</v>
      </c>
      <c r="F43">
        <v>-2.5100000000000001E-2</v>
      </c>
      <c r="G43">
        <v>-1.6500000000000001E-2</v>
      </c>
    </row>
    <row r="44" spans="1:7" x14ac:dyDescent="0.2">
      <c r="A44">
        <v>19350731</v>
      </c>
      <c r="B44">
        <v>1935</v>
      </c>
      <c r="C44">
        <v>7</v>
      </c>
      <c r="D44">
        <v>7.51E-2</v>
      </c>
      <c r="E44">
        <v>1E-4</v>
      </c>
      <c r="F44">
        <v>1.47E-2</v>
      </c>
      <c r="G44">
        <v>6.8599999999999994E-2</v>
      </c>
    </row>
    <row r="45" spans="1:7" x14ac:dyDescent="0.2">
      <c r="A45">
        <v>19350831</v>
      </c>
      <c r="B45">
        <v>1935</v>
      </c>
      <c r="C45">
        <v>8</v>
      </c>
      <c r="D45">
        <v>2.6499999999999999E-2</v>
      </c>
      <c r="E45">
        <v>1E-4</v>
      </c>
      <c r="F45">
        <v>6.2799999999999995E-2</v>
      </c>
      <c r="G45">
        <v>5.7000000000000002E-2</v>
      </c>
    </row>
    <row r="46" spans="1:7" x14ac:dyDescent="0.2">
      <c r="A46">
        <v>19350930</v>
      </c>
      <c r="B46">
        <v>1935</v>
      </c>
      <c r="C46">
        <v>9</v>
      </c>
      <c r="D46">
        <v>2.63E-2</v>
      </c>
      <c r="E46">
        <v>1E-4</v>
      </c>
      <c r="F46">
        <v>1.5699999999999999E-2</v>
      </c>
      <c r="G46">
        <v>-4.0500000000000001E-2</v>
      </c>
    </row>
    <row r="47" spans="1:7" x14ac:dyDescent="0.2">
      <c r="A47">
        <v>19351031</v>
      </c>
      <c r="B47">
        <v>1935</v>
      </c>
      <c r="C47">
        <v>10</v>
      </c>
      <c r="D47">
        <v>7.0300000000000001E-2</v>
      </c>
      <c r="E47">
        <v>1E-4</v>
      </c>
      <c r="F47">
        <v>2.6499999999999999E-2</v>
      </c>
      <c r="G47">
        <v>-2.3300000000000001E-2</v>
      </c>
    </row>
    <row r="48" spans="1:7" x14ac:dyDescent="0.2">
      <c r="A48">
        <v>19351130</v>
      </c>
      <c r="B48">
        <v>1935</v>
      </c>
      <c r="C48">
        <v>11</v>
      </c>
      <c r="D48">
        <v>4.8800000000000003E-2</v>
      </c>
      <c r="E48">
        <v>2.0000000000000001E-4</v>
      </c>
      <c r="F48">
        <v>4.2999999999999997E-2</v>
      </c>
      <c r="G48">
        <v>0.1191</v>
      </c>
    </row>
    <row r="49" spans="1:7" x14ac:dyDescent="0.2">
      <c r="A49">
        <v>19351231</v>
      </c>
      <c r="B49">
        <v>1935</v>
      </c>
      <c r="C49">
        <v>12</v>
      </c>
      <c r="D49">
        <v>4.5600000000000002E-2</v>
      </c>
      <c r="E49">
        <v>1E-4</v>
      </c>
      <c r="F49">
        <v>2.2000000000000001E-3</v>
      </c>
      <c r="G49">
        <v>1.0699999999999999E-2</v>
      </c>
    </row>
    <row r="50" spans="1:7" x14ac:dyDescent="0.2">
      <c r="A50">
        <v>19360131</v>
      </c>
      <c r="B50">
        <v>1936</v>
      </c>
      <c r="C50">
        <v>1</v>
      </c>
      <c r="D50">
        <v>6.8900000000000003E-2</v>
      </c>
      <c r="E50">
        <v>1E-4</v>
      </c>
      <c r="F50">
        <v>5.0999999999999997E-2</v>
      </c>
      <c r="G50">
        <v>0.1051</v>
      </c>
    </row>
    <row r="51" spans="1:7" x14ac:dyDescent="0.2">
      <c r="A51">
        <v>19360229</v>
      </c>
      <c r="B51">
        <v>1936</v>
      </c>
      <c r="C51">
        <v>2</v>
      </c>
      <c r="D51">
        <v>2.4899999999999999E-2</v>
      </c>
      <c r="E51">
        <v>1E-4</v>
      </c>
      <c r="F51">
        <v>1.14E-2</v>
      </c>
      <c r="G51">
        <v>5.04E-2</v>
      </c>
    </row>
    <row r="52" spans="1:7" x14ac:dyDescent="0.2">
      <c r="A52">
        <v>19360331</v>
      </c>
      <c r="B52">
        <v>1936</v>
      </c>
      <c r="C52">
        <v>3</v>
      </c>
      <c r="D52">
        <v>9.9000000000000008E-3</v>
      </c>
      <c r="E52">
        <v>2.0000000000000001E-4</v>
      </c>
      <c r="F52">
        <v>6.6E-3</v>
      </c>
      <c r="G52">
        <v>-1.66E-2</v>
      </c>
    </row>
    <row r="53" spans="1:7" x14ac:dyDescent="0.2">
      <c r="A53">
        <v>19360430</v>
      </c>
      <c r="B53">
        <v>1936</v>
      </c>
      <c r="C53">
        <v>4</v>
      </c>
      <c r="D53">
        <v>-8.14E-2</v>
      </c>
      <c r="E53">
        <v>2.0000000000000001E-4</v>
      </c>
      <c r="F53">
        <v>-6.0299999999999999E-2</v>
      </c>
      <c r="G53">
        <v>-2.0799999999999999E-2</v>
      </c>
    </row>
    <row r="54" spans="1:7" x14ac:dyDescent="0.2">
      <c r="A54">
        <v>19360529</v>
      </c>
      <c r="B54">
        <v>1936</v>
      </c>
      <c r="C54">
        <v>5</v>
      </c>
      <c r="D54">
        <v>5.1900000000000002E-2</v>
      </c>
      <c r="E54">
        <v>2.0000000000000001E-4</v>
      </c>
      <c r="F54">
        <v>8.0999999999999996E-3</v>
      </c>
      <c r="G54">
        <v>2.63E-2</v>
      </c>
    </row>
    <row r="55" spans="1:7" x14ac:dyDescent="0.2">
      <c r="A55">
        <v>19360630</v>
      </c>
      <c r="B55">
        <v>1936</v>
      </c>
      <c r="C55">
        <v>6</v>
      </c>
      <c r="D55">
        <v>2.4E-2</v>
      </c>
      <c r="E55">
        <v>2.9999999999999997E-4</v>
      </c>
      <c r="F55">
        <v>-3.2500000000000001E-2</v>
      </c>
      <c r="G55">
        <v>-1.2E-2</v>
      </c>
    </row>
    <row r="56" spans="1:7" x14ac:dyDescent="0.2">
      <c r="A56">
        <v>19360731</v>
      </c>
      <c r="B56">
        <v>1936</v>
      </c>
      <c r="C56">
        <v>7</v>
      </c>
      <c r="D56">
        <v>6.6699999999999995E-2</v>
      </c>
      <c r="E56">
        <v>1E-4</v>
      </c>
      <c r="F56">
        <v>1.14E-2</v>
      </c>
      <c r="G56">
        <v>2.5600000000000001E-2</v>
      </c>
    </row>
    <row r="57" spans="1:7" x14ac:dyDescent="0.2">
      <c r="A57">
        <v>19360831</v>
      </c>
      <c r="B57">
        <v>1936</v>
      </c>
      <c r="C57">
        <v>8</v>
      </c>
      <c r="D57">
        <v>9.9000000000000008E-3</v>
      </c>
      <c r="E57">
        <v>2.0000000000000001E-4</v>
      </c>
      <c r="F57">
        <v>7.1999999999999998E-3</v>
      </c>
      <c r="G57">
        <v>3.9899999999999998E-2</v>
      </c>
    </row>
    <row r="58" spans="1:7" x14ac:dyDescent="0.2">
      <c r="A58">
        <v>19360930</v>
      </c>
      <c r="B58">
        <v>1936</v>
      </c>
      <c r="C58">
        <v>9</v>
      </c>
      <c r="D58">
        <v>9.7999999999999997E-3</v>
      </c>
      <c r="E58">
        <v>1E-4</v>
      </c>
      <c r="F58">
        <v>3.0700000000000002E-2</v>
      </c>
      <c r="G58">
        <v>8.8000000000000005E-3</v>
      </c>
    </row>
    <row r="59" spans="1:7" x14ac:dyDescent="0.2">
      <c r="A59">
        <v>19361031</v>
      </c>
      <c r="B59">
        <v>1936</v>
      </c>
      <c r="C59">
        <v>10</v>
      </c>
      <c r="D59">
        <v>7.1199999999999999E-2</v>
      </c>
      <c r="E59">
        <v>2.0000000000000001E-4</v>
      </c>
      <c r="F59">
        <v>-2.3900000000000001E-2</v>
      </c>
      <c r="G59">
        <v>2.52E-2</v>
      </c>
    </row>
    <row r="60" spans="1:7" x14ac:dyDescent="0.2">
      <c r="A60">
        <v>19361130</v>
      </c>
      <c r="B60">
        <v>1936</v>
      </c>
      <c r="C60">
        <v>11</v>
      </c>
      <c r="D60">
        <v>3.27E-2</v>
      </c>
      <c r="E60">
        <v>1E-4</v>
      </c>
      <c r="F60">
        <v>9.01E-2</v>
      </c>
      <c r="G60">
        <v>-9.1999999999999998E-3</v>
      </c>
    </row>
    <row r="61" spans="1:7" x14ac:dyDescent="0.2">
      <c r="A61">
        <v>19361231</v>
      </c>
      <c r="B61">
        <v>1936</v>
      </c>
      <c r="C61">
        <v>12</v>
      </c>
      <c r="D61">
        <v>2.0999999999999999E-3</v>
      </c>
      <c r="E61">
        <v>0</v>
      </c>
      <c r="F61">
        <v>3.61E-2</v>
      </c>
      <c r="G61">
        <v>3.9600000000000003E-2</v>
      </c>
    </row>
    <row r="62" spans="1:7" x14ac:dyDescent="0.2">
      <c r="A62">
        <v>19370130</v>
      </c>
      <c r="B62">
        <v>1937</v>
      </c>
      <c r="C62">
        <v>1</v>
      </c>
      <c r="D62">
        <v>3.3500000000000002E-2</v>
      </c>
      <c r="E62">
        <v>1E-4</v>
      </c>
      <c r="F62">
        <v>4.3099999999999999E-2</v>
      </c>
      <c r="G62">
        <v>2.6100000000000002E-2</v>
      </c>
    </row>
    <row r="63" spans="1:7" x14ac:dyDescent="0.2">
      <c r="A63">
        <v>19370227</v>
      </c>
      <c r="B63">
        <v>1937</v>
      </c>
      <c r="C63">
        <v>2</v>
      </c>
      <c r="D63">
        <v>1.09E-2</v>
      </c>
      <c r="E63">
        <v>2.0000000000000001E-4</v>
      </c>
      <c r="F63">
        <v>1.23E-2</v>
      </c>
      <c r="G63">
        <v>5.0500000000000003E-2</v>
      </c>
    </row>
    <row r="64" spans="1:7" x14ac:dyDescent="0.2">
      <c r="A64">
        <v>19370331</v>
      </c>
      <c r="B64">
        <v>1937</v>
      </c>
      <c r="C64">
        <v>3</v>
      </c>
      <c r="D64">
        <v>-2.7000000000000001E-3</v>
      </c>
      <c r="E64">
        <v>1E-4</v>
      </c>
      <c r="F64">
        <v>-1.78E-2</v>
      </c>
      <c r="G64">
        <v>6.3899999999999998E-2</v>
      </c>
    </row>
    <row r="65" spans="1:7" x14ac:dyDescent="0.2">
      <c r="A65">
        <v>19370430</v>
      </c>
      <c r="B65">
        <v>1937</v>
      </c>
      <c r="C65">
        <v>4</v>
      </c>
      <c r="D65">
        <v>-7.3599999999999999E-2</v>
      </c>
      <c r="E65">
        <v>2.9999999999999997E-4</v>
      </c>
      <c r="F65">
        <v>-3.7699999999999997E-2</v>
      </c>
      <c r="G65">
        <v>-3.61E-2</v>
      </c>
    </row>
    <row r="66" spans="1:7" x14ac:dyDescent="0.2">
      <c r="A66">
        <v>19370528</v>
      </c>
      <c r="B66">
        <v>1937</v>
      </c>
      <c r="C66">
        <v>5</v>
      </c>
      <c r="D66">
        <v>-8.3000000000000001E-3</v>
      </c>
      <c r="E66">
        <v>5.9999999999999995E-4</v>
      </c>
      <c r="F66">
        <v>-6.6E-3</v>
      </c>
      <c r="G66">
        <v>-3.49E-2</v>
      </c>
    </row>
    <row r="67" spans="1:7" x14ac:dyDescent="0.2">
      <c r="A67">
        <v>19370630</v>
      </c>
      <c r="B67">
        <v>1937</v>
      </c>
      <c r="C67">
        <v>6</v>
      </c>
      <c r="D67">
        <v>-4.2099999999999999E-2</v>
      </c>
      <c r="E67">
        <v>2.9999999999999997E-4</v>
      </c>
      <c r="F67">
        <v>-3.6499999999999998E-2</v>
      </c>
      <c r="G67">
        <v>-3.2099999999999997E-2</v>
      </c>
    </row>
    <row r="68" spans="1:7" x14ac:dyDescent="0.2">
      <c r="A68">
        <v>19370731</v>
      </c>
      <c r="B68">
        <v>1937</v>
      </c>
      <c r="C68">
        <v>7</v>
      </c>
      <c r="D68">
        <v>8.9099999999999999E-2</v>
      </c>
      <c r="E68">
        <v>2.9999999999999997E-4</v>
      </c>
      <c r="F68">
        <v>8.5000000000000006E-3</v>
      </c>
      <c r="G68">
        <v>8.2000000000000007E-3</v>
      </c>
    </row>
    <row r="69" spans="1:7" x14ac:dyDescent="0.2">
      <c r="A69">
        <v>19370831</v>
      </c>
      <c r="B69">
        <v>1937</v>
      </c>
      <c r="C69">
        <v>8</v>
      </c>
      <c r="D69">
        <v>-4.8599999999999997E-2</v>
      </c>
      <c r="E69">
        <v>2.0000000000000001E-4</v>
      </c>
      <c r="F69">
        <v>4.1999999999999997E-3</v>
      </c>
      <c r="G69">
        <v>-2.2499999999999999E-2</v>
      </c>
    </row>
    <row r="70" spans="1:7" x14ac:dyDescent="0.2">
      <c r="A70">
        <v>19370930</v>
      </c>
      <c r="B70">
        <v>1937</v>
      </c>
      <c r="C70">
        <v>9</v>
      </c>
      <c r="D70">
        <v>-0.1361</v>
      </c>
      <c r="E70">
        <v>4.0000000000000002E-4</v>
      </c>
      <c r="F70">
        <v>-6.8900000000000003E-2</v>
      </c>
      <c r="G70">
        <v>-4.5699999999999998E-2</v>
      </c>
    </row>
    <row r="71" spans="1:7" x14ac:dyDescent="0.2">
      <c r="A71">
        <v>19371030</v>
      </c>
      <c r="B71">
        <v>1937</v>
      </c>
      <c r="C71">
        <v>10</v>
      </c>
      <c r="D71">
        <v>-9.6100000000000005E-2</v>
      </c>
      <c r="E71">
        <v>2.0000000000000001E-4</v>
      </c>
      <c r="F71">
        <v>4.4999999999999997E-3</v>
      </c>
      <c r="G71">
        <v>-1.6199999999999999E-2</v>
      </c>
    </row>
    <row r="72" spans="1:7" x14ac:dyDescent="0.2">
      <c r="A72">
        <v>19371130</v>
      </c>
      <c r="B72">
        <v>1937</v>
      </c>
      <c r="C72">
        <v>11</v>
      </c>
      <c r="D72">
        <v>-8.3099999999999993E-2</v>
      </c>
      <c r="E72">
        <v>2.0000000000000001E-4</v>
      </c>
      <c r="F72">
        <v>-3.6499999999999998E-2</v>
      </c>
      <c r="G72">
        <v>2E-3</v>
      </c>
    </row>
    <row r="73" spans="1:7" x14ac:dyDescent="0.2">
      <c r="A73">
        <v>19371231</v>
      </c>
      <c r="B73">
        <v>1937</v>
      </c>
      <c r="C73">
        <v>12</v>
      </c>
      <c r="D73">
        <v>-4.24E-2</v>
      </c>
      <c r="E73">
        <v>0</v>
      </c>
      <c r="F73">
        <v>-7.7600000000000002E-2</v>
      </c>
      <c r="G73">
        <v>-3.8999999999999998E-3</v>
      </c>
    </row>
    <row r="74" spans="1:7" x14ac:dyDescent="0.2">
      <c r="A74">
        <v>19380131</v>
      </c>
      <c r="B74">
        <v>1938</v>
      </c>
      <c r="C74">
        <v>1</v>
      </c>
      <c r="D74">
        <v>4.8999999999999998E-3</v>
      </c>
      <c r="E74">
        <v>0</v>
      </c>
      <c r="F74">
        <v>4.9700000000000001E-2</v>
      </c>
      <c r="G74">
        <v>-1.6E-2</v>
      </c>
    </row>
    <row r="75" spans="1:7" x14ac:dyDescent="0.2">
      <c r="A75">
        <v>19380228</v>
      </c>
      <c r="B75">
        <v>1938</v>
      </c>
      <c r="C75">
        <v>2</v>
      </c>
      <c r="D75">
        <v>5.8400000000000001E-2</v>
      </c>
      <c r="E75">
        <v>0</v>
      </c>
      <c r="F75">
        <v>3.5000000000000001E-3</v>
      </c>
      <c r="G75">
        <v>-2.0199999999999999E-2</v>
      </c>
    </row>
    <row r="76" spans="1:7" x14ac:dyDescent="0.2">
      <c r="A76">
        <v>19380331</v>
      </c>
      <c r="B76">
        <v>1938</v>
      </c>
      <c r="C76">
        <v>3</v>
      </c>
      <c r="D76">
        <v>-0.2382</v>
      </c>
      <c r="E76">
        <v>-1E-4</v>
      </c>
      <c r="F76">
        <v>-4.24E-2</v>
      </c>
      <c r="G76">
        <v>-3.5200000000000002E-2</v>
      </c>
    </row>
    <row r="77" spans="1:7" x14ac:dyDescent="0.2">
      <c r="A77">
        <v>19380430</v>
      </c>
      <c r="B77">
        <v>1938</v>
      </c>
      <c r="C77">
        <v>4</v>
      </c>
      <c r="D77">
        <v>0.14510000000000001</v>
      </c>
      <c r="E77">
        <v>1E-4</v>
      </c>
      <c r="F77">
        <v>6.3700000000000007E-2</v>
      </c>
      <c r="G77">
        <v>1.8E-3</v>
      </c>
    </row>
    <row r="78" spans="1:7" x14ac:dyDescent="0.2">
      <c r="A78">
        <v>19380531</v>
      </c>
      <c r="B78">
        <v>1938</v>
      </c>
      <c r="C78">
        <v>5</v>
      </c>
      <c r="D78">
        <v>-3.8300000000000001E-2</v>
      </c>
      <c r="E78">
        <v>0</v>
      </c>
      <c r="F78">
        <v>-2.47E-2</v>
      </c>
      <c r="G78">
        <v>-2.8E-3</v>
      </c>
    </row>
    <row r="79" spans="1:7" x14ac:dyDescent="0.2">
      <c r="A79">
        <v>19380630</v>
      </c>
      <c r="B79">
        <v>1938</v>
      </c>
      <c r="C79">
        <v>6</v>
      </c>
      <c r="D79">
        <v>0.2387</v>
      </c>
      <c r="E79">
        <v>0</v>
      </c>
      <c r="F79">
        <v>4.0500000000000001E-2</v>
      </c>
      <c r="G79">
        <v>3.0000000000000001E-3</v>
      </c>
    </row>
    <row r="80" spans="1:7" x14ac:dyDescent="0.2">
      <c r="A80">
        <v>19380730</v>
      </c>
      <c r="B80">
        <v>1938</v>
      </c>
      <c r="C80">
        <v>7</v>
      </c>
      <c r="D80">
        <v>7.3400000000000007E-2</v>
      </c>
      <c r="E80">
        <v>-1E-4</v>
      </c>
      <c r="F80">
        <v>6.6600000000000006E-2</v>
      </c>
      <c r="G80">
        <v>2.18E-2</v>
      </c>
    </row>
    <row r="81" spans="1:7" x14ac:dyDescent="0.2">
      <c r="A81">
        <v>19380831</v>
      </c>
      <c r="B81">
        <v>1938</v>
      </c>
      <c r="C81">
        <v>8</v>
      </c>
      <c r="D81">
        <v>-2.6700000000000002E-2</v>
      </c>
      <c r="E81">
        <v>0</v>
      </c>
      <c r="F81">
        <v>-2.4400000000000002E-2</v>
      </c>
      <c r="G81">
        <v>-4.7199999999999999E-2</v>
      </c>
    </row>
    <row r="82" spans="1:7" x14ac:dyDescent="0.2">
      <c r="A82">
        <v>19380930</v>
      </c>
      <c r="B82">
        <v>1938</v>
      </c>
      <c r="C82">
        <v>9</v>
      </c>
      <c r="D82">
        <v>8.0999999999999996E-3</v>
      </c>
      <c r="E82">
        <v>2.0000000000000001E-4</v>
      </c>
      <c r="F82">
        <v>-2.7199999999999998E-2</v>
      </c>
      <c r="G82">
        <v>-1.6199999999999999E-2</v>
      </c>
    </row>
    <row r="83" spans="1:7" x14ac:dyDescent="0.2">
      <c r="A83">
        <v>19381031</v>
      </c>
      <c r="B83">
        <v>1938</v>
      </c>
      <c r="C83">
        <v>10</v>
      </c>
      <c r="D83">
        <v>7.8E-2</v>
      </c>
      <c r="E83">
        <v>1E-4</v>
      </c>
      <c r="F83">
        <v>5.8299999999999998E-2</v>
      </c>
      <c r="G83">
        <v>5.0099999999999999E-2</v>
      </c>
    </row>
    <row r="84" spans="1:7" x14ac:dyDescent="0.2">
      <c r="A84">
        <v>19381130</v>
      </c>
      <c r="B84">
        <v>1938</v>
      </c>
      <c r="C84">
        <v>11</v>
      </c>
      <c r="D84">
        <v>-1.72E-2</v>
      </c>
      <c r="E84">
        <v>-5.9999999999999995E-4</v>
      </c>
      <c r="F84">
        <v>-2.5600000000000001E-2</v>
      </c>
      <c r="G84">
        <v>-1.23E-2</v>
      </c>
    </row>
    <row r="85" spans="1:7" x14ac:dyDescent="0.2">
      <c r="A85">
        <v>19381231</v>
      </c>
      <c r="B85">
        <v>1938</v>
      </c>
      <c r="C85">
        <v>12</v>
      </c>
      <c r="D85">
        <v>4.19E-2</v>
      </c>
      <c r="E85">
        <v>0</v>
      </c>
      <c r="F85">
        <v>-1.7999999999999999E-2</v>
      </c>
      <c r="G85">
        <v>5.0000000000000001E-3</v>
      </c>
    </row>
    <row r="86" spans="1:7" x14ac:dyDescent="0.2">
      <c r="A86">
        <v>19390131</v>
      </c>
      <c r="B86">
        <v>1939</v>
      </c>
      <c r="C86">
        <v>1</v>
      </c>
      <c r="D86">
        <v>-5.96E-2</v>
      </c>
      <c r="E86">
        <v>-1E-4</v>
      </c>
      <c r="F86">
        <v>-1.5599999999999999E-2</v>
      </c>
      <c r="G86">
        <v>-3.9199999999999999E-2</v>
      </c>
    </row>
    <row r="87" spans="1:7" x14ac:dyDescent="0.2">
      <c r="A87">
        <v>19390228</v>
      </c>
      <c r="B87">
        <v>1939</v>
      </c>
      <c r="C87">
        <v>2</v>
      </c>
      <c r="D87">
        <v>3.5099999999999999E-2</v>
      </c>
      <c r="E87">
        <v>1E-4</v>
      </c>
      <c r="F87">
        <v>6.3E-3</v>
      </c>
      <c r="G87">
        <v>2.9499999999999998E-2</v>
      </c>
    </row>
    <row r="88" spans="1:7" x14ac:dyDescent="0.2">
      <c r="A88">
        <v>19390331</v>
      </c>
      <c r="B88">
        <v>1939</v>
      </c>
      <c r="C88">
        <v>3</v>
      </c>
      <c r="D88">
        <v>-0.11990000000000001</v>
      </c>
      <c r="E88">
        <v>-1E-4</v>
      </c>
      <c r="F88">
        <v>-4.7600000000000003E-2</v>
      </c>
      <c r="G88">
        <v>-8.2900000000000001E-2</v>
      </c>
    </row>
    <row r="89" spans="1:7" x14ac:dyDescent="0.2">
      <c r="A89">
        <v>19390429</v>
      </c>
      <c r="B89">
        <v>1939</v>
      </c>
      <c r="C89">
        <v>4</v>
      </c>
      <c r="D89">
        <v>-1.8E-3</v>
      </c>
      <c r="E89">
        <v>0</v>
      </c>
      <c r="F89">
        <v>1.66E-2</v>
      </c>
      <c r="G89">
        <v>-3.0000000000000001E-3</v>
      </c>
    </row>
    <row r="90" spans="1:7" x14ac:dyDescent="0.2">
      <c r="A90">
        <v>19390531</v>
      </c>
      <c r="B90">
        <v>1939</v>
      </c>
      <c r="C90">
        <v>5</v>
      </c>
      <c r="D90">
        <v>6.8000000000000005E-2</v>
      </c>
      <c r="E90">
        <v>1E-4</v>
      </c>
      <c r="F90">
        <v>2.81E-2</v>
      </c>
      <c r="G90">
        <v>4.7000000000000002E-3</v>
      </c>
    </row>
    <row r="91" spans="1:7" x14ac:dyDescent="0.2">
      <c r="A91">
        <v>19390630</v>
      </c>
      <c r="B91">
        <v>1939</v>
      </c>
      <c r="C91">
        <v>6</v>
      </c>
      <c r="D91">
        <v>-5.3100000000000001E-2</v>
      </c>
      <c r="E91">
        <v>1E-4</v>
      </c>
      <c r="F91">
        <v>-1.0200000000000001E-2</v>
      </c>
      <c r="G91">
        <v>-5.4100000000000002E-2</v>
      </c>
    </row>
    <row r="92" spans="1:7" x14ac:dyDescent="0.2">
      <c r="A92">
        <v>19390731</v>
      </c>
      <c r="B92">
        <v>1939</v>
      </c>
      <c r="C92">
        <v>7</v>
      </c>
      <c r="D92">
        <v>0.1024</v>
      </c>
      <c r="E92">
        <v>0</v>
      </c>
      <c r="F92">
        <v>4.3200000000000002E-2</v>
      </c>
      <c r="G92">
        <v>-2.9999999999999997E-4</v>
      </c>
    </row>
    <row r="93" spans="1:7" x14ac:dyDescent="0.2">
      <c r="A93">
        <v>19390831</v>
      </c>
      <c r="B93">
        <v>1939</v>
      </c>
      <c r="C93">
        <v>8</v>
      </c>
      <c r="D93">
        <v>-6.6799999999999998E-2</v>
      </c>
      <c r="E93">
        <v>-1E-4</v>
      </c>
      <c r="F93">
        <v>-4.6100000000000002E-2</v>
      </c>
      <c r="G93">
        <v>-2.4199999999999999E-2</v>
      </c>
    </row>
    <row r="94" spans="1:7" x14ac:dyDescent="0.2">
      <c r="A94">
        <v>19390930</v>
      </c>
      <c r="B94">
        <v>1939</v>
      </c>
      <c r="C94">
        <v>9</v>
      </c>
      <c r="D94">
        <v>0.16880000000000001</v>
      </c>
      <c r="E94">
        <v>1E-4</v>
      </c>
      <c r="F94">
        <v>0.20230000000000001</v>
      </c>
      <c r="G94">
        <v>0.22220000000000001</v>
      </c>
    </row>
    <row r="95" spans="1:7" x14ac:dyDescent="0.2">
      <c r="A95">
        <v>19391031</v>
      </c>
      <c r="B95">
        <v>1939</v>
      </c>
      <c r="C95">
        <v>10</v>
      </c>
      <c r="D95">
        <v>-5.3E-3</v>
      </c>
      <c r="E95">
        <v>0</v>
      </c>
      <c r="F95">
        <v>-1E-4</v>
      </c>
      <c r="G95">
        <v>-4.8899999999999999E-2</v>
      </c>
    </row>
    <row r="96" spans="1:7" x14ac:dyDescent="0.2">
      <c r="A96">
        <v>19391130</v>
      </c>
      <c r="B96">
        <v>1939</v>
      </c>
      <c r="C96">
        <v>11</v>
      </c>
      <c r="D96">
        <v>-3.6200000000000003E-2</v>
      </c>
      <c r="E96">
        <v>0</v>
      </c>
      <c r="F96">
        <v>-5.0700000000000002E-2</v>
      </c>
      <c r="G96">
        <v>-6.4600000000000005E-2</v>
      </c>
    </row>
    <row r="97" spans="1:7" x14ac:dyDescent="0.2">
      <c r="A97">
        <v>19391230</v>
      </c>
      <c r="B97">
        <v>1939</v>
      </c>
      <c r="C97">
        <v>12</v>
      </c>
      <c r="D97">
        <v>3.0300000000000001E-2</v>
      </c>
      <c r="E97">
        <v>0</v>
      </c>
      <c r="F97">
        <v>7.9000000000000008E-3</v>
      </c>
      <c r="G97">
        <v>-4.0599999999999997E-2</v>
      </c>
    </row>
    <row r="98" spans="1:7" x14ac:dyDescent="0.2">
      <c r="A98">
        <v>19400131</v>
      </c>
      <c r="B98">
        <v>1940</v>
      </c>
      <c r="C98">
        <v>1</v>
      </c>
      <c r="D98">
        <v>-2.41E-2</v>
      </c>
      <c r="E98">
        <v>0</v>
      </c>
      <c r="F98">
        <v>2.3999999999999998E-3</v>
      </c>
      <c r="G98">
        <v>-7.7000000000000002E-3</v>
      </c>
    </row>
    <row r="99" spans="1:7" x14ac:dyDescent="0.2">
      <c r="A99">
        <v>19400229</v>
      </c>
      <c r="B99">
        <v>1940</v>
      </c>
      <c r="C99">
        <v>2</v>
      </c>
      <c r="D99">
        <v>1.44E-2</v>
      </c>
      <c r="E99">
        <v>0</v>
      </c>
      <c r="F99">
        <v>2.5100000000000001E-2</v>
      </c>
      <c r="G99">
        <v>-3.2000000000000002E-3</v>
      </c>
    </row>
    <row r="100" spans="1:7" x14ac:dyDescent="0.2">
      <c r="A100">
        <v>19400330</v>
      </c>
      <c r="B100">
        <v>1940</v>
      </c>
      <c r="C100">
        <v>3</v>
      </c>
      <c r="D100">
        <v>2.0500000000000001E-2</v>
      </c>
      <c r="E100">
        <v>0</v>
      </c>
      <c r="F100">
        <v>1.2500000000000001E-2</v>
      </c>
      <c r="G100">
        <v>-1.2699999999999999E-2</v>
      </c>
    </row>
    <row r="101" spans="1:7" x14ac:dyDescent="0.2">
      <c r="A101">
        <v>19400430</v>
      </c>
      <c r="B101">
        <v>1940</v>
      </c>
      <c r="C101">
        <v>4</v>
      </c>
      <c r="D101">
        <v>2.2000000000000001E-3</v>
      </c>
      <c r="E101">
        <v>0</v>
      </c>
      <c r="F101">
        <v>3.9199999999999999E-2</v>
      </c>
      <c r="G101">
        <v>-1.2999999999999999E-3</v>
      </c>
    </row>
    <row r="102" spans="1:7" x14ac:dyDescent="0.2">
      <c r="A102">
        <v>19400531</v>
      </c>
      <c r="B102">
        <v>1940</v>
      </c>
      <c r="C102">
        <v>5</v>
      </c>
      <c r="D102">
        <v>-0.2195</v>
      </c>
      <c r="E102">
        <v>-2.0000000000000001E-4</v>
      </c>
      <c r="F102">
        <v>-6.6600000000000006E-2</v>
      </c>
      <c r="G102">
        <v>-3.6900000000000002E-2</v>
      </c>
    </row>
    <row r="103" spans="1:7" x14ac:dyDescent="0.2">
      <c r="A103">
        <v>19400629</v>
      </c>
      <c r="B103">
        <v>1940</v>
      </c>
      <c r="C103">
        <v>6</v>
      </c>
      <c r="D103">
        <v>6.6699999999999995E-2</v>
      </c>
      <c r="E103">
        <v>0</v>
      </c>
      <c r="F103">
        <v>-2.1299999999999999E-2</v>
      </c>
      <c r="G103">
        <v>4.6300000000000001E-2</v>
      </c>
    </row>
    <row r="104" spans="1:7" x14ac:dyDescent="0.2">
      <c r="A104">
        <v>19400731</v>
      </c>
      <c r="B104">
        <v>1940</v>
      </c>
      <c r="C104">
        <v>7</v>
      </c>
      <c r="D104">
        <v>3.1600000000000003E-2</v>
      </c>
      <c r="E104">
        <v>1E-4</v>
      </c>
      <c r="F104">
        <v>1.01E-2</v>
      </c>
      <c r="G104">
        <v>-7.4000000000000003E-3</v>
      </c>
    </row>
    <row r="105" spans="1:7" x14ac:dyDescent="0.2">
      <c r="A105">
        <v>19400831</v>
      </c>
      <c r="B105">
        <v>1940</v>
      </c>
      <c r="C105">
        <v>8</v>
      </c>
      <c r="D105">
        <v>2.1899999999999999E-2</v>
      </c>
      <c r="E105">
        <v>-1E-4</v>
      </c>
      <c r="F105">
        <v>-1.1000000000000001E-3</v>
      </c>
      <c r="G105">
        <v>5.5999999999999999E-3</v>
      </c>
    </row>
    <row r="106" spans="1:7" x14ac:dyDescent="0.2">
      <c r="A106">
        <v>19400930</v>
      </c>
      <c r="B106">
        <v>1940</v>
      </c>
      <c r="C106">
        <v>9</v>
      </c>
      <c r="D106">
        <v>2.3900000000000001E-2</v>
      </c>
      <c r="E106">
        <v>0</v>
      </c>
      <c r="F106">
        <v>3.2199999999999999E-2</v>
      </c>
      <c r="G106">
        <v>-1.1299999999999999E-2</v>
      </c>
    </row>
    <row r="107" spans="1:7" x14ac:dyDescent="0.2">
      <c r="A107">
        <v>19401031</v>
      </c>
      <c r="B107">
        <v>1940</v>
      </c>
      <c r="C107">
        <v>10</v>
      </c>
      <c r="D107">
        <v>3.0200000000000001E-2</v>
      </c>
      <c r="E107">
        <v>0</v>
      </c>
      <c r="F107">
        <v>2.8E-3</v>
      </c>
      <c r="G107">
        <v>4.6399999999999997E-2</v>
      </c>
    </row>
    <row r="108" spans="1:7" x14ac:dyDescent="0.2">
      <c r="A108">
        <v>19401130</v>
      </c>
      <c r="B108">
        <v>1940</v>
      </c>
      <c r="C108">
        <v>11</v>
      </c>
      <c r="D108">
        <v>-1.61E-2</v>
      </c>
      <c r="E108">
        <v>0</v>
      </c>
      <c r="F108">
        <v>1.9400000000000001E-2</v>
      </c>
      <c r="G108">
        <v>1.1999999999999999E-3</v>
      </c>
    </row>
    <row r="109" spans="1:7" x14ac:dyDescent="0.2">
      <c r="A109">
        <v>19401231</v>
      </c>
      <c r="B109">
        <v>1940</v>
      </c>
      <c r="C109">
        <v>12</v>
      </c>
      <c r="D109">
        <v>6.8999999999999999E-3</v>
      </c>
      <c r="E109">
        <v>0</v>
      </c>
      <c r="F109">
        <v>-2.1499999999999998E-2</v>
      </c>
      <c r="G109">
        <v>-8.8999999999999999E-3</v>
      </c>
    </row>
    <row r="110" spans="1:7" x14ac:dyDescent="0.2">
      <c r="A110">
        <v>19410131</v>
      </c>
      <c r="B110">
        <v>1941</v>
      </c>
      <c r="C110">
        <v>1</v>
      </c>
      <c r="D110">
        <v>-4.1700000000000001E-2</v>
      </c>
      <c r="E110">
        <v>-1E-4</v>
      </c>
      <c r="F110">
        <v>0.01</v>
      </c>
      <c r="G110">
        <v>3.8300000000000001E-2</v>
      </c>
    </row>
    <row r="111" spans="1:7" x14ac:dyDescent="0.2">
      <c r="A111">
        <v>19410228</v>
      </c>
      <c r="B111">
        <v>1941</v>
      </c>
      <c r="C111">
        <v>2</v>
      </c>
      <c r="D111">
        <v>-1.43E-2</v>
      </c>
      <c r="E111">
        <v>-1E-4</v>
      </c>
      <c r="F111">
        <v>-1.5699999999999999E-2</v>
      </c>
      <c r="G111">
        <v>8.8999999999999999E-3</v>
      </c>
    </row>
    <row r="112" spans="1:7" x14ac:dyDescent="0.2">
      <c r="A112">
        <v>19410331</v>
      </c>
      <c r="B112">
        <v>1941</v>
      </c>
      <c r="C112">
        <v>3</v>
      </c>
      <c r="D112">
        <v>8.3999999999999995E-3</v>
      </c>
      <c r="E112">
        <v>1E-4</v>
      </c>
      <c r="F112">
        <v>1E-3</v>
      </c>
      <c r="G112">
        <v>3.04E-2</v>
      </c>
    </row>
    <row r="113" spans="1:7" x14ac:dyDescent="0.2">
      <c r="A113">
        <v>19410430</v>
      </c>
      <c r="B113">
        <v>1941</v>
      </c>
      <c r="C113">
        <v>4</v>
      </c>
      <c r="D113">
        <v>-5.4600000000000003E-2</v>
      </c>
      <c r="E113">
        <v>-1E-4</v>
      </c>
      <c r="F113">
        <v>-1.6899999999999998E-2</v>
      </c>
      <c r="G113">
        <v>3.4099999999999998E-2</v>
      </c>
    </row>
    <row r="114" spans="1:7" x14ac:dyDescent="0.2">
      <c r="A114">
        <v>19410531</v>
      </c>
      <c r="B114">
        <v>1941</v>
      </c>
      <c r="C114">
        <v>5</v>
      </c>
      <c r="D114">
        <v>1.3899999999999999E-2</v>
      </c>
      <c r="E114">
        <v>0</v>
      </c>
      <c r="F114">
        <v>-6.6E-3</v>
      </c>
      <c r="G114">
        <v>6.0000000000000001E-3</v>
      </c>
    </row>
    <row r="115" spans="1:7" x14ac:dyDescent="0.2">
      <c r="A115">
        <v>19410630</v>
      </c>
      <c r="B115">
        <v>1941</v>
      </c>
      <c r="C115">
        <v>6</v>
      </c>
      <c r="D115">
        <v>5.8299999999999998E-2</v>
      </c>
      <c r="E115">
        <v>0</v>
      </c>
      <c r="F115">
        <v>1.32E-2</v>
      </c>
      <c r="G115">
        <v>5.8999999999999999E-3</v>
      </c>
    </row>
    <row r="116" spans="1:7" x14ac:dyDescent="0.2">
      <c r="A116">
        <v>19410731</v>
      </c>
      <c r="B116">
        <v>1941</v>
      </c>
      <c r="C116">
        <v>7</v>
      </c>
      <c r="D116">
        <v>5.8700000000000002E-2</v>
      </c>
      <c r="E116">
        <v>2.9999999999999997E-4</v>
      </c>
      <c r="F116">
        <v>5.7000000000000002E-2</v>
      </c>
      <c r="G116">
        <v>7.2499999999999995E-2</v>
      </c>
    </row>
    <row r="117" spans="1:7" x14ac:dyDescent="0.2">
      <c r="A117">
        <v>19410830</v>
      </c>
      <c r="B117">
        <v>1941</v>
      </c>
      <c r="C117">
        <v>8</v>
      </c>
      <c r="D117">
        <v>-1.6999999999999999E-3</v>
      </c>
      <c r="E117">
        <v>1E-4</v>
      </c>
      <c r="F117">
        <v>-4.1000000000000003E-3</v>
      </c>
      <c r="G117">
        <v>-1.0999999999999999E-2</v>
      </c>
    </row>
    <row r="118" spans="1:7" x14ac:dyDescent="0.2">
      <c r="A118">
        <v>19410930</v>
      </c>
      <c r="B118">
        <v>1941</v>
      </c>
      <c r="C118">
        <v>9</v>
      </c>
      <c r="D118">
        <v>-8.6999999999999994E-3</v>
      </c>
      <c r="E118">
        <v>1E-4</v>
      </c>
      <c r="F118">
        <v>-9.9000000000000008E-3</v>
      </c>
      <c r="G118">
        <v>-2.8E-3</v>
      </c>
    </row>
    <row r="119" spans="1:7" x14ac:dyDescent="0.2">
      <c r="A119">
        <v>19411031</v>
      </c>
      <c r="B119">
        <v>1941</v>
      </c>
      <c r="C119">
        <v>10</v>
      </c>
      <c r="D119">
        <v>-5.2499999999999998E-2</v>
      </c>
      <c r="E119">
        <v>0</v>
      </c>
      <c r="F119">
        <v>-2.0199999999999999E-2</v>
      </c>
      <c r="G119">
        <v>1.6299999999999999E-2</v>
      </c>
    </row>
    <row r="120" spans="1:7" x14ac:dyDescent="0.2">
      <c r="A120">
        <v>19411129</v>
      </c>
      <c r="B120">
        <v>1941</v>
      </c>
      <c r="C120">
        <v>11</v>
      </c>
      <c r="D120">
        <v>-1.9199999999999998E-2</v>
      </c>
      <c r="E120">
        <v>0</v>
      </c>
      <c r="F120">
        <v>-1.21E-2</v>
      </c>
      <c r="G120">
        <v>-6.4000000000000003E-3</v>
      </c>
    </row>
    <row r="121" spans="1:7" x14ac:dyDescent="0.2">
      <c r="A121">
        <v>19411231</v>
      </c>
      <c r="B121">
        <v>1941</v>
      </c>
      <c r="C121">
        <v>12</v>
      </c>
      <c r="D121">
        <v>-4.87E-2</v>
      </c>
      <c r="E121">
        <v>1E-4</v>
      </c>
      <c r="F121">
        <v>-2.98E-2</v>
      </c>
      <c r="G121">
        <v>-5.9400000000000001E-2</v>
      </c>
    </row>
    <row r="122" spans="1:7" x14ac:dyDescent="0.2">
      <c r="A122">
        <v>19420131</v>
      </c>
      <c r="B122">
        <v>1942</v>
      </c>
      <c r="C122">
        <v>1</v>
      </c>
      <c r="D122">
        <v>7.9000000000000008E-3</v>
      </c>
      <c r="E122">
        <v>2.0000000000000001E-4</v>
      </c>
      <c r="F122">
        <v>7.5200000000000003E-2</v>
      </c>
      <c r="G122">
        <v>0.10100000000000001</v>
      </c>
    </row>
    <row r="123" spans="1:7" x14ac:dyDescent="0.2">
      <c r="A123">
        <v>19420228</v>
      </c>
      <c r="B123">
        <v>1942</v>
      </c>
      <c r="C123">
        <v>2</v>
      </c>
      <c r="D123">
        <v>-2.46E-2</v>
      </c>
      <c r="E123">
        <v>1E-4</v>
      </c>
      <c r="F123">
        <v>1.72E-2</v>
      </c>
      <c r="G123">
        <v>-1.1299999999999999E-2</v>
      </c>
    </row>
    <row r="124" spans="1:7" x14ac:dyDescent="0.2">
      <c r="A124">
        <v>19420331</v>
      </c>
      <c r="B124">
        <v>1942</v>
      </c>
      <c r="C124">
        <v>3</v>
      </c>
      <c r="D124">
        <v>-6.5799999999999997E-2</v>
      </c>
      <c r="E124">
        <v>1E-4</v>
      </c>
      <c r="F124">
        <v>1.78E-2</v>
      </c>
      <c r="G124">
        <v>-6.1999999999999998E-3</v>
      </c>
    </row>
    <row r="125" spans="1:7" x14ac:dyDescent="0.2">
      <c r="A125">
        <v>19420430</v>
      </c>
      <c r="B125">
        <v>1942</v>
      </c>
      <c r="C125">
        <v>4</v>
      </c>
      <c r="D125">
        <v>-4.3700000000000003E-2</v>
      </c>
      <c r="E125">
        <v>1E-4</v>
      </c>
      <c r="F125">
        <v>-6.0000000000000001E-3</v>
      </c>
      <c r="G125">
        <v>2.0899999999999998E-2</v>
      </c>
    </row>
    <row r="126" spans="1:7" x14ac:dyDescent="0.2">
      <c r="A126">
        <v>19420529</v>
      </c>
      <c r="B126">
        <v>1942</v>
      </c>
      <c r="C126">
        <v>5</v>
      </c>
      <c r="D126">
        <v>5.9400000000000001E-2</v>
      </c>
      <c r="E126">
        <v>2.9999999999999997E-4</v>
      </c>
      <c r="F126">
        <v>-3.0499999999999999E-2</v>
      </c>
      <c r="G126">
        <v>-2.6499999999999999E-2</v>
      </c>
    </row>
    <row r="127" spans="1:7" x14ac:dyDescent="0.2">
      <c r="A127">
        <v>19420630</v>
      </c>
      <c r="B127">
        <v>1942</v>
      </c>
      <c r="C127">
        <v>6</v>
      </c>
      <c r="D127">
        <v>2.69E-2</v>
      </c>
      <c r="E127">
        <v>2.0000000000000001E-4</v>
      </c>
      <c r="F127">
        <v>-1.2200000000000001E-2</v>
      </c>
      <c r="G127">
        <v>5.4000000000000003E-3</v>
      </c>
    </row>
    <row r="128" spans="1:7" x14ac:dyDescent="0.2">
      <c r="A128">
        <v>19420731</v>
      </c>
      <c r="B128">
        <v>1942</v>
      </c>
      <c r="C128">
        <v>7</v>
      </c>
      <c r="D128">
        <v>3.5099999999999999E-2</v>
      </c>
      <c r="E128">
        <v>2.9999999999999997E-4</v>
      </c>
      <c r="F128">
        <v>-1.6000000000000001E-3</v>
      </c>
      <c r="G128">
        <v>2.4E-2</v>
      </c>
    </row>
    <row r="129" spans="1:7" x14ac:dyDescent="0.2">
      <c r="A129">
        <v>19420831</v>
      </c>
      <c r="B129">
        <v>1942</v>
      </c>
      <c r="C129">
        <v>8</v>
      </c>
      <c r="D129">
        <v>1.7999999999999999E-2</v>
      </c>
      <c r="E129">
        <v>2.9999999999999997E-4</v>
      </c>
      <c r="F129">
        <v>-8.9999999999999998E-4</v>
      </c>
      <c r="G129">
        <v>1.3299999999999999E-2</v>
      </c>
    </row>
    <row r="130" spans="1:7" x14ac:dyDescent="0.2">
      <c r="A130">
        <v>19420930</v>
      </c>
      <c r="B130">
        <v>1942</v>
      </c>
      <c r="C130">
        <v>9</v>
      </c>
      <c r="D130">
        <v>2.6100000000000002E-2</v>
      </c>
      <c r="E130">
        <v>2.9999999999999997E-4</v>
      </c>
      <c r="F130">
        <v>6.6E-3</v>
      </c>
      <c r="G130">
        <v>2.3900000000000001E-2</v>
      </c>
    </row>
    <row r="131" spans="1:7" x14ac:dyDescent="0.2">
      <c r="A131">
        <v>19421031</v>
      </c>
      <c r="B131">
        <v>1942</v>
      </c>
      <c r="C131">
        <v>10</v>
      </c>
      <c r="D131">
        <v>6.8199999999999997E-2</v>
      </c>
      <c r="E131">
        <v>2.9999999999999997E-4</v>
      </c>
      <c r="F131">
        <v>1.8200000000000001E-2</v>
      </c>
      <c r="G131">
        <v>6.4699999999999994E-2</v>
      </c>
    </row>
    <row r="132" spans="1:7" x14ac:dyDescent="0.2">
      <c r="A132">
        <v>19421130</v>
      </c>
      <c r="B132">
        <v>1942</v>
      </c>
      <c r="C132">
        <v>11</v>
      </c>
      <c r="D132">
        <v>1.5E-3</v>
      </c>
      <c r="E132">
        <v>2.9999999999999997E-4</v>
      </c>
      <c r="F132">
        <v>-1.54E-2</v>
      </c>
      <c r="G132">
        <v>-4.24E-2</v>
      </c>
    </row>
    <row r="133" spans="1:7" x14ac:dyDescent="0.2">
      <c r="A133">
        <v>19421231</v>
      </c>
      <c r="B133">
        <v>1942</v>
      </c>
      <c r="C133">
        <v>12</v>
      </c>
      <c r="D133">
        <v>5.1200000000000002E-2</v>
      </c>
      <c r="E133">
        <v>2.9999999999999997E-4</v>
      </c>
      <c r="F133">
        <v>-2.4899999999999999E-2</v>
      </c>
      <c r="G133">
        <v>5.5999999999999999E-3</v>
      </c>
    </row>
    <row r="134" spans="1:7" x14ac:dyDescent="0.2">
      <c r="A134">
        <v>19430130</v>
      </c>
      <c r="B134">
        <v>1943</v>
      </c>
      <c r="C134">
        <v>1</v>
      </c>
      <c r="D134">
        <v>7.1300000000000002E-2</v>
      </c>
      <c r="E134">
        <v>2.9999999999999997E-4</v>
      </c>
      <c r="F134">
        <v>8.7800000000000003E-2</v>
      </c>
      <c r="G134">
        <v>8.2299999999999998E-2</v>
      </c>
    </row>
    <row r="135" spans="1:7" x14ac:dyDescent="0.2">
      <c r="A135">
        <v>19430227</v>
      </c>
      <c r="B135">
        <v>1943</v>
      </c>
      <c r="C135">
        <v>2</v>
      </c>
      <c r="D135">
        <v>6.1499999999999999E-2</v>
      </c>
      <c r="E135">
        <v>2.9999999999999997E-4</v>
      </c>
      <c r="F135">
        <v>4.8399999999999999E-2</v>
      </c>
      <c r="G135">
        <v>6.5100000000000005E-2</v>
      </c>
    </row>
    <row r="136" spans="1:7" x14ac:dyDescent="0.2">
      <c r="A136">
        <v>19430331</v>
      </c>
      <c r="B136">
        <v>1943</v>
      </c>
      <c r="C136">
        <v>3</v>
      </c>
      <c r="D136">
        <v>6.0100000000000001E-2</v>
      </c>
      <c r="E136">
        <v>2.9999999999999997E-4</v>
      </c>
      <c r="F136">
        <v>5.0299999999999997E-2</v>
      </c>
      <c r="G136">
        <v>5.4800000000000001E-2</v>
      </c>
    </row>
    <row r="137" spans="1:7" x14ac:dyDescent="0.2">
      <c r="A137">
        <v>19430430</v>
      </c>
      <c r="B137">
        <v>1943</v>
      </c>
      <c r="C137">
        <v>4</v>
      </c>
      <c r="D137">
        <v>8.0999999999999996E-3</v>
      </c>
      <c r="E137">
        <v>2.9999999999999997E-4</v>
      </c>
      <c r="F137">
        <v>2.06E-2</v>
      </c>
      <c r="G137">
        <v>5.8599999999999999E-2</v>
      </c>
    </row>
    <row r="138" spans="1:7" x14ac:dyDescent="0.2">
      <c r="A138">
        <v>19430529</v>
      </c>
      <c r="B138">
        <v>1943</v>
      </c>
      <c r="C138">
        <v>5</v>
      </c>
      <c r="D138">
        <v>5.74E-2</v>
      </c>
      <c r="E138">
        <v>2.9999999999999997E-4</v>
      </c>
      <c r="F138">
        <v>4.41E-2</v>
      </c>
      <c r="G138">
        <v>3.2800000000000003E-2</v>
      </c>
    </row>
    <row r="139" spans="1:7" x14ac:dyDescent="0.2">
      <c r="A139">
        <v>19430630</v>
      </c>
      <c r="B139">
        <v>1943</v>
      </c>
      <c r="C139">
        <v>6</v>
      </c>
      <c r="D139">
        <v>1.8200000000000001E-2</v>
      </c>
      <c r="E139">
        <v>2.9999999999999997E-4</v>
      </c>
      <c r="F139">
        <v>-1.06E-2</v>
      </c>
      <c r="G139">
        <v>-7.4000000000000003E-3</v>
      </c>
    </row>
    <row r="140" spans="1:7" x14ac:dyDescent="0.2">
      <c r="A140">
        <v>19430731</v>
      </c>
      <c r="B140">
        <v>1943</v>
      </c>
      <c r="C140">
        <v>7</v>
      </c>
      <c r="D140">
        <v>-4.7699999999999999E-2</v>
      </c>
      <c r="E140">
        <v>2.9999999999999997E-4</v>
      </c>
      <c r="F140">
        <v>-2.41E-2</v>
      </c>
      <c r="G140">
        <v>-2.2700000000000001E-2</v>
      </c>
    </row>
    <row r="141" spans="1:7" x14ac:dyDescent="0.2">
      <c r="A141">
        <v>19430831</v>
      </c>
      <c r="B141">
        <v>1943</v>
      </c>
      <c r="C141">
        <v>8</v>
      </c>
      <c r="D141">
        <v>1.2999999999999999E-2</v>
      </c>
      <c r="E141">
        <v>2.9999999999999997E-4</v>
      </c>
      <c r="F141">
        <v>-6.1999999999999998E-3</v>
      </c>
      <c r="G141">
        <v>-4.7000000000000002E-3</v>
      </c>
    </row>
    <row r="142" spans="1:7" x14ac:dyDescent="0.2">
      <c r="A142">
        <v>19430930</v>
      </c>
      <c r="B142">
        <v>1943</v>
      </c>
      <c r="C142">
        <v>9</v>
      </c>
      <c r="D142">
        <v>2.4E-2</v>
      </c>
      <c r="E142">
        <v>2.9999999999999997E-4</v>
      </c>
      <c r="F142">
        <v>1.2800000000000001E-2</v>
      </c>
      <c r="G142">
        <v>1.43E-2</v>
      </c>
    </row>
    <row r="143" spans="1:7" x14ac:dyDescent="0.2">
      <c r="A143">
        <v>19431030</v>
      </c>
      <c r="B143">
        <v>1943</v>
      </c>
      <c r="C143">
        <v>10</v>
      </c>
      <c r="D143">
        <v>-1.15E-2</v>
      </c>
      <c r="E143">
        <v>2.9999999999999997E-4</v>
      </c>
      <c r="F143">
        <v>5.7999999999999996E-3</v>
      </c>
      <c r="G143">
        <v>1.6500000000000001E-2</v>
      </c>
    </row>
    <row r="144" spans="1:7" x14ac:dyDescent="0.2">
      <c r="A144">
        <v>19431130</v>
      </c>
      <c r="B144">
        <v>1943</v>
      </c>
      <c r="C144">
        <v>11</v>
      </c>
      <c r="D144">
        <v>-5.91E-2</v>
      </c>
      <c r="E144">
        <v>2.9999999999999997E-4</v>
      </c>
      <c r="F144">
        <v>-1.6400000000000001E-2</v>
      </c>
      <c r="G144">
        <v>-4.0399999999999998E-2</v>
      </c>
    </row>
    <row r="145" spans="1:7" x14ac:dyDescent="0.2">
      <c r="A145">
        <v>19431231</v>
      </c>
      <c r="B145">
        <v>1943</v>
      </c>
      <c r="C145">
        <v>12</v>
      </c>
      <c r="D145">
        <v>6.3600000000000004E-2</v>
      </c>
      <c r="E145">
        <v>2.9999999999999997E-4</v>
      </c>
      <c r="F145">
        <v>3.3399999999999999E-2</v>
      </c>
      <c r="G145">
        <v>3.2199999999999999E-2</v>
      </c>
    </row>
    <row r="146" spans="1:7" x14ac:dyDescent="0.2">
      <c r="A146">
        <v>19440131</v>
      </c>
      <c r="B146">
        <v>1944</v>
      </c>
      <c r="C146">
        <v>1</v>
      </c>
      <c r="D146">
        <v>1.7399999999999999E-2</v>
      </c>
      <c r="E146">
        <v>2.9999999999999997E-4</v>
      </c>
      <c r="F146">
        <v>2.5600000000000001E-2</v>
      </c>
      <c r="G146">
        <v>2.1700000000000001E-2</v>
      </c>
    </row>
    <row r="147" spans="1:7" x14ac:dyDescent="0.2">
      <c r="A147">
        <v>19440229</v>
      </c>
      <c r="B147">
        <v>1944</v>
      </c>
      <c r="C147">
        <v>2</v>
      </c>
      <c r="D147">
        <v>3.7000000000000002E-3</v>
      </c>
      <c r="E147">
        <v>2.9999999999999997E-4</v>
      </c>
      <c r="F147">
        <v>-1E-3</v>
      </c>
      <c r="G147">
        <v>8.3000000000000001E-3</v>
      </c>
    </row>
    <row r="148" spans="1:7" x14ac:dyDescent="0.2">
      <c r="A148">
        <v>19440331</v>
      </c>
      <c r="B148">
        <v>1944</v>
      </c>
      <c r="C148">
        <v>3</v>
      </c>
      <c r="D148">
        <v>2.46E-2</v>
      </c>
      <c r="E148">
        <v>2.0000000000000001E-4</v>
      </c>
      <c r="F148">
        <v>1.7100000000000001E-2</v>
      </c>
      <c r="G148">
        <v>3.4299999999999997E-2</v>
      </c>
    </row>
    <row r="149" spans="1:7" x14ac:dyDescent="0.2">
      <c r="A149">
        <v>19440429</v>
      </c>
      <c r="B149">
        <v>1944</v>
      </c>
      <c r="C149">
        <v>4</v>
      </c>
      <c r="D149">
        <v>-1.6899999999999998E-2</v>
      </c>
      <c r="E149">
        <v>2.9999999999999997E-4</v>
      </c>
      <c r="F149">
        <v>-1.35E-2</v>
      </c>
      <c r="G149">
        <v>-1.1299999999999999E-2</v>
      </c>
    </row>
    <row r="150" spans="1:7" x14ac:dyDescent="0.2">
      <c r="A150">
        <v>19440531</v>
      </c>
      <c r="B150">
        <v>1944</v>
      </c>
      <c r="C150">
        <v>5</v>
      </c>
      <c r="D150">
        <v>5.0700000000000002E-2</v>
      </c>
      <c r="E150">
        <v>2.9999999999999997E-4</v>
      </c>
      <c r="F150">
        <v>1.67E-2</v>
      </c>
      <c r="G150">
        <v>1.0200000000000001E-2</v>
      </c>
    </row>
    <row r="151" spans="1:7" x14ac:dyDescent="0.2">
      <c r="A151">
        <v>19440630</v>
      </c>
      <c r="B151">
        <v>1944</v>
      </c>
      <c r="C151">
        <v>6</v>
      </c>
      <c r="D151">
        <v>5.4899999999999997E-2</v>
      </c>
      <c r="E151">
        <v>2.9999999999999997E-4</v>
      </c>
      <c r="F151">
        <v>4.0399999999999998E-2</v>
      </c>
      <c r="G151">
        <v>1.8200000000000001E-2</v>
      </c>
    </row>
    <row r="152" spans="1:7" x14ac:dyDescent="0.2">
      <c r="A152">
        <v>19440731</v>
      </c>
      <c r="B152">
        <v>1944</v>
      </c>
      <c r="C152">
        <v>7</v>
      </c>
      <c r="D152">
        <v>-1.49E-2</v>
      </c>
      <c r="E152">
        <v>2.9999999999999997E-4</v>
      </c>
      <c r="F152">
        <v>5.4999999999999997E-3</v>
      </c>
      <c r="G152">
        <v>-4.3E-3</v>
      </c>
    </row>
    <row r="153" spans="1:7" x14ac:dyDescent="0.2">
      <c r="A153">
        <v>19440831</v>
      </c>
      <c r="B153">
        <v>1944</v>
      </c>
      <c r="C153">
        <v>8</v>
      </c>
      <c r="D153">
        <v>1.5699999999999999E-2</v>
      </c>
      <c r="E153">
        <v>2.9999999999999997E-4</v>
      </c>
      <c r="F153">
        <v>2.41E-2</v>
      </c>
      <c r="G153">
        <v>-1.6299999999999999E-2</v>
      </c>
    </row>
    <row r="154" spans="1:7" x14ac:dyDescent="0.2">
      <c r="A154">
        <v>19440930</v>
      </c>
      <c r="B154">
        <v>1944</v>
      </c>
      <c r="C154">
        <v>9</v>
      </c>
      <c r="D154">
        <v>1E-4</v>
      </c>
      <c r="E154">
        <v>2.0000000000000001E-4</v>
      </c>
      <c r="F154">
        <v>4.7000000000000002E-3</v>
      </c>
      <c r="G154">
        <v>-1.21E-2</v>
      </c>
    </row>
    <row r="155" spans="1:7" x14ac:dyDescent="0.2">
      <c r="A155">
        <v>19441031</v>
      </c>
      <c r="B155">
        <v>1944</v>
      </c>
      <c r="C155">
        <v>10</v>
      </c>
      <c r="D155">
        <v>1.6000000000000001E-3</v>
      </c>
      <c r="E155">
        <v>2.9999999999999997E-4</v>
      </c>
      <c r="F155">
        <v>-1.4E-3</v>
      </c>
      <c r="G155">
        <v>-3.3999999999999998E-3</v>
      </c>
    </row>
    <row r="156" spans="1:7" x14ac:dyDescent="0.2">
      <c r="A156">
        <v>19441130</v>
      </c>
      <c r="B156">
        <v>1944</v>
      </c>
      <c r="C156">
        <v>11</v>
      </c>
      <c r="D156">
        <v>1.7100000000000001E-2</v>
      </c>
      <c r="E156">
        <v>2.9999999999999997E-4</v>
      </c>
      <c r="F156">
        <v>3.7000000000000002E-3</v>
      </c>
      <c r="G156">
        <v>2.3099999999999999E-2</v>
      </c>
    </row>
    <row r="157" spans="1:7" x14ac:dyDescent="0.2">
      <c r="A157">
        <v>19441230</v>
      </c>
      <c r="B157">
        <v>1944</v>
      </c>
      <c r="C157">
        <v>12</v>
      </c>
      <c r="D157">
        <v>4.0300000000000002E-2</v>
      </c>
      <c r="E157">
        <v>2.0000000000000001E-4</v>
      </c>
      <c r="F157">
        <v>2.24E-2</v>
      </c>
      <c r="G157">
        <v>5.91E-2</v>
      </c>
    </row>
    <row r="158" spans="1:7" x14ac:dyDescent="0.2">
      <c r="A158">
        <v>19450131</v>
      </c>
      <c r="B158">
        <v>1945</v>
      </c>
      <c r="C158">
        <v>1</v>
      </c>
      <c r="D158">
        <v>2.01E-2</v>
      </c>
      <c r="E158">
        <v>2.9999999999999997E-4</v>
      </c>
      <c r="F158">
        <v>2.4400000000000002E-2</v>
      </c>
      <c r="G158">
        <v>7.1000000000000004E-3</v>
      </c>
    </row>
    <row r="159" spans="1:7" x14ac:dyDescent="0.2">
      <c r="A159">
        <v>19450228</v>
      </c>
      <c r="B159">
        <v>1945</v>
      </c>
      <c r="C159">
        <v>2</v>
      </c>
      <c r="D159">
        <v>6.2300000000000001E-2</v>
      </c>
      <c r="E159">
        <v>2.0000000000000001E-4</v>
      </c>
      <c r="F159">
        <v>1.5599999999999999E-2</v>
      </c>
      <c r="G159">
        <v>4.3999999999999997E-2</v>
      </c>
    </row>
    <row r="160" spans="1:7" x14ac:dyDescent="0.2">
      <c r="A160">
        <v>19450331</v>
      </c>
      <c r="B160">
        <v>1945</v>
      </c>
      <c r="C160">
        <v>3</v>
      </c>
      <c r="D160">
        <v>-3.8899999999999997E-2</v>
      </c>
      <c r="E160">
        <v>2.0000000000000001E-4</v>
      </c>
      <c r="F160">
        <v>-1.61E-2</v>
      </c>
      <c r="G160">
        <v>-1.78E-2</v>
      </c>
    </row>
    <row r="161" spans="1:7" x14ac:dyDescent="0.2">
      <c r="A161">
        <v>19450430</v>
      </c>
      <c r="B161">
        <v>1945</v>
      </c>
      <c r="C161">
        <v>4</v>
      </c>
      <c r="D161">
        <v>7.8E-2</v>
      </c>
      <c r="E161">
        <v>2.9999999999999997E-4</v>
      </c>
      <c r="F161">
        <v>3.2000000000000002E-3</v>
      </c>
      <c r="G161">
        <v>3.2099999999999997E-2</v>
      </c>
    </row>
    <row r="162" spans="1:7" x14ac:dyDescent="0.2">
      <c r="A162">
        <v>19450531</v>
      </c>
      <c r="B162">
        <v>1945</v>
      </c>
      <c r="C162">
        <v>5</v>
      </c>
      <c r="D162">
        <v>1.7299999999999999E-2</v>
      </c>
      <c r="E162">
        <v>2.9999999999999997E-4</v>
      </c>
      <c r="F162">
        <v>1.5100000000000001E-2</v>
      </c>
      <c r="G162">
        <v>3.5000000000000001E-3</v>
      </c>
    </row>
    <row r="163" spans="1:7" x14ac:dyDescent="0.2">
      <c r="A163">
        <v>19450630</v>
      </c>
      <c r="B163">
        <v>1945</v>
      </c>
      <c r="C163">
        <v>6</v>
      </c>
      <c r="D163">
        <v>3.8999999999999998E-3</v>
      </c>
      <c r="E163">
        <v>2.0000000000000001E-4</v>
      </c>
      <c r="F163">
        <v>3.1E-2</v>
      </c>
      <c r="G163">
        <v>4.3200000000000002E-2</v>
      </c>
    </row>
    <row r="164" spans="1:7" x14ac:dyDescent="0.2">
      <c r="A164">
        <v>19450731</v>
      </c>
      <c r="B164">
        <v>1945</v>
      </c>
      <c r="C164">
        <v>7</v>
      </c>
      <c r="D164">
        <v>-2.1700000000000001E-2</v>
      </c>
      <c r="E164">
        <v>2.9999999999999997E-4</v>
      </c>
      <c r="F164">
        <v>-1.46E-2</v>
      </c>
      <c r="G164">
        <v>-2.7099999999999999E-2</v>
      </c>
    </row>
    <row r="165" spans="1:7" x14ac:dyDescent="0.2">
      <c r="A165">
        <v>19450831</v>
      </c>
      <c r="B165">
        <v>1945</v>
      </c>
      <c r="C165">
        <v>8</v>
      </c>
      <c r="D165">
        <v>6.2E-2</v>
      </c>
      <c r="E165">
        <v>2.9999999999999997E-4</v>
      </c>
      <c r="F165">
        <v>1.61E-2</v>
      </c>
      <c r="G165">
        <v>-4.3999999999999997E-2</v>
      </c>
    </row>
    <row r="166" spans="1:7" x14ac:dyDescent="0.2">
      <c r="A166">
        <v>19450929</v>
      </c>
      <c r="B166">
        <v>1945</v>
      </c>
      <c r="C166">
        <v>9</v>
      </c>
      <c r="D166">
        <v>4.7699999999999999E-2</v>
      </c>
      <c r="E166">
        <v>2.9999999999999997E-4</v>
      </c>
      <c r="F166">
        <v>1.7100000000000001E-2</v>
      </c>
      <c r="G166">
        <v>4.7999999999999996E-3</v>
      </c>
    </row>
    <row r="167" spans="1:7" x14ac:dyDescent="0.2">
      <c r="A167">
        <v>19451031</v>
      </c>
      <c r="B167">
        <v>1945</v>
      </c>
      <c r="C167">
        <v>10</v>
      </c>
      <c r="D167">
        <v>3.8899999999999997E-2</v>
      </c>
      <c r="E167">
        <v>2.9999999999999997E-4</v>
      </c>
      <c r="F167">
        <v>2.46E-2</v>
      </c>
      <c r="G167">
        <v>2.2499999999999999E-2</v>
      </c>
    </row>
    <row r="168" spans="1:7" x14ac:dyDescent="0.2">
      <c r="A168">
        <v>19451130</v>
      </c>
      <c r="B168">
        <v>1945</v>
      </c>
      <c r="C168">
        <v>11</v>
      </c>
      <c r="D168">
        <v>5.3900000000000003E-2</v>
      </c>
      <c r="E168">
        <v>2.0000000000000001E-4</v>
      </c>
      <c r="F168">
        <v>4.1599999999999998E-2</v>
      </c>
      <c r="G168">
        <v>4.3400000000000001E-2</v>
      </c>
    </row>
    <row r="169" spans="1:7" x14ac:dyDescent="0.2">
      <c r="A169">
        <v>19451231</v>
      </c>
      <c r="B169">
        <v>1945</v>
      </c>
      <c r="C169">
        <v>12</v>
      </c>
      <c r="D169">
        <v>1.2E-2</v>
      </c>
      <c r="E169">
        <v>2.9999999999999997E-4</v>
      </c>
      <c r="F169">
        <v>2.12E-2</v>
      </c>
      <c r="G169">
        <v>-2.3199999999999998E-2</v>
      </c>
    </row>
    <row r="170" spans="1:7" x14ac:dyDescent="0.2">
      <c r="A170">
        <v>19460131</v>
      </c>
      <c r="B170">
        <v>1946</v>
      </c>
      <c r="C170">
        <v>1</v>
      </c>
      <c r="D170">
        <v>6.2399999999999997E-2</v>
      </c>
      <c r="E170">
        <v>2.9999999999999997E-4</v>
      </c>
      <c r="F170">
        <v>4.02E-2</v>
      </c>
      <c r="G170">
        <v>2.2100000000000002E-2</v>
      </c>
    </row>
    <row r="171" spans="1:7" x14ac:dyDescent="0.2">
      <c r="A171">
        <v>19460228</v>
      </c>
      <c r="B171">
        <v>1946</v>
      </c>
      <c r="C171">
        <v>2</v>
      </c>
      <c r="D171">
        <v>-5.8299999999999998E-2</v>
      </c>
      <c r="E171">
        <v>2.9999999999999997E-4</v>
      </c>
      <c r="F171">
        <v>-7.3000000000000001E-3</v>
      </c>
      <c r="G171">
        <v>-1.2699999999999999E-2</v>
      </c>
    </row>
    <row r="172" spans="1:7" x14ac:dyDescent="0.2">
      <c r="A172">
        <v>19460330</v>
      </c>
      <c r="B172">
        <v>1946</v>
      </c>
      <c r="C172">
        <v>3</v>
      </c>
      <c r="D172">
        <v>5.8700000000000002E-2</v>
      </c>
      <c r="E172">
        <v>2.9999999999999997E-4</v>
      </c>
      <c r="F172">
        <v>3.0999999999999999E-3</v>
      </c>
      <c r="G172">
        <v>-3.5999999999999999E-3</v>
      </c>
    </row>
    <row r="173" spans="1:7" x14ac:dyDescent="0.2">
      <c r="A173">
        <v>19460430</v>
      </c>
      <c r="B173">
        <v>1946</v>
      </c>
      <c r="C173">
        <v>4</v>
      </c>
      <c r="D173">
        <v>4.2299999999999997E-2</v>
      </c>
      <c r="E173">
        <v>2.9999999999999997E-4</v>
      </c>
      <c r="F173">
        <v>2.3699999999999999E-2</v>
      </c>
      <c r="G173">
        <v>4.4999999999999997E-3</v>
      </c>
    </row>
    <row r="174" spans="1:7" x14ac:dyDescent="0.2">
      <c r="A174">
        <v>19460531</v>
      </c>
      <c r="B174">
        <v>1946</v>
      </c>
      <c r="C174">
        <v>5</v>
      </c>
      <c r="D174">
        <v>3.9300000000000002E-2</v>
      </c>
      <c r="E174">
        <v>2.9999999999999997E-4</v>
      </c>
      <c r="F174">
        <v>1.46E-2</v>
      </c>
      <c r="G174">
        <v>1.09E-2</v>
      </c>
    </row>
    <row r="175" spans="1:7" x14ac:dyDescent="0.2">
      <c r="A175">
        <v>19460628</v>
      </c>
      <c r="B175">
        <v>1946</v>
      </c>
      <c r="C175">
        <v>6</v>
      </c>
      <c r="D175">
        <v>-3.8899999999999997E-2</v>
      </c>
      <c r="E175">
        <v>2.9999999999999997E-4</v>
      </c>
      <c r="F175">
        <v>-1.5299999999999999E-2</v>
      </c>
      <c r="G175">
        <v>-5.8999999999999999E-3</v>
      </c>
    </row>
    <row r="176" spans="1:7" x14ac:dyDescent="0.2">
      <c r="A176">
        <v>19460731</v>
      </c>
      <c r="B176">
        <v>1946</v>
      </c>
      <c r="C176">
        <v>7</v>
      </c>
      <c r="D176">
        <v>-2.69E-2</v>
      </c>
      <c r="E176">
        <v>2.9999999999999997E-4</v>
      </c>
      <c r="F176">
        <v>-2.06E-2</v>
      </c>
      <c r="G176">
        <v>4.0000000000000002E-4</v>
      </c>
    </row>
    <row r="177" spans="1:7" x14ac:dyDescent="0.2">
      <c r="A177">
        <v>19460830</v>
      </c>
      <c r="B177">
        <v>1946</v>
      </c>
      <c r="C177">
        <v>8</v>
      </c>
      <c r="D177">
        <v>-6.4399999999999999E-2</v>
      </c>
      <c r="E177">
        <v>2.9999999999999997E-4</v>
      </c>
      <c r="F177">
        <v>-1.78E-2</v>
      </c>
      <c r="G177">
        <v>6.0000000000000001E-3</v>
      </c>
    </row>
    <row r="178" spans="1:7" x14ac:dyDescent="0.2">
      <c r="A178">
        <v>19460930</v>
      </c>
      <c r="B178">
        <v>1946</v>
      </c>
      <c r="C178">
        <v>9</v>
      </c>
      <c r="D178">
        <v>-0.1017</v>
      </c>
      <c r="E178">
        <v>2.9999999999999997E-4</v>
      </c>
      <c r="F178">
        <v>-4.41E-2</v>
      </c>
      <c r="G178">
        <v>-1.9599999999999999E-2</v>
      </c>
    </row>
    <row r="179" spans="1:7" x14ac:dyDescent="0.2">
      <c r="A179">
        <v>19461031</v>
      </c>
      <c r="B179">
        <v>1946</v>
      </c>
      <c r="C179">
        <v>10</v>
      </c>
      <c r="D179">
        <v>-1.44E-2</v>
      </c>
      <c r="E179">
        <v>2.9999999999999997E-4</v>
      </c>
      <c r="F179">
        <v>8.9999999999999998E-4</v>
      </c>
      <c r="G179">
        <v>3.44E-2</v>
      </c>
    </row>
    <row r="180" spans="1:7" x14ac:dyDescent="0.2">
      <c r="A180">
        <v>19461130</v>
      </c>
      <c r="B180">
        <v>1946</v>
      </c>
      <c r="C180">
        <v>11</v>
      </c>
      <c r="D180">
        <v>-1E-4</v>
      </c>
      <c r="E180">
        <v>2.9999999999999997E-4</v>
      </c>
      <c r="F180">
        <v>-4.0000000000000001E-3</v>
      </c>
      <c r="G180">
        <v>1.52E-2</v>
      </c>
    </row>
    <row r="181" spans="1:7" x14ac:dyDescent="0.2">
      <c r="A181">
        <v>19461231</v>
      </c>
      <c r="B181">
        <v>1946</v>
      </c>
      <c r="C181">
        <v>12</v>
      </c>
      <c r="D181">
        <v>4.9599999999999998E-2</v>
      </c>
      <c r="E181">
        <v>2.9999999999999997E-4</v>
      </c>
      <c r="F181">
        <v>5.9999999999999995E-4</v>
      </c>
      <c r="G181">
        <v>-1.38E-2</v>
      </c>
    </row>
    <row r="182" spans="1:7" x14ac:dyDescent="0.2">
      <c r="A182">
        <v>19470131</v>
      </c>
      <c r="B182">
        <v>1947</v>
      </c>
      <c r="C182">
        <v>1</v>
      </c>
      <c r="D182">
        <v>1.2500000000000001E-2</v>
      </c>
      <c r="E182">
        <v>2.9999999999999997E-4</v>
      </c>
      <c r="F182">
        <v>2.18E-2</v>
      </c>
      <c r="G182">
        <v>-7.3000000000000001E-3</v>
      </c>
    </row>
    <row r="183" spans="1:7" x14ac:dyDescent="0.2">
      <c r="A183">
        <v>19470228</v>
      </c>
      <c r="B183">
        <v>1947</v>
      </c>
      <c r="C183">
        <v>2</v>
      </c>
      <c r="D183">
        <v>-1.0800000000000001E-2</v>
      </c>
      <c r="E183">
        <v>2.9999999999999997E-4</v>
      </c>
      <c r="F183">
        <v>6.7999999999999996E-3</v>
      </c>
      <c r="G183">
        <v>1.4E-3</v>
      </c>
    </row>
    <row r="184" spans="1:7" x14ac:dyDescent="0.2">
      <c r="A184">
        <v>19470331</v>
      </c>
      <c r="B184">
        <v>1947</v>
      </c>
      <c r="C184">
        <v>3</v>
      </c>
      <c r="D184">
        <v>-1.67E-2</v>
      </c>
      <c r="E184">
        <v>2.9999999999999997E-4</v>
      </c>
      <c r="F184">
        <v>-1.61E-2</v>
      </c>
      <c r="G184">
        <v>6.1000000000000004E-3</v>
      </c>
    </row>
    <row r="185" spans="1:7" x14ac:dyDescent="0.2">
      <c r="A185">
        <v>19470430</v>
      </c>
      <c r="B185">
        <v>1947</v>
      </c>
      <c r="C185">
        <v>4</v>
      </c>
      <c r="D185">
        <v>-4.8000000000000001E-2</v>
      </c>
      <c r="E185">
        <v>2.9999999999999997E-4</v>
      </c>
      <c r="F185">
        <v>-3.9699999999999999E-2</v>
      </c>
      <c r="G185">
        <v>8.5000000000000006E-3</v>
      </c>
    </row>
    <row r="186" spans="1:7" x14ac:dyDescent="0.2">
      <c r="A186">
        <v>19470529</v>
      </c>
      <c r="B186">
        <v>1947</v>
      </c>
      <c r="C186">
        <v>5</v>
      </c>
      <c r="D186">
        <v>-9.7000000000000003E-3</v>
      </c>
      <c r="E186">
        <v>2.9999999999999997E-4</v>
      </c>
      <c r="F186">
        <v>-3.2599999999999997E-2</v>
      </c>
      <c r="G186">
        <v>3.3999999999999998E-3</v>
      </c>
    </row>
    <row r="187" spans="1:7" x14ac:dyDescent="0.2">
      <c r="A187">
        <v>19470630</v>
      </c>
      <c r="B187">
        <v>1947</v>
      </c>
      <c r="C187">
        <v>6</v>
      </c>
      <c r="D187">
        <v>5.2900000000000003E-2</v>
      </c>
      <c r="E187">
        <v>2.9999999999999997E-4</v>
      </c>
      <c r="F187">
        <v>-3.0999999999999999E-3</v>
      </c>
      <c r="G187">
        <v>-6.0000000000000001E-3</v>
      </c>
    </row>
    <row r="188" spans="1:7" x14ac:dyDescent="0.2">
      <c r="A188">
        <v>19470731</v>
      </c>
      <c r="B188">
        <v>1947</v>
      </c>
      <c r="C188">
        <v>7</v>
      </c>
      <c r="D188">
        <v>4.1399999999999999E-2</v>
      </c>
      <c r="E188">
        <v>2.9999999999999997E-4</v>
      </c>
      <c r="F188">
        <v>1.43E-2</v>
      </c>
      <c r="G188">
        <v>2.8199999999999999E-2</v>
      </c>
    </row>
    <row r="189" spans="1:7" x14ac:dyDescent="0.2">
      <c r="A189">
        <v>19470829</v>
      </c>
      <c r="B189">
        <v>1947</v>
      </c>
      <c r="C189">
        <v>8</v>
      </c>
      <c r="D189">
        <v>-1.7399999999999999E-2</v>
      </c>
      <c r="E189">
        <v>2.9999999999999997E-4</v>
      </c>
      <c r="F189">
        <v>3.0000000000000001E-3</v>
      </c>
      <c r="G189">
        <v>1.6000000000000001E-3</v>
      </c>
    </row>
    <row r="190" spans="1:7" x14ac:dyDescent="0.2">
      <c r="A190">
        <v>19470930</v>
      </c>
      <c r="B190">
        <v>1947</v>
      </c>
      <c r="C190">
        <v>9</v>
      </c>
      <c r="D190">
        <v>-5.4000000000000003E-3</v>
      </c>
      <c r="E190">
        <v>5.9999999999999995E-4</v>
      </c>
      <c r="F190">
        <v>1.6400000000000001E-2</v>
      </c>
      <c r="G190">
        <v>1.3599999999999999E-2</v>
      </c>
    </row>
    <row r="191" spans="1:7" x14ac:dyDescent="0.2">
      <c r="A191">
        <v>19471031</v>
      </c>
      <c r="B191">
        <v>1947</v>
      </c>
      <c r="C191">
        <v>10</v>
      </c>
      <c r="D191">
        <v>2.47E-2</v>
      </c>
      <c r="E191">
        <v>5.9999999999999995E-4</v>
      </c>
      <c r="F191">
        <v>5.1000000000000004E-3</v>
      </c>
      <c r="G191">
        <v>8.0000000000000004E-4</v>
      </c>
    </row>
    <row r="192" spans="1:7" x14ac:dyDescent="0.2">
      <c r="A192">
        <v>19471129</v>
      </c>
      <c r="B192">
        <v>1947</v>
      </c>
      <c r="C192">
        <v>11</v>
      </c>
      <c r="D192">
        <v>-1.9699999999999999E-2</v>
      </c>
      <c r="E192">
        <v>5.9999999999999995E-4</v>
      </c>
      <c r="F192">
        <v>-1.7399999999999999E-2</v>
      </c>
      <c r="G192">
        <v>1.06E-2</v>
      </c>
    </row>
    <row r="193" spans="1:7" x14ac:dyDescent="0.2">
      <c r="A193">
        <v>19471231</v>
      </c>
      <c r="B193">
        <v>1947</v>
      </c>
      <c r="C193">
        <v>12</v>
      </c>
      <c r="D193">
        <v>0.03</v>
      </c>
      <c r="E193">
        <v>8.0000000000000004E-4</v>
      </c>
      <c r="F193">
        <v>-2.4799999999999999E-2</v>
      </c>
      <c r="G193">
        <v>3.6900000000000002E-2</v>
      </c>
    </row>
    <row r="194" spans="1:7" x14ac:dyDescent="0.2">
      <c r="A194">
        <v>19480131</v>
      </c>
      <c r="B194">
        <v>1948</v>
      </c>
      <c r="C194">
        <v>1</v>
      </c>
      <c r="D194">
        <v>-3.9300000000000002E-2</v>
      </c>
      <c r="E194">
        <v>6.9999999999999999E-4</v>
      </c>
      <c r="F194">
        <v>2.4899999999999999E-2</v>
      </c>
      <c r="G194">
        <v>1.38E-2</v>
      </c>
    </row>
    <row r="195" spans="1:7" x14ac:dyDescent="0.2">
      <c r="A195">
        <v>19480228</v>
      </c>
      <c r="B195">
        <v>1948</v>
      </c>
      <c r="C195">
        <v>2</v>
      </c>
      <c r="D195">
        <v>-4.3799999999999999E-2</v>
      </c>
      <c r="E195">
        <v>6.9999999999999999E-4</v>
      </c>
      <c r="F195">
        <v>-1.7100000000000001E-2</v>
      </c>
      <c r="G195">
        <v>6.9999999999999999E-4</v>
      </c>
    </row>
    <row r="196" spans="1:7" x14ac:dyDescent="0.2">
      <c r="A196">
        <v>19480331</v>
      </c>
      <c r="B196">
        <v>1948</v>
      </c>
      <c r="C196">
        <v>3</v>
      </c>
      <c r="D196">
        <v>8.0699999999999994E-2</v>
      </c>
      <c r="E196">
        <v>8.9999999999999998E-4</v>
      </c>
      <c r="F196">
        <v>1.2999999999999999E-3</v>
      </c>
      <c r="G196">
        <v>4.4900000000000002E-2</v>
      </c>
    </row>
    <row r="197" spans="1:7" x14ac:dyDescent="0.2">
      <c r="A197">
        <v>19480430</v>
      </c>
      <c r="B197">
        <v>1948</v>
      </c>
      <c r="C197">
        <v>4</v>
      </c>
      <c r="D197">
        <v>3.6499999999999998E-2</v>
      </c>
      <c r="E197">
        <v>8.0000000000000004E-4</v>
      </c>
      <c r="F197">
        <v>-1.66E-2</v>
      </c>
      <c r="G197">
        <v>4.1000000000000002E-2</v>
      </c>
    </row>
    <row r="198" spans="1:7" x14ac:dyDescent="0.2">
      <c r="A198">
        <v>19480528</v>
      </c>
      <c r="B198">
        <v>1948</v>
      </c>
      <c r="C198">
        <v>5</v>
      </c>
      <c r="D198">
        <v>7.2999999999999995E-2</v>
      </c>
      <c r="E198">
        <v>8.0000000000000004E-4</v>
      </c>
      <c r="F198">
        <v>9.2999999999999992E-3</v>
      </c>
      <c r="G198">
        <v>-1.23E-2</v>
      </c>
    </row>
    <row r="199" spans="1:7" x14ac:dyDescent="0.2">
      <c r="A199">
        <v>19480630</v>
      </c>
      <c r="B199">
        <v>1948</v>
      </c>
      <c r="C199">
        <v>6</v>
      </c>
      <c r="D199">
        <v>-1E-3</v>
      </c>
      <c r="E199">
        <v>8.9999999999999998E-4</v>
      </c>
      <c r="F199">
        <v>-1.8599999999999998E-2</v>
      </c>
      <c r="G199">
        <v>2.75E-2</v>
      </c>
    </row>
    <row r="200" spans="1:7" x14ac:dyDescent="0.2">
      <c r="A200">
        <v>19480730</v>
      </c>
      <c r="B200">
        <v>1948</v>
      </c>
      <c r="C200">
        <v>7</v>
      </c>
      <c r="D200">
        <v>-5.0900000000000001E-2</v>
      </c>
      <c r="E200">
        <v>8.0000000000000004E-4</v>
      </c>
      <c r="F200">
        <v>-3.2000000000000002E-3</v>
      </c>
      <c r="G200">
        <v>6.9999999999999999E-4</v>
      </c>
    </row>
    <row r="201" spans="1:7" x14ac:dyDescent="0.2">
      <c r="A201">
        <v>19480831</v>
      </c>
      <c r="B201">
        <v>1948</v>
      </c>
      <c r="C201">
        <v>8</v>
      </c>
      <c r="D201">
        <v>2.5000000000000001E-3</v>
      </c>
      <c r="E201">
        <v>8.9999999999999998E-4</v>
      </c>
      <c r="F201">
        <v>-1.0999999999999999E-2</v>
      </c>
      <c r="G201">
        <v>2.7000000000000001E-3</v>
      </c>
    </row>
    <row r="202" spans="1:7" x14ac:dyDescent="0.2">
      <c r="A202">
        <v>19480930</v>
      </c>
      <c r="B202">
        <v>1948</v>
      </c>
      <c r="C202">
        <v>9</v>
      </c>
      <c r="D202">
        <v>-2.9700000000000001E-2</v>
      </c>
      <c r="E202">
        <v>4.0000000000000002E-4</v>
      </c>
      <c r="F202">
        <v>-1.23E-2</v>
      </c>
      <c r="G202">
        <v>-1.7899999999999999E-2</v>
      </c>
    </row>
    <row r="203" spans="1:7" x14ac:dyDescent="0.2">
      <c r="A203">
        <v>19481030</v>
      </c>
      <c r="B203">
        <v>1948</v>
      </c>
      <c r="C203">
        <v>10</v>
      </c>
      <c r="D203">
        <v>5.96E-2</v>
      </c>
      <c r="E203">
        <v>4.0000000000000002E-4</v>
      </c>
      <c r="F203">
        <v>-1.4999999999999999E-2</v>
      </c>
      <c r="G203">
        <v>5.5999999999999999E-3</v>
      </c>
    </row>
    <row r="204" spans="1:7" x14ac:dyDescent="0.2">
      <c r="A204">
        <v>19481130</v>
      </c>
      <c r="B204">
        <v>1948</v>
      </c>
      <c r="C204">
        <v>11</v>
      </c>
      <c r="D204">
        <v>-9.2999999999999999E-2</v>
      </c>
      <c r="E204">
        <v>4.0000000000000002E-4</v>
      </c>
      <c r="F204">
        <v>-6.1999999999999998E-3</v>
      </c>
      <c r="G204">
        <v>-4.1399999999999999E-2</v>
      </c>
    </row>
    <row r="205" spans="1:7" x14ac:dyDescent="0.2">
      <c r="A205">
        <v>19481231</v>
      </c>
      <c r="B205">
        <v>1948</v>
      </c>
      <c r="C205">
        <v>12</v>
      </c>
      <c r="D205">
        <v>3.2599999999999997E-2</v>
      </c>
      <c r="E205">
        <v>4.0000000000000002E-4</v>
      </c>
      <c r="F205">
        <v>-2.8000000000000001E-2</v>
      </c>
      <c r="G205">
        <v>-1.9400000000000001E-2</v>
      </c>
    </row>
    <row r="206" spans="1:7" x14ac:dyDescent="0.2">
      <c r="A206">
        <v>19490131</v>
      </c>
      <c r="B206">
        <v>1949</v>
      </c>
      <c r="C206">
        <v>1</v>
      </c>
      <c r="D206">
        <v>2.3E-3</v>
      </c>
      <c r="E206">
        <v>1E-3</v>
      </c>
      <c r="F206">
        <v>1.8100000000000002E-2</v>
      </c>
      <c r="G206">
        <v>1.17E-2</v>
      </c>
    </row>
    <row r="207" spans="1:7" x14ac:dyDescent="0.2">
      <c r="A207">
        <v>19490228</v>
      </c>
      <c r="B207">
        <v>1949</v>
      </c>
      <c r="C207">
        <v>2</v>
      </c>
      <c r="D207">
        <v>-2.93E-2</v>
      </c>
      <c r="E207">
        <v>8.9999999999999998E-4</v>
      </c>
      <c r="F207">
        <v>-1.89E-2</v>
      </c>
      <c r="G207">
        <v>-9.1000000000000004E-3</v>
      </c>
    </row>
    <row r="208" spans="1:7" x14ac:dyDescent="0.2">
      <c r="A208">
        <v>19490331</v>
      </c>
      <c r="B208">
        <v>1949</v>
      </c>
      <c r="C208">
        <v>3</v>
      </c>
      <c r="D208">
        <v>4.0399999999999998E-2</v>
      </c>
      <c r="E208">
        <v>1E-3</v>
      </c>
      <c r="F208">
        <v>2.4799999999999999E-2</v>
      </c>
      <c r="G208">
        <v>1.34E-2</v>
      </c>
    </row>
    <row r="209" spans="1:7" x14ac:dyDescent="0.2">
      <c r="A209">
        <v>19490430</v>
      </c>
      <c r="B209">
        <v>1949</v>
      </c>
      <c r="C209">
        <v>4</v>
      </c>
      <c r="D209">
        <v>-1.8700000000000001E-2</v>
      </c>
      <c r="E209">
        <v>8.9999999999999998E-4</v>
      </c>
      <c r="F209">
        <v>-8.8999999999999999E-3</v>
      </c>
      <c r="G209">
        <v>-1.18E-2</v>
      </c>
    </row>
    <row r="210" spans="1:7" x14ac:dyDescent="0.2">
      <c r="A210">
        <v>19490531</v>
      </c>
      <c r="B210">
        <v>1949</v>
      </c>
      <c r="C210">
        <v>5</v>
      </c>
      <c r="D210">
        <v>-2.9399999999999999E-2</v>
      </c>
      <c r="E210">
        <v>1E-3</v>
      </c>
      <c r="F210">
        <v>-7.7000000000000002E-3</v>
      </c>
      <c r="G210">
        <v>-2.4199999999999999E-2</v>
      </c>
    </row>
    <row r="211" spans="1:7" x14ac:dyDescent="0.2">
      <c r="A211">
        <v>19490630</v>
      </c>
      <c r="B211">
        <v>1949</v>
      </c>
      <c r="C211">
        <v>6</v>
      </c>
      <c r="D211">
        <v>1E-3</v>
      </c>
      <c r="E211">
        <v>1E-3</v>
      </c>
      <c r="F211">
        <v>-8.8000000000000005E-3</v>
      </c>
      <c r="G211">
        <v>-1.7600000000000001E-2</v>
      </c>
    </row>
    <row r="212" spans="1:7" x14ac:dyDescent="0.2">
      <c r="A212">
        <v>19490729</v>
      </c>
      <c r="B212">
        <v>1949</v>
      </c>
      <c r="C212">
        <v>7</v>
      </c>
      <c r="D212">
        <v>5.5399999999999998E-2</v>
      </c>
      <c r="E212">
        <v>8.9999999999999998E-4</v>
      </c>
      <c r="F212">
        <v>5.7000000000000002E-3</v>
      </c>
      <c r="G212">
        <v>3.8E-3</v>
      </c>
    </row>
    <row r="213" spans="1:7" x14ac:dyDescent="0.2">
      <c r="A213">
        <v>19490831</v>
      </c>
      <c r="B213">
        <v>1949</v>
      </c>
      <c r="C213">
        <v>8</v>
      </c>
      <c r="D213">
        <v>2.5999999999999999E-2</v>
      </c>
      <c r="E213">
        <v>8.9999999999999998E-4</v>
      </c>
      <c r="F213">
        <v>1.2999999999999999E-3</v>
      </c>
      <c r="G213">
        <v>-5.7000000000000002E-3</v>
      </c>
    </row>
    <row r="214" spans="1:7" x14ac:dyDescent="0.2">
      <c r="A214">
        <v>19490930</v>
      </c>
      <c r="B214">
        <v>1949</v>
      </c>
      <c r="C214">
        <v>9</v>
      </c>
      <c r="D214">
        <v>3.09E-2</v>
      </c>
      <c r="E214">
        <v>8.9999999999999998E-4</v>
      </c>
      <c r="F214">
        <v>1.0500000000000001E-2</v>
      </c>
      <c r="G214">
        <v>2.3E-3</v>
      </c>
    </row>
    <row r="215" spans="1:7" x14ac:dyDescent="0.2">
      <c r="A215">
        <v>19491031</v>
      </c>
      <c r="B215">
        <v>1949</v>
      </c>
      <c r="C215">
        <v>10</v>
      </c>
      <c r="D215">
        <v>3.1399999999999997E-2</v>
      </c>
      <c r="E215">
        <v>8.9999999999999998E-4</v>
      </c>
      <c r="F215">
        <v>1.03E-2</v>
      </c>
      <c r="G215">
        <v>-4.8999999999999998E-3</v>
      </c>
    </row>
    <row r="216" spans="1:7" x14ac:dyDescent="0.2">
      <c r="A216">
        <v>19491130</v>
      </c>
      <c r="B216">
        <v>1949</v>
      </c>
      <c r="C216">
        <v>11</v>
      </c>
      <c r="D216">
        <v>1.8200000000000001E-2</v>
      </c>
      <c r="E216">
        <v>8.0000000000000004E-4</v>
      </c>
      <c r="F216">
        <v>-9.2999999999999992E-3</v>
      </c>
      <c r="G216">
        <v>-9.1000000000000004E-3</v>
      </c>
    </row>
    <row r="217" spans="1:7" x14ac:dyDescent="0.2">
      <c r="A217">
        <v>19491231</v>
      </c>
      <c r="B217">
        <v>1949</v>
      </c>
      <c r="C217">
        <v>12</v>
      </c>
      <c r="D217">
        <v>5.1299999999999998E-2</v>
      </c>
      <c r="E217">
        <v>8.9999999999999998E-4</v>
      </c>
      <c r="F217">
        <v>2.07E-2</v>
      </c>
      <c r="G217">
        <v>1.7500000000000002E-2</v>
      </c>
    </row>
    <row r="218" spans="1:7" x14ac:dyDescent="0.2">
      <c r="A218">
        <v>19500131</v>
      </c>
      <c r="B218">
        <v>1950</v>
      </c>
      <c r="C218">
        <v>1</v>
      </c>
      <c r="D218">
        <v>1.7000000000000001E-2</v>
      </c>
      <c r="E218">
        <v>8.9999999999999998E-4</v>
      </c>
      <c r="F218">
        <v>3.3599999999999998E-2</v>
      </c>
      <c r="G218">
        <v>1.4E-3</v>
      </c>
    </row>
    <row r="219" spans="1:7" x14ac:dyDescent="0.2">
      <c r="A219">
        <v>19500228</v>
      </c>
      <c r="B219">
        <v>1950</v>
      </c>
      <c r="C219">
        <v>2</v>
      </c>
      <c r="D219">
        <v>1.4800000000000001E-2</v>
      </c>
      <c r="E219">
        <v>8.9999999999999998E-4</v>
      </c>
      <c r="F219">
        <v>4.0000000000000002E-4</v>
      </c>
      <c r="G219">
        <v>-8.0999999999999996E-3</v>
      </c>
    </row>
    <row r="220" spans="1:7" x14ac:dyDescent="0.2">
      <c r="A220">
        <v>19500331</v>
      </c>
      <c r="B220">
        <v>1950</v>
      </c>
      <c r="C220">
        <v>3</v>
      </c>
      <c r="D220">
        <v>1.26E-2</v>
      </c>
      <c r="E220">
        <v>1E-3</v>
      </c>
      <c r="F220">
        <v>-1.41E-2</v>
      </c>
      <c r="G220">
        <v>-2.7699999999999999E-2</v>
      </c>
    </row>
    <row r="221" spans="1:7" x14ac:dyDescent="0.2">
      <c r="A221">
        <v>19500429</v>
      </c>
      <c r="B221">
        <v>1950</v>
      </c>
      <c r="C221">
        <v>4</v>
      </c>
      <c r="D221">
        <v>3.9399999999999998E-2</v>
      </c>
      <c r="E221">
        <v>8.9999999999999998E-4</v>
      </c>
      <c r="F221">
        <v>1.9900000000000001E-2</v>
      </c>
      <c r="G221">
        <v>1.34E-2</v>
      </c>
    </row>
    <row r="222" spans="1:7" x14ac:dyDescent="0.2">
      <c r="A222">
        <v>19500531</v>
      </c>
      <c r="B222">
        <v>1950</v>
      </c>
      <c r="C222">
        <v>5</v>
      </c>
      <c r="D222">
        <v>4.3099999999999999E-2</v>
      </c>
      <c r="E222">
        <v>1E-3</v>
      </c>
      <c r="F222">
        <v>-2.12E-2</v>
      </c>
      <c r="G222">
        <v>4.5999999999999999E-3</v>
      </c>
    </row>
    <row r="223" spans="1:7" x14ac:dyDescent="0.2">
      <c r="A223">
        <v>19500630</v>
      </c>
      <c r="B223">
        <v>1950</v>
      </c>
      <c r="C223">
        <v>6</v>
      </c>
      <c r="D223">
        <v>-5.9400000000000001E-2</v>
      </c>
      <c r="E223">
        <v>1E-3</v>
      </c>
      <c r="F223">
        <v>-2.3800000000000002E-2</v>
      </c>
      <c r="G223">
        <v>-7.7999999999999996E-3</v>
      </c>
    </row>
    <row r="224" spans="1:7" x14ac:dyDescent="0.2">
      <c r="A224">
        <v>19500731</v>
      </c>
      <c r="B224">
        <v>1950</v>
      </c>
      <c r="C224">
        <v>7</v>
      </c>
      <c r="D224">
        <v>1.3599999999999999E-2</v>
      </c>
      <c r="E224">
        <v>1E-3</v>
      </c>
      <c r="F224">
        <v>5.1000000000000004E-3</v>
      </c>
      <c r="G224">
        <v>0.1366</v>
      </c>
    </row>
    <row r="225" spans="1:7" x14ac:dyDescent="0.2">
      <c r="A225">
        <v>19500831</v>
      </c>
      <c r="B225">
        <v>1950</v>
      </c>
      <c r="C225">
        <v>8</v>
      </c>
      <c r="D225">
        <v>4.8500000000000001E-2</v>
      </c>
      <c r="E225">
        <v>1E-3</v>
      </c>
      <c r="F225">
        <v>7.3000000000000001E-3</v>
      </c>
      <c r="G225">
        <v>-1.41E-2</v>
      </c>
    </row>
    <row r="226" spans="1:7" x14ac:dyDescent="0.2">
      <c r="A226">
        <v>19500929</v>
      </c>
      <c r="B226">
        <v>1950</v>
      </c>
      <c r="C226">
        <v>9</v>
      </c>
      <c r="D226">
        <v>4.8099999999999997E-2</v>
      </c>
      <c r="E226">
        <v>1E-3</v>
      </c>
      <c r="F226">
        <v>5.7000000000000002E-3</v>
      </c>
      <c r="G226">
        <v>-1.11E-2</v>
      </c>
    </row>
    <row r="227" spans="1:7" x14ac:dyDescent="0.2">
      <c r="A227">
        <v>19501031</v>
      </c>
      <c r="B227">
        <v>1950</v>
      </c>
      <c r="C227">
        <v>10</v>
      </c>
      <c r="D227">
        <v>-1.8E-3</v>
      </c>
      <c r="E227">
        <v>1.1999999999999999E-3</v>
      </c>
      <c r="F227">
        <v>-5.7999999999999996E-3</v>
      </c>
      <c r="G227">
        <v>1.44E-2</v>
      </c>
    </row>
    <row r="228" spans="1:7" x14ac:dyDescent="0.2">
      <c r="A228">
        <v>19501130</v>
      </c>
      <c r="B228">
        <v>1950</v>
      </c>
      <c r="C228">
        <v>11</v>
      </c>
      <c r="D228">
        <v>2.76E-2</v>
      </c>
      <c r="E228">
        <v>1.1000000000000001E-3</v>
      </c>
      <c r="F228">
        <v>-8.3999999999999995E-3</v>
      </c>
      <c r="G228">
        <v>3.1699999999999999E-2</v>
      </c>
    </row>
    <row r="229" spans="1:7" x14ac:dyDescent="0.2">
      <c r="A229">
        <v>19501230</v>
      </c>
      <c r="B229">
        <v>1950</v>
      </c>
      <c r="C229">
        <v>12</v>
      </c>
      <c r="D229">
        <v>5.5399999999999998E-2</v>
      </c>
      <c r="E229">
        <v>1.1000000000000001E-3</v>
      </c>
      <c r="F229">
        <v>1.49E-2</v>
      </c>
      <c r="G229">
        <v>7.2300000000000003E-2</v>
      </c>
    </row>
    <row r="230" spans="1:7" x14ac:dyDescent="0.2">
      <c r="A230">
        <v>19510131</v>
      </c>
      <c r="B230">
        <v>1951</v>
      </c>
      <c r="C230">
        <v>1</v>
      </c>
      <c r="D230">
        <v>5.7000000000000002E-2</v>
      </c>
      <c r="E230">
        <v>1.2999999999999999E-3</v>
      </c>
      <c r="F230">
        <v>1.7299999999999999E-2</v>
      </c>
      <c r="G230">
        <v>3.7199999999999997E-2</v>
      </c>
    </row>
    <row r="231" spans="1:7" x14ac:dyDescent="0.2">
      <c r="A231">
        <v>19510228</v>
      </c>
      <c r="B231">
        <v>1951</v>
      </c>
      <c r="C231">
        <v>2</v>
      </c>
      <c r="D231">
        <v>1.41E-2</v>
      </c>
      <c r="E231">
        <v>1E-3</v>
      </c>
      <c r="F231">
        <v>8.9999999999999998E-4</v>
      </c>
      <c r="G231">
        <v>-2.8299999999999999E-2</v>
      </c>
    </row>
    <row r="232" spans="1:7" x14ac:dyDescent="0.2">
      <c r="A232">
        <v>19510331</v>
      </c>
      <c r="B232">
        <v>1951</v>
      </c>
      <c r="C232">
        <v>3</v>
      </c>
      <c r="D232">
        <v>-2.1499999999999998E-2</v>
      </c>
      <c r="E232">
        <v>1.1000000000000001E-3</v>
      </c>
      <c r="F232">
        <v>-6.4000000000000003E-3</v>
      </c>
      <c r="G232">
        <v>-4.2200000000000001E-2</v>
      </c>
    </row>
    <row r="233" spans="1:7" x14ac:dyDescent="0.2">
      <c r="A233">
        <v>19510430</v>
      </c>
      <c r="B233">
        <v>1951</v>
      </c>
      <c r="C233">
        <v>4</v>
      </c>
      <c r="D233">
        <v>4.8599999999999997E-2</v>
      </c>
      <c r="E233">
        <v>1.2999999999999999E-3</v>
      </c>
      <c r="F233">
        <v>-1.49E-2</v>
      </c>
      <c r="G233">
        <v>3.2800000000000003E-2</v>
      </c>
    </row>
    <row r="234" spans="1:7" x14ac:dyDescent="0.2">
      <c r="A234">
        <v>19510531</v>
      </c>
      <c r="B234">
        <v>1951</v>
      </c>
      <c r="C234">
        <v>5</v>
      </c>
      <c r="D234">
        <v>-2.3400000000000001E-2</v>
      </c>
      <c r="E234">
        <v>1.1999999999999999E-3</v>
      </c>
      <c r="F234">
        <v>-1E-4</v>
      </c>
      <c r="G234">
        <v>-1.3299999999999999E-2</v>
      </c>
    </row>
    <row r="235" spans="1:7" x14ac:dyDescent="0.2">
      <c r="A235">
        <v>19510629</v>
      </c>
      <c r="B235">
        <v>1951</v>
      </c>
      <c r="C235">
        <v>6</v>
      </c>
      <c r="D235">
        <v>-2.6200000000000001E-2</v>
      </c>
      <c r="E235">
        <v>1.1999999999999999E-3</v>
      </c>
      <c r="F235">
        <v>-1.95E-2</v>
      </c>
      <c r="G235">
        <v>-3.9600000000000003E-2</v>
      </c>
    </row>
    <row r="236" spans="1:7" x14ac:dyDescent="0.2">
      <c r="A236">
        <v>19510731</v>
      </c>
      <c r="B236">
        <v>1951</v>
      </c>
      <c r="C236">
        <v>7</v>
      </c>
      <c r="D236">
        <v>6.9400000000000003E-2</v>
      </c>
      <c r="E236">
        <v>1.2999999999999999E-3</v>
      </c>
      <c r="F236">
        <v>-1.9900000000000001E-2</v>
      </c>
      <c r="G236">
        <v>2.01E-2</v>
      </c>
    </row>
    <row r="237" spans="1:7" x14ac:dyDescent="0.2">
      <c r="A237">
        <v>19510831</v>
      </c>
      <c r="B237">
        <v>1951</v>
      </c>
      <c r="C237">
        <v>8</v>
      </c>
      <c r="D237">
        <v>4.2700000000000002E-2</v>
      </c>
      <c r="E237">
        <v>1.2999999999999999E-3</v>
      </c>
      <c r="F237">
        <v>9.9000000000000008E-3</v>
      </c>
      <c r="G237">
        <v>-1.6000000000000001E-3</v>
      </c>
    </row>
    <row r="238" spans="1:7" x14ac:dyDescent="0.2">
      <c r="A238">
        <v>19510928</v>
      </c>
      <c r="B238">
        <v>1951</v>
      </c>
      <c r="C238">
        <v>9</v>
      </c>
      <c r="D238">
        <v>7.0000000000000001E-3</v>
      </c>
      <c r="E238">
        <v>1.1999999999999999E-3</v>
      </c>
      <c r="F238">
        <v>1.9E-2</v>
      </c>
      <c r="G238">
        <v>6.1000000000000004E-3</v>
      </c>
    </row>
    <row r="239" spans="1:7" x14ac:dyDescent="0.2">
      <c r="A239">
        <v>19511031</v>
      </c>
      <c r="B239">
        <v>1951</v>
      </c>
      <c r="C239">
        <v>10</v>
      </c>
      <c r="D239">
        <v>-2.53E-2</v>
      </c>
      <c r="E239">
        <v>1.6000000000000001E-3</v>
      </c>
      <c r="F239">
        <v>-2.2000000000000001E-3</v>
      </c>
      <c r="G239">
        <v>2.5000000000000001E-3</v>
      </c>
    </row>
    <row r="240" spans="1:7" x14ac:dyDescent="0.2">
      <c r="A240">
        <v>19511130</v>
      </c>
      <c r="B240">
        <v>1951</v>
      </c>
      <c r="C240">
        <v>11</v>
      </c>
      <c r="D240">
        <v>5.7000000000000002E-3</v>
      </c>
      <c r="E240">
        <v>1.1000000000000001E-3</v>
      </c>
      <c r="F240">
        <v>-2.8999999999999998E-3</v>
      </c>
      <c r="G240">
        <v>-5.0000000000000001E-4</v>
      </c>
    </row>
    <row r="241" spans="1:7" x14ac:dyDescent="0.2">
      <c r="A241">
        <v>19511231</v>
      </c>
      <c r="B241">
        <v>1951</v>
      </c>
      <c r="C241">
        <v>12</v>
      </c>
      <c r="D241">
        <v>3.3300000000000003E-2</v>
      </c>
      <c r="E241">
        <v>1.1999999999999999E-3</v>
      </c>
      <c r="F241">
        <v>-2.2499999999999999E-2</v>
      </c>
      <c r="G241">
        <v>-1.5599999999999999E-2</v>
      </c>
    </row>
    <row r="242" spans="1:7" x14ac:dyDescent="0.2">
      <c r="A242">
        <v>19520131</v>
      </c>
      <c r="B242">
        <v>1952</v>
      </c>
      <c r="C242">
        <v>1</v>
      </c>
      <c r="D242">
        <v>1.4500000000000001E-2</v>
      </c>
      <c r="E242">
        <v>1.5E-3</v>
      </c>
      <c r="F242">
        <v>-6.1000000000000004E-3</v>
      </c>
      <c r="G242">
        <v>1.54E-2</v>
      </c>
    </row>
    <row r="243" spans="1:7" x14ac:dyDescent="0.2">
      <c r="A243">
        <v>19520229</v>
      </c>
      <c r="B243">
        <v>1952</v>
      </c>
      <c r="C243">
        <v>2</v>
      </c>
      <c r="D243">
        <v>-2.6200000000000001E-2</v>
      </c>
      <c r="E243">
        <v>1.1999999999999999E-3</v>
      </c>
      <c r="F243">
        <v>7.9000000000000008E-3</v>
      </c>
      <c r="G243">
        <v>-6.1000000000000004E-3</v>
      </c>
    </row>
    <row r="244" spans="1:7" x14ac:dyDescent="0.2">
      <c r="A244">
        <v>19520331</v>
      </c>
      <c r="B244">
        <v>1952</v>
      </c>
      <c r="C244">
        <v>3</v>
      </c>
      <c r="D244">
        <v>4.4400000000000002E-2</v>
      </c>
      <c r="E244">
        <v>1.1000000000000001E-3</v>
      </c>
      <c r="F244">
        <v>-2.9899999999999999E-2</v>
      </c>
      <c r="G244">
        <v>2.1600000000000001E-2</v>
      </c>
    </row>
    <row r="245" spans="1:7" x14ac:dyDescent="0.2">
      <c r="A245">
        <v>19520430</v>
      </c>
      <c r="B245">
        <v>1952</v>
      </c>
      <c r="C245">
        <v>4</v>
      </c>
      <c r="D245">
        <v>-4.9700000000000001E-2</v>
      </c>
      <c r="E245">
        <v>1.1999999999999999E-3</v>
      </c>
      <c r="F245">
        <v>4.7999999999999996E-3</v>
      </c>
      <c r="G245">
        <v>-1E-3</v>
      </c>
    </row>
    <row r="246" spans="1:7" x14ac:dyDescent="0.2">
      <c r="A246">
        <v>19520529</v>
      </c>
      <c r="B246">
        <v>1952</v>
      </c>
      <c r="C246">
        <v>5</v>
      </c>
      <c r="D246">
        <v>3.2000000000000001E-2</v>
      </c>
      <c r="E246">
        <v>1.2999999999999999E-3</v>
      </c>
      <c r="F246">
        <v>-1.01E-2</v>
      </c>
      <c r="G246">
        <v>8.0000000000000004E-4</v>
      </c>
    </row>
    <row r="247" spans="1:7" x14ac:dyDescent="0.2">
      <c r="A247">
        <v>19520630</v>
      </c>
      <c r="B247">
        <v>1952</v>
      </c>
      <c r="C247">
        <v>6</v>
      </c>
      <c r="D247">
        <v>3.8300000000000001E-2</v>
      </c>
      <c r="E247">
        <v>1.5E-3</v>
      </c>
      <c r="F247">
        <v>-1.61E-2</v>
      </c>
      <c r="G247">
        <v>1.23E-2</v>
      </c>
    </row>
    <row r="248" spans="1:7" x14ac:dyDescent="0.2">
      <c r="A248">
        <v>19520731</v>
      </c>
      <c r="B248">
        <v>1952</v>
      </c>
      <c r="C248">
        <v>7</v>
      </c>
      <c r="D248">
        <v>9.1000000000000004E-3</v>
      </c>
      <c r="E248">
        <v>1.5E-3</v>
      </c>
      <c r="F248">
        <v>-4.0000000000000001E-3</v>
      </c>
      <c r="G248">
        <v>-3.5000000000000001E-3</v>
      </c>
    </row>
    <row r="249" spans="1:7" x14ac:dyDescent="0.2">
      <c r="A249">
        <v>19520829</v>
      </c>
      <c r="B249">
        <v>1952</v>
      </c>
      <c r="C249">
        <v>8</v>
      </c>
      <c r="D249">
        <v>-7.6E-3</v>
      </c>
      <c r="E249">
        <v>1.5E-3</v>
      </c>
      <c r="F249">
        <v>1.18E-2</v>
      </c>
      <c r="G249">
        <v>2.9999999999999997E-4</v>
      </c>
    </row>
    <row r="250" spans="1:7" x14ac:dyDescent="0.2">
      <c r="A250">
        <v>19520930</v>
      </c>
      <c r="B250">
        <v>1952</v>
      </c>
      <c r="C250">
        <v>9</v>
      </c>
      <c r="D250">
        <v>-2.0299999999999999E-2</v>
      </c>
      <c r="E250">
        <v>1.6000000000000001E-3</v>
      </c>
      <c r="F250">
        <v>1.15E-2</v>
      </c>
      <c r="G250">
        <v>-1.5100000000000001E-2</v>
      </c>
    </row>
    <row r="251" spans="1:7" x14ac:dyDescent="0.2">
      <c r="A251">
        <v>19521031</v>
      </c>
      <c r="B251">
        <v>1952</v>
      </c>
      <c r="C251">
        <v>10</v>
      </c>
      <c r="D251">
        <v>-6.6E-3</v>
      </c>
      <c r="E251">
        <v>1.4E-3</v>
      </c>
      <c r="F251">
        <v>-1.06E-2</v>
      </c>
      <c r="G251">
        <v>-4.4999999999999997E-3</v>
      </c>
    </row>
    <row r="252" spans="1:7" x14ac:dyDescent="0.2">
      <c r="A252">
        <v>19521128</v>
      </c>
      <c r="B252">
        <v>1952</v>
      </c>
      <c r="C252">
        <v>11</v>
      </c>
      <c r="D252">
        <v>5.9400000000000001E-2</v>
      </c>
      <c r="E252">
        <v>1E-3</v>
      </c>
      <c r="F252">
        <v>-7.1000000000000004E-3</v>
      </c>
      <c r="G252">
        <v>9.4999999999999998E-3</v>
      </c>
    </row>
    <row r="253" spans="1:7" x14ac:dyDescent="0.2">
      <c r="A253">
        <v>19521231</v>
      </c>
      <c r="B253">
        <v>1952</v>
      </c>
      <c r="C253">
        <v>12</v>
      </c>
      <c r="D253">
        <v>2.93E-2</v>
      </c>
      <c r="E253">
        <v>1.6000000000000001E-3</v>
      </c>
      <c r="F253">
        <v>-1.4800000000000001E-2</v>
      </c>
      <c r="G253">
        <v>1.8E-3</v>
      </c>
    </row>
    <row r="254" spans="1:7" x14ac:dyDescent="0.2">
      <c r="A254">
        <v>19530130</v>
      </c>
      <c r="B254">
        <v>1953</v>
      </c>
      <c r="C254">
        <v>1</v>
      </c>
      <c r="D254">
        <v>-3.3999999999999998E-3</v>
      </c>
      <c r="E254">
        <v>1.6000000000000001E-3</v>
      </c>
      <c r="F254">
        <v>3.5799999999999998E-2</v>
      </c>
      <c r="G254">
        <v>1.32E-2</v>
      </c>
    </row>
    <row r="255" spans="1:7" x14ac:dyDescent="0.2">
      <c r="A255">
        <v>19530227</v>
      </c>
      <c r="B255">
        <v>1953</v>
      </c>
      <c r="C255">
        <v>2</v>
      </c>
      <c r="D255">
        <v>-2.7000000000000001E-3</v>
      </c>
      <c r="E255">
        <v>1.4E-3</v>
      </c>
      <c r="F255">
        <v>2.1499999999999998E-2</v>
      </c>
      <c r="G255">
        <v>-8.0000000000000004E-4</v>
      </c>
    </row>
    <row r="256" spans="1:7" x14ac:dyDescent="0.2">
      <c r="A256">
        <v>19530331</v>
      </c>
      <c r="B256">
        <v>1953</v>
      </c>
      <c r="C256">
        <v>3</v>
      </c>
      <c r="D256">
        <v>-1.43E-2</v>
      </c>
      <c r="E256">
        <v>1.8E-3</v>
      </c>
      <c r="F256">
        <v>-1.9E-3</v>
      </c>
      <c r="G256">
        <v>-8.0000000000000002E-3</v>
      </c>
    </row>
    <row r="257" spans="1:7" x14ac:dyDescent="0.2">
      <c r="A257">
        <v>19530430</v>
      </c>
      <c r="B257">
        <v>1953</v>
      </c>
      <c r="C257">
        <v>4</v>
      </c>
      <c r="D257">
        <v>-2.8299999999999999E-2</v>
      </c>
      <c r="E257">
        <v>1.6000000000000001E-3</v>
      </c>
      <c r="F257">
        <v>2.8E-3</v>
      </c>
      <c r="G257">
        <v>1.5299999999999999E-2</v>
      </c>
    </row>
    <row r="258" spans="1:7" x14ac:dyDescent="0.2">
      <c r="A258">
        <v>19530529</v>
      </c>
      <c r="B258">
        <v>1953</v>
      </c>
      <c r="C258">
        <v>5</v>
      </c>
      <c r="D258">
        <v>5.1999999999999998E-3</v>
      </c>
      <c r="E258">
        <v>1.6999999999999999E-3</v>
      </c>
      <c r="F258">
        <v>-6.9999999999999999E-4</v>
      </c>
      <c r="G258">
        <v>2.3E-3</v>
      </c>
    </row>
    <row r="259" spans="1:7" x14ac:dyDescent="0.2">
      <c r="A259">
        <v>19530630</v>
      </c>
      <c r="B259">
        <v>1953</v>
      </c>
      <c r="C259">
        <v>6</v>
      </c>
      <c r="D259">
        <v>-1.89E-2</v>
      </c>
      <c r="E259">
        <v>1.8E-3</v>
      </c>
      <c r="F259">
        <v>-1.8599999999999998E-2</v>
      </c>
      <c r="G259">
        <v>-4.7000000000000002E-3</v>
      </c>
    </row>
    <row r="260" spans="1:7" x14ac:dyDescent="0.2">
      <c r="A260">
        <v>19530731</v>
      </c>
      <c r="B260">
        <v>1953</v>
      </c>
      <c r="C260">
        <v>7</v>
      </c>
      <c r="D260">
        <v>2.4E-2</v>
      </c>
      <c r="E260">
        <v>1.5E-3</v>
      </c>
      <c r="F260">
        <v>-1.0500000000000001E-2</v>
      </c>
      <c r="G260">
        <v>-2.3999999999999998E-3</v>
      </c>
    </row>
    <row r="261" spans="1:7" x14ac:dyDescent="0.2">
      <c r="A261">
        <v>19530831</v>
      </c>
      <c r="B261">
        <v>1953</v>
      </c>
      <c r="C261">
        <v>8</v>
      </c>
      <c r="D261">
        <v>-4.5199999999999997E-2</v>
      </c>
      <c r="E261">
        <v>1.6999999999999999E-3</v>
      </c>
      <c r="F261">
        <v>3.5999999999999999E-3</v>
      </c>
      <c r="G261">
        <v>-3.5400000000000001E-2</v>
      </c>
    </row>
    <row r="262" spans="1:7" x14ac:dyDescent="0.2">
      <c r="A262">
        <v>19530930</v>
      </c>
      <c r="B262">
        <v>1953</v>
      </c>
      <c r="C262">
        <v>9</v>
      </c>
      <c r="D262">
        <v>2E-3</v>
      </c>
      <c r="E262">
        <v>1.6000000000000001E-3</v>
      </c>
      <c r="F262">
        <v>-8.5000000000000006E-3</v>
      </c>
      <c r="G262">
        <v>-2.4199999999999999E-2</v>
      </c>
    </row>
    <row r="263" spans="1:7" x14ac:dyDescent="0.2">
      <c r="A263">
        <v>19531030</v>
      </c>
      <c r="B263">
        <v>1953</v>
      </c>
      <c r="C263">
        <v>10</v>
      </c>
      <c r="D263">
        <v>4.5999999999999999E-2</v>
      </c>
      <c r="E263">
        <v>1.2999999999999999E-3</v>
      </c>
      <c r="F263">
        <v>-1.37E-2</v>
      </c>
      <c r="G263">
        <v>-1.9E-3</v>
      </c>
    </row>
    <row r="264" spans="1:7" x14ac:dyDescent="0.2">
      <c r="A264">
        <v>19531130</v>
      </c>
      <c r="B264">
        <v>1953</v>
      </c>
      <c r="C264">
        <v>11</v>
      </c>
      <c r="D264">
        <v>2.8299999999999999E-2</v>
      </c>
      <c r="E264">
        <v>8.0000000000000004E-4</v>
      </c>
      <c r="F264">
        <v>-1.29E-2</v>
      </c>
      <c r="G264">
        <v>-1.6999999999999999E-3</v>
      </c>
    </row>
    <row r="265" spans="1:7" x14ac:dyDescent="0.2">
      <c r="A265">
        <v>19531231</v>
      </c>
      <c r="B265">
        <v>1953</v>
      </c>
      <c r="C265">
        <v>12</v>
      </c>
      <c r="D265">
        <v>2.9999999999999997E-4</v>
      </c>
      <c r="E265">
        <v>1.2999999999999999E-3</v>
      </c>
      <c r="F265">
        <v>-8.3999999999999995E-3</v>
      </c>
      <c r="G265">
        <v>-2.8400000000000002E-2</v>
      </c>
    </row>
    <row r="266" spans="1:7" x14ac:dyDescent="0.2">
      <c r="A266">
        <v>19540129</v>
      </c>
      <c r="B266">
        <v>1954</v>
      </c>
      <c r="C266">
        <v>1</v>
      </c>
      <c r="D266">
        <v>5.1299999999999998E-2</v>
      </c>
      <c r="E266">
        <v>1.1000000000000001E-3</v>
      </c>
      <c r="F266">
        <v>4.5999999999999999E-3</v>
      </c>
      <c r="G266">
        <v>3.5099999999999999E-2</v>
      </c>
    </row>
    <row r="267" spans="1:7" x14ac:dyDescent="0.2">
      <c r="A267">
        <v>19540226</v>
      </c>
      <c r="B267">
        <v>1954</v>
      </c>
      <c r="C267">
        <v>2</v>
      </c>
      <c r="D267">
        <v>1.67E-2</v>
      </c>
      <c r="E267">
        <v>6.9999999999999999E-4</v>
      </c>
      <c r="F267">
        <v>-1.6999999999999999E-3</v>
      </c>
      <c r="G267">
        <v>-2.8E-3</v>
      </c>
    </row>
    <row r="268" spans="1:7" x14ac:dyDescent="0.2">
      <c r="A268">
        <v>19540331</v>
      </c>
      <c r="B268">
        <v>1954</v>
      </c>
      <c r="C268">
        <v>3</v>
      </c>
      <c r="D268">
        <v>3.6499999999999998E-2</v>
      </c>
      <c r="E268">
        <v>8.0000000000000004E-4</v>
      </c>
      <c r="F268">
        <v>-4.8999999999999998E-3</v>
      </c>
      <c r="G268">
        <v>-1.46E-2</v>
      </c>
    </row>
    <row r="269" spans="1:7" x14ac:dyDescent="0.2">
      <c r="A269">
        <v>19540430</v>
      </c>
      <c r="B269">
        <v>1954</v>
      </c>
      <c r="C269">
        <v>4</v>
      </c>
      <c r="D269">
        <v>4.2700000000000002E-2</v>
      </c>
      <c r="E269">
        <v>8.9999999999999998E-4</v>
      </c>
      <c r="F269">
        <v>-3.4799999999999998E-2</v>
      </c>
      <c r="G269">
        <v>-3.7000000000000002E-3</v>
      </c>
    </row>
    <row r="270" spans="1:7" x14ac:dyDescent="0.2">
      <c r="A270">
        <v>19540528</v>
      </c>
      <c r="B270">
        <v>1954</v>
      </c>
      <c r="C270">
        <v>5</v>
      </c>
      <c r="D270">
        <v>3.09E-2</v>
      </c>
      <c r="E270">
        <v>5.0000000000000001E-4</v>
      </c>
      <c r="F270">
        <v>3.8999999999999998E-3</v>
      </c>
      <c r="G270">
        <v>2.46E-2</v>
      </c>
    </row>
    <row r="271" spans="1:7" x14ac:dyDescent="0.2">
      <c r="A271">
        <v>19540630</v>
      </c>
      <c r="B271">
        <v>1954</v>
      </c>
      <c r="C271">
        <v>6</v>
      </c>
      <c r="D271">
        <v>1.0699999999999999E-2</v>
      </c>
      <c r="E271">
        <v>5.9999999999999995E-4</v>
      </c>
      <c r="F271">
        <v>4.1000000000000003E-3</v>
      </c>
      <c r="G271">
        <v>-2.9999999999999997E-4</v>
      </c>
    </row>
    <row r="272" spans="1:7" x14ac:dyDescent="0.2">
      <c r="A272">
        <v>19540730</v>
      </c>
      <c r="B272">
        <v>1954</v>
      </c>
      <c r="C272">
        <v>7</v>
      </c>
      <c r="D272">
        <v>4.99E-2</v>
      </c>
      <c r="E272">
        <v>5.0000000000000001E-4</v>
      </c>
      <c r="F272">
        <v>1.0699999999999999E-2</v>
      </c>
      <c r="G272">
        <v>4.1099999999999998E-2</v>
      </c>
    </row>
    <row r="273" spans="1:7" x14ac:dyDescent="0.2">
      <c r="A273">
        <v>19540831</v>
      </c>
      <c r="B273">
        <v>1954</v>
      </c>
      <c r="C273">
        <v>8</v>
      </c>
      <c r="D273">
        <v>-2.3400000000000001E-2</v>
      </c>
      <c r="E273">
        <v>5.0000000000000001E-4</v>
      </c>
      <c r="F273">
        <v>2.6599999999999999E-2</v>
      </c>
      <c r="G273">
        <v>-1.3599999999999999E-2</v>
      </c>
    </row>
    <row r="274" spans="1:7" x14ac:dyDescent="0.2">
      <c r="A274">
        <v>19540930</v>
      </c>
      <c r="B274">
        <v>1954</v>
      </c>
      <c r="C274">
        <v>9</v>
      </c>
      <c r="D274">
        <v>6.3899999999999998E-2</v>
      </c>
      <c r="E274">
        <v>8.9999999999999998E-4</v>
      </c>
      <c r="F274">
        <v>-2.5399999999999999E-2</v>
      </c>
      <c r="G274">
        <v>6.6E-3</v>
      </c>
    </row>
    <row r="275" spans="1:7" x14ac:dyDescent="0.2">
      <c r="A275">
        <v>19541029</v>
      </c>
      <c r="B275">
        <v>1954</v>
      </c>
      <c r="C275">
        <v>10</v>
      </c>
      <c r="D275">
        <v>-1.67E-2</v>
      </c>
      <c r="E275">
        <v>6.9999999999999999E-4</v>
      </c>
      <c r="F275">
        <v>5.8999999999999999E-3</v>
      </c>
      <c r="G275">
        <v>7.1999999999999998E-3</v>
      </c>
    </row>
    <row r="276" spans="1:7" x14ac:dyDescent="0.2">
      <c r="A276">
        <v>19541130</v>
      </c>
      <c r="B276">
        <v>1954</v>
      </c>
      <c r="C276">
        <v>11</v>
      </c>
      <c r="D276">
        <v>9.3799999999999994E-2</v>
      </c>
      <c r="E276">
        <v>5.9999999999999995E-4</v>
      </c>
      <c r="F276">
        <v>-2.6200000000000001E-2</v>
      </c>
      <c r="G276">
        <v>4.36E-2</v>
      </c>
    </row>
    <row r="277" spans="1:7" x14ac:dyDescent="0.2">
      <c r="A277">
        <v>19541231</v>
      </c>
      <c r="B277">
        <v>1954</v>
      </c>
      <c r="C277">
        <v>12</v>
      </c>
      <c r="D277">
        <v>5.4800000000000001E-2</v>
      </c>
      <c r="E277">
        <v>8.0000000000000004E-4</v>
      </c>
      <c r="F277">
        <v>2.1399999999999999E-2</v>
      </c>
      <c r="G277">
        <v>5.7099999999999998E-2</v>
      </c>
    </row>
    <row r="278" spans="1:7" x14ac:dyDescent="0.2">
      <c r="A278">
        <v>19550131</v>
      </c>
      <c r="B278">
        <v>1955</v>
      </c>
      <c r="C278">
        <v>1</v>
      </c>
      <c r="D278">
        <v>6.0000000000000001E-3</v>
      </c>
      <c r="E278">
        <v>8.0000000000000004E-4</v>
      </c>
      <c r="F278">
        <v>2.5000000000000001E-3</v>
      </c>
      <c r="G278">
        <v>2.18E-2</v>
      </c>
    </row>
    <row r="279" spans="1:7" x14ac:dyDescent="0.2">
      <c r="A279">
        <v>19550228</v>
      </c>
      <c r="B279">
        <v>1955</v>
      </c>
      <c r="C279">
        <v>2</v>
      </c>
      <c r="D279">
        <v>3.0200000000000001E-2</v>
      </c>
      <c r="E279">
        <v>8.9999999999999998E-4</v>
      </c>
      <c r="F279">
        <v>1.54E-2</v>
      </c>
      <c r="G279">
        <v>6.1999999999999998E-3</v>
      </c>
    </row>
    <row r="280" spans="1:7" x14ac:dyDescent="0.2">
      <c r="A280">
        <v>19550331</v>
      </c>
      <c r="B280">
        <v>1955</v>
      </c>
      <c r="C280">
        <v>3</v>
      </c>
      <c r="D280">
        <v>-1.6000000000000001E-3</v>
      </c>
      <c r="E280">
        <v>1E-3</v>
      </c>
      <c r="F280">
        <v>-6.6E-3</v>
      </c>
      <c r="G280">
        <v>1.95E-2</v>
      </c>
    </row>
    <row r="281" spans="1:7" x14ac:dyDescent="0.2">
      <c r="A281">
        <v>19550429</v>
      </c>
      <c r="B281">
        <v>1955</v>
      </c>
      <c r="C281">
        <v>4</v>
      </c>
      <c r="D281">
        <v>3.1099999999999999E-2</v>
      </c>
      <c r="E281">
        <v>1E-3</v>
      </c>
      <c r="F281">
        <v>-1.7899999999999999E-2</v>
      </c>
      <c r="G281">
        <v>8.0999999999999996E-3</v>
      </c>
    </row>
    <row r="282" spans="1:7" x14ac:dyDescent="0.2">
      <c r="A282">
        <v>19550531</v>
      </c>
      <c r="B282">
        <v>1955</v>
      </c>
      <c r="C282">
        <v>5</v>
      </c>
      <c r="D282">
        <v>9.2999999999999992E-3</v>
      </c>
      <c r="E282">
        <v>1.4E-3</v>
      </c>
      <c r="F282">
        <v>-2.8999999999999998E-3</v>
      </c>
      <c r="G282">
        <v>-8.6E-3</v>
      </c>
    </row>
    <row r="283" spans="1:7" x14ac:dyDescent="0.2">
      <c r="A283">
        <v>19550630</v>
      </c>
      <c r="B283">
        <v>1955</v>
      </c>
      <c r="C283">
        <v>6</v>
      </c>
      <c r="D283">
        <v>6.5500000000000003E-2</v>
      </c>
      <c r="E283">
        <v>1E-3</v>
      </c>
      <c r="F283">
        <v>-4.65E-2</v>
      </c>
      <c r="G283">
        <v>1.9199999999999998E-2</v>
      </c>
    </row>
    <row r="284" spans="1:7" x14ac:dyDescent="0.2">
      <c r="A284">
        <v>19550729</v>
      </c>
      <c r="B284">
        <v>1955</v>
      </c>
      <c r="C284">
        <v>7</v>
      </c>
      <c r="D284">
        <v>1.9E-2</v>
      </c>
      <c r="E284">
        <v>1E-3</v>
      </c>
      <c r="F284">
        <v>-1.3599999999999999E-2</v>
      </c>
      <c r="G284">
        <v>6.3E-3</v>
      </c>
    </row>
    <row r="285" spans="1:7" x14ac:dyDescent="0.2">
      <c r="A285">
        <v>19550831</v>
      </c>
      <c r="B285">
        <v>1955</v>
      </c>
      <c r="C285">
        <v>8</v>
      </c>
      <c r="D285">
        <v>2.0999999999999999E-3</v>
      </c>
      <c r="E285">
        <v>1.6000000000000001E-3</v>
      </c>
      <c r="F285">
        <v>-3.8E-3</v>
      </c>
      <c r="G285">
        <v>5.7999999999999996E-3</v>
      </c>
    </row>
    <row r="286" spans="1:7" x14ac:dyDescent="0.2">
      <c r="A286">
        <v>19550930</v>
      </c>
      <c r="B286">
        <v>1955</v>
      </c>
      <c r="C286">
        <v>9</v>
      </c>
      <c r="D286">
        <v>-3.5999999999999999E-3</v>
      </c>
      <c r="E286">
        <v>1.6000000000000001E-3</v>
      </c>
      <c r="F286">
        <v>3.0000000000000001E-3</v>
      </c>
      <c r="G286">
        <v>-1.06E-2</v>
      </c>
    </row>
    <row r="287" spans="1:7" x14ac:dyDescent="0.2">
      <c r="A287">
        <v>19551031</v>
      </c>
      <c r="B287">
        <v>1955</v>
      </c>
      <c r="C287">
        <v>10</v>
      </c>
      <c r="D287">
        <v>-2.6800000000000001E-2</v>
      </c>
      <c r="E287">
        <v>1.8E-3</v>
      </c>
      <c r="F287">
        <v>1.4999999999999999E-2</v>
      </c>
      <c r="G287">
        <v>-2.9999999999999997E-4</v>
      </c>
    </row>
    <row r="288" spans="1:7" x14ac:dyDescent="0.2">
      <c r="A288">
        <v>19551130</v>
      </c>
      <c r="B288">
        <v>1955</v>
      </c>
      <c r="C288">
        <v>11</v>
      </c>
      <c r="D288">
        <v>7.0300000000000001E-2</v>
      </c>
      <c r="E288">
        <v>1.6999999999999999E-3</v>
      </c>
      <c r="F288">
        <v>-2.46E-2</v>
      </c>
      <c r="G288">
        <v>5.0000000000000001E-3</v>
      </c>
    </row>
    <row r="289" spans="1:7" x14ac:dyDescent="0.2">
      <c r="A289">
        <v>19551230</v>
      </c>
      <c r="B289">
        <v>1955</v>
      </c>
      <c r="C289">
        <v>12</v>
      </c>
      <c r="D289">
        <v>1.49E-2</v>
      </c>
      <c r="E289">
        <v>1.8E-3</v>
      </c>
      <c r="F289">
        <v>2.0799999999999999E-2</v>
      </c>
      <c r="G289">
        <v>-2.24E-2</v>
      </c>
    </row>
    <row r="290" spans="1:7" x14ac:dyDescent="0.2">
      <c r="A290">
        <v>19560131</v>
      </c>
      <c r="B290">
        <v>1956</v>
      </c>
      <c r="C290">
        <v>1</v>
      </c>
      <c r="D290">
        <v>-3.0300000000000001E-2</v>
      </c>
      <c r="E290">
        <v>2.2000000000000001E-3</v>
      </c>
      <c r="F290">
        <v>4.4000000000000003E-3</v>
      </c>
      <c r="G290">
        <v>1.12E-2</v>
      </c>
    </row>
    <row r="291" spans="1:7" x14ac:dyDescent="0.2">
      <c r="A291">
        <v>19560229</v>
      </c>
      <c r="B291">
        <v>1956</v>
      </c>
      <c r="C291">
        <v>2</v>
      </c>
      <c r="D291">
        <v>3.7699999999999997E-2</v>
      </c>
      <c r="E291">
        <v>1.9E-3</v>
      </c>
      <c r="F291">
        <v>-1.04E-2</v>
      </c>
      <c r="G291">
        <v>-5.3E-3</v>
      </c>
    </row>
    <row r="292" spans="1:7" x14ac:dyDescent="0.2">
      <c r="A292">
        <v>19560329</v>
      </c>
      <c r="B292">
        <v>1956</v>
      </c>
      <c r="C292">
        <v>3</v>
      </c>
      <c r="D292">
        <v>6.6400000000000001E-2</v>
      </c>
      <c r="E292">
        <v>1.5E-3</v>
      </c>
      <c r="F292">
        <v>-2.4199999999999999E-2</v>
      </c>
      <c r="G292">
        <v>-1.4E-3</v>
      </c>
    </row>
    <row r="293" spans="1:7" x14ac:dyDescent="0.2">
      <c r="A293">
        <v>19560430</v>
      </c>
      <c r="B293">
        <v>1956</v>
      </c>
      <c r="C293">
        <v>4</v>
      </c>
      <c r="D293">
        <v>2.8E-3</v>
      </c>
      <c r="E293">
        <v>1.9E-3</v>
      </c>
      <c r="F293">
        <v>6.9999999999999999E-4</v>
      </c>
      <c r="G293">
        <v>-1.8E-3</v>
      </c>
    </row>
    <row r="294" spans="1:7" x14ac:dyDescent="0.2">
      <c r="A294">
        <v>19560531</v>
      </c>
      <c r="B294">
        <v>1956</v>
      </c>
      <c r="C294">
        <v>5</v>
      </c>
      <c r="D294">
        <v>-5.1999999999999998E-2</v>
      </c>
      <c r="E294">
        <v>2.3E-3</v>
      </c>
      <c r="F294">
        <v>1.4999999999999999E-2</v>
      </c>
      <c r="G294">
        <v>-1.3299999999999999E-2</v>
      </c>
    </row>
    <row r="295" spans="1:7" x14ac:dyDescent="0.2">
      <c r="A295">
        <v>19560629</v>
      </c>
      <c r="B295">
        <v>1956</v>
      </c>
      <c r="C295">
        <v>6</v>
      </c>
      <c r="D295">
        <v>3.4799999999999998E-2</v>
      </c>
      <c r="E295">
        <v>2E-3</v>
      </c>
      <c r="F295">
        <v>-1.46E-2</v>
      </c>
      <c r="G295">
        <v>-1.32E-2</v>
      </c>
    </row>
    <row r="296" spans="1:7" x14ac:dyDescent="0.2">
      <c r="A296">
        <v>19560731</v>
      </c>
      <c r="B296">
        <v>1956</v>
      </c>
      <c r="C296">
        <v>7</v>
      </c>
      <c r="D296">
        <v>4.8399999999999999E-2</v>
      </c>
      <c r="E296">
        <v>2.2000000000000001E-3</v>
      </c>
      <c r="F296">
        <v>-1.6799999999999999E-2</v>
      </c>
      <c r="G296">
        <v>-1E-4</v>
      </c>
    </row>
    <row r="297" spans="1:7" x14ac:dyDescent="0.2">
      <c r="A297">
        <v>19560831</v>
      </c>
      <c r="B297">
        <v>1956</v>
      </c>
      <c r="C297">
        <v>8</v>
      </c>
      <c r="D297">
        <v>-3.1800000000000002E-2</v>
      </c>
      <c r="E297">
        <v>1.6999999999999999E-3</v>
      </c>
      <c r="F297">
        <v>1.9E-2</v>
      </c>
      <c r="G297">
        <v>-7.1000000000000004E-3</v>
      </c>
    </row>
    <row r="298" spans="1:7" x14ac:dyDescent="0.2">
      <c r="A298">
        <v>19560928</v>
      </c>
      <c r="B298">
        <v>1956</v>
      </c>
      <c r="C298">
        <v>9</v>
      </c>
      <c r="D298">
        <v>-5.1400000000000001E-2</v>
      </c>
      <c r="E298">
        <v>1.8E-3</v>
      </c>
      <c r="F298">
        <v>1.5599999999999999E-2</v>
      </c>
      <c r="G298">
        <v>1.7899999999999999E-2</v>
      </c>
    </row>
    <row r="299" spans="1:7" x14ac:dyDescent="0.2">
      <c r="A299">
        <v>19561031</v>
      </c>
      <c r="B299">
        <v>1956</v>
      </c>
      <c r="C299">
        <v>10</v>
      </c>
      <c r="D299">
        <v>5.1999999999999998E-3</v>
      </c>
      <c r="E299">
        <v>2.5000000000000001E-3</v>
      </c>
      <c r="F299">
        <v>-8.9999999999999998E-4</v>
      </c>
      <c r="G299">
        <v>-5.9999999999999995E-4</v>
      </c>
    </row>
    <row r="300" spans="1:7" x14ac:dyDescent="0.2">
      <c r="A300">
        <v>19561130</v>
      </c>
      <c r="B300">
        <v>1956</v>
      </c>
      <c r="C300">
        <v>11</v>
      </c>
      <c r="D300">
        <v>3.5999999999999999E-3</v>
      </c>
      <c r="E300">
        <v>2E-3</v>
      </c>
      <c r="F300">
        <v>-2.2000000000000001E-3</v>
      </c>
      <c r="G300">
        <v>1.78E-2</v>
      </c>
    </row>
    <row r="301" spans="1:7" x14ac:dyDescent="0.2">
      <c r="A301">
        <v>19561231</v>
      </c>
      <c r="B301">
        <v>1956</v>
      </c>
      <c r="C301">
        <v>12</v>
      </c>
      <c r="D301">
        <v>3.1600000000000003E-2</v>
      </c>
      <c r="E301">
        <v>2.3999999999999998E-3</v>
      </c>
      <c r="F301">
        <v>-2.9999999999999997E-4</v>
      </c>
      <c r="G301">
        <v>-2.1000000000000001E-2</v>
      </c>
    </row>
    <row r="302" spans="1:7" x14ac:dyDescent="0.2">
      <c r="A302">
        <v>19570131</v>
      </c>
      <c r="B302">
        <v>1957</v>
      </c>
      <c r="C302">
        <v>1</v>
      </c>
      <c r="D302">
        <v>-3.5799999999999998E-2</v>
      </c>
      <c r="E302">
        <v>2.7000000000000001E-3</v>
      </c>
      <c r="F302">
        <v>3.4000000000000002E-2</v>
      </c>
      <c r="G302">
        <v>2.7799999999999998E-2</v>
      </c>
    </row>
    <row r="303" spans="1:7" x14ac:dyDescent="0.2">
      <c r="A303">
        <v>19570228</v>
      </c>
      <c r="B303">
        <v>1957</v>
      </c>
      <c r="C303">
        <v>2</v>
      </c>
      <c r="D303">
        <v>-2.06E-2</v>
      </c>
      <c r="E303">
        <v>2.3999999999999998E-3</v>
      </c>
      <c r="F303">
        <v>-7.1999999999999998E-3</v>
      </c>
      <c r="G303">
        <v>-7.3000000000000001E-3</v>
      </c>
    </row>
    <row r="304" spans="1:7" x14ac:dyDescent="0.2">
      <c r="A304">
        <v>19570329</v>
      </c>
      <c r="B304">
        <v>1957</v>
      </c>
      <c r="C304">
        <v>3</v>
      </c>
      <c r="D304">
        <v>2.1299999999999999E-2</v>
      </c>
      <c r="E304">
        <v>2.3E-3</v>
      </c>
      <c r="F304">
        <v>2.7000000000000001E-3</v>
      </c>
      <c r="G304">
        <v>-4.7000000000000002E-3</v>
      </c>
    </row>
    <row r="305" spans="1:7" x14ac:dyDescent="0.2">
      <c r="A305">
        <v>19570430</v>
      </c>
      <c r="B305">
        <v>1957</v>
      </c>
      <c r="C305">
        <v>4</v>
      </c>
      <c r="D305">
        <v>4.2599999999999999E-2</v>
      </c>
      <c r="E305">
        <v>2.5000000000000001E-3</v>
      </c>
      <c r="F305">
        <v>-1.6E-2</v>
      </c>
      <c r="G305">
        <v>-1.5100000000000001E-2</v>
      </c>
    </row>
    <row r="306" spans="1:7" x14ac:dyDescent="0.2">
      <c r="A306">
        <v>19570531</v>
      </c>
      <c r="B306">
        <v>1957</v>
      </c>
      <c r="C306">
        <v>5</v>
      </c>
      <c r="D306">
        <v>3.4500000000000003E-2</v>
      </c>
      <c r="E306">
        <v>2.5999999999999999E-3</v>
      </c>
      <c r="F306">
        <v>-1.0699999999999999E-2</v>
      </c>
      <c r="G306">
        <v>-2.0500000000000001E-2</v>
      </c>
    </row>
    <row r="307" spans="1:7" x14ac:dyDescent="0.2">
      <c r="A307">
        <v>19570628</v>
      </c>
      <c r="B307">
        <v>1957</v>
      </c>
      <c r="C307">
        <v>6</v>
      </c>
      <c r="D307">
        <v>-7.4000000000000003E-3</v>
      </c>
      <c r="E307">
        <v>2.3999999999999998E-3</v>
      </c>
      <c r="F307">
        <v>5.4999999999999997E-3</v>
      </c>
      <c r="G307">
        <v>1E-4</v>
      </c>
    </row>
    <row r="308" spans="1:7" x14ac:dyDescent="0.2">
      <c r="A308">
        <v>19570731</v>
      </c>
      <c r="B308">
        <v>1957</v>
      </c>
      <c r="C308">
        <v>7</v>
      </c>
      <c r="D308">
        <v>6.6E-3</v>
      </c>
      <c r="E308">
        <v>3.0000000000000001E-3</v>
      </c>
      <c r="F308">
        <v>-7.6E-3</v>
      </c>
      <c r="G308">
        <v>3.8E-3</v>
      </c>
    </row>
    <row r="309" spans="1:7" x14ac:dyDescent="0.2">
      <c r="A309">
        <v>19570830</v>
      </c>
      <c r="B309">
        <v>1957</v>
      </c>
      <c r="C309">
        <v>8</v>
      </c>
      <c r="D309">
        <v>-5.11E-2</v>
      </c>
      <c r="E309">
        <v>2.5000000000000001E-3</v>
      </c>
      <c r="F309">
        <v>5.9999999999999995E-4</v>
      </c>
      <c r="G309">
        <v>-4.4999999999999997E-3</v>
      </c>
    </row>
    <row r="310" spans="1:7" x14ac:dyDescent="0.2">
      <c r="A310">
        <v>19570930</v>
      </c>
      <c r="B310">
        <v>1957</v>
      </c>
      <c r="C310">
        <v>9</v>
      </c>
      <c r="D310">
        <v>-5.9799999999999999E-2</v>
      </c>
      <c r="E310">
        <v>2.5999999999999999E-3</v>
      </c>
      <c r="F310">
        <v>8.0000000000000004E-4</v>
      </c>
      <c r="G310">
        <v>8.8000000000000005E-3</v>
      </c>
    </row>
    <row r="311" spans="1:7" x14ac:dyDescent="0.2">
      <c r="A311">
        <v>19571031</v>
      </c>
      <c r="B311">
        <v>1957</v>
      </c>
      <c r="C311">
        <v>10</v>
      </c>
      <c r="D311">
        <v>-4.3200000000000002E-2</v>
      </c>
      <c r="E311">
        <v>2.8999999999999998E-3</v>
      </c>
      <c r="F311">
        <v>-2.52E-2</v>
      </c>
      <c r="G311">
        <v>-1.83E-2</v>
      </c>
    </row>
    <row r="312" spans="1:7" x14ac:dyDescent="0.2">
      <c r="A312">
        <v>19571129</v>
      </c>
      <c r="B312">
        <v>1957</v>
      </c>
      <c r="C312">
        <v>11</v>
      </c>
      <c r="D312">
        <v>2.3E-2</v>
      </c>
      <c r="E312">
        <v>2.8E-3</v>
      </c>
      <c r="F312">
        <v>4.0000000000000001E-3</v>
      </c>
      <c r="G312">
        <v>-2.9000000000000001E-2</v>
      </c>
    </row>
    <row r="313" spans="1:7" x14ac:dyDescent="0.2">
      <c r="A313">
        <v>19571231</v>
      </c>
      <c r="B313">
        <v>1957</v>
      </c>
      <c r="C313">
        <v>12</v>
      </c>
      <c r="D313">
        <v>-3.9100000000000003E-2</v>
      </c>
      <c r="E313">
        <v>2.3999999999999998E-3</v>
      </c>
      <c r="F313">
        <v>-9.2999999999999992E-3</v>
      </c>
      <c r="G313">
        <v>-1.7100000000000001E-2</v>
      </c>
    </row>
    <row r="314" spans="1:7" x14ac:dyDescent="0.2">
      <c r="A314">
        <v>19580131</v>
      </c>
      <c r="B314">
        <v>1958</v>
      </c>
      <c r="C314">
        <v>1</v>
      </c>
      <c r="D314">
        <v>4.6600000000000003E-2</v>
      </c>
      <c r="E314">
        <v>2.8E-3</v>
      </c>
      <c r="F314">
        <v>4.36E-2</v>
      </c>
      <c r="G314">
        <v>4.2299999999999997E-2</v>
      </c>
    </row>
    <row r="315" spans="1:7" x14ac:dyDescent="0.2">
      <c r="A315">
        <v>19580228</v>
      </c>
      <c r="B315">
        <v>1958</v>
      </c>
      <c r="C315">
        <v>2</v>
      </c>
      <c r="D315">
        <v>-1.52E-2</v>
      </c>
      <c r="E315">
        <v>1.1999999999999999E-3</v>
      </c>
      <c r="F315">
        <v>7.0000000000000001E-3</v>
      </c>
      <c r="G315">
        <v>2.8E-3</v>
      </c>
    </row>
    <row r="316" spans="1:7" x14ac:dyDescent="0.2">
      <c r="A316">
        <v>19580331</v>
      </c>
      <c r="B316">
        <v>1958</v>
      </c>
      <c r="C316">
        <v>3</v>
      </c>
      <c r="D316">
        <v>3.27E-2</v>
      </c>
      <c r="E316">
        <v>8.9999999999999998E-4</v>
      </c>
      <c r="F316">
        <v>6.3E-3</v>
      </c>
      <c r="G316">
        <v>-9.1999999999999998E-3</v>
      </c>
    </row>
    <row r="317" spans="1:7" x14ac:dyDescent="0.2">
      <c r="A317">
        <v>19580430</v>
      </c>
      <c r="B317">
        <v>1958</v>
      </c>
      <c r="C317">
        <v>4</v>
      </c>
      <c r="D317">
        <v>3.09E-2</v>
      </c>
      <c r="E317">
        <v>8.0000000000000004E-4</v>
      </c>
      <c r="F317">
        <v>-5.8999999999999999E-3</v>
      </c>
      <c r="G317">
        <v>1.46E-2</v>
      </c>
    </row>
    <row r="318" spans="1:7" x14ac:dyDescent="0.2">
      <c r="A318">
        <v>19580529</v>
      </c>
      <c r="B318">
        <v>1958</v>
      </c>
      <c r="C318">
        <v>5</v>
      </c>
      <c r="D318">
        <v>2.3099999999999999E-2</v>
      </c>
      <c r="E318">
        <v>1.1000000000000001E-3</v>
      </c>
      <c r="F318">
        <v>2.24E-2</v>
      </c>
      <c r="G318">
        <v>-3.5000000000000001E-3</v>
      </c>
    </row>
    <row r="319" spans="1:7" x14ac:dyDescent="0.2">
      <c r="A319">
        <v>19580630</v>
      </c>
      <c r="B319">
        <v>1958</v>
      </c>
      <c r="C319">
        <v>6</v>
      </c>
      <c r="D319">
        <v>2.93E-2</v>
      </c>
      <c r="E319">
        <v>2.9999999999999997E-4</v>
      </c>
      <c r="F319">
        <v>-2.3999999999999998E-3</v>
      </c>
      <c r="G319">
        <v>5.0000000000000001E-3</v>
      </c>
    </row>
    <row r="320" spans="1:7" x14ac:dyDescent="0.2">
      <c r="A320">
        <v>19580731</v>
      </c>
      <c r="B320">
        <v>1958</v>
      </c>
      <c r="C320">
        <v>7</v>
      </c>
      <c r="D320">
        <v>4.3900000000000002E-2</v>
      </c>
      <c r="E320">
        <v>6.9999999999999999E-4</v>
      </c>
      <c r="F320">
        <v>4.7000000000000002E-3</v>
      </c>
      <c r="G320">
        <v>3.1199999999999999E-2</v>
      </c>
    </row>
    <row r="321" spans="1:7" x14ac:dyDescent="0.2">
      <c r="A321">
        <v>19580829</v>
      </c>
      <c r="B321">
        <v>1958</v>
      </c>
      <c r="C321">
        <v>8</v>
      </c>
      <c r="D321">
        <v>1.9099999999999999E-2</v>
      </c>
      <c r="E321">
        <v>4.0000000000000002E-4</v>
      </c>
      <c r="F321">
        <v>1.1900000000000001E-2</v>
      </c>
      <c r="G321">
        <v>2.8999999999999998E-3</v>
      </c>
    </row>
    <row r="322" spans="1:7" x14ac:dyDescent="0.2">
      <c r="A322">
        <v>19580930</v>
      </c>
      <c r="B322">
        <v>1958</v>
      </c>
      <c r="C322">
        <v>9</v>
      </c>
      <c r="D322">
        <v>4.6600000000000003E-2</v>
      </c>
      <c r="E322">
        <v>1.9E-3</v>
      </c>
      <c r="F322">
        <v>1.5E-3</v>
      </c>
      <c r="G322">
        <v>2.9600000000000001E-2</v>
      </c>
    </row>
    <row r="323" spans="1:7" x14ac:dyDescent="0.2">
      <c r="A323">
        <v>19581031</v>
      </c>
      <c r="B323">
        <v>1958</v>
      </c>
      <c r="C323">
        <v>10</v>
      </c>
      <c r="D323">
        <v>2.53E-2</v>
      </c>
      <c r="E323">
        <v>1.8E-3</v>
      </c>
      <c r="F323">
        <v>1.1299999999999999E-2</v>
      </c>
      <c r="G323">
        <v>-1.18E-2</v>
      </c>
    </row>
    <row r="324" spans="1:7" x14ac:dyDescent="0.2">
      <c r="A324">
        <v>19581128</v>
      </c>
      <c r="B324">
        <v>1958</v>
      </c>
      <c r="C324">
        <v>11</v>
      </c>
      <c r="D324">
        <v>3.0099999999999998E-2</v>
      </c>
      <c r="E324">
        <v>1.1000000000000001E-3</v>
      </c>
      <c r="F324">
        <v>2.06E-2</v>
      </c>
      <c r="G324">
        <v>-1.29E-2</v>
      </c>
    </row>
    <row r="325" spans="1:7" x14ac:dyDescent="0.2">
      <c r="A325">
        <v>19581231</v>
      </c>
      <c r="B325">
        <v>1958</v>
      </c>
      <c r="C325">
        <v>12</v>
      </c>
      <c r="D325">
        <v>5.1499999999999997E-2</v>
      </c>
      <c r="E325">
        <v>2.2000000000000001E-3</v>
      </c>
      <c r="F325">
        <v>-2.07E-2</v>
      </c>
      <c r="G325">
        <v>-5.0000000000000001E-4</v>
      </c>
    </row>
    <row r="326" spans="1:7" x14ac:dyDescent="0.2">
      <c r="A326">
        <v>19590130</v>
      </c>
      <c r="B326">
        <v>1959</v>
      </c>
      <c r="C326">
        <v>1</v>
      </c>
      <c r="D326">
        <v>7.1000000000000004E-3</v>
      </c>
      <c r="E326">
        <v>2.0999999999999999E-3</v>
      </c>
      <c r="F326">
        <v>3.0200000000000001E-2</v>
      </c>
      <c r="G326">
        <v>2.98E-2</v>
      </c>
    </row>
    <row r="327" spans="1:7" x14ac:dyDescent="0.2">
      <c r="A327">
        <v>19590227</v>
      </c>
      <c r="B327">
        <v>1959</v>
      </c>
      <c r="C327">
        <v>2</v>
      </c>
      <c r="D327">
        <v>9.4999999999999998E-3</v>
      </c>
      <c r="E327">
        <v>1.9E-3</v>
      </c>
      <c r="F327">
        <v>1.49E-2</v>
      </c>
      <c r="G327">
        <v>1.0500000000000001E-2</v>
      </c>
    </row>
    <row r="328" spans="1:7" x14ac:dyDescent="0.2">
      <c r="A328">
        <v>19590331</v>
      </c>
      <c r="B328">
        <v>1959</v>
      </c>
      <c r="C328">
        <v>3</v>
      </c>
      <c r="D328">
        <v>2.8E-3</v>
      </c>
      <c r="E328">
        <v>2.2000000000000001E-3</v>
      </c>
      <c r="F328">
        <v>1.4800000000000001E-2</v>
      </c>
      <c r="G328">
        <v>-3.5000000000000001E-3</v>
      </c>
    </row>
    <row r="329" spans="1:7" x14ac:dyDescent="0.2">
      <c r="A329">
        <v>19590430</v>
      </c>
      <c r="B329">
        <v>1959</v>
      </c>
      <c r="C329">
        <v>4</v>
      </c>
      <c r="D329">
        <v>3.6600000000000001E-2</v>
      </c>
      <c r="E329">
        <v>2E-3</v>
      </c>
      <c r="F329">
        <v>-5.7999999999999996E-3</v>
      </c>
      <c r="G329">
        <v>-1.2200000000000001E-2</v>
      </c>
    </row>
    <row r="330" spans="1:7" x14ac:dyDescent="0.2">
      <c r="A330">
        <v>19590529</v>
      </c>
      <c r="B330">
        <v>1959</v>
      </c>
      <c r="C330">
        <v>5</v>
      </c>
      <c r="D330">
        <v>1.7299999999999999E-2</v>
      </c>
      <c r="E330">
        <v>2.2000000000000001E-3</v>
      </c>
      <c r="F330">
        <v>-2.1499999999999998E-2</v>
      </c>
      <c r="G330">
        <v>1.8700000000000001E-2</v>
      </c>
    </row>
    <row r="331" spans="1:7" x14ac:dyDescent="0.2">
      <c r="A331">
        <v>19590630</v>
      </c>
      <c r="B331">
        <v>1959</v>
      </c>
      <c r="C331">
        <v>6</v>
      </c>
      <c r="D331">
        <v>-2.5000000000000001E-3</v>
      </c>
      <c r="E331">
        <v>2.5000000000000001E-3</v>
      </c>
      <c r="F331">
        <v>6.7999999999999996E-3</v>
      </c>
      <c r="G331">
        <v>1.3299999999999999E-2</v>
      </c>
    </row>
    <row r="332" spans="1:7" x14ac:dyDescent="0.2">
      <c r="A332">
        <v>19590731</v>
      </c>
      <c r="B332">
        <v>1959</v>
      </c>
      <c r="C332">
        <v>7</v>
      </c>
      <c r="D332">
        <v>3.1699999999999999E-2</v>
      </c>
      <c r="E332">
        <v>2.5000000000000001E-3</v>
      </c>
      <c r="F332">
        <v>-3.2000000000000002E-3</v>
      </c>
      <c r="G332">
        <v>2.5999999999999999E-3</v>
      </c>
    </row>
    <row r="333" spans="1:7" x14ac:dyDescent="0.2">
      <c r="A333">
        <v>19590831</v>
      </c>
      <c r="B333">
        <v>1959</v>
      </c>
      <c r="C333">
        <v>8</v>
      </c>
      <c r="D333">
        <v>-1.3899999999999999E-2</v>
      </c>
      <c r="E333">
        <v>1.9E-3</v>
      </c>
      <c r="F333">
        <v>-7.7999999999999996E-3</v>
      </c>
      <c r="G333">
        <v>4.4000000000000003E-3</v>
      </c>
    </row>
    <row r="334" spans="1:7" x14ac:dyDescent="0.2">
      <c r="A334">
        <v>19590930</v>
      </c>
      <c r="B334">
        <v>1959</v>
      </c>
      <c r="C334">
        <v>9</v>
      </c>
      <c r="D334">
        <v>-4.8000000000000001E-2</v>
      </c>
      <c r="E334">
        <v>3.0999999999999999E-3</v>
      </c>
      <c r="F334">
        <v>-8.9999999999999998E-4</v>
      </c>
      <c r="G334">
        <v>5.7000000000000002E-3</v>
      </c>
    </row>
    <row r="335" spans="1:7" x14ac:dyDescent="0.2">
      <c r="A335">
        <v>19591030</v>
      </c>
      <c r="B335">
        <v>1959</v>
      </c>
      <c r="C335">
        <v>10</v>
      </c>
      <c r="D335">
        <v>1.2800000000000001E-2</v>
      </c>
      <c r="E335">
        <v>3.0000000000000001E-3</v>
      </c>
      <c r="F335">
        <v>1.43E-2</v>
      </c>
      <c r="G335">
        <v>-2.0500000000000001E-2</v>
      </c>
    </row>
    <row r="336" spans="1:7" x14ac:dyDescent="0.2">
      <c r="A336">
        <v>19591130</v>
      </c>
      <c r="B336">
        <v>1959</v>
      </c>
      <c r="C336">
        <v>11</v>
      </c>
      <c r="D336">
        <v>1.6E-2</v>
      </c>
      <c r="E336">
        <v>2.5999999999999999E-3</v>
      </c>
      <c r="F336">
        <v>1.24E-2</v>
      </c>
      <c r="G336">
        <v>-3.27E-2</v>
      </c>
    </row>
    <row r="337" spans="1:7" x14ac:dyDescent="0.2">
      <c r="A337">
        <v>19591231</v>
      </c>
      <c r="B337">
        <v>1959</v>
      </c>
      <c r="C337">
        <v>12</v>
      </c>
      <c r="D337">
        <v>2.4500000000000001E-2</v>
      </c>
      <c r="E337">
        <v>3.3999999999999998E-3</v>
      </c>
      <c r="F337">
        <v>-6.0000000000000001E-3</v>
      </c>
      <c r="G337">
        <v>-2.9999999999999997E-4</v>
      </c>
    </row>
    <row r="338" spans="1:7" x14ac:dyDescent="0.2">
      <c r="A338">
        <v>19600129</v>
      </c>
      <c r="B338">
        <v>1960</v>
      </c>
      <c r="C338">
        <v>1</v>
      </c>
      <c r="D338">
        <v>-6.9800000000000001E-2</v>
      </c>
      <c r="E338">
        <v>3.3E-3</v>
      </c>
      <c r="F338">
        <v>2.0899999999999998E-2</v>
      </c>
      <c r="G338">
        <v>2.7300000000000001E-2</v>
      </c>
    </row>
    <row r="339" spans="1:7" x14ac:dyDescent="0.2">
      <c r="A339">
        <v>19600229</v>
      </c>
      <c r="B339">
        <v>1960</v>
      </c>
      <c r="C339">
        <v>2</v>
      </c>
      <c r="D339">
        <v>1.17E-2</v>
      </c>
      <c r="E339">
        <v>2.8999999999999998E-3</v>
      </c>
      <c r="F339">
        <v>5.1000000000000004E-3</v>
      </c>
      <c r="G339">
        <v>-1.9900000000000001E-2</v>
      </c>
    </row>
    <row r="340" spans="1:7" x14ac:dyDescent="0.2">
      <c r="A340">
        <v>19600331</v>
      </c>
      <c r="B340">
        <v>1960</v>
      </c>
      <c r="C340">
        <v>3</v>
      </c>
      <c r="D340">
        <v>-1.6299999999999999E-2</v>
      </c>
      <c r="E340">
        <v>3.5000000000000001E-3</v>
      </c>
      <c r="F340">
        <v>-5.1000000000000004E-3</v>
      </c>
      <c r="G340">
        <v>-2.8500000000000001E-2</v>
      </c>
    </row>
    <row r="341" spans="1:7" x14ac:dyDescent="0.2">
      <c r="A341">
        <v>19600429</v>
      </c>
      <c r="B341">
        <v>1960</v>
      </c>
      <c r="C341">
        <v>4</v>
      </c>
      <c r="D341">
        <v>-1.7100000000000001E-2</v>
      </c>
      <c r="E341">
        <v>1.9E-3</v>
      </c>
      <c r="F341">
        <v>3.0999999999999999E-3</v>
      </c>
      <c r="G341">
        <v>-2.23E-2</v>
      </c>
    </row>
    <row r="342" spans="1:7" x14ac:dyDescent="0.2">
      <c r="A342">
        <v>19600531</v>
      </c>
      <c r="B342">
        <v>1960</v>
      </c>
      <c r="C342">
        <v>5</v>
      </c>
      <c r="D342">
        <v>3.1199999999999999E-2</v>
      </c>
      <c r="E342">
        <v>2.7000000000000001E-3</v>
      </c>
      <c r="F342">
        <v>1.21E-2</v>
      </c>
      <c r="G342">
        <v>-3.7600000000000001E-2</v>
      </c>
    </row>
    <row r="343" spans="1:7" x14ac:dyDescent="0.2">
      <c r="A343">
        <v>19600630</v>
      </c>
      <c r="B343">
        <v>1960</v>
      </c>
      <c r="C343">
        <v>6</v>
      </c>
      <c r="D343">
        <v>2.0799999999999999E-2</v>
      </c>
      <c r="E343">
        <v>2.3999999999999998E-3</v>
      </c>
      <c r="F343">
        <v>-2.2000000000000001E-3</v>
      </c>
      <c r="G343">
        <v>-3.3999999999999998E-3</v>
      </c>
    </row>
    <row r="344" spans="1:7" x14ac:dyDescent="0.2">
      <c r="A344">
        <v>19600729</v>
      </c>
      <c r="B344">
        <v>1960</v>
      </c>
      <c r="C344">
        <v>7</v>
      </c>
      <c r="D344">
        <v>-2.3699999999999999E-2</v>
      </c>
      <c r="E344">
        <v>1.2999999999999999E-3</v>
      </c>
      <c r="F344">
        <v>-5.1999999999999998E-3</v>
      </c>
      <c r="G344">
        <v>2.0299999999999999E-2</v>
      </c>
    </row>
    <row r="345" spans="1:7" x14ac:dyDescent="0.2">
      <c r="A345">
        <v>19600831</v>
      </c>
      <c r="B345">
        <v>1960</v>
      </c>
      <c r="C345">
        <v>8</v>
      </c>
      <c r="D345">
        <v>3.0099999999999998E-2</v>
      </c>
      <c r="E345">
        <v>1.6999999999999999E-3</v>
      </c>
      <c r="F345">
        <v>8.9999999999999993E-3</v>
      </c>
      <c r="G345">
        <v>-1.9E-3</v>
      </c>
    </row>
    <row r="346" spans="1:7" x14ac:dyDescent="0.2">
      <c r="A346">
        <v>19600930</v>
      </c>
      <c r="B346">
        <v>1960</v>
      </c>
      <c r="C346">
        <v>9</v>
      </c>
      <c r="D346">
        <v>-5.9900000000000002E-2</v>
      </c>
      <c r="E346">
        <v>1.6000000000000001E-3</v>
      </c>
      <c r="F346">
        <v>-1.11E-2</v>
      </c>
      <c r="G346">
        <v>1.5800000000000002E-2</v>
      </c>
    </row>
    <row r="347" spans="1:7" x14ac:dyDescent="0.2">
      <c r="A347">
        <v>19601031</v>
      </c>
      <c r="B347">
        <v>1960</v>
      </c>
      <c r="C347">
        <v>10</v>
      </c>
      <c r="D347">
        <v>-7.1000000000000004E-3</v>
      </c>
      <c r="E347">
        <v>2.2000000000000001E-3</v>
      </c>
      <c r="F347">
        <v>-3.95E-2</v>
      </c>
      <c r="G347">
        <v>2.5999999999999999E-2</v>
      </c>
    </row>
    <row r="348" spans="1:7" x14ac:dyDescent="0.2">
      <c r="A348">
        <v>19601130</v>
      </c>
      <c r="B348">
        <v>1960</v>
      </c>
      <c r="C348">
        <v>11</v>
      </c>
      <c r="D348">
        <v>4.6899999999999997E-2</v>
      </c>
      <c r="E348">
        <v>1.2999999999999999E-3</v>
      </c>
      <c r="F348">
        <v>3.5000000000000001E-3</v>
      </c>
      <c r="G348">
        <v>-2.4500000000000001E-2</v>
      </c>
    </row>
    <row r="349" spans="1:7" x14ac:dyDescent="0.2">
      <c r="A349">
        <v>19601230</v>
      </c>
      <c r="B349">
        <v>1960</v>
      </c>
      <c r="C349">
        <v>12</v>
      </c>
      <c r="D349">
        <v>4.7100000000000003E-2</v>
      </c>
      <c r="E349">
        <v>1.6000000000000001E-3</v>
      </c>
      <c r="F349">
        <v>-1.5599999999999999E-2</v>
      </c>
      <c r="G349">
        <v>-7.9000000000000008E-3</v>
      </c>
    </row>
    <row r="350" spans="1:7" x14ac:dyDescent="0.2">
      <c r="A350">
        <v>19610131</v>
      </c>
      <c r="B350">
        <v>1961</v>
      </c>
      <c r="C350">
        <v>1</v>
      </c>
      <c r="D350">
        <v>6.2E-2</v>
      </c>
      <c r="E350">
        <v>1.9E-3</v>
      </c>
      <c r="F350">
        <v>6.6E-3</v>
      </c>
      <c r="G350">
        <v>3.6999999999999998E-2</v>
      </c>
    </row>
    <row r="351" spans="1:7" x14ac:dyDescent="0.2">
      <c r="A351">
        <v>19610228</v>
      </c>
      <c r="B351">
        <v>1961</v>
      </c>
      <c r="C351">
        <v>2</v>
      </c>
      <c r="D351">
        <v>3.5700000000000003E-2</v>
      </c>
      <c r="E351">
        <v>1.4E-3</v>
      </c>
      <c r="F351">
        <v>3.9800000000000002E-2</v>
      </c>
      <c r="G351">
        <v>-7.4000000000000003E-3</v>
      </c>
    </row>
    <row r="352" spans="1:7" x14ac:dyDescent="0.2">
      <c r="A352">
        <v>19610330</v>
      </c>
      <c r="B352">
        <v>1961</v>
      </c>
      <c r="C352">
        <v>3</v>
      </c>
      <c r="D352">
        <v>2.8899999999999999E-2</v>
      </c>
      <c r="E352">
        <v>2E-3</v>
      </c>
      <c r="F352">
        <v>3.27E-2</v>
      </c>
      <c r="G352">
        <v>-7.7000000000000002E-3</v>
      </c>
    </row>
    <row r="353" spans="1:7" x14ac:dyDescent="0.2">
      <c r="A353">
        <v>19610428</v>
      </c>
      <c r="B353">
        <v>1961</v>
      </c>
      <c r="C353">
        <v>4</v>
      </c>
      <c r="D353">
        <v>2.8999999999999998E-3</v>
      </c>
      <c r="E353">
        <v>1.6999999999999999E-3</v>
      </c>
      <c r="F353">
        <v>1E-3</v>
      </c>
      <c r="G353">
        <v>2.0500000000000001E-2</v>
      </c>
    </row>
    <row r="354" spans="1:7" x14ac:dyDescent="0.2">
      <c r="A354">
        <v>19610531</v>
      </c>
      <c r="B354">
        <v>1961</v>
      </c>
      <c r="C354">
        <v>5</v>
      </c>
      <c r="D354">
        <v>2.4E-2</v>
      </c>
      <c r="E354">
        <v>1.8E-3</v>
      </c>
      <c r="F354">
        <v>1.95E-2</v>
      </c>
      <c r="G354">
        <v>4.7999999999999996E-3</v>
      </c>
    </row>
    <row r="355" spans="1:7" x14ac:dyDescent="0.2">
      <c r="A355">
        <v>19610630</v>
      </c>
      <c r="B355">
        <v>1961</v>
      </c>
      <c r="C355">
        <v>6</v>
      </c>
      <c r="D355">
        <v>-3.0800000000000001E-2</v>
      </c>
      <c r="E355">
        <v>2E-3</v>
      </c>
      <c r="F355">
        <v>-2.47E-2</v>
      </c>
      <c r="G355">
        <v>-1.8E-3</v>
      </c>
    </row>
    <row r="356" spans="1:7" x14ac:dyDescent="0.2">
      <c r="A356">
        <v>19610731</v>
      </c>
      <c r="B356">
        <v>1961</v>
      </c>
      <c r="C356">
        <v>7</v>
      </c>
      <c r="D356">
        <v>2.8299999999999999E-2</v>
      </c>
      <c r="E356">
        <v>1.8E-3</v>
      </c>
      <c r="F356">
        <v>-1.8800000000000001E-2</v>
      </c>
      <c r="G356">
        <v>-1.1000000000000001E-3</v>
      </c>
    </row>
    <row r="357" spans="1:7" x14ac:dyDescent="0.2">
      <c r="A357">
        <v>19610831</v>
      </c>
      <c r="B357">
        <v>1961</v>
      </c>
      <c r="C357">
        <v>8</v>
      </c>
      <c r="D357">
        <v>2.5700000000000001E-2</v>
      </c>
      <c r="E357">
        <v>1.4E-3</v>
      </c>
      <c r="F357">
        <v>-1.7500000000000002E-2</v>
      </c>
      <c r="G357">
        <v>-2.8E-3</v>
      </c>
    </row>
    <row r="358" spans="1:7" x14ac:dyDescent="0.2">
      <c r="A358">
        <v>19610929</v>
      </c>
      <c r="B358">
        <v>1961</v>
      </c>
      <c r="C358">
        <v>9</v>
      </c>
      <c r="D358">
        <v>-2.1499999999999998E-2</v>
      </c>
      <c r="E358">
        <v>1.6999999999999999E-3</v>
      </c>
      <c r="F358">
        <v>-1.0500000000000001E-2</v>
      </c>
      <c r="G358">
        <v>-5.7999999999999996E-3</v>
      </c>
    </row>
    <row r="359" spans="1:7" x14ac:dyDescent="0.2">
      <c r="A359">
        <v>19611031</v>
      </c>
      <c r="B359">
        <v>1961</v>
      </c>
      <c r="C359">
        <v>10</v>
      </c>
      <c r="D359">
        <v>2.5700000000000001E-2</v>
      </c>
      <c r="E359">
        <v>1.9E-3</v>
      </c>
      <c r="F359">
        <v>-1.61E-2</v>
      </c>
      <c r="G359">
        <v>1.1999999999999999E-3</v>
      </c>
    </row>
    <row r="360" spans="1:7" x14ac:dyDescent="0.2">
      <c r="A360">
        <v>19611130</v>
      </c>
      <c r="B360">
        <v>1961</v>
      </c>
      <c r="C360">
        <v>11</v>
      </c>
      <c r="D360">
        <v>4.4499999999999998E-2</v>
      </c>
      <c r="E360">
        <v>1.5E-3</v>
      </c>
      <c r="F360">
        <v>1.24E-2</v>
      </c>
      <c r="G360">
        <v>-1.1900000000000001E-2</v>
      </c>
    </row>
    <row r="361" spans="1:7" x14ac:dyDescent="0.2">
      <c r="A361">
        <v>19611229</v>
      </c>
      <c r="B361">
        <v>1961</v>
      </c>
      <c r="C361">
        <v>12</v>
      </c>
      <c r="D361">
        <v>-1.8E-3</v>
      </c>
      <c r="E361">
        <v>1.9E-3</v>
      </c>
      <c r="F361">
        <v>-8.3000000000000001E-3</v>
      </c>
      <c r="G361">
        <v>1.83E-2</v>
      </c>
    </row>
    <row r="362" spans="1:7" x14ac:dyDescent="0.2">
      <c r="A362">
        <v>19620131</v>
      </c>
      <c r="B362">
        <v>1962</v>
      </c>
      <c r="C362">
        <v>1</v>
      </c>
      <c r="D362">
        <v>-3.8699999999999998E-2</v>
      </c>
      <c r="E362">
        <v>2.3999999999999998E-3</v>
      </c>
      <c r="F362">
        <v>1.78E-2</v>
      </c>
      <c r="G362">
        <v>5.0900000000000001E-2</v>
      </c>
    </row>
    <row r="363" spans="1:7" x14ac:dyDescent="0.2">
      <c r="A363">
        <v>19620228</v>
      </c>
      <c r="B363">
        <v>1962</v>
      </c>
      <c r="C363">
        <v>2</v>
      </c>
      <c r="D363">
        <v>1.8100000000000002E-2</v>
      </c>
      <c r="E363">
        <v>2E-3</v>
      </c>
      <c r="F363">
        <v>-1.1599999999999999E-2</v>
      </c>
      <c r="G363">
        <v>8.5000000000000006E-3</v>
      </c>
    </row>
    <row r="364" spans="1:7" x14ac:dyDescent="0.2">
      <c r="A364">
        <v>19620330</v>
      </c>
      <c r="B364">
        <v>1962</v>
      </c>
      <c r="C364">
        <v>3</v>
      </c>
      <c r="D364">
        <v>-6.7999999999999996E-3</v>
      </c>
      <c r="E364">
        <v>2E-3</v>
      </c>
      <c r="F364">
        <v>5.3E-3</v>
      </c>
      <c r="G364">
        <v>-1.43E-2</v>
      </c>
    </row>
    <row r="365" spans="1:7" x14ac:dyDescent="0.2">
      <c r="A365">
        <v>19620430</v>
      </c>
      <c r="B365">
        <v>1962</v>
      </c>
      <c r="C365">
        <v>4</v>
      </c>
      <c r="D365">
        <v>-6.59E-2</v>
      </c>
      <c r="E365">
        <v>2.2000000000000001E-3</v>
      </c>
      <c r="F365">
        <v>-6.7999999999999996E-3</v>
      </c>
      <c r="G365">
        <v>2.9999999999999997E-4</v>
      </c>
    </row>
    <row r="366" spans="1:7" x14ac:dyDescent="0.2">
      <c r="A366">
        <v>19620531</v>
      </c>
      <c r="B366">
        <v>1962</v>
      </c>
      <c r="C366">
        <v>5</v>
      </c>
      <c r="D366">
        <v>-8.6499999999999994E-2</v>
      </c>
      <c r="E366">
        <v>2.3999999999999998E-3</v>
      </c>
      <c r="F366">
        <v>-3.3300000000000003E-2</v>
      </c>
      <c r="G366">
        <v>2.7799999999999998E-2</v>
      </c>
    </row>
    <row r="367" spans="1:7" x14ac:dyDescent="0.2">
      <c r="A367">
        <v>19620629</v>
      </c>
      <c r="B367">
        <v>1962</v>
      </c>
      <c r="C367">
        <v>6</v>
      </c>
      <c r="D367">
        <v>-8.4699999999999998E-2</v>
      </c>
      <c r="E367">
        <v>2E-3</v>
      </c>
      <c r="F367">
        <v>-5.7000000000000002E-3</v>
      </c>
      <c r="G367">
        <v>2.5399999999999999E-2</v>
      </c>
    </row>
    <row r="368" spans="1:7" x14ac:dyDescent="0.2">
      <c r="A368">
        <v>19620731</v>
      </c>
      <c r="B368">
        <v>1962</v>
      </c>
      <c r="C368">
        <v>7</v>
      </c>
      <c r="D368">
        <v>6.2799999999999995E-2</v>
      </c>
      <c r="E368">
        <v>2.7000000000000001E-3</v>
      </c>
      <c r="F368">
        <v>1.49E-2</v>
      </c>
      <c r="G368">
        <v>-3.44E-2</v>
      </c>
    </row>
    <row r="369" spans="1:7" x14ac:dyDescent="0.2">
      <c r="A369">
        <v>19620831</v>
      </c>
      <c r="B369">
        <v>1962</v>
      </c>
      <c r="C369">
        <v>8</v>
      </c>
      <c r="D369">
        <v>2.1299999999999999E-2</v>
      </c>
      <c r="E369">
        <v>2.3E-3</v>
      </c>
      <c r="F369">
        <v>1.23E-2</v>
      </c>
      <c r="G369">
        <v>-1.1900000000000001E-2</v>
      </c>
    </row>
    <row r="370" spans="1:7" x14ac:dyDescent="0.2">
      <c r="A370">
        <v>19620928</v>
      </c>
      <c r="B370">
        <v>1962</v>
      </c>
      <c r="C370">
        <v>9</v>
      </c>
      <c r="D370">
        <v>-5.2200000000000003E-2</v>
      </c>
      <c r="E370">
        <v>2.0999999999999999E-3</v>
      </c>
      <c r="F370">
        <v>-2.4299999999999999E-2</v>
      </c>
      <c r="G370">
        <v>1.23E-2</v>
      </c>
    </row>
    <row r="371" spans="1:7" x14ac:dyDescent="0.2">
      <c r="A371">
        <v>19621031</v>
      </c>
      <c r="B371">
        <v>1962</v>
      </c>
      <c r="C371">
        <v>10</v>
      </c>
      <c r="D371">
        <v>-5.0000000000000001E-4</v>
      </c>
      <c r="E371">
        <v>2.5000000000000001E-3</v>
      </c>
      <c r="F371">
        <v>-3.9699999999999999E-2</v>
      </c>
      <c r="G371">
        <v>1.29E-2</v>
      </c>
    </row>
    <row r="372" spans="1:7" x14ac:dyDescent="0.2">
      <c r="A372">
        <v>19621130</v>
      </c>
      <c r="B372">
        <v>1962</v>
      </c>
      <c r="C372">
        <v>11</v>
      </c>
      <c r="D372">
        <v>0.1087</v>
      </c>
      <c r="E372">
        <v>2E-3</v>
      </c>
      <c r="F372">
        <v>2.6100000000000002E-2</v>
      </c>
      <c r="G372">
        <v>1.01E-2</v>
      </c>
    </row>
    <row r="373" spans="1:7" x14ac:dyDescent="0.2">
      <c r="A373">
        <v>19621231</v>
      </c>
      <c r="B373">
        <v>1962</v>
      </c>
      <c r="C373">
        <v>12</v>
      </c>
      <c r="D373">
        <v>1.01E-2</v>
      </c>
      <c r="E373">
        <v>2.3E-3</v>
      </c>
      <c r="F373">
        <v>-3.7999999999999999E-2</v>
      </c>
      <c r="G373">
        <v>3.3E-3</v>
      </c>
    </row>
    <row r="374" spans="1:7" x14ac:dyDescent="0.2">
      <c r="A374">
        <v>19630131</v>
      </c>
      <c r="B374">
        <v>1963</v>
      </c>
      <c r="C374">
        <v>1</v>
      </c>
      <c r="D374">
        <v>4.9299999999999997E-2</v>
      </c>
      <c r="E374">
        <v>2.5000000000000001E-3</v>
      </c>
      <c r="F374">
        <v>3.0599999999999999E-2</v>
      </c>
      <c r="G374">
        <v>2.2599999999999999E-2</v>
      </c>
    </row>
    <row r="375" spans="1:7" x14ac:dyDescent="0.2">
      <c r="A375">
        <v>19630228</v>
      </c>
      <c r="B375">
        <v>1963</v>
      </c>
      <c r="C375">
        <v>2</v>
      </c>
      <c r="D375">
        <v>-2.3800000000000002E-2</v>
      </c>
      <c r="E375">
        <v>2.3E-3</v>
      </c>
      <c r="F375">
        <v>5.0000000000000001E-3</v>
      </c>
      <c r="G375">
        <v>2.2100000000000002E-2</v>
      </c>
    </row>
    <row r="376" spans="1:7" x14ac:dyDescent="0.2">
      <c r="A376">
        <v>19630329</v>
      </c>
      <c r="B376">
        <v>1963</v>
      </c>
      <c r="C376">
        <v>3</v>
      </c>
      <c r="D376">
        <v>3.0800000000000001E-2</v>
      </c>
      <c r="E376">
        <v>2.3E-3</v>
      </c>
      <c r="F376">
        <v>-2.6200000000000001E-2</v>
      </c>
      <c r="G376">
        <v>2.1000000000000001E-2</v>
      </c>
    </row>
    <row r="377" spans="1:7" x14ac:dyDescent="0.2">
      <c r="A377">
        <v>19630430</v>
      </c>
      <c r="B377">
        <v>1963</v>
      </c>
      <c r="C377">
        <v>4</v>
      </c>
      <c r="D377">
        <v>4.5100000000000001E-2</v>
      </c>
      <c r="E377">
        <v>2.5000000000000001E-3</v>
      </c>
      <c r="F377">
        <v>-1.3100000000000001E-2</v>
      </c>
      <c r="G377">
        <v>1.01E-2</v>
      </c>
    </row>
    <row r="378" spans="1:7" x14ac:dyDescent="0.2">
      <c r="A378">
        <v>19630531</v>
      </c>
      <c r="B378">
        <v>1963</v>
      </c>
      <c r="C378">
        <v>5</v>
      </c>
      <c r="D378">
        <v>1.7600000000000001E-2</v>
      </c>
      <c r="E378">
        <v>2.3999999999999998E-3</v>
      </c>
      <c r="F378">
        <v>1.12E-2</v>
      </c>
      <c r="G378">
        <v>2.5000000000000001E-2</v>
      </c>
    </row>
    <row r="379" spans="1:7" x14ac:dyDescent="0.2">
      <c r="A379">
        <v>19630628</v>
      </c>
      <c r="B379">
        <v>1963</v>
      </c>
      <c r="C379">
        <v>6</v>
      </c>
      <c r="D379">
        <v>-0.02</v>
      </c>
      <c r="E379">
        <v>2.3E-3</v>
      </c>
      <c r="F379">
        <v>-2.5000000000000001E-3</v>
      </c>
      <c r="G379">
        <v>7.0000000000000001E-3</v>
      </c>
    </row>
    <row r="380" spans="1:7" x14ac:dyDescent="0.2">
      <c r="A380">
        <v>19630731</v>
      </c>
      <c r="B380">
        <v>1963</v>
      </c>
      <c r="C380">
        <v>7</v>
      </c>
      <c r="D380">
        <v>-3.8999999999999998E-3</v>
      </c>
      <c r="E380">
        <v>2.7000000000000001E-3</v>
      </c>
      <c r="F380">
        <v>-5.5999999999999999E-3</v>
      </c>
      <c r="G380">
        <v>-8.3000000000000001E-3</v>
      </c>
    </row>
    <row r="381" spans="1:7" x14ac:dyDescent="0.2">
      <c r="A381">
        <v>19630830</v>
      </c>
      <c r="B381">
        <v>1963</v>
      </c>
      <c r="C381">
        <v>8</v>
      </c>
      <c r="D381">
        <v>5.0700000000000002E-2</v>
      </c>
      <c r="E381">
        <v>2.5000000000000001E-3</v>
      </c>
      <c r="F381">
        <v>-9.4000000000000004E-3</v>
      </c>
      <c r="G381">
        <v>1.67E-2</v>
      </c>
    </row>
    <row r="382" spans="1:7" x14ac:dyDescent="0.2">
      <c r="A382">
        <v>19630930</v>
      </c>
      <c r="B382">
        <v>1963</v>
      </c>
      <c r="C382">
        <v>9</v>
      </c>
      <c r="D382">
        <v>-1.5699999999999999E-2</v>
      </c>
      <c r="E382">
        <v>2.7000000000000001E-3</v>
      </c>
      <c r="F382">
        <v>-3.0999999999999999E-3</v>
      </c>
      <c r="G382">
        <v>1.8E-3</v>
      </c>
    </row>
    <row r="383" spans="1:7" x14ac:dyDescent="0.2">
      <c r="A383">
        <v>19631031</v>
      </c>
      <c r="B383">
        <v>1963</v>
      </c>
      <c r="C383">
        <v>10</v>
      </c>
      <c r="D383">
        <v>2.53E-2</v>
      </c>
      <c r="E383">
        <v>2.8999999999999998E-3</v>
      </c>
      <c r="F383">
        <v>-5.4000000000000003E-3</v>
      </c>
      <c r="G383">
        <v>-1E-3</v>
      </c>
    </row>
    <row r="384" spans="1:7" x14ac:dyDescent="0.2">
      <c r="A384">
        <v>19631129</v>
      </c>
      <c r="B384">
        <v>1963</v>
      </c>
      <c r="C384">
        <v>11</v>
      </c>
      <c r="D384">
        <v>-8.5000000000000006E-3</v>
      </c>
      <c r="E384">
        <v>2.7000000000000001E-3</v>
      </c>
      <c r="F384">
        <v>-1.1299999999999999E-2</v>
      </c>
      <c r="G384">
        <v>1.7100000000000001E-2</v>
      </c>
    </row>
    <row r="385" spans="1:7" x14ac:dyDescent="0.2">
      <c r="A385">
        <v>19631231</v>
      </c>
      <c r="B385">
        <v>1963</v>
      </c>
      <c r="C385">
        <v>12</v>
      </c>
      <c r="D385">
        <v>1.83E-2</v>
      </c>
      <c r="E385">
        <v>2.8999999999999998E-3</v>
      </c>
      <c r="F385">
        <v>-1.9699999999999999E-2</v>
      </c>
      <c r="G385">
        <v>-1.1999999999999999E-3</v>
      </c>
    </row>
    <row r="386" spans="1:7" x14ac:dyDescent="0.2">
      <c r="A386">
        <v>19640131</v>
      </c>
      <c r="B386">
        <v>1964</v>
      </c>
      <c r="C386">
        <v>1</v>
      </c>
      <c r="D386">
        <v>2.24E-2</v>
      </c>
      <c r="E386">
        <v>3.0000000000000001E-3</v>
      </c>
      <c r="F386">
        <v>-1.9E-3</v>
      </c>
      <c r="G386">
        <v>1.5900000000000001E-2</v>
      </c>
    </row>
    <row r="387" spans="1:7" x14ac:dyDescent="0.2">
      <c r="A387">
        <v>19640228</v>
      </c>
      <c r="B387">
        <v>1964</v>
      </c>
      <c r="C387">
        <v>2</v>
      </c>
      <c r="D387">
        <v>1.54E-2</v>
      </c>
      <c r="E387">
        <v>2.5999999999999999E-3</v>
      </c>
      <c r="F387">
        <v>1E-3</v>
      </c>
      <c r="G387">
        <v>2.8299999999999999E-2</v>
      </c>
    </row>
    <row r="388" spans="1:7" x14ac:dyDescent="0.2">
      <c r="A388">
        <v>19640331</v>
      </c>
      <c r="B388">
        <v>1964</v>
      </c>
      <c r="C388">
        <v>3</v>
      </c>
      <c r="D388">
        <v>1.41E-2</v>
      </c>
      <c r="E388">
        <v>3.0999999999999999E-3</v>
      </c>
      <c r="F388">
        <v>9.9000000000000008E-3</v>
      </c>
      <c r="G388">
        <v>3.32E-2</v>
      </c>
    </row>
    <row r="389" spans="1:7" x14ac:dyDescent="0.2">
      <c r="A389">
        <v>19640430</v>
      </c>
      <c r="B389">
        <v>1964</v>
      </c>
      <c r="C389">
        <v>4</v>
      </c>
      <c r="D389">
        <v>1E-3</v>
      </c>
      <c r="E389">
        <v>2.8999999999999998E-3</v>
      </c>
      <c r="F389">
        <v>-1.37E-2</v>
      </c>
      <c r="G389">
        <v>-5.4999999999999997E-3</v>
      </c>
    </row>
    <row r="390" spans="1:7" x14ac:dyDescent="0.2">
      <c r="A390">
        <v>19640528</v>
      </c>
      <c r="B390">
        <v>1964</v>
      </c>
      <c r="C390">
        <v>5</v>
      </c>
      <c r="D390">
        <v>1.4200000000000001E-2</v>
      </c>
      <c r="E390">
        <v>2.5999999999999999E-3</v>
      </c>
      <c r="F390">
        <v>-8.9999999999999993E-3</v>
      </c>
      <c r="G390">
        <v>1.9800000000000002E-2</v>
      </c>
    </row>
    <row r="391" spans="1:7" x14ac:dyDescent="0.2">
      <c r="A391">
        <v>19640630</v>
      </c>
      <c r="B391">
        <v>1964</v>
      </c>
      <c r="C391">
        <v>6</v>
      </c>
      <c r="D391">
        <v>1.2699999999999999E-2</v>
      </c>
      <c r="E391">
        <v>3.0000000000000001E-3</v>
      </c>
      <c r="F391">
        <v>-2.5999999999999999E-3</v>
      </c>
      <c r="G391">
        <v>6.7999999999999996E-3</v>
      </c>
    </row>
    <row r="392" spans="1:7" x14ac:dyDescent="0.2">
      <c r="A392">
        <v>19640731</v>
      </c>
      <c r="B392">
        <v>1964</v>
      </c>
      <c r="C392">
        <v>7</v>
      </c>
      <c r="D392">
        <v>1.7399999999999999E-2</v>
      </c>
      <c r="E392">
        <v>3.0000000000000001E-3</v>
      </c>
      <c r="F392">
        <v>2.8E-3</v>
      </c>
      <c r="G392">
        <v>6.7999999999999996E-3</v>
      </c>
    </row>
    <row r="393" spans="1:7" x14ac:dyDescent="0.2">
      <c r="A393">
        <v>19640831</v>
      </c>
      <c r="B393">
        <v>1964</v>
      </c>
      <c r="C393">
        <v>8</v>
      </c>
      <c r="D393">
        <v>-1.44E-2</v>
      </c>
      <c r="E393">
        <v>2.8E-3</v>
      </c>
      <c r="F393">
        <v>8.9999999999999998E-4</v>
      </c>
      <c r="G393">
        <v>8.9999999999999998E-4</v>
      </c>
    </row>
    <row r="394" spans="1:7" x14ac:dyDescent="0.2">
      <c r="A394">
        <v>19640930</v>
      </c>
      <c r="B394">
        <v>1964</v>
      </c>
      <c r="C394">
        <v>9</v>
      </c>
      <c r="D394">
        <v>2.69E-2</v>
      </c>
      <c r="E394">
        <v>2.8E-3</v>
      </c>
      <c r="F394">
        <v>-5.1000000000000004E-3</v>
      </c>
      <c r="G394">
        <v>1.6500000000000001E-2</v>
      </c>
    </row>
    <row r="395" spans="1:7" x14ac:dyDescent="0.2">
      <c r="A395">
        <v>19641030</v>
      </c>
      <c r="B395">
        <v>1964</v>
      </c>
      <c r="C395">
        <v>10</v>
      </c>
      <c r="D395">
        <v>5.8999999999999999E-3</v>
      </c>
      <c r="E395">
        <v>2.8999999999999998E-3</v>
      </c>
      <c r="F395">
        <v>4.3E-3</v>
      </c>
      <c r="G395">
        <v>1.14E-2</v>
      </c>
    </row>
    <row r="396" spans="1:7" x14ac:dyDescent="0.2">
      <c r="A396">
        <v>19641130</v>
      </c>
      <c r="B396">
        <v>1964</v>
      </c>
      <c r="C396">
        <v>11</v>
      </c>
      <c r="D396">
        <v>0</v>
      </c>
      <c r="E396">
        <v>2.8999999999999998E-3</v>
      </c>
      <c r="F396">
        <v>6.1000000000000004E-3</v>
      </c>
      <c r="G396">
        <v>-1.9800000000000002E-2</v>
      </c>
    </row>
    <row r="397" spans="1:7" x14ac:dyDescent="0.2">
      <c r="A397">
        <v>19641231</v>
      </c>
      <c r="B397">
        <v>1964</v>
      </c>
      <c r="C397">
        <v>12</v>
      </c>
      <c r="D397">
        <v>2.9999999999999997E-4</v>
      </c>
      <c r="E397">
        <v>3.0999999999999999E-3</v>
      </c>
      <c r="F397">
        <v>-2.5999999999999999E-3</v>
      </c>
      <c r="G397">
        <v>-2.5499999999999998E-2</v>
      </c>
    </row>
    <row r="398" spans="1:7" x14ac:dyDescent="0.2">
      <c r="A398">
        <v>19650129</v>
      </c>
      <c r="B398">
        <v>1965</v>
      </c>
      <c r="C398">
        <v>1</v>
      </c>
      <c r="D398">
        <v>3.5400000000000001E-2</v>
      </c>
      <c r="E398">
        <v>2.8E-3</v>
      </c>
      <c r="F398">
        <v>2.7E-2</v>
      </c>
      <c r="G398">
        <v>1.8E-3</v>
      </c>
    </row>
    <row r="399" spans="1:7" x14ac:dyDescent="0.2">
      <c r="A399">
        <v>19650226</v>
      </c>
      <c r="B399">
        <v>1965</v>
      </c>
      <c r="C399">
        <v>2</v>
      </c>
      <c r="D399">
        <v>4.4000000000000003E-3</v>
      </c>
      <c r="E399">
        <v>3.0000000000000001E-3</v>
      </c>
      <c r="F399">
        <v>3.4799999999999998E-2</v>
      </c>
      <c r="G399">
        <v>2.2000000000000001E-3</v>
      </c>
    </row>
    <row r="400" spans="1:7" x14ac:dyDescent="0.2">
      <c r="A400">
        <v>19650331</v>
      </c>
      <c r="B400">
        <v>1965</v>
      </c>
      <c r="C400">
        <v>3</v>
      </c>
      <c r="D400">
        <v>-1.34E-2</v>
      </c>
      <c r="E400">
        <v>3.5999999999999999E-3</v>
      </c>
      <c r="F400">
        <v>1.7899999999999999E-2</v>
      </c>
      <c r="G400">
        <v>1.09E-2</v>
      </c>
    </row>
    <row r="401" spans="1:7" x14ac:dyDescent="0.2">
      <c r="A401">
        <v>19650430</v>
      </c>
      <c r="B401">
        <v>1965</v>
      </c>
      <c r="C401">
        <v>4</v>
      </c>
      <c r="D401">
        <v>3.1099999999999999E-2</v>
      </c>
      <c r="E401">
        <v>3.0999999999999999E-3</v>
      </c>
      <c r="F401">
        <v>1.2E-2</v>
      </c>
      <c r="G401">
        <v>7.1000000000000004E-3</v>
      </c>
    </row>
    <row r="402" spans="1:7" x14ac:dyDescent="0.2">
      <c r="A402">
        <v>19650528</v>
      </c>
      <c r="B402">
        <v>1965</v>
      </c>
      <c r="C402">
        <v>5</v>
      </c>
      <c r="D402">
        <v>-7.7000000000000002E-3</v>
      </c>
      <c r="E402">
        <v>3.0999999999999999E-3</v>
      </c>
      <c r="F402">
        <v>4.0000000000000002E-4</v>
      </c>
      <c r="G402">
        <v>-1.6299999999999999E-2</v>
      </c>
    </row>
    <row r="403" spans="1:7" x14ac:dyDescent="0.2">
      <c r="A403">
        <v>19650630</v>
      </c>
      <c r="B403">
        <v>1965</v>
      </c>
      <c r="C403">
        <v>6</v>
      </c>
      <c r="D403">
        <v>-5.5100000000000003E-2</v>
      </c>
      <c r="E403">
        <v>3.5000000000000001E-3</v>
      </c>
      <c r="F403">
        <v>-4.3499999999999997E-2</v>
      </c>
      <c r="G403">
        <v>5.4999999999999997E-3</v>
      </c>
    </row>
    <row r="404" spans="1:7" x14ac:dyDescent="0.2">
      <c r="A404">
        <v>19650730</v>
      </c>
      <c r="B404">
        <v>1965</v>
      </c>
      <c r="C404">
        <v>7</v>
      </c>
      <c r="D404">
        <v>1.43E-2</v>
      </c>
      <c r="E404">
        <v>3.0999999999999999E-3</v>
      </c>
      <c r="F404">
        <v>8.6999999999999994E-3</v>
      </c>
      <c r="G404">
        <v>2.18E-2</v>
      </c>
    </row>
    <row r="405" spans="1:7" x14ac:dyDescent="0.2">
      <c r="A405">
        <v>19650831</v>
      </c>
      <c r="B405">
        <v>1965</v>
      </c>
      <c r="C405">
        <v>8</v>
      </c>
      <c r="D405">
        <v>2.7300000000000001E-2</v>
      </c>
      <c r="E405">
        <v>3.3E-3</v>
      </c>
      <c r="F405">
        <v>2.81E-2</v>
      </c>
      <c r="G405">
        <v>-9.5999999999999992E-3</v>
      </c>
    </row>
    <row r="406" spans="1:7" x14ac:dyDescent="0.2">
      <c r="A406">
        <v>19650930</v>
      </c>
      <c r="B406">
        <v>1965</v>
      </c>
      <c r="C406">
        <v>9</v>
      </c>
      <c r="D406">
        <v>2.86E-2</v>
      </c>
      <c r="E406">
        <v>3.0999999999999999E-3</v>
      </c>
      <c r="F406">
        <v>6.1000000000000004E-3</v>
      </c>
      <c r="G406">
        <v>-1E-3</v>
      </c>
    </row>
    <row r="407" spans="1:7" x14ac:dyDescent="0.2">
      <c r="A407">
        <v>19651029</v>
      </c>
      <c r="B407">
        <v>1965</v>
      </c>
      <c r="C407">
        <v>10</v>
      </c>
      <c r="D407">
        <v>2.5999999999999999E-2</v>
      </c>
      <c r="E407">
        <v>3.0999999999999999E-3</v>
      </c>
      <c r="F407">
        <v>2.4799999999999999E-2</v>
      </c>
      <c r="G407">
        <v>1.52E-2</v>
      </c>
    </row>
    <row r="408" spans="1:7" x14ac:dyDescent="0.2">
      <c r="A408">
        <v>19651130</v>
      </c>
      <c r="B408">
        <v>1965</v>
      </c>
      <c r="C408">
        <v>11</v>
      </c>
      <c r="D408">
        <v>-2.9999999999999997E-4</v>
      </c>
      <c r="E408">
        <v>3.5000000000000001E-3</v>
      </c>
      <c r="F408">
        <v>4.6800000000000001E-2</v>
      </c>
      <c r="G408">
        <v>2.0999999999999999E-3</v>
      </c>
    </row>
    <row r="409" spans="1:7" x14ac:dyDescent="0.2">
      <c r="A409">
        <v>19651231</v>
      </c>
      <c r="B409">
        <v>1965</v>
      </c>
      <c r="C409">
        <v>12</v>
      </c>
      <c r="D409">
        <v>1.01E-2</v>
      </c>
      <c r="E409">
        <v>3.3E-3</v>
      </c>
      <c r="F409">
        <v>2.0799999999999999E-2</v>
      </c>
      <c r="G409">
        <v>1.95E-2</v>
      </c>
    </row>
    <row r="410" spans="1:7" x14ac:dyDescent="0.2">
      <c r="A410">
        <v>19660131</v>
      </c>
      <c r="B410">
        <v>1966</v>
      </c>
      <c r="C410">
        <v>1</v>
      </c>
      <c r="D410">
        <v>7.1999999999999998E-3</v>
      </c>
      <c r="E410">
        <v>3.8E-3</v>
      </c>
      <c r="F410">
        <v>3.8899999999999997E-2</v>
      </c>
      <c r="G410">
        <v>3.49E-2</v>
      </c>
    </row>
    <row r="411" spans="1:7" x14ac:dyDescent="0.2">
      <c r="A411">
        <v>19660228</v>
      </c>
      <c r="B411">
        <v>1966</v>
      </c>
      <c r="C411">
        <v>2</v>
      </c>
      <c r="D411">
        <v>-1.21E-2</v>
      </c>
      <c r="E411">
        <v>3.5000000000000001E-3</v>
      </c>
      <c r="F411">
        <v>4.5400000000000003E-2</v>
      </c>
      <c r="G411">
        <v>2.7000000000000001E-3</v>
      </c>
    </row>
    <row r="412" spans="1:7" x14ac:dyDescent="0.2">
      <c r="A412">
        <v>19660331</v>
      </c>
      <c r="B412">
        <v>1966</v>
      </c>
      <c r="C412">
        <v>3</v>
      </c>
      <c r="D412">
        <v>-2.5100000000000001E-2</v>
      </c>
      <c r="E412">
        <v>3.8E-3</v>
      </c>
      <c r="F412">
        <v>9.4000000000000004E-3</v>
      </c>
      <c r="G412">
        <v>-2.07E-2</v>
      </c>
    </row>
    <row r="413" spans="1:7" x14ac:dyDescent="0.2">
      <c r="A413">
        <v>19660429</v>
      </c>
      <c r="B413">
        <v>1966</v>
      </c>
      <c r="C413">
        <v>4</v>
      </c>
      <c r="D413">
        <v>2.1399999999999999E-2</v>
      </c>
      <c r="E413">
        <v>3.3999999999999998E-3</v>
      </c>
      <c r="F413">
        <v>3.4500000000000003E-2</v>
      </c>
      <c r="G413">
        <v>-5.4000000000000003E-3</v>
      </c>
    </row>
    <row r="414" spans="1:7" x14ac:dyDescent="0.2">
      <c r="A414">
        <v>19660531</v>
      </c>
      <c r="B414">
        <v>1966</v>
      </c>
      <c r="C414">
        <v>5</v>
      </c>
      <c r="D414">
        <v>-5.6599999999999998E-2</v>
      </c>
      <c r="E414">
        <v>4.1000000000000003E-3</v>
      </c>
      <c r="F414">
        <v>-4.7E-2</v>
      </c>
      <c r="G414">
        <v>-1.55E-2</v>
      </c>
    </row>
    <row r="415" spans="1:7" x14ac:dyDescent="0.2">
      <c r="A415">
        <v>19660630</v>
      </c>
      <c r="B415">
        <v>1966</v>
      </c>
      <c r="C415">
        <v>6</v>
      </c>
      <c r="D415">
        <v>-1.44E-2</v>
      </c>
      <c r="E415">
        <v>3.8E-3</v>
      </c>
      <c r="F415">
        <v>1.0200000000000001E-2</v>
      </c>
      <c r="G415">
        <v>5.0000000000000001E-3</v>
      </c>
    </row>
    <row r="416" spans="1:7" x14ac:dyDescent="0.2">
      <c r="A416">
        <v>19660729</v>
      </c>
      <c r="B416">
        <v>1966</v>
      </c>
      <c r="C416">
        <v>7</v>
      </c>
      <c r="D416">
        <v>-1.6299999999999999E-2</v>
      </c>
      <c r="E416">
        <v>3.5000000000000001E-3</v>
      </c>
      <c r="F416">
        <v>-4.4000000000000003E-3</v>
      </c>
      <c r="G416">
        <v>9.5999999999999992E-3</v>
      </c>
    </row>
    <row r="417" spans="1:7" x14ac:dyDescent="0.2">
      <c r="A417">
        <v>19660831</v>
      </c>
      <c r="B417">
        <v>1966</v>
      </c>
      <c r="C417">
        <v>8</v>
      </c>
      <c r="D417">
        <v>-7.9100000000000004E-2</v>
      </c>
      <c r="E417">
        <v>4.1000000000000003E-3</v>
      </c>
      <c r="F417">
        <v>-3.2300000000000002E-2</v>
      </c>
      <c r="G417">
        <v>4.7000000000000002E-3</v>
      </c>
    </row>
    <row r="418" spans="1:7" x14ac:dyDescent="0.2">
      <c r="A418">
        <v>19660930</v>
      </c>
      <c r="B418">
        <v>1966</v>
      </c>
      <c r="C418">
        <v>9</v>
      </c>
      <c r="D418">
        <v>-1.06E-2</v>
      </c>
      <c r="E418">
        <v>4.0000000000000001E-3</v>
      </c>
      <c r="F418">
        <v>-1.0699999999999999E-2</v>
      </c>
      <c r="G418">
        <v>5.3E-3</v>
      </c>
    </row>
    <row r="419" spans="1:7" x14ac:dyDescent="0.2">
      <c r="A419">
        <v>19661031</v>
      </c>
      <c r="B419">
        <v>1966</v>
      </c>
      <c r="C419">
        <v>10</v>
      </c>
      <c r="D419">
        <v>3.8600000000000002E-2</v>
      </c>
      <c r="E419">
        <v>4.4999999999999997E-3</v>
      </c>
      <c r="F419">
        <v>-6.6400000000000001E-2</v>
      </c>
      <c r="G419">
        <v>2.87E-2</v>
      </c>
    </row>
    <row r="420" spans="1:7" x14ac:dyDescent="0.2">
      <c r="A420">
        <v>19661130</v>
      </c>
      <c r="B420">
        <v>1966</v>
      </c>
      <c r="C420">
        <v>11</v>
      </c>
      <c r="D420">
        <v>1.4E-2</v>
      </c>
      <c r="E420">
        <v>4.0000000000000001E-3</v>
      </c>
      <c r="F420">
        <v>4.2200000000000001E-2</v>
      </c>
      <c r="G420">
        <v>-4.4600000000000001E-2</v>
      </c>
    </row>
    <row r="421" spans="1:7" x14ac:dyDescent="0.2">
      <c r="A421">
        <v>19661230</v>
      </c>
      <c r="B421">
        <v>1966</v>
      </c>
      <c r="C421">
        <v>12</v>
      </c>
      <c r="D421">
        <v>1.2999999999999999E-3</v>
      </c>
      <c r="E421">
        <v>4.0000000000000001E-3</v>
      </c>
      <c r="F421">
        <v>1.8599999999999998E-2</v>
      </c>
      <c r="G421">
        <v>-1.2200000000000001E-2</v>
      </c>
    </row>
    <row r="422" spans="1:7" x14ac:dyDescent="0.2">
      <c r="A422">
        <v>19670131</v>
      </c>
      <c r="B422">
        <v>1967</v>
      </c>
      <c r="C422">
        <v>1</v>
      </c>
      <c r="D422">
        <v>8.1500000000000003E-2</v>
      </c>
      <c r="E422">
        <v>4.3E-3</v>
      </c>
      <c r="F422">
        <v>8.3199999999999996E-2</v>
      </c>
      <c r="G422">
        <v>2.2200000000000001E-2</v>
      </c>
    </row>
    <row r="423" spans="1:7" x14ac:dyDescent="0.2">
      <c r="A423">
        <v>19670228</v>
      </c>
      <c r="B423">
        <v>1967</v>
      </c>
      <c r="C423">
        <v>2</v>
      </c>
      <c r="D423">
        <v>7.7999999999999996E-3</v>
      </c>
      <c r="E423">
        <v>3.5999999999999999E-3</v>
      </c>
      <c r="F423">
        <v>3.3399999999999999E-2</v>
      </c>
      <c r="G423">
        <v>-2.1700000000000001E-2</v>
      </c>
    </row>
    <row r="424" spans="1:7" x14ac:dyDescent="0.2">
      <c r="A424">
        <v>19670331</v>
      </c>
      <c r="B424">
        <v>1967</v>
      </c>
      <c r="C424">
        <v>3</v>
      </c>
      <c r="D424">
        <v>3.9899999999999998E-2</v>
      </c>
      <c r="E424">
        <v>3.8999999999999998E-3</v>
      </c>
      <c r="F424">
        <v>1.6299999999999999E-2</v>
      </c>
      <c r="G424">
        <v>3.0999999999999999E-3</v>
      </c>
    </row>
    <row r="425" spans="1:7" x14ac:dyDescent="0.2">
      <c r="A425">
        <v>19670428</v>
      </c>
      <c r="B425">
        <v>1967</v>
      </c>
      <c r="C425">
        <v>4</v>
      </c>
      <c r="D425">
        <v>3.8899999999999997E-2</v>
      </c>
      <c r="E425">
        <v>3.2000000000000002E-3</v>
      </c>
      <c r="F425">
        <v>6.1999999999999998E-3</v>
      </c>
      <c r="G425">
        <v>-2.64E-2</v>
      </c>
    </row>
    <row r="426" spans="1:7" x14ac:dyDescent="0.2">
      <c r="A426">
        <v>19670531</v>
      </c>
      <c r="B426">
        <v>1967</v>
      </c>
      <c r="C426">
        <v>5</v>
      </c>
      <c r="D426">
        <v>-4.3299999999999998E-2</v>
      </c>
      <c r="E426">
        <v>3.3E-3</v>
      </c>
      <c r="F426">
        <v>1.9800000000000002E-2</v>
      </c>
      <c r="G426">
        <v>8.0000000000000002E-3</v>
      </c>
    </row>
    <row r="427" spans="1:7" x14ac:dyDescent="0.2">
      <c r="A427">
        <v>19670630</v>
      </c>
      <c r="B427">
        <v>1967</v>
      </c>
      <c r="C427">
        <v>6</v>
      </c>
      <c r="D427">
        <v>2.41E-2</v>
      </c>
      <c r="E427">
        <v>2.7000000000000001E-3</v>
      </c>
      <c r="F427">
        <v>5.96E-2</v>
      </c>
      <c r="G427">
        <v>9.5999999999999992E-3</v>
      </c>
    </row>
    <row r="428" spans="1:7" x14ac:dyDescent="0.2">
      <c r="A428">
        <v>19670731</v>
      </c>
      <c r="B428">
        <v>1967</v>
      </c>
      <c r="C428">
        <v>7</v>
      </c>
      <c r="D428">
        <v>4.58E-2</v>
      </c>
      <c r="E428">
        <v>3.0999999999999999E-3</v>
      </c>
      <c r="F428">
        <v>3.0800000000000001E-2</v>
      </c>
      <c r="G428">
        <v>2.6499999999999999E-2</v>
      </c>
    </row>
    <row r="429" spans="1:7" x14ac:dyDescent="0.2">
      <c r="A429">
        <v>19670831</v>
      </c>
      <c r="B429">
        <v>1967</v>
      </c>
      <c r="C429">
        <v>8</v>
      </c>
      <c r="D429">
        <v>-8.8999999999999999E-3</v>
      </c>
      <c r="E429">
        <v>3.0999999999999999E-3</v>
      </c>
      <c r="F429">
        <v>4.7000000000000002E-3</v>
      </c>
      <c r="G429">
        <v>1.46E-2</v>
      </c>
    </row>
    <row r="430" spans="1:7" x14ac:dyDescent="0.2">
      <c r="A430">
        <v>19670929</v>
      </c>
      <c r="B430">
        <v>1967</v>
      </c>
      <c r="C430">
        <v>9</v>
      </c>
      <c r="D430">
        <v>3.1099999999999999E-2</v>
      </c>
      <c r="E430">
        <v>3.2000000000000002E-3</v>
      </c>
      <c r="F430">
        <v>3.1E-2</v>
      </c>
      <c r="G430">
        <v>-2.47E-2</v>
      </c>
    </row>
    <row r="431" spans="1:7" x14ac:dyDescent="0.2">
      <c r="A431">
        <v>19671031</v>
      </c>
      <c r="B431">
        <v>1967</v>
      </c>
      <c r="C431">
        <v>10</v>
      </c>
      <c r="D431">
        <v>-3.09E-2</v>
      </c>
      <c r="E431">
        <v>3.8999999999999998E-3</v>
      </c>
      <c r="F431">
        <v>1.4200000000000001E-2</v>
      </c>
      <c r="G431">
        <v>-3.39E-2</v>
      </c>
    </row>
    <row r="432" spans="1:7" x14ac:dyDescent="0.2">
      <c r="A432">
        <v>19671130</v>
      </c>
      <c r="B432">
        <v>1967</v>
      </c>
      <c r="C432">
        <v>11</v>
      </c>
      <c r="D432">
        <v>3.7000000000000002E-3</v>
      </c>
      <c r="E432">
        <v>3.5999999999999999E-3</v>
      </c>
      <c r="F432">
        <v>2E-3</v>
      </c>
      <c r="G432">
        <v>-1.7100000000000001E-2</v>
      </c>
    </row>
    <row r="433" spans="1:7" x14ac:dyDescent="0.2">
      <c r="A433">
        <v>19671229</v>
      </c>
      <c r="B433">
        <v>1967</v>
      </c>
      <c r="C433">
        <v>12</v>
      </c>
      <c r="D433">
        <v>3.0499999999999999E-2</v>
      </c>
      <c r="E433">
        <v>3.3E-3</v>
      </c>
      <c r="F433">
        <v>5.7299999999999997E-2</v>
      </c>
      <c r="G433">
        <v>-3.8999999999999998E-3</v>
      </c>
    </row>
    <row r="434" spans="1:7" x14ac:dyDescent="0.2">
      <c r="A434">
        <v>19680131</v>
      </c>
      <c r="B434">
        <v>1968</v>
      </c>
      <c r="C434">
        <v>1</v>
      </c>
      <c r="D434">
        <v>-4.0599999999999997E-2</v>
      </c>
      <c r="E434">
        <v>4.0000000000000001E-3</v>
      </c>
      <c r="F434">
        <v>3.9100000000000003E-2</v>
      </c>
      <c r="G434">
        <v>4.7500000000000001E-2</v>
      </c>
    </row>
    <row r="435" spans="1:7" x14ac:dyDescent="0.2">
      <c r="A435">
        <v>19680229</v>
      </c>
      <c r="B435">
        <v>1968</v>
      </c>
      <c r="C435">
        <v>2</v>
      </c>
      <c r="D435">
        <v>-3.7499999999999999E-2</v>
      </c>
      <c r="E435">
        <v>3.8999999999999998E-3</v>
      </c>
      <c r="F435">
        <v>-2.9499999999999998E-2</v>
      </c>
      <c r="G435">
        <v>1.17E-2</v>
      </c>
    </row>
    <row r="436" spans="1:7" x14ac:dyDescent="0.2">
      <c r="A436">
        <v>19680329</v>
      </c>
      <c r="B436">
        <v>1968</v>
      </c>
      <c r="C436">
        <v>3</v>
      </c>
      <c r="D436">
        <v>2E-3</v>
      </c>
      <c r="E436">
        <v>3.8E-3</v>
      </c>
      <c r="F436">
        <v>-1.2800000000000001E-2</v>
      </c>
      <c r="G436">
        <v>-5.8999999999999999E-3</v>
      </c>
    </row>
    <row r="437" spans="1:7" x14ac:dyDescent="0.2">
      <c r="A437">
        <v>19680430</v>
      </c>
      <c r="B437">
        <v>1968</v>
      </c>
      <c r="C437">
        <v>4</v>
      </c>
      <c r="D437">
        <v>9.0499999999999997E-2</v>
      </c>
      <c r="E437">
        <v>4.3E-3</v>
      </c>
      <c r="F437">
        <v>5.7299999999999997E-2</v>
      </c>
      <c r="G437">
        <v>-1.03E-2</v>
      </c>
    </row>
    <row r="438" spans="1:7" x14ac:dyDescent="0.2">
      <c r="A438">
        <v>19680531</v>
      </c>
      <c r="B438">
        <v>1968</v>
      </c>
      <c r="C438">
        <v>5</v>
      </c>
      <c r="D438">
        <v>2.2800000000000001E-2</v>
      </c>
      <c r="E438">
        <v>4.4999999999999997E-3</v>
      </c>
      <c r="F438">
        <v>6.4299999999999996E-2</v>
      </c>
      <c r="G438">
        <v>8.3999999999999995E-3</v>
      </c>
    </row>
    <row r="439" spans="1:7" x14ac:dyDescent="0.2">
      <c r="A439">
        <v>19680628</v>
      </c>
      <c r="B439">
        <v>1968</v>
      </c>
      <c r="C439">
        <v>6</v>
      </c>
      <c r="D439">
        <v>6.8999999999999999E-3</v>
      </c>
      <c r="E439">
        <v>4.3E-3</v>
      </c>
      <c r="F439">
        <v>-1.6999999999999999E-3</v>
      </c>
      <c r="G439">
        <v>6.7000000000000002E-3</v>
      </c>
    </row>
    <row r="440" spans="1:7" x14ac:dyDescent="0.2">
      <c r="A440">
        <v>19680730</v>
      </c>
      <c r="B440">
        <v>1968</v>
      </c>
      <c r="C440">
        <v>7</v>
      </c>
      <c r="D440">
        <v>-2.7199999999999998E-2</v>
      </c>
      <c r="E440">
        <v>4.7999999999999996E-3</v>
      </c>
      <c r="F440">
        <v>-1.2999999999999999E-2</v>
      </c>
      <c r="G440">
        <v>5.4800000000000001E-2</v>
      </c>
    </row>
    <row r="441" spans="1:7" x14ac:dyDescent="0.2">
      <c r="A441">
        <v>19680830</v>
      </c>
      <c r="B441">
        <v>1968</v>
      </c>
      <c r="C441">
        <v>8</v>
      </c>
      <c r="D441">
        <v>1.34E-2</v>
      </c>
      <c r="E441">
        <v>4.1999999999999997E-3</v>
      </c>
      <c r="F441">
        <v>2.3400000000000001E-2</v>
      </c>
      <c r="G441">
        <v>0.01</v>
      </c>
    </row>
    <row r="442" spans="1:7" x14ac:dyDescent="0.2">
      <c r="A442">
        <v>19680930</v>
      </c>
      <c r="B442">
        <v>1968</v>
      </c>
      <c r="C442">
        <v>9</v>
      </c>
      <c r="D442">
        <v>4.0300000000000002E-2</v>
      </c>
      <c r="E442">
        <v>4.3E-3</v>
      </c>
      <c r="F442">
        <v>2.76E-2</v>
      </c>
      <c r="G442">
        <v>2.3999999999999998E-3</v>
      </c>
    </row>
    <row r="443" spans="1:7" x14ac:dyDescent="0.2">
      <c r="A443">
        <v>19681031</v>
      </c>
      <c r="B443">
        <v>1968</v>
      </c>
      <c r="C443">
        <v>10</v>
      </c>
      <c r="D443">
        <v>4.1999999999999997E-3</v>
      </c>
      <c r="E443">
        <v>4.4000000000000003E-3</v>
      </c>
      <c r="F443">
        <v>-4.7000000000000002E-3</v>
      </c>
      <c r="G443">
        <v>2.8899999999999999E-2</v>
      </c>
    </row>
    <row r="444" spans="1:7" x14ac:dyDescent="0.2">
      <c r="A444">
        <v>19681129</v>
      </c>
      <c r="B444">
        <v>1968</v>
      </c>
      <c r="C444">
        <v>11</v>
      </c>
      <c r="D444">
        <v>5.4300000000000001E-2</v>
      </c>
      <c r="E444">
        <v>4.1999999999999997E-3</v>
      </c>
      <c r="F444">
        <v>2.3599999999999999E-2</v>
      </c>
      <c r="G444">
        <v>-8.9999999999999993E-3</v>
      </c>
    </row>
    <row r="445" spans="1:7" x14ac:dyDescent="0.2">
      <c r="A445">
        <v>19681231</v>
      </c>
      <c r="B445">
        <v>1968</v>
      </c>
      <c r="C445">
        <v>12</v>
      </c>
      <c r="D445">
        <v>-3.9399999999999998E-2</v>
      </c>
      <c r="E445">
        <v>4.3E-3</v>
      </c>
      <c r="F445">
        <v>3.44E-2</v>
      </c>
      <c r="G445">
        <v>2.0000000000000001E-4</v>
      </c>
    </row>
    <row r="446" spans="1:7" x14ac:dyDescent="0.2">
      <c r="A446">
        <v>19690131</v>
      </c>
      <c r="B446">
        <v>1969</v>
      </c>
      <c r="C446">
        <v>1</v>
      </c>
      <c r="D446">
        <v>-1.2500000000000001E-2</v>
      </c>
      <c r="E446">
        <v>5.3E-3</v>
      </c>
      <c r="F446">
        <v>-7.7999999999999996E-3</v>
      </c>
      <c r="G446">
        <v>1.6899999999999998E-2</v>
      </c>
    </row>
    <row r="447" spans="1:7" x14ac:dyDescent="0.2">
      <c r="A447">
        <v>19690228</v>
      </c>
      <c r="B447">
        <v>1969</v>
      </c>
      <c r="C447">
        <v>2</v>
      </c>
      <c r="D447">
        <v>-5.8400000000000001E-2</v>
      </c>
      <c r="E447">
        <v>4.5999999999999999E-3</v>
      </c>
      <c r="F447">
        <v>-3.8899999999999997E-2</v>
      </c>
      <c r="G447">
        <v>8.9999999999999993E-3</v>
      </c>
    </row>
    <row r="448" spans="1:7" x14ac:dyDescent="0.2">
      <c r="A448">
        <v>19690328</v>
      </c>
      <c r="B448">
        <v>1969</v>
      </c>
      <c r="C448">
        <v>3</v>
      </c>
      <c r="D448">
        <v>2.64E-2</v>
      </c>
      <c r="E448">
        <v>4.5999999999999999E-3</v>
      </c>
      <c r="F448">
        <v>-2.5000000000000001E-3</v>
      </c>
      <c r="G448">
        <v>-4.5999999999999999E-3</v>
      </c>
    </row>
    <row r="449" spans="1:7" x14ac:dyDescent="0.2">
      <c r="A449">
        <v>19690430</v>
      </c>
      <c r="B449">
        <v>1969</v>
      </c>
      <c r="C449">
        <v>4</v>
      </c>
      <c r="D449">
        <v>1.46E-2</v>
      </c>
      <c r="E449">
        <v>5.3E-3</v>
      </c>
      <c r="F449">
        <v>-8.8000000000000005E-3</v>
      </c>
      <c r="G449">
        <v>2.9999999999999997E-4</v>
      </c>
    </row>
    <row r="450" spans="1:7" x14ac:dyDescent="0.2">
      <c r="A450">
        <v>19690529</v>
      </c>
      <c r="B450">
        <v>1969</v>
      </c>
      <c r="C450">
        <v>5</v>
      </c>
      <c r="D450">
        <v>-1E-3</v>
      </c>
      <c r="E450">
        <v>4.7999999999999996E-3</v>
      </c>
      <c r="F450">
        <v>-2.7000000000000001E-3</v>
      </c>
      <c r="G450">
        <v>7.3000000000000001E-3</v>
      </c>
    </row>
    <row r="451" spans="1:7" x14ac:dyDescent="0.2">
      <c r="A451">
        <v>19690630</v>
      </c>
      <c r="B451">
        <v>1969</v>
      </c>
      <c r="C451">
        <v>6</v>
      </c>
      <c r="D451">
        <v>-7.1800000000000003E-2</v>
      </c>
      <c r="E451">
        <v>5.1000000000000004E-3</v>
      </c>
      <c r="F451">
        <v>-5.3900000000000003E-2</v>
      </c>
      <c r="G451">
        <v>-1.09E-2</v>
      </c>
    </row>
    <row r="452" spans="1:7" x14ac:dyDescent="0.2">
      <c r="A452">
        <v>19690731</v>
      </c>
      <c r="B452">
        <v>1969</v>
      </c>
      <c r="C452">
        <v>7</v>
      </c>
      <c r="D452">
        <v>-7.0000000000000007E-2</v>
      </c>
      <c r="E452">
        <v>5.3E-3</v>
      </c>
      <c r="F452">
        <v>-3.2099999999999997E-2</v>
      </c>
      <c r="G452">
        <v>1.4200000000000001E-2</v>
      </c>
    </row>
    <row r="453" spans="1:7" x14ac:dyDescent="0.2">
      <c r="A453">
        <v>19690829</v>
      </c>
      <c r="B453">
        <v>1969</v>
      </c>
      <c r="C453">
        <v>8</v>
      </c>
      <c r="D453">
        <v>4.6800000000000001E-2</v>
      </c>
      <c r="E453">
        <v>5.0000000000000001E-3</v>
      </c>
      <c r="F453">
        <v>9.4000000000000004E-3</v>
      </c>
      <c r="G453">
        <v>-3.8699999999999998E-2</v>
      </c>
    </row>
    <row r="454" spans="1:7" x14ac:dyDescent="0.2">
      <c r="A454">
        <v>19690930</v>
      </c>
      <c r="B454">
        <v>1969</v>
      </c>
      <c r="C454">
        <v>9</v>
      </c>
      <c r="D454">
        <v>-2.98E-2</v>
      </c>
      <c r="E454">
        <v>6.1999999999999998E-3</v>
      </c>
      <c r="F454">
        <v>1.2E-2</v>
      </c>
      <c r="G454">
        <v>-3.1899999999999998E-2</v>
      </c>
    </row>
    <row r="455" spans="1:7" x14ac:dyDescent="0.2">
      <c r="A455">
        <v>19691031</v>
      </c>
      <c r="B455">
        <v>1969</v>
      </c>
      <c r="C455">
        <v>10</v>
      </c>
      <c r="D455">
        <v>5.0599999999999999E-2</v>
      </c>
      <c r="E455">
        <v>6.0000000000000001E-3</v>
      </c>
      <c r="F455">
        <v>3.8100000000000002E-2</v>
      </c>
      <c r="G455">
        <v>-3.1899999999999998E-2</v>
      </c>
    </row>
    <row r="456" spans="1:7" x14ac:dyDescent="0.2">
      <c r="A456">
        <v>19691128</v>
      </c>
      <c r="B456">
        <v>1969</v>
      </c>
      <c r="C456">
        <v>11</v>
      </c>
      <c r="D456">
        <v>-3.7900000000000003E-2</v>
      </c>
      <c r="E456">
        <v>5.1999999999999998E-3</v>
      </c>
      <c r="F456">
        <v>-2.53E-2</v>
      </c>
      <c r="G456">
        <v>-1.12E-2</v>
      </c>
    </row>
    <row r="457" spans="1:7" x14ac:dyDescent="0.2">
      <c r="A457">
        <v>19691231</v>
      </c>
      <c r="B457">
        <v>1969</v>
      </c>
      <c r="C457">
        <v>12</v>
      </c>
      <c r="D457">
        <v>-2.63E-2</v>
      </c>
      <c r="E457">
        <v>6.4000000000000003E-3</v>
      </c>
      <c r="F457">
        <v>-3.6700000000000003E-2</v>
      </c>
      <c r="G457">
        <v>-3.0200000000000001E-2</v>
      </c>
    </row>
    <row r="458" spans="1:7" x14ac:dyDescent="0.2">
      <c r="A458">
        <v>19700130</v>
      </c>
      <c r="B458">
        <v>1970</v>
      </c>
      <c r="C458">
        <v>1</v>
      </c>
      <c r="D458">
        <v>-8.1000000000000003E-2</v>
      </c>
      <c r="E458">
        <v>6.0000000000000001E-3</v>
      </c>
      <c r="F458">
        <v>2.9000000000000001E-2</v>
      </c>
      <c r="G458">
        <v>3.04E-2</v>
      </c>
    </row>
    <row r="459" spans="1:7" x14ac:dyDescent="0.2">
      <c r="A459">
        <v>19700227</v>
      </c>
      <c r="B459">
        <v>1970</v>
      </c>
      <c r="C459">
        <v>2</v>
      </c>
      <c r="D459">
        <v>5.1299999999999998E-2</v>
      </c>
      <c r="E459">
        <v>6.1999999999999998E-3</v>
      </c>
      <c r="F459">
        <v>-2.4E-2</v>
      </c>
      <c r="G459">
        <v>4.0399999999999998E-2</v>
      </c>
    </row>
    <row r="460" spans="1:7" x14ac:dyDescent="0.2">
      <c r="A460">
        <v>19700331</v>
      </c>
      <c r="B460">
        <v>1970</v>
      </c>
      <c r="C460">
        <v>3</v>
      </c>
      <c r="D460">
        <v>-1.06E-2</v>
      </c>
      <c r="E460">
        <v>5.7000000000000002E-3</v>
      </c>
      <c r="F460">
        <v>-2.3199999999999998E-2</v>
      </c>
      <c r="G460">
        <v>4.2500000000000003E-2</v>
      </c>
    </row>
    <row r="461" spans="1:7" x14ac:dyDescent="0.2">
      <c r="A461">
        <v>19700430</v>
      </c>
      <c r="B461">
        <v>1970</v>
      </c>
      <c r="C461">
        <v>4</v>
      </c>
      <c r="D461">
        <v>-0.11</v>
      </c>
      <c r="E461">
        <v>5.0000000000000001E-3</v>
      </c>
      <c r="F461">
        <v>-6.1100000000000002E-2</v>
      </c>
      <c r="G461">
        <v>6.3899999999999998E-2</v>
      </c>
    </row>
    <row r="462" spans="1:7" x14ac:dyDescent="0.2">
      <c r="A462">
        <v>19700529</v>
      </c>
      <c r="B462">
        <v>1970</v>
      </c>
      <c r="C462">
        <v>5</v>
      </c>
      <c r="D462">
        <v>-6.9199999999999998E-2</v>
      </c>
      <c r="E462">
        <v>5.3E-3</v>
      </c>
      <c r="F462">
        <v>-4.5199999999999997E-2</v>
      </c>
      <c r="G462">
        <v>3.5999999999999997E-2</v>
      </c>
    </row>
    <row r="463" spans="1:7" x14ac:dyDescent="0.2">
      <c r="A463">
        <v>19700630</v>
      </c>
      <c r="B463">
        <v>1970</v>
      </c>
      <c r="C463">
        <v>6</v>
      </c>
      <c r="D463">
        <v>-5.79E-2</v>
      </c>
      <c r="E463">
        <v>5.7999999999999996E-3</v>
      </c>
      <c r="F463">
        <v>-2.1600000000000001E-2</v>
      </c>
      <c r="G463">
        <v>8.6999999999999994E-3</v>
      </c>
    </row>
    <row r="464" spans="1:7" x14ac:dyDescent="0.2">
      <c r="A464">
        <v>19700731</v>
      </c>
      <c r="B464">
        <v>1970</v>
      </c>
      <c r="C464">
        <v>7</v>
      </c>
      <c r="D464">
        <v>6.93E-2</v>
      </c>
      <c r="E464">
        <v>5.1999999999999998E-3</v>
      </c>
      <c r="F464">
        <v>-5.4000000000000003E-3</v>
      </c>
      <c r="G464">
        <v>9.5999999999999992E-3</v>
      </c>
    </row>
    <row r="465" spans="1:7" x14ac:dyDescent="0.2">
      <c r="A465">
        <v>19700831</v>
      </c>
      <c r="B465">
        <v>1970</v>
      </c>
      <c r="C465">
        <v>8</v>
      </c>
      <c r="D465">
        <v>4.4900000000000002E-2</v>
      </c>
      <c r="E465">
        <v>5.3E-3</v>
      </c>
      <c r="F465">
        <v>1.52E-2</v>
      </c>
      <c r="G465">
        <v>1.03E-2</v>
      </c>
    </row>
    <row r="466" spans="1:7" x14ac:dyDescent="0.2">
      <c r="A466">
        <v>19700930</v>
      </c>
      <c r="B466">
        <v>1970</v>
      </c>
      <c r="C466">
        <v>9</v>
      </c>
      <c r="D466">
        <v>4.1799999999999997E-2</v>
      </c>
      <c r="E466">
        <v>5.4000000000000003E-3</v>
      </c>
      <c r="F466">
        <v>8.6199999999999999E-2</v>
      </c>
      <c r="G466">
        <v>-5.5800000000000002E-2</v>
      </c>
    </row>
    <row r="467" spans="1:7" x14ac:dyDescent="0.2">
      <c r="A467">
        <v>19701030</v>
      </c>
      <c r="B467">
        <v>1970</v>
      </c>
      <c r="C467">
        <v>10</v>
      </c>
      <c r="D467">
        <v>-2.2800000000000001E-2</v>
      </c>
      <c r="E467">
        <v>4.5999999999999999E-3</v>
      </c>
      <c r="F467">
        <v>-4.2799999999999998E-2</v>
      </c>
      <c r="G467">
        <v>2.7000000000000001E-3</v>
      </c>
    </row>
    <row r="468" spans="1:7" x14ac:dyDescent="0.2">
      <c r="A468">
        <v>19701130</v>
      </c>
      <c r="B468">
        <v>1970</v>
      </c>
      <c r="C468">
        <v>11</v>
      </c>
      <c r="D468">
        <v>4.5900000000000003E-2</v>
      </c>
      <c r="E468">
        <v>4.5999999999999999E-3</v>
      </c>
      <c r="F468">
        <v>-4.07E-2</v>
      </c>
      <c r="G468">
        <v>1.6299999999999999E-2</v>
      </c>
    </row>
    <row r="469" spans="1:7" x14ac:dyDescent="0.2">
      <c r="A469">
        <v>19701231</v>
      </c>
      <c r="B469">
        <v>1970</v>
      </c>
      <c r="C469">
        <v>12</v>
      </c>
      <c r="D469">
        <v>5.7200000000000001E-2</v>
      </c>
      <c r="E469">
        <v>4.1999999999999997E-3</v>
      </c>
      <c r="F469">
        <v>2.9700000000000001E-2</v>
      </c>
      <c r="G469">
        <v>1.01E-2</v>
      </c>
    </row>
    <row r="470" spans="1:7" x14ac:dyDescent="0.2">
      <c r="A470">
        <v>19710129</v>
      </c>
      <c r="B470">
        <v>1971</v>
      </c>
      <c r="C470">
        <v>1</v>
      </c>
      <c r="D470">
        <v>4.8399999999999999E-2</v>
      </c>
      <c r="E470">
        <v>3.8E-3</v>
      </c>
      <c r="F470">
        <v>7.3700000000000002E-2</v>
      </c>
      <c r="G470">
        <v>1.38E-2</v>
      </c>
    </row>
    <row r="471" spans="1:7" x14ac:dyDescent="0.2">
      <c r="A471">
        <v>19710226</v>
      </c>
      <c r="B471">
        <v>1971</v>
      </c>
      <c r="C471">
        <v>2</v>
      </c>
      <c r="D471">
        <v>1.41E-2</v>
      </c>
      <c r="E471">
        <v>3.3E-3</v>
      </c>
      <c r="F471">
        <v>1.8800000000000001E-2</v>
      </c>
      <c r="G471">
        <v>-1.29E-2</v>
      </c>
    </row>
    <row r="472" spans="1:7" x14ac:dyDescent="0.2">
      <c r="A472">
        <v>19710331</v>
      </c>
      <c r="B472">
        <v>1971</v>
      </c>
      <c r="C472">
        <v>3</v>
      </c>
      <c r="D472">
        <v>4.1300000000000003E-2</v>
      </c>
      <c r="E472">
        <v>3.0000000000000001E-3</v>
      </c>
      <c r="F472">
        <v>2.5399999999999999E-2</v>
      </c>
      <c r="G472">
        <v>-4.0399999999999998E-2</v>
      </c>
    </row>
    <row r="473" spans="1:7" x14ac:dyDescent="0.2">
      <c r="A473">
        <v>19710430</v>
      </c>
      <c r="B473">
        <v>1971</v>
      </c>
      <c r="C473">
        <v>4</v>
      </c>
      <c r="D473">
        <v>3.15E-2</v>
      </c>
      <c r="E473">
        <v>2.8E-3</v>
      </c>
      <c r="F473">
        <v>-4.8999999999999998E-3</v>
      </c>
      <c r="G473">
        <v>7.1999999999999998E-3</v>
      </c>
    </row>
    <row r="474" spans="1:7" x14ac:dyDescent="0.2">
      <c r="A474">
        <v>19710528</v>
      </c>
      <c r="B474">
        <v>1971</v>
      </c>
      <c r="C474">
        <v>5</v>
      </c>
      <c r="D474">
        <v>-3.9800000000000002E-2</v>
      </c>
      <c r="E474">
        <v>2.8999999999999998E-3</v>
      </c>
      <c r="F474">
        <v>-1.0999999999999999E-2</v>
      </c>
      <c r="G474">
        <v>-1.38E-2</v>
      </c>
    </row>
    <row r="475" spans="1:7" x14ac:dyDescent="0.2">
      <c r="A475">
        <v>19710630</v>
      </c>
      <c r="B475">
        <v>1971</v>
      </c>
      <c r="C475">
        <v>6</v>
      </c>
      <c r="D475">
        <v>-1E-3</v>
      </c>
      <c r="E475">
        <v>3.7000000000000002E-3</v>
      </c>
      <c r="F475">
        <v>-1.4200000000000001E-2</v>
      </c>
      <c r="G475">
        <v>-2.06E-2</v>
      </c>
    </row>
    <row r="476" spans="1:7" x14ac:dyDescent="0.2">
      <c r="A476">
        <v>19710730</v>
      </c>
      <c r="B476">
        <v>1971</v>
      </c>
      <c r="C476">
        <v>7</v>
      </c>
      <c r="D476">
        <v>-4.4999999999999998E-2</v>
      </c>
      <c r="E476">
        <v>4.0000000000000001E-3</v>
      </c>
      <c r="F476">
        <v>-1.4999999999999999E-2</v>
      </c>
      <c r="G476">
        <v>1.6999999999999999E-3</v>
      </c>
    </row>
    <row r="477" spans="1:7" x14ac:dyDescent="0.2">
      <c r="A477">
        <v>19710831</v>
      </c>
      <c r="B477">
        <v>1971</v>
      </c>
      <c r="C477">
        <v>8</v>
      </c>
      <c r="D477">
        <v>3.7900000000000003E-2</v>
      </c>
      <c r="E477">
        <v>4.7000000000000002E-3</v>
      </c>
      <c r="F477">
        <v>-1.6000000000000001E-3</v>
      </c>
      <c r="G477">
        <v>2.6700000000000002E-2</v>
      </c>
    </row>
    <row r="478" spans="1:7" x14ac:dyDescent="0.2">
      <c r="A478">
        <v>19710930</v>
      </c>
      <c r="B478">
        <v>1971</v>
      </c>
      <c r="C478">
        <v>9</v>
      </c>
      <c r="D478">
        <v>-8.5000000000000006E-3</v>
      </c>
      <c r="E478">
        <v>3.7000000000000002E-3</v>
      </c>
      <c r="F478">
        <v>4.1000000000000003E-3</v>
      </c>
      <c r="G478">
        <v>-2.9600000000000001E-2</v>
      </c>
    </row>
    <row r="479" spans="1:7" x14ac:dyDescent="0.2">
      <c r="A479">
        <v>19711029</v>
      </c>
      <c r="B479">
        <v>1971</v>
      </c>
      <c r="C479">
        <v>10</v>
      </c>
      <c r="D479">
        <v>-4.4200000000000003E-2</v>
      </c>
      <c r="E479">
        <v>3.7000000000000002E-3</v>
      </c>
      <c r="F479">
        <v>-1.7999999999999999E-2</v>
      </c>
      <c r="G479">
        <v>-4.3E-3</v>
      </c>
    </row>
    <row r="480" spans="1:7" x14ac:dyDescent="0.2">
      <c r="A480">
        <v>19711130</v>
      </c>
      <c r="B480">
        <v>1971</v>
      </c>
      <c r="C480">
        <v>11</v>
      </c>
      <c r="D480">
        <v>-4.5999999999999999E-3</v>
      </c>
      <c r="E480">
        <v>3.7000000000000002E-3</v>
      </c>
      <c r="F480">
        <v>-2.8500000000000001E-2</v>
      </c>
      <c r="G480">
        <v>-1.7000000000000001E-2</v>
      </c>
    </row>
    <row r="481" spans="1:7" x14ac:dyDescent="0.2">
      <c r="A481">
        <v>19711231</v>
      </c>
      <c r="B481">
        <v>1971</v>
      </c>
      <c r="C481">
        <v>12</v>
      </c>
      <c r="D481">
        <v>8.7099999999999997E-2</v>
      </c>
      <c r="E481">
        <v>3.7000000000000002E-3</v>
      </c>
      <c r="F481">
        <v>3.32E-2</v>
      </c>
      <c r="G481">
        <v>-3.5000000000000001E-3</v>
      </c>
    </row>
    <row r="482" spans="1:7" x14ac:dyDescent="0.2">
      <c r="A482">
        <v>19720131</v>
      </c>
      <c r="B482">
        <v>1972</v>
      </c>
      <c r="C482">
        <v>1</v>
      </c>
      <c r="D482">
        <v>2.4899999999999999E-2</v>
      </c>
      <c r="E482">
        <v>2.8999999999999998E-3</v>
      </c>
      <c r="F482">
        <v>6.1199999999999997E-2</v>
      </c>
      <c r="G482">
        <v>1.9900000000000001E-2</v>
      </c>
    </row>
    <row r="483" spans="1:7" x14ac:dyDescent="0.2">
      <c r="A483">
        <v>19720229</v>
      </c>
      <c r="B483">
        <v>1972</v>
      </c>
      <c r="C483">
        <v>2</v>
      </c>
      <c r="D483">
        <v>2.87E-2</v>
      </c>
      <c r="E483">
        <v>2.5000000000000001E-3</v>
      </c>
      <c r="F483">
        <v>1.37E-2</v>
      </c>
      <c r="G483">
        <v>-2.76E-2</v>
      </c>
    </row>
    <row r="484" spans="1:7" x14ac:dyDescent="0.2">
      <c r="A484">
        <v>19720330</v>
      </c>
      <c r="B484">
        <v>1972</v>
      </c>
      <c r="C484">
        <v>3</v>
      </c>
      <c r="D484">
        <v>6.3E-3</v>
      </c>
      <c r="E484">
        <v>2.7000000000000001E-3</v>
      </c>
      <c r="F484">
        <v>-2.7000000000000001E-3</v>
      </c>
      <c r="G484">
        <v>-1.7299999999999999E-2</v>
      </c>
    </row>
    <row r="485" spans="1:7" x14ac:dyDescent="0.2">
      <c r="A485">
        <v>19720428</v>
      </c>
      <c r="B485">
        <v>1972</v>
      </c>
      <c r="C485">
        <v>4</v>
      </c>
      <c r="D485">
        <v>2.8999999999999998E-3</v>
      </c>
      <c r="E485">
        <v>2.8999999999999998E-3</v>
      </c>
      <c r="F485">
        <v>1E-4</v>
      </c>
      <c r="G485">
        <v>2.3E-3</v>
      </c>
    </row>
    <row r="486" spans="1:7" x14ac:dyDescent="0.2">
      <c r="A486">
        <v>19720531</v>
      </c>
      <c r="B486">
        <v>1972</v>
      </c>
      <c r="C486">
        <v>5</v>
      </c>
      <c r="D486">
        <v>1.2500000000000001E-2</v>
      </c>
      <c r="E486">
        <v>3.0000000000000001E-3</v>
      </c>
      <c r="F486">
        <v>-2.7900000000000001E-2</v>
      </c>
      <c r="G486">
        <v>-2.69E-2</v>
      </c>
    </row>
    <row r="487" spans="1:7" x14ac:dyDescent="0.2">
      <c r="A487">
        <v>19720630</v>
      </c>
      <c r="B487">
        <v>1972</v>
      </c>
      <c r="C487">
        <v>6</v>
      </c>
      <c r="D487">
        <v>-2.4299999999999999E-2</v>
      </c>
      <c r="E487">
        <v>2.8999999999999998E-3</v>
      </c>
      <c r="F487">
        <v>3.3E-3</v>
      </c>
      <c r="G487">
        <v>-2.5100000000000001E-2</v>
      </c>
    </row>
    <row r="488" spans="1:7" x14ac:dyDescent="0.2">
      <c r="A488">
        <v>19720731</v>
      </c>
      <c r="B488">
        <v>1972</v>
      </c>
      <c r="C488">
        <v>7</v>
      </c>
      <c r="D488">
        <v>-8.0000000000000002E-3</v>
      </c>
      <c r="E488">
        <v>3.0999999999999999E-3</v>
      </c>
      <c r="F488">
        <v>-2.8899999999999999E-2</v>
      </c>
      <c r="G488">
        <v>7.7999999999999996E-3</v>
      </c>
    </row>
    <row r="489" spans="1:7" x14ac:dyDescent="0.2">
      <c r="A489">
        <v>19720831</v>
      </c>
      <c r="B489">
        <v>1972</v>
      </c>
      <c r="C489">
        <v>8</v>
      </c>
      <c r="D489">
        <v>3.2599999999999997E-2</v>
      </c>
      <c r="E489">
        <v>2.8999999999999998E-3</v>
      </c>
      <c r="F489">
        <v>-4.0899999999999999E-2</v>
      </c>
      <c r="G489">
        <v>4.6899999999999997E-2</v>
      </c>
    </row>
    <row r="490" spans="1:7" x14ac:dyDescent="0.2">
      <c r="A490">
        <v>19720929</v>
      </c>
      <c r="B490">
        <v>1972</v>
      </c>
      <c r="C490">
        <v>9</v>
      </c>
      <c r="D490">
        <v>-1.14E-2</v>
      </c>
      <c r="E490">
        <v>3.3999999999999998E-3</v>
      </c>
      <c r="F490">
        <v>-2.6700000000000002E-2</v>
      </c>
      <c r="G490">
        <v>4.7000000000000002E-3</v>
      </c>
    </row>
    <row r="491" spans="1:7" x14ac:dyDescent="0.2">
      <c r="A491">
        <v>19721031</v>
      </c>
      <c r="B491">
        <v>1972</v>
      </c>
      <c r="C491">
        <v>10</v>
      </c>
      <c r="D491">
        <v>5.1999999999999998E-3</v>
      </c>
      <c r="E491">
        <v>4.0000000000000001E-3</v>
      </c>
      <c r="F491">
        <v>-2.7400000000000001E-2</v>
      </c>
      <c r="G491">
        <v>1.37E-2</v>
      </c>
    </row>
    <row r="492" spans="1:7" x14ac:dyDescent="0.2">
      <c r="A492">
        <v>19721130</v>
      </c>
      <c r="B492">
        <v>1972</v>
      </c>
      <c r="C492">
        <v>11</v>
      </c>
      <c r="D492">
        <v>4.5999999999999999E-2</v>
      </c>
      <c r="E492">
        <v>3.7000000000000002E-3</v>
      </c>
      <c r="F492">
        <v>-1.11E-2</v>
      </c>
      <c r="G492">
        <v>4.7600000000000003E-2</v>
      </c>
    </row>
    <row r="493" spans="1:7" x14ac:dyDescent="0.2">
      <c r="A493">
        <v>19721229</v>
      </c>
      <c r="B493">
        <v>1972</v>
      </c>
      <c r="C493">
        <v>12</v>
      </c>
      <c r="D493">
        <v>6.1999999999999998E-3</v>
      </c>
      <c r="E493">
        <v>3.7000000000000002E-3</v>
      </c>
      <c r="F493">
        <v>-1.8599999999999998E-2</v>
      </c>
      <c r="G493">
        <v>-2.2700000000000001E-2</v>
      </c>
    </row>
    <row r="494" spans="1:7" x14ac:dyDescent="0.2">
      <c r="A494">
        <v>19730131</v>
      </c>
      <c r="B494">
        <v>1973</v>
      </c>
      <c r="C494">
        <v>1</v>
      </c>
      <c r="D494">
        <v>-3.2899999999999999E-2</v>
      </c>
      <c r="E494">
        <v>4.4000000000000003E-3</v>
      </c>
      <c r="F494">
        <v>-3.4799999999999998E-2</v>
      </c>
      <c r="G494">
        <v>2.6800000000000001E-2</v>
      </c>
    </row>
    <row r="495" spans="1:7" x14ac:dyDescent="0.2">
      <c r="A495">
        <v>19730228</v>
      </c>
      <c r="B495">
        <v>1973</v>
      </c>
      <c r="C495">
        <v>2</v>
      </c>
      <c r="D495">
        <v>-4.8500000000000001E-2</v>
      </c>
      <c r="E495">
        <v>4.1000000000000003E-3</v>
      </c>
      <c r="F495">
        <v>-3.9899999999999998E-2</v>
      </c>
      <c r="G495">
        <v>1.7000000000000001E-2</v>
      </c>
    </row>
    <row r="496" spans="1:7" x14ac:dyDescent="0.2">
      <c r="A496">
        <v>19730330</v>
      </c>
      <c r="B496">
        <v>1973</v>
      </c>
      <c r="C496">
        <v>3</v>
      </c>
      <c r="D496">
        <v>-1.2999999999999999E-2</v>
      </c>
      <c r="E496">
        <v>4.5999999999999999E-3</v>
      </c>
      <c r="F496">
        <v>-2.8199999999999999E-2</v>
      </c>
      <c r="G496">
        <v>2.7799999999999998E-2</v>
      </c>
    </row>
    <row r="497" spans="1:7" x14ac:dyDescent="0.2">
      <c r="A497">
        <v>19730430</v>
      </c>
      <c r="B497">
        <v>1973</v>
      </c>
      <c r="C497">
        <v>4</v>
      </c>
      <c r="D497">
        <v>-5.6800000000000003E-2</v>
      </c>
      <c r="E497">
        <v>5.1999999999999998E-3</v>
      </c>
      <c r="F497">
        <v>-3.9899999999999998E-2</v>
      </c>
      <c r="G497">
        <v>5.6899999999999999E-2</v>
      </c>
    </row>
    <row r="498" spans="1:7" x14ac:dyDescent="0.2">
      <c r="A498">
        <v>19730531</v>
      </c>
      <c r="B498">
        <v>1973</v>
      </c>
      <c r="C498">
        <v>5</v>
      </c>
      <c r="D498">
        <v>-2.9399999999999999E-2</v>
      </c>
      <c r="E498">
        <v>5.1000000000000004E-3</v>
      </c>
      <c r="F498">
        <v>-6.1199999999999997E-2</v>
      </c>
      <c r="G498">
        <v>2.0999999999999999E-3</v>
      </c>
    </row>
    <row r="499" spans="1:7" x14ac:dyDescent="0.2">
      <c r="A499">
        <v>19730629</v>
      </c>
      <c r="B499">
        <v>1973</v>
      </c>
      <c r="C499">
        <v>6</v>
      </c>
      <c r="D499">
        <v>-1.5599999999999999E-2</v>
      </c>
      <c r="E499">
        <v>5.1000000000000004E-3</v>
      </c>
      <c r="F499">
        <v>-2.9499999999999998E-2</v>
      </c>
      <c r="G499">
        <v>1.44E-2</v>
      </c>
    </row>
    <row r="500" spans="1:7" x14ac:dyDescent="0.2">
      <c r="A500">
        <v>19730731</v>
      </c>
      <c r="B500">
        <v>1973</v>
      </c>
      <c r="C500">
        <v>7</v>
      </c>
      <c r="D500">
        <v>5.0500000000000003E-2</v>
      </c>
      <c r="E500">
        <v>6.4000000000000003E-3</v>
      </c>
      <c r="F500">
        <v>7.9100000000000004E-2</v>
      </c>
      <c r="G500">
        <v>-5.3100000000000001E-2</v>
      </c>
    </row>
    <row r="501" spans="1:7" x14ac:dyDescent="0.2">
      <c r="A501">
        <v>19730831</v>
      </c>
      <c r="B501">
        <v>1973</v>
      </c>
      <c r="C501">
        <v>8</v>
      </c>
      <c r="D501">
        <v>-3.8199999999999998E-2</v>
      </c>
      <c r="E501">
        <v>7.0000000000000001E-3</v>
      </c>
      <c r="F501">
        <v>-2.0299999999999999E-2</v>
      </c>
      <c r="G501">
        <v>1.14E-2</v>
      </c>
    </row>
    <row r="502" spans="1:7" x14ac:dyDescent="0.2">
      <c r="A502">
        <v>19730928</v>
      </c>
      <c r="B502">
        <v>1973</v>
      </c>
      <c r="C502">
        <v>9</v>
      </c>
      <c r="D502">
        <v>4.7500000000000001E-2</v>
      </c>
      <c r="E502">
        <v>6.7999999999999996E-3</v>
      </c>
      <c r="F502">
        <v>2.9399999999999999E-2</v>
      </c>
      <c r="G502">
        <v>2.18E-2</v>
      </c>
    </row>
    <row r="503" spans="1:7" x14ac:dyDescent="0.2">
      <c r="A503">
        <v>19731031</v>
      </c>
      <c r="B503">
        <v>1973</v>
      </c>
      <c r="C503">
        <v>10</v>
      </c>
      <c r="D503">
        <v>-8.3000000000000001E-3</v>
      </c>
      <c r="E503">
        <v>6.4999999999999997E-3</v>
      </c>
      <c r="F503">
        <v>-2.3E-3</v>
      </c>
      <c r="G503">
        <v>1.7399999999999999E-2</v>
      </c>
    </row>
    <row r="504" spans="1:7" x14ac:dyDescent="0.2">
      <c r="A504">
        <v>19731130</v>
      </c>
      <c r="B504">
        <v>1973</v>
      </c>
      <c r="C504">
        <v>11</v>
      </c>
      <c r="D504">
        <v>-0.1275</v>
      </c>
      <c r="E504">
        <v>5.5999999999999999E-3</v>
      </c>
      <c r="F504">
        <v>-7.6999999999999999E-2</v>
      </c>
      <c r="G504">
        <v>4.0399999999999998E-2</v>
      </c>
    </row>
    <row r="505" spans="1:7" x14ac:dyDescent="0.2">
      <c r="A505">
        <v>19731231</v>
      </c>
      <c r="B505">
        <v>1973</v>
      </c>
      <c r="C505">
        <v>12</v>
      </c>
      <c r="D505">
        <v>6.1000000000000004E-3</v>
      </c>
      <c r="E505">
        <v>6.4000000000000003E-3</v>
      </c>
      <c r="F505">
        <v>-5.2900000000000003E-2</v>
      </c>
      <c r="G505">
        <v>4.0899999999999999E-2</v>
      </c>
    </row>
    <row r="506" spans="1:7" x14ac:dyDescent="0.2">
      <c r="A506">
        <v>19740131</v>
      </c>
      <c r="B506">
        <v>1974</v>
      </c>
      <c r="C506">
        <v>1</v>
      </c>
      <c r="D506">
        <v>-1.6999999999999999E-3</v>
      </c>
      <c r="E506">
        <v>6.3E-3</v>
      </c>
      <c r="F506">
        <v>9.7600000000000006E-2</v>
      </c>
      <c r="G506">
        <v>5.9900000000000002E-2</v>
      </c>
    </row>
    <row r="507" spans="1:7" x14ac:dyDescent="0.2">
      <c r="A507">
        <v>19740228</v>
      </c>
      <c r="B507">
        <v>1974</v>
      </c>
      <c r="C507">
        <v>2</v>
      </c>
      <c r="D507">
        <v>-4.7000000000000002E-3</v>
      </c>
      <c r="E507">
        <v>5.7999999999999996E-3</v>
      </c>
      <c r="F507">
        <v>5.0000000000000001E-4</v>
      </c>
      <c r="G507">
        <v>2.5399999999999999E-2</v>
      </c>
    </row>
    <row r="508" spans="1:7" x14ac:dyDescent="0.2">
      <c r="A508">
        <v>19740329</v>
      </c>
      <c r="B508">
        <v>1974</v>
      </c>
      <c r="C508">
        <v>3</v>
      </c>
      <c r="D508">
        <v>-2.81E-2</v>
      </c>
      <c r="E508">
        <v>5.5999999999999999E-3</v>
      </c>
      <c r="F508">
        <v>2.5100000000000001E-2</v>
      </c>
      <c r="G508">
        <v>-1.1000000000000001E-3</v>
      </c>
    </row>
    <row r="509" spans="1:7" x14ac:dyDescent="0.2">
      <c r="A509">
        <v>19740430</v>
      </c>
      <c r="B509">
        <v>1974</v>
      </c>
      <c r="C509">
        <v>4</v>
      </c>
      <c r="D509">
        <v>-5.2900000000000003E-2</v>
      </c>
      <c r="E509">
        <v>7.4999999999999997E-3</v>
      </c>
      <c r="F509">
        <v>-7.1000000000000004E-3</v>
      </c>
      <c r="G509">
        <v>1.06E-2</v>
      </c>
    </row>
    <row r="510" spans="1:7" x14ac:dyDescent="0.2">
      <c r="A510">
        <v>19740531</v>
      </c>
      <c r="B510">
        <v>1974</v>
      </c>
      <c r="C510">
        <v>5</v>
      </c>
      <c r="D510">
        <v>-4.6800000000000001E-2</v>
      </c>
      <c r="E510">
        <v>7.4999999999999997E-3</v>
      </c>
      <c r="F510">
        <v>-3.0099999999999998E-2</v>
      </c>
      <c r="G510">
        <v>-2.0400000000000001E-2</v>
      </c>
    </row>
    <row r="511" spans="1:7" x14ac:dyDescent="0.2">
      <c r="A511">
        <v>19740628</v>
      </c>
      <c r="B511">
        <v>1974</v>
      </c>
      <c r="C511">
        <v>6</v>
      </c>
      <c r="D511">
        <v>-2.8299999999999999E-2</v>
      </c>
      <c r="E511">
        <v>6.0000000000000001E-3</v>
      </c>
      <c r="F511">
        <v>-2E-3</v>
      </c>
      <c r="G511">
        <v>7.9000000000000008E-3</v>
      </c>
    </row>
    <row r="512" spans="1:7" x14ac:dyDescent="0.2">
      <c r="A512">
        <v>19740731</v>
      </c>
      <c r="B512">
        <v>1974</v>
      </c>
      <c r="C512">
        <v>7</v>
      </c>
      <c r="D512">
        <v>-8.0500000000000002E-2</v>
      </c>
      <c r="E512">
        <v>7.0000000000000001E-3</v>
      </c>
      <c r="F512">
        <v>9.1999999999999998E-3</v>
      </c>
      <c r="G512">
        <v>5.1400000000000001E-2</v>
      </c>
    </row>
    <row r="513" spans="1:7" x14ac:dyDescent="0.2">
      <c r="A513">
        <v>19740830</v>
      </c>
      <c r="B513">
        <v>1974</v>
      </c>
      <c r="C513">
        <v>8</v>
      </c>
      <c r="D513">
        <v>-9.35E-2</v>
      </c>
      <c r="E513">
        <v>6.0000000000000001E-3</v>
      </c>
      <c r="F513">
        <v>-6.7999999999999996E-3</v>
      </c>
      <c r="G513">
        <v>2.5000000000000001E-2</v>
      </c>
    </row>
    <row r="514" spans="1:7" x14ac:dyDescent="0.2">
      <c r="A514">
        <v>19740930</v>
      </c>
      <c r="B514">
        <v>1974</v>
      </c>
      <c r="C514">
        <v>9</v>
      </c>
      <c r="D514">
        <v>-0.1177</v>
      </c>
      <c r="E514">
        <v>8.0999999999999996E-3</v>
      </c>
      <c r="F514">
        <v>2.7000000000000001E-3</v>
      </c>
      <c r="G514">
        <v>5.4899999999999997E-2</v>
      </c>
    </row>
    <row r="515" spans="1:7" x14ac:dyDescent="0.2">
      <c r="A515">
        <v>19741031</v>
      </c>
      <c r="B515">
        <v>1974</v>
      </c>
      <c r="C515">
        <v>10</v>
      </c>
      <c r="D515">
        <v>0.161</v>
      </c>
      <c r="E515">
        <v>5.1000000000000004E-3</v>
      </c>
      <c r="F515">
        <v>-3.5099999999999999E-2</v>
      </c>
      <c r="G515">
        <v>-9.9900000000000003E-2</v>
      </c>
    </row>
    <row r="516" spans="1:7" x14ac:dyDescent="0.2">
      <c r="A516">
        <v>19741129</v>
      </c>
      <c r="B516">
        <v>1974</v>
      </c>
      <c r="C516">
        <v>11</v>
      </c>
      <c r="D516">
        <v>-4.5100000000000001E-2</v>
      </c>
      <c r="E516">
        <v>5.4000000000000003E-3</v>
      </c>
      <c r="F516">
        <v>-1.17E-2</v>
      </c>
      <c r="G516">
        <v>-1.6000000000000001E-3</v>
      </c>
    </row>
    <row r="517" spans="1:7" x14ac:dyDescent="0.2">
      <c r="A517">
        <v>19741231</v>
      </c>
      <c r="B517">
        <v>1974</v>
      </c>
      <c r="C517">
        <v>12</v>
      </c>
      <c r="D517">
        <v>-3.4500000000000003E-2</v>
      </c>
      <c r="E517">
        <v>7.0000000000000001E-3</v>
      </c>
      <c r="F517">
        <v>-4.8399999999999999E-2</v>
      </c>
      <c r="G517">
        <v>0</v>
      </c>
    </row>
    <row r="518" spans="1:7" x14ac:dyDescent="0.2">
      <c r="A518">
        <v>19750131</v>
      </c>
      <c r="B518">
        <v>1975</v>
      </c>
      <c r="C518">
        <v>1</v>
      </c>
      <c r="D518">
        <v>0.1366</v>
      </c>
      <c r="E518">
        <v>5.7999999999999996E-3</v>
      </c>
      <c r="F518">
        <v>0.1101</v>
      </c>
      <c r="G518">
        <v>8.4400000000000003E-2</v>
      </c>
    </row>
    <row r="519" spans="1:7" x14ac:dyDescent="0.2">
      <c r="A519">
        <v>19750228</v>
      </c>
      <c r="B519">
        <v>1975</v>
      </c>
      <c r="C519">
        <v>2</v>
      </c>
      <c r="D519">
        <v>5.5599999999999997E-2</v>
      </c>
      <c r="E519">
        <v>4.3E-3</v>
      </c>
      <c r="F519">
        <v>1.6000000000000001E-3</v>
      </c>
      <c r="G519">
        <v>-4.5600000000000002E-2</v>
      </c>
    </row>
    <row r="520" spans="1:7" x14ac:dyDescent="0.2">
      <c r="A520">
        <v>19750331</v>
      </c>
      <c r="B520">
        <v>1975</v>
      </c>
      <c r="C520">
        <v>3</v>
      </c>
      <c r="D520">
        <v>2.6599999999999999E-2</v>
      </c>
      <c r="E520">
        <v>4.1000000000000003E-3</v>
      </c>
      <c r="F520">
        <v>3.7499999999999999E-2</v>
      </c>
      <c r="G520">
        <v>2.4899999999999999E-2</v>
      </c>
    </row>
    <row r="521" spans="1:7" x14ac:dyDescent="0.2">
      <c r="A521">
        <v>19750430</v>
      </c>
      <c r="B521">
        <v>1975</v>
      </c>
      <c r="C521">
        <v>4</v>
      </c>
      <c r="D521">
        <v>4.2299999999999997E-2</v>
      </c>
      <c r="E521">
        <v>4.4000000000000003E-3</v>
      </c>
      <c r="F521">
        <v>-5.4000000000000003E-3</v>
      </c>
      <c r="G521">
        <v>-1.11E-2</v>
      </c>
    </row>
    <row r="522" spans="1:7" x14ac:dyDescent="0.2">
      <c r="A522">
        <v>19750530</v>
      </c>
      <c r="B522">
        <v>1975</v>
      </c>
      <c r="C522">
        <v>5</v>
      </c>
      <c r="D522">
        <v>5.1900000000000002E-2</v>
      </c>
      <c r="E522">
        <v>4.4000000000000003E-3</v>
      </c>
      <c r="F522">
        <v>3.8300000000000001E-2</v>
      </c>
      <c r="G522">
        <v>-4.02E-2</v>
      </c>
    </row>
    <row r="523" spans="1:7" x14ac:dyDescent="0.2">
      <c r="A523">
        <v>19750630</v>
      </c>
      <c r="B523">
        <v>1975</v>
      </c>
      <c r="C523">
        <v>6</v>
      </c>
      <c r="D523">
        <v>4.8300000000000003E-2</v>
      </c>
      <c r="E523">
        <v>4.1000000000000003E-3</v>
      </c>
      <c r="F523">
        <v>7.6E-3</v>
      </c>
      <c r="G523">
        <v>1.32E-2</v>
      </c>
    </row>
    <row r="524" spans="1:7" x14ac:dyDescent="0.2">
      <c r="A524">
        <v>19750731</v>
      </c>
      <c r="B524">
        <v>1975</v>
      </c>
      <c r="C524">
        <v>7</v>
      </c>
      <c r="D524">
        <v>-6.59E-2</v>
      </c>
      <c r="E524">
        <v>4.7999999999999996E-3</v>
      </c>
      <c r="F524">
        <v>2.69E-2</v>
      </c>
      <c r="G524">
        <v>1.7000000000000001E-2</v>
      </c>
    </row>
    <row r="525" spans="1:7" x14ac:dyDescent="0.2">
      <c r="A525">
        <v>19750829</v>
      </c>
      <c r="B525">
        <v>1975</v>
      </c>
      <c r="C525">
        <v>8</v>
      </c>
      <c r="D525">
        <v>-2.8500000000000001E-2</v>
      </c>
      <c r="E525">
        <v>4.7999999999999996E-3</v>
      </c>
      <c r="F525">
        <v>-3.2000000000000001E-2</v>
      </c>
      <c r="G525">
        <v>-8.9999999999999993E-3</v>
      </c>
    </row>
    <row r="526" spans="1:7" x14ac:dyDescent="0.2">
      <c r="A526">
        <v>19750930</v>
      </c>
      <c r="B526">
        <v>1975</v>
      </c>
      <c r="C526">
        <v>9</v>
      </c>
      <c r="D526">
        <v>-4.2599999999999999E-2</v>
      </c>
      <c r="E526">
        <v>5.3E-3</v>
      </c>
      <c r="F526">
        <v>-1.2999999999999999E-3</v>
      </c>
      <c r="G526">
        <v>3.3999999999999998E-3</v>
      </c>
    </row>
    <row r="527" spans="1:7" x14ac:dyDescent="0.2">
      <c r="A527">
        <v>19751031</v>
      </c>
      <c r="B527">
        <v>1975</v>
      </c>
      <c r="C527">
        <v>10</v>
      </c>
      <c r="D527">
        <v>5.3100000000000001E-2</v>
      </c>
      <c r="E527">
        <v>5.5999999999999999E-3</v>
      </c>
      <c r="F527">
        <v>-4.02E-2</v>
      </c>
      <c r="G527">
        <v>3.0000000000000001E-3</v>
      </c>
    </row>
    <row r="528" spans="1:7" x14ac:dyDescent="0.2">
      <c r="A528">
        <v>19751128</v>
      </c>
      <c r="B528">
        <v>1975</v>
      </c>
      <c r="C528">
        <v>11</v>
      </c>
      <c r="D528">
        <v>2.64E-2</v>
      </c>
      <c r="E528">
        <v>4.1000000000000003E-3</v>
      </c>
      <c r="F528">
        <v>-1.1900000000000001E-2</v>
      </c>
      <c r="G528">
        <v>1.9900000000000001E-2</v>
      </c>
    </row>
    <row r="529" spans="1:7" x14ac:dyDescent="0.2">
      <c r="A529">
        <v>19751231</v>
      </c>
      <c r="B529">
        <v>1975</v>
      </c>
      <c r="C529">
        <v>12</v>
      </c>
      <c r="D529">
        <v>-1.6E-2</v>
      </c>
      <c r="E529">
        <v>4.7999999999999996E-3</v>
      </c>
      <c r="F529">
        <v>-7.6E-3</v>
      </c>
      <c r="G529">
        <v>1.7600000000000001E-2</v>
      </c>
    </row>
    <row r="530" spans="1:7" x14ac:dyDescent="0.2">
      <c r="A530">
        <v>19760130</v>
      </c>
      <c r="B530">
        <v>1976</v>
      </c>
      <c r="C530">
        <v>1</v>
      </c>
      <c r="D530">
        <v>0.1216</v>
      </c>
      <c r="E530">
        <v>4.7000000000000002E-3</v>
      </c>
      <c r="F530">
        <v>4.8000000000000001E-2</v>
      </c>
      <c r="G530">
        <v>8.5800000000000001E-2</v>
      </c>
    </row>
    <row r="531" spans="1:7" x14ac:dyDescent="0.2">
      <c r="A531">
        <v>19760227</v>
      </c>
      <c r="B531">
        <v>1976</v>
      </c>
      <c r="C531">
        <v>2</v>
      </c>
      <c r="D531">
        <v>3.2000000000000002E-3</v>
      </c>
      <c r="E531">
        <v>3.3999999999999998E-3</v>
      </c>
      <c r="F531">
        <v>7.0300000000000001E-2</v>
      </c>
      <c r="G531">
        <v>5.7799999999999997E-2</v>
      </c>
    </row>
    <row r="532" spans="1:7" x14ac:dyDescent="0.2">
      <c r="A532">
        <v>19760331</v>
      </c>
      <c r="B532">
        <v>1976</v>
      </c>
      <c r="C532">
        <v>3</v>
      </c>
      <c r="D532">
        <v>2.3199999999999998E-2</v>
      </c>
      <c r="E532">
        <v>4.0000000000000001E-3</v>
      </c>
      <c r="F532">
        <v>-1.17E-2</v>
      </c>
      <c r="G532">
        <v>-4.0000000000000002E-4</v>
      </c>
    </row>
    <row r="533" spans="1:7" x14ac:dyDescent="0.2">
      <c r="A533">
        <v>19760430</v>
      </c>
      <c r="B533">
        <v>1976</v>
      </c>
      <c r="C533">
        <v>4</v>
      </c>
      <c r="D533">
        <v>-1.49E-2</v>
      </c>
      <c r="E533">
        <v>4.1999999999999997E-3</v>
      </c>
      <c r="F533">
        <v>-2.9999999999999997E-4</v>
      </c>
      <c r="G533">
        <v>-5.9999999999999995E-4</v>
      </c>
    </row>
    <row r="534" spans="1:7" x14ac:dyDescent="0.2">
      <c r="A534">
        <v>19760528</v>
      </c>
      <c r="B534">
        <v>1976</v>
      </c>
      <c r="C534">
        <v>5</v>
      </c>
      <c r="D534">
        <v>-1.34E-2</v>
      </c>
      <c r="E534">
        <v>3.7000000000000002E-3</v>
      </c>
      <c r="F534">
        <v>-1.24E-2</v>
      </c>
      <c r="G534">
        <v>-1.32E-2</v>
      </c>
    </row>
    <row r="535" spans="1:7" x14ac:dyDescent="0.2">
      <c r="A535">
        <v>19760630</v>
      </c>
      <c r="B535">
        <v>1976</v>
      </c>
      <c r="C535">
        <v>6</v>
      </c>
      <c r="D535">
        <v>4.0500000000000001E-2</v>
      </c>
      <c r="E535">
        <v>4.3E-3</v>
      </c>
      <c r="F535">
        <v>-1.35E-2</v>
      </c>
      <c r="G535">
        <v>6.7999999999999996E-3</v>
      </c>
    </row>
    <row r="536" spans="1:7" x14ac:dyDescent="0.2">
      <c r="A536">
        <v>19760730</v>
      </c>
      <c r="B536">
        <v>1976</v>
      </c>
      <c r="C536">
        <v>7</v>
      </c>
      <c r="D536">
        <v>-1.0699999999999999E-2</v>
      </c>
      <c r="E536">
        <v>4.7000000000000002E-3</v>
      </c>
      <c r="F536">
        <v>3.0999999999999999E-3</v>
      </c>
      <c r="G536">
        <v>1.7399999999999999E-2</v>
      </c>
    </row>
    <row r="537" spans="1:7" x14ac:dyDescent="0.2">
      <c r="A537">
        <v>19760831</v>
      </c>
      <c r="B537">
        <v>1976</v>
      </c>
      <c r="C537">
        <v>8</v>
      </c>
      <c r="D537">
        <v>-5.5999999999999999E-3</v>
      </c>
      <c r="E537">
        <v>4.1999999999999997E-3</v>
      </c>
      <c r="F537">
        <v>-2.01E-2</v>
      </c>
      <c r="G537">
        <v>7.9000000000000008E-3</v>
      </c>
    </row>
    <row r="538" spans="1:7" x14ac:dyDescent="0.2">
      <c r="A538">
        <v>19760930</v>
      </c>
      <c r="B538">
        <v>1976</v>
      </c>
      <c r="C538">
        <v>9</v>
      </c>
      <c r="D538">
        <v>2.07E-2</v>
      </c>
      <c r="E538">
        <v>4.4000000000000003E-3</v>
      </c>
      <c r="F538">
        <v>-1E-4</v>
      </c>
      <c r="G538">
        <v>-2.8999999999999998E-3</v>
      </c>
    </row>
    <row r="539" spans="1:7" x14ac:dyDescent="0.2">
      <c r="A539">
        <v>19761029</v>
      </c>
      <c r="B539">
        <v>1976</v>
      </c>
      <c r="C539">
        <v>10</v>
      </c>
      <c r="D539">
        <v>-2.4199999999999999E-2</v>
      </c>
      <c r="E539">
        <v>4.1000000000000003E-3</v>
      </c>
      <c r="F539">
        <v>2.5000000000000001E-3</v>
      </c>
      <c r="G539">
        <v>-1.2999999999999999E-3</v>
      </c>
    </row>
    <row r="540" spans="1:7" x14ac:dyDescent="0.2">
      <c r="A540">
        <v>19761130</v>
      </c>
      <c r="B540">
        <v>1976</v>
      </c>
      <c r="C540">
        <v>11</v>
      </c>
      <c r="D540">
        <v>3.5999999999999999E-3</v>
      </c>
      <c r="E540">
        <v>4.0000000000000001E-3</v>
      </c>
      <c r="F540">
        <v>2.3199999999999998E-2</v>
      </c>
      <c r="G540">
        <v>1.5100000000000001E-2</v>
      </c>
    </row>
    <row r="541" spans="1:7" x14ac:dyDescent="0.2">
      <c r="A541">
        <v>19761231</v>
      </c>
      <c r="B541">
        <v>1976</v>
      </c>
      <c r="C541">
        <v>12</v>
      </c>
      <c r="D541">
        <v>5.6500000000000002E-2</v>
      </c>
      <c r="E541">
        <v>4.0000000000000001E-3</v>
      </c>
      <c r="F541">
        <v>3.0099999999999998E-2</v>
      </c>
      <c r="G541">
        <v>2.2200000000000001E-2</v>
      </c>
    </row>
    <row r="542" spans="1:7" x14ac:dyDescent="0.2">
      <c r="A542">
        <v>19770131</v>
      </c>
      <c r="B542">
        <v>1977</v>
      </c>
      <c r="C542">
        <v>1</v>
      </c>
      <c r="D542">
        <v>-4.0500000000000001E-2</v>
      </c>
      <c r="E542">
        <v>3.5999999999999999E-3</v>
      </c>
      <c r="F542">
        <v>4.7800000000000002E-2</v>
      </c>
      <c r="G542">
        <v>4.2599999999999999E-2</v>
      </c>
    </row>
    <row r="543" spans="1:7" x14ac:dyDescent="0.2">
      <c r="A543">
        <v>19770228</v>
      </c>
      <c r="B543">
        <v>1977</v>
      </c>
      <c r="C543">
        <v>2</v>
      </c>
      <c r="D543">
        <v>-1.9400000000000001E-2</v>
      </c>
      <c r="E543">
        <v>3.5000000000000001E-3</v>
      </c>
      <c r="F543">
        <v>1.0800000000000001E-2</v>
      </c>
      <c r="G543">
        <v>5.0000000000000001E-3</v>
      </c>
    </row>
    <row r="544" spans="1:7" x14ac:dyDescent="0.2">
      <c r="A544">
        <v>19770331</v>
      </c>
      <c r="B544">
        <v>1977</v>
      </c>
      <c r="C544">
        <v>3</v>
      </c>
      <c r="D544">
        <v>-1.37E-2</v>
      </c>
      <c r="E544">
        <v>3.8E-3</v>
      </c>
      <c r="F544">
        <v>9.9000000000000008E-3</v>
      </c>
      <c r="G544">
        <v>1.0200000000000001E-2</v>
      </c>
    </row>
    <row r="545" spans="1:7" x14ac:dyDescent="0.2">
      <c r="A545">
        <v>19770429</v>
      </c>
      <c r="B545">
        <v>1977</v>
      </c>
      <c r="C545">
        <v>4</v>
      </c>
      <c r="D545">
        <v>1.5E-3</v>
      </c>
      <c r="E545">
        <v>3.8E-3</v>
      </c>
      <c r="F545">
        <v>-1.1999999999999999E-3</v>
      </c>
      <c r="G545">
        <v>3.4500000000000003E-2</v>
      </c>
    </row>
    <row r="546" spans="1:7" x14ac:dyDescent="0.2">
      <c r="A546">
        <v>19770531</v>
      </c>
      <c r="B546">
        <v>1977</v>
      </c>
      <c r="C546">
        <v>5</v>
      </c>
      <c r="D546">
        <v>-1.4500000000000001E-2</v>
      </c>
      <c r="E546">
        <v>3.7000000000000002E-3</v>
      </c>
      <c r="F546">
        <v>1.18E-2</v>
      </c>
      <c r="G546">
        <v>8.3999999999999995E-3</v>
      </c>
    </row>
    <row r="547" spans="1:7" x14ac:dyDescent="0.2">
      <c r="A547">
        <v>19770630</v>
      </c>
      <c r="B547">
        <v>1977</v>
      </c>
      <c r="C547">
        <v>6</v>
      </c>
      <c r="D547">
        <v>4.7100000000000003E-2</v>
      </c>
      <c r="E547">
        <v>4.0000000000000001E-3</v>
      </c>
      <c r="F547">
        <v>2.1299999999999999E-2</v>
      </c>
      <c r="G547">
        <v>-6.4000000000000003E-3</v>
      </c>
    </row>
    <row r="548" spans="1:7" x14ac:dyDescent="0.2">
      <c r="A548">
        <v>19770729</v>
      </c>
      <c r="B548">
        <v>1977</v>
      </c>
      <c r="C548">
        <v>7</v>
      </c>
      <c r="D548">
        <v>-1.6899999999999998E-2</v>
      </c>
      <c r="E548">
        <v>4.1999999999999997E-3</v>
      </c>
      <c r="F548">
        <v>2.12E-2</v>
      </c>
      <c r="G548">
        <v>-5.8999999999999999E-3</v>
      </c>
    </row>
    <row r="549" spans="1:7" x14ac:dyDescent="0.2">
      <c r="A549">
        <v>19770831</v>
      </c>
      <c r="B549">
        <v>1977</v>
      </c>
      <c r="C549">
        <v>8</v>
      </c>
      <c r="D549">
        <v>-1.7500000000000002E-2</v>
      </c>
      <c r="E549">
        <v>4.4000000000000003E-3</v>
      </c>
      <c r="F549">
        <v>1.52E-2</v>
      </c>
      <c r="G549">
        <v>-2.7900000000000001E-2</v>
      </c>
    </row>
    <row r="550" spans="1:7" x14ac:dyDescent="0.2">
      <c r="A550">
        <v>19770930</v>
      </c>
      <c r="B550">
        <v>1977</v>
      </c>
      <c r="C550">
        <v>9</v>
      </c>
      <c r="D550">
        <v>-2.7000000000000001E-3</v>
      </c>
      <c r="E550">
        <v>4.3E-3</v>
      </c>
      <c r="F550">
        <v>1.4500000000000001E-2</v>
      </c>
      <c r="G550">
        <v>-4.8999999999999998E-3</v>
      </c>
    </row>
    <row r="551" spans="1:7" x14ac:dyDescent="0.2">
      <c r="A551">
        <v>19771031</v>
      </c>
      <c r="B551">
        <v>1977</v>
      </c>
      <c r="C551">
        <v>10</v>
      </c>
      <c r="D551">
        <v>-4.3799999999999999E-2</v>
      </c>
      <c r="E551">
        <v>4.8999999999999998E-3</v>
      </c>
      <c r="F551">
        <v>1.2699999999999999E-2</v>
      </c>
      <c r="G551">
        <v>1.72E-2</v>
      </c>
    </row>
    <row r="552" spans="1:7" x14ac:dyDescent="0.2">
      <c r="A552">
        <v>19771130</v>
      </c>
      <c r="B552">
        <v>1977</v>
      </c>
      <c r="C552">
        <v>11</v>
      </c>
      <c r="D552">
        <v>0.04</v>
      </c>
      <c r="E552">
        <v>5.0000000000000001E-3</v>
      </c>
      <c r="F552">
        <v>3.7199999999999997E-2</v>
      </c>
      <c r="G552">
        <v>3.0999999999999999E-3</v>
      </c>
    </row>
    <row r="553" spans="1:7" x14ac:dyDescent="0.2">
      <c r="A553">
        <v>19771230</v>
      </c>
      <c r="B553">
        <v>1977</v>
      </c>
      <c r="C553">
        <v>12</v>
      </c>
      <c r="D553">
        <v>2.7000000000000001E-3</v>
      </c>
      <c r="E553">
        <v>4.8999999999999998E-3</v>
      </c>
      <c r="F553">
        <v>1.35E-2</v>
      </c>
      <c r="G553">
        <v>-3.7000000000000002E-3</v>
      </c>
    </row>
    <row r="554" spans="1:7" x14ac:dyDescent="0.2">
      <c r="A554">
        <v>19780131</v>
      </c>
      <c r="B554">
        <v>1978</v>
      </c>
      <c r="C554">
        <v>1</v>
      </c>
      <c r="D554">
        <v>-6.0100000000000001E-2</v>
      </c>
      <c r="E554">
        <v>4.8999999999999998E-3</v>
      </c>
      <c r="F554">
        <v>2.2200000000000001E-2</v>
      </c>
      <c r="G554">
        <v>3.3099999999999997E-2</v>
      </c>
    </row>
    <row r="555" spans="1:7" x14ac:dyDescent="0.2">
      <c r="A555">
        <v>19780228</v>
      </c>
      <c r="B555">
        <v>1978</v>
      </c>
      <c r="C555">
        <v>2</v>
      </c>
      <c r="D555">
        <v>-1.38E-2</v>
      </c>
      <c r="E555">
        <v>4.5999999999999999E-3</v>
      </c>
      <c r="F555">
        <v>3.5900000000000001E-2</v>
      </c>
      <c r="G555">
        <v>7.6E-3</v>
      </c>
    </row>
    <row r="556" spans="1:7" x14ac:dyDescent="0.2">
      <c r="A556">
        <v>19780331</v>
      </c>
      <c r="B556">
        <v>1978</v>
      </c>
      <c r="C556">
        <v>3</v>
      </c>
      <c r="D556">
        <v>2.8500000000000001E-2</v>
      </c>
      <c r="E556">
        <v>5.3E-3</v>
      </c>
      <c r="F556">
        <v>3.4799999999999998E-2</v>
      </c>
      <c r="G556">
        <v>1.2E-2</v>
      </c>
    </row>
    <row r="557" spans="1:7" x14ac:dyDescent="0.2">
      <c r="A557">
        <v>19780428</v>
      </c>
      <c r="B557">
        <v>1978</v>
      </c>
      <c r="C557">
        <v>4</v>
      </c>
      <c r="D557">
        <v>7.8799999999999995E-2</v>
      </c>
      <c r="E557">
        <v>5.4000000000000003E-3</v>
      </c>
      <c r="F557">
        <v>4.0000000000000001E-3</v>
      </c>
      <c r="G557">
        <v>-3.5400000000000001E-2</v>
      </c>
    </row>
    <row r="558" spans="1:7" x14ac:dyDescent="0.2">
      <c r="A558">
        <v>19780531</v>
      </c>
      <c r="B558">
        <v>1978</v>
      </c>
      <c r="C558">
        <v>5</v>
      </c>
      <c r="D558">
        <v>1.7600000000000001E-2</v>
      </c>
      <c r="E558">
        <v>5.1000000000000004E-3</v>
      </c>
      <c r="F558">
        <v>4.5600000000000002E-2</v>
      </c>
      <c r="G558">
        <v>-6.1999999999999998E-3</v>
      </c>
    </row>
    <row r="559" spans="1:7" x14ac:dyDescent="0.2">
      <c r="A559">
        <v>19780630</v>
      </c>
      <c r="B559">
        <v>1978</v>
      </c>
      <c r="C559">
        <v>6</v>
      </c>
      <c r="D559">
        <v>-1.6899999999999998E-2</v>
      </c>
      <c r="E559">
        <v>5.4000000000000003E-3</v>
      </c>
      <c r="F559">
        <v>1.6899999999999998E-2</v>
      </c>
      <c r="G559">
        <v>5.8999999999999999E-3</v>
      </c>
    </row>
    <row r="560" spans="1:7" x14ac:dyDescent="0.2">
      <c r="A560">
        <v>19780731</v>
      </c>
      <c r="B560">
        <v>1978</v>
      </c>
      <c r="C560">
        <v>7</v>
      </c>
      <c r="D560">
        <v>5.11E-2</v>
      </c>
      <c r="E560">
        <v>5.5999999999999999E-3</v>
      </c>
      <c r="F560">
        <v>2.5999999999999999E-3</v>
      </c>
      <c r="G560">
        <v>-1.11E-2</v>
      </c>
    </row>
    <row r="561" spans="1:7" x14ac:dyDescent="0.2">
      <c r="A561">
        <v>19780831</v>
      </c>
      <c r="B561">
        <v>1978</v>
      </c>
      <c r="C561">
        <v>8</v>
      </c>
      <c r="D561">
        <v>3.7499999999999999E-2</v>
      </c>
      <c r="E561">
        <v>5.5999999999999999E-3</v>
      </c>
      <c r="F561">
        <v>5.0599999999999999E-2</v>
      </c>
      <c r="G561">
        <v>-4.5999999999999999E-3</v>
      </c>
    </row>
    <row r="562" spans="1:7" x14ac:dyDescent="0.2">
      <c r="A562">
        <v>19780929</v>
      </c>
      <c r="B562">
        <v>1978</v>
      </c>
      <c r="C562">
        <v>9</v>
      </c>
      <c r="D562">
        <v>-1.43E-2</v>
      </c>
      <c r="E562">
        <v>6.1999999999999998E-3</v>
      </c>
      <c r="F562">
        <v>-3.8999999999999998E-3</v>
      </c>
      <c r="G562">
        <v>1.8700000000000001E-2</v>
      </c>
    </row>
    <row r="563" spans="1:7" x14ac:dyDescent="0.2">
      <c r="A563">
        <v>19781031</v>
      </c>
      <c r="B563">
        <v>1978</v>
      </c>
      <c r="C563">
        <v>10</v>
      </c>
      <c r="D563">
        <v>-0.1191</v>
      </c>
      <c r="E563">
        <v>6.7999999999999996E-3</v>
      </c>
      <c r="F563">
        <v>-9.8799999999999999E-2</v>
      </c>
      <c r="G563">
        <v>1.3599999999999999E-2</v>
      </c>
    </row>
    <row r="564" spans="1:7" x14ac:dyDescent="0.2">
      <c r="A564">
        <v>19781130</v>
      </c>
      <c r="B564">
        <v>1978</v>
      </c>
      <c r="C564">
        <v>11</v>
      </c>
      <c r="D564">
        <v>2.7099999999999999E-2</v>
      </c>
      <c r="E564">
        <v>7.0000000000000001E-3</v>
      </c>
      <c r="F564">
        <v>3.0099999999999998E-2</v>
      </c>
      <c r="G564">
        <v>-2.2200000000000001E-2</v>
      </c>
    </row>
    <row r="565" spans="1:7" x14ac:dyDescent="0.2">
      <c r="A565">
        <v>19781229</v>
      </c>
      <c r="B565">
        <v>1978</v>
      </c>
      <c r="C565">
        <v>12</v>
      </c>
      <c r="D565">
        <v>8.8000000000000005E-3</v>
      </c>
      <c r="E565">
        <v>7.7999999999999996E-3</v>
      </c>
      <c r="F565">
        <v>1.24E-2</v>
      </c>
      <c r="G565">
        <v>-2.1899999999999999E-2</v>
      </c>
    </row>
    <row r="566" spans="1:7" x14ac:dyDescent="0.2">
      <c r="A566">
        <v>19790131</v>
      </c>
      <c r="B566">
        <v>1979</v>
      </c>
      <c r="C566">
        <v>1</v>
      </c>
      <c r="D566">
        <v>4.2299999999999997E-2</v>
      </c>
      <c r="E566">
        <v>7.7000000000000002E-3</v>
      </c>
      <c r="F566">
        <v>3.6600000000000001E-2</v>
      </c>
      <c r="G566">
        <v>2.2700000000000001E-2</v>
      </c>
    </row>
    <row r="567" spans="1:7" x14ac:dyDescent="0.2">
      <c r="A567">
        <v>19790228</v>
      </c>
      <c r="B567">
        <v>1979</v>
      </c>
      <c r="C567">
        <v>2</v>
      </c>
      <c r="D567">
        <v>-3.56E-2</v>
      </c>
      <c r="E567">
        <v>7.3000000000000001E-3</v>
      </c>
      <c r="F567">
        <v>4.4999999999999997E-3</v>
      </c>
      <c r="G567">
        <v>1.2E-2</v>
      </c>
    </row>
    <row r="568" spans="1:7" x14ac:dyDescent="0.2">
      <c r="A568">
        <v>19790330</v>
      </c>
      <c r="B568">
        <v>1979</v>
      </c>
      <c r="C568">
        <v>3</v>
      </c>
      <c r="D568">
        <v>5.6800000000000003E-2</v>
      </c>
      <c r="E568">
        <v>8.0999999999999996E-3</v>
      </c>
      <c r="F568">
        <v>3.1899999999999998E-2</v>
      </c>
      <c r="G568">
        <v>-6.7000000000000002E-3</v>
      </c>
    </row>
    <row r="569" spans="1:7" x14ac:dyDescent="0.2">
      <c r="A569">
        <v>19790430</v>
      </c>
      <c r="B569">
        <v>1979</v>
      </c>
      <c r="C569">
        <v>4</v>
      </c>
      <c r="D569">
        <v>-5.9999999999999995E-4</v>
      </c>
      <c r="E569">
        <v>8.0000000000000002E-3</v>
      </c>
      <c r="F569">
        <v>2.18E-2</v>
      </c>
      <c r="G569">
        <v>1.0500000000000001E-2</v>
      </c>
    </row>
    <row r="570" spans="1:7" x14ac:dyDescent="0.2">
      <c r="A570">
        <v>19790531</v>
      </c>
      <c r="B570">
        <v>1979</v>
      </c>
      <c r="C570">
        <v>5</v>
      </c>
      <c r="D570">
        <v>-2.2100000000000002E-2</v>
      </c>
      <c r="E570">
        <v>8.2000000000000007E-3</v>
      </c>
      <c r="F570">
        <v>5.7000000000000002E-3</v>
      </c>
      <c r="G570">
        <v>1.9199999999999998E-2</v>
      </c>
    </row>
    <row r="571" spans="1:7" x14ac:dyDescent="0.2">
      <c r="A571">
        <v>19790629</v>
      </c>
      <c r="B571">
        <v>1979</v>
      </c>
      <c r="C571">
        <v>6</v>
      </c>
      <c r="D571">
        <v>3.85E-2</v>
      </c>
      <c r="E571">
        <v>8.0999999999999996E-3</v>
      </c>
      <c r="F571">
        <v>1.17E-2</v>
      </c>
      <c r="G571">
        <v>1.4800000000000001E-2</v>
      </c>
    </row>
    <row r="572" spans="1:7" x14ac:dyDescent="0.2">
      <c r="A572">
        <v>19790731</v>
      </c>
      <c r="B572">
        <v>1979</v>
      </c>
      <c r="C572">
        <v>7</v>
      </c>
      <c r="D572">
        <v>8.2000000000000007E-3</v>
      </c>
      <c r="E572">
        <v>7.7000000000000002E-3</v>
      </c>
      <c r="F572">
        <v>1.26E-2</v>
      </c>
      <c r="G572">
        <v>1.7000000000000001E-2</v>
      </c>
    </row>
    <row r="573" spans="1:7" x14ac:dyDescent="0.2">
      <c r="A573">
        <v>19790831</v>
      </c>
      <c r="B573">
        <v>1979</v>
      </c>
      <c r="C573">
        <v>8</v>
      </c>
      <c r="D573">
        <v>5.5300000000000002E-2</v>
      </c>
      <c r="E573">
        <v>7.7000000000000002E-3</v>
      </c>
      <c r="F573">
        <v>2.0799999999999999E-2</v>
      </c>
      <c r="G573">
        <v>-1.55E-2</v>
      </c>
    </row>
    <row r="574" spans="1:7" x14ac:dyDescent="0.2">
      <c r="A574">
        <v>19790928</v>
      </c>
      <c r="B574">
        <v>1979</v>
      </c>
      <c r="C574">
        <v>9</v>
      </c>
      <c r="D574">
        <v>-8.2000000000000007E-3</v>
      </c>
      <c r="E574">
        <v>8.3000000000000001E-3</v>
      </c>
      <c r="F574">
        <v>-2.5000000000000001E-3</v>
      </c>
      <c r="G574">
        <v>-8.6999999999999994E-3</v>
      </c>
    </row>
    <row r="575" spans="1:7" x14ac:dyDescent="0.2">
      <c r="A575">
        <v>19791031</v>
      </c>
      <c r="B575">
        <v>1979</v>
      </c>
      <c r="C575">
        <v>10</v>
      </c>
      <c r="D575">
        <v>-8.1000000000000003E-2</v>
      </c>
      <c r="E575">
        <v>8.6999999999999994E-3</v>
      </c>
      <c r="F575">
        <v>-3.3399999999999999E-2</v>
      </c>
      <c r="G575">
        <v>-1.8599999999999998E-2</v>
      </c>
    </row>
    <row r="576" spans="1:7" x14ac:dyDescent="0.2">
      <c r="A576">
        <v>19791130</v>
      </c>
      <c r="B576">
        <v>1979</v>
      </c>
      <c r="C576">
        <v>11</v>
      </c>
      <c r="D576">
        <v>5.21E-2</v>
      </c>
      <c r="E576">
        <v>9.9000000000000008E-3</v>
      </c>
      <c r="F576">
        <v>2.7400000000000001E-2</v>
      </c>
      <c r="G576">
        <v>-3.2500000000000001E-2</v>
      </c>
    </row>
    <row r="577" spans="1:7" x14ac:dyDescent="0.2">
      <c r="A577">
        <v>19791231</v>
      </c>
      <c r="B577">
        <v>1979</v>
      </c>
      <c r="C577">
        <v>12</v>
      </c>
      <c r="D577">
        <v>1.7899999999999999E-2</v>
      </c>
      <c r="E577">
        <v>9.4999999999999998E-3</v>
      </c>
      <c r="F577">
        <v>4.1700000000000001E-2</v>
      </c>
      <c r="G577">
        <v>-1.9800000000000002E-2</v>
      </c>
    </row>
    <row r="578" spans="1:7" x14ac:dyDescent="0.2">
      <c r="A578">
        <v>19800131</v>
      </c>
      <c r="B578">
        <v>1980</v>
      </c>
      <c r="C578">
        <v>1</v>
      </c>
      <c r="D578">
        <v>5.5100000000000003E-2</v>
      </c>
      <c r="E578">
        <v>8.0000000000000002E-3</v>
      </c>
      <c r="F578">
        <v>1.6500000000000001E-2</v>
      </c>
      <c r="G578">
        <v>1.7999999999999999E-2</v>
      </c>
    </row>
    <row r="579" spans="1:7" x14ac:dyDescent="0.2">
      <c r="A579">
        <v>19800229</v>
      </c>
      <c r="B579">
        <v>1980</v>
      </c>
      <c r="C579">
        <v>2</v>
      </c>
      <c r="D579">
        <v>-1.2200000000000001E-2</v>
      </c>
      <c r="E579">
        <v>8.8999999999999999E-3</v>
      </c>
      <c r="F579">
        <v>-1.8200000000000001E-2</v>
      </c>
      <c r="G579">
        <v>6.1999999999999998E-3</v>
      </c>
    </row>
    <row r="580" spans="1:7" x14ac:dyDescent="0.2">
      <c r="A580">
        <v>19800331</v>
      </c>
      <c r="B580">
        <v>1980</v>
      </c>
      <c r="C580">
        <v>3</v>
      </c>
      <c r="D580">
        <v>-0.129</v>
      </c>
      <c r="E580">
        <v>1.21E-2</v>
      </c>
      <c r="F580">
        <v>-6.6400000000000001E-2</v>
      </c>
      <c r="G580">
        <v>-1.06E-2</v>
      </c>
    </row>
    <row r="581" spans="1:7" x14ac:dyDescent="0.2">
      <c r="A581">
        <v>19800430</v>
      </c>
      <c r="B581">
        <v>1980</v>
      </c>
      <c r="C581">
        <v>4</v>
      </c>
      <c r="D581">
        <v>3.9699999999999999E-2</v>
      </c>
      <c r="E581">
        <v>1.26E-2</v>
      </c>
      <c r="F581">
        <v>9.7000000000000003E-3</v>
      </c>
      <c r="G581">
        <v>1.06E-2</v>
      </c>
    </row>
    <row r="582" spans="1:7" x14ac:dyDescent="0.2">
      <c r="A582">
        <v>19800530</v>
      </c>
      <c r="B582">
        <v>1980</v>
      </c>
      <c r="C582">
        <v>5</v>
      </c>
      <c r="D582">
        <v>5.2600000000000001E-2</v>
      </c>
      <c r="E582">
        <v>8.0999999999999996E-3</v>
      </c>
      <c r="F582">
        <v>2.1600000000000001E-2</v>
      </c>
      <c r="G582">
        <v>3.8999999999999998E-3</v>
      </c>
    </row>
    <row r="583" spans="1:7" x14ac:dyDescent="0.2">
      <c r="A583">
        <v>19800630</v>
      </c>
      <c r="B583">
        <v>1980</v>
      </c>
      <c r="C583">
        <v>6</v>
      </c>
      <c r="D583">
        <v>3.0599999999999999E-2</v>
      </c>
      <c r="E583">
        <v>6.1000000000000004E-3</v>
      </c>
      <c r="F583">
        <v>1.67E-2</v>
      </c>
      <c r="G583">
        <v>-8.8999999999999999E-3</v>
      </c>
    </row>
    <row r="584" spans="1:7" x14ac:dyDescent="0.2">
      <c r="A584">
        <v>19800731</v>
      </c>
      <c r="B584">
        <v>1980</v>
      </c>
      <c r="C584">
        <v>7</v>
      </c>
      <c r="D584">
        <v>6.4899999999999999E-2</v>
      </c>
      <c r="E584">
        <v>5.3E-3</v>
      </c>
      <c r="F584">
        <v>4.2500000000000003E-2</v>
      </c>
      <c r="G584">
        <v>-6.3E-2</v>
      </c>
    </row>
    <row r="585" spans="1:7" x14ac:dyDescent="0.2">
      <c r="A585">
        <v>19800829</v>
      </c>
      <c r="B585">
        <v>1980</v>
      </c>
      <c r="C585">
        <v>8</v>
      </c>
      <c r="D585">
        <v>1.7999999999999999E-2</v>
      </c>
      <c r="E585">
        <v>6.4000000000000003E-3</v>
      </c>
      <c r="F585">
        <v>3.9199999999999999E-2</v>
      </c>
      <c r="G585">
        <v>-2.64E-2</v>
      </c>
    </row>
    <row r="586" spans="1:7" x14ac:dyDescent="0.2">
      <c r="A586">
        <v>19800930</v>
      </c>
      <c r="B586">
        <v>1980</v>
      </c>
      <c r="C586">
        <v>9</v>
      </c>
      <c r="D586">
        <v>2.1899999999999999E-2</v>
      </c>
      <c r="E586">
        <v>7.4999999999999997E-3</v>
      </c>
      <c r="F586">
        <v>8.8999999999999999E-3</v>
      </c>
      <c r="G586">
        <v>-4.7899999999999998E-2</v>
      </c>
    </row>
    <row r="587" spans="1:7" x14ac:dyDescent="0.2">
      <c r="A587">
        <v>19801031</v>
      </c>
      <c r="B587">
        <v>1980</v>
      </c>
      <c r="C587">
        <v>10</v>
      </c>
      <c r="D587">
        <v>1.06E-2</v>
      </c>
      <c r="E587">
        <v>9.4999999999999998E-3</v>
      </c>
      <c r="F587">
        <v>2.47E-2</v>
      </c>
      <c r="G587">
        <v>-2.7400000000000001E-2</v>
      </c>
    </row>
    <row r="588" spans="1:7" x14ac:dyDescent="0.2">
      <c r="A588">
        <v>19801128</v>
      </c>
      <c r="B588">
        <v>1980</v>
      </c>
      <c r="C588">
        <v>11</v>
      </c>
      <c r="D588">
        <v>9.5899999999999999E-2</v>
      </c>
      <c r="E588">
        <v>9.5999999999999992E-3</v>
      </c>
      <c r="F588">
        <v>-3.4500000000000003E-2</v>
      </c>
      <c r="G588">
        <v>-8.3500000000000005E-2</v>
      </c>
    </row>
    <row r="589" spans="1:7" x14ac:dyDescent="0.2">
      <c r="A589">
        <v>19801231</v>
      </c>
      <c r="B589">
        <v>1980</v>
      </c>
      <c r="C589">
        <v>12</v>
      </c>
      <c r="D589">
        <v>-4.5199999999999997E-2</v>
      </c>
      <c r="E589">
        <v>1.3100000000000001E-2</v>
      </c>
      <c r="F589">
        <v>-2.8E-3</v>
      </c>
      <c r="G589">
        <v>2.6800000000000001E-2</v>
      </c>
    </row>
    <row r="590" spans="1:7" x14ac:dyDescent="0.2">
      <c r="A590">
        <v>19810130</v>
      </c>
      <c r="B590">
        <v>1981</v>
      </c>
      <c r="C590">
        <v>1</v>
      </c>
      <c r="D590">
        <v>-5.04E-2</v>
      </c>
      <c r="E590">
        <v>1.04E-2</v>
      </c>
      <c r="F590">
        <v>0.03</v>
      </c>
      <c r="G590">
        <v>6.8400000000000002E-2</v>
      </c>
    </row>
    <row r="591" spans="1:7" x14ac:dyDescent="0.2">
      <c r="A591">
        <v>19810227</v>
      </c>
      <c r="B591">
        <v>1981</v>
      </c>
      <c r="C591">
        <v>2</v>
      </c>
      <c r="D591">
        <v>5.7000000000000002E-3</v>
      </c>
      <c r="E591">
        <v>1.0699999999999999E-2</v>
      </c>
      <c r="F591">
        <v>-3.0999999999999999E-3</v>
      </c>
      <c r="G591">
        <v>9.7000000000000003E-3</v>
      </c>
    </row>
    <row r="592" spans="1:7" x14ac:dyDescent="0.2">
      <c r="A592">
        <v>19810331</v>
      </c>
      <c r="B592">
        <v>1981</v>
      </c>
      <c r="C592">
        <v>3</v>
      </c>
      <c r="D592">
        <v>3.56E-2</v>
      </c>
      <c r="E592">
        <v>1.21E-2</v>
      </c>
      <c r="F592">
        <v>3.5799999999999998E-2</v>
      </c>
      <c r="G592">
        <v>6.7000000000000002E-3</v>
      </c>
    </row>
    <row r="593" spans="1:7" x14ac:dyDescent="0.2">
      <c r="A593">
        <v>19810430</v>
      </c>
      <c r="B593">
        <v>1981</v>
      </c>
      <c r="C593">
        <v>4</v>
      </c>
      <c r="D593">
        <v>-2.1100000000000001E-2</v>
      </c>
      <c r="E593">
        <v>1.0800000000000001E-2</v>
      </c>
      <c r="F593">
        <v>4.4200000000000003E-2</v>
      </c>
      <c r="G593">
        <v>2.2599999999999999E-2</v>
      </c>
    </row>
    <row r="594" spans="1:7" x14ac:dyDescent="0.2">
      <c r="A594">
        <v>19810529</v>
      </c>
      <c r="B594">
        <v>1981</v>
      </c>
      <c r="C594">
        <v>5</v>
      </c>
      <c r="D594">
        <v>1.1000000000000001E-3</v>
      </c>
      <c r="E594">
        <v>1.15E-2</v>
      </c>
      <c r="F594">
        <v>0.02</v>
      </c>
      <c r="G594">
        <v>-4.3E-3</v>
      </c>
    </row>
    <row r="595" spans="1:7" x14ac:dyDescent="0.2">
      <c r="A595">
        <v>19810630</v>
      </c>
      <c r="B595">
        <v>1981</v>
      </c>
      <c r="C595">
        <v>6</v>
      </c>
      <c r="D595">
        <v>-2.3599999999999999E-2</v>
      </c>
      <c r="E595">
        <v>1.35E-2</v>
      </c>
      <c r="F595">
        <v>-8.5000000000000006E-3</v>
      </c>
      <c r="G595">
        <v>5.1299999999999998E-2</v>
      </c>
    </row>
    <row r="596" spans="1:7" x14ac:dyDescent="0.2">
      <c r="A596">
        <v>19810731</v>
      </c>
      <c r="B596">
        <v>1981</v>
      </c>
      <c r="C596">
        <v>7</v>
      </c>
      <c r="D596">
        <v>-1.54E-2</v>
      </c>
      <c r="E596">
        <v>1.24E-2</v>
      </c>
      <c r="F596">
        <v>-2.18E-2</v>
      </c>
      <c r="G596">
        <v>-6.6E-3</v>
      </c>
    </row>
    <row r="597" spans="1:7" x14ac:dyDescent="0.2">
      <c r="A597">
        <v>19810831</v>
      </c>
      <c r="B597">
        <v>1981</v>
      </c>
      <c r="C597">
        <v>8</v>
      </c>
      <c r="D597">
        <v>-7.0400000000000004E-2</v>
      </c>
      <c r="E597">
        <v>1.2800000000000001E-2</v>
      </c>
      <c r="F597">
        <v>-1.95E-2</v>
      </c>
      <c r="G597">
        <v>4.8399999999999999E-2</v>
      </c>
    </row>
    <row r="598" spans="1:7" x14ac:dyDescent="0.2">
      <c r="A598">
        <v>19810930</v>
      </c>
      <c r="B598">
        <v>1981</v>
      </c>
      <c r="C598">
        <v>9</v>
      </c>
      <c r="D598">
        <v>-7.17E-2</v>
      </c>
      <c r="E598">
        <v>1.24E-2</v>
      </c>
      <c r="F598">
        <v>-2.6599999999999999E-2</v>
      </c>
      <c r="G598">
        <v>5.1999999999999998E-2</v>
      </c>
    </row>
    <row r="599" spans="1:7" x14ac:dyDescent="0.2">
      <c r="A599">
        <v>19811030</v>
      </c>
      <c r="B599">
        <v>1981</v>
      </c>
      <c r="C599">
        <v>10</v>
      </c>
      <c r="D599">
        <v>4.9200000000000001E-2</v>
      </c>
      <c r="E599">
        <v>1.21E-2</v>
      </c>
      <c r="F599">
        <v>2.1299999999999999E-2</v>
      </c>
      <c r="G599">
        <v>-4.2099999999999999E-2</v>
      </c>
    </row>
    <row r="600" spans="1:7" x14ac:dyDescent="0.2">
      <c r="A600">
        <v>19811130</v>
      </c>
      <c r="B600">
        <v>1981</v>
      </c>
      <c r="C600">
        <v>11</v>
      </c>
      <c r="D600">
        <v>3.3599999999999998E-2</v>
      </c>
      <c r="E600">
        <v>1.0699999999999999E-2</v>
      </c>
      <c r="F600">
        <v>-9.5999999999999992E-3</v>
      </c>
      <c r="G600">
        <v>1.9E-2</v>
      </c>
    </row>
    <row r="601" spans="1:7" x14ac:dyDescent="0.2">
      <c r="A601">
        <v>19811231</v>
      </c>
      <c r="B601">
        <v>1981</v>
      </c>
      <c r="C601">
        <v>12</v>
      </c>
      <c r="D601">
        <v>-3.6499999999999998E-2</v>
      </c>
      <c r="E601">
        <v>8.6999999999999994E-3</v>
      </c>
      <c r="F601">
        <v>1.17E-2</v>
      </c>
      <c r="G601">
        <v>7.4000000000000003E-3</v>
      </c>
    </row>
    <row r="602" spans="1:7" x14ac:dyDescent="0.2">
      <c r="A602">
        <v>19820129</v>
      </c>
      <c r="B602">
        <v>1982</v>
      </c>
      <c r="C602">
        <v>1</v>
      </c>
      <c r="D602">
        <v>-3.2399999999999998E-2</v>
      </c>
      <c r="E602">
        <v>8.0000000000000002E-3</v>
      </c>
      <c r="F602">
        <v>-1.29E-2</v>
      </c>
      <c r="G602">
        <v>3.1699999999999999E-2</v>
      </c>
    </row>
    <row r="603" spans="1:7" x14ac:dyDescent="0.2">
      <c r="A603">
        <v>19820226</v>
      </c>
      <c r="B603">
        <v>1982</v>
      </c>
      <c r="C603">
        <v>2</v>
      </c>
      <c r="D603">
        <v>-5.8599999999999999E-2</v>
      </c>
      <c r="E603">
        <v>9.1999999999999998E-3</v>
      </c>
      <c r="F603">
        <v>4.8999999999999998E-3</v>
      </c>
      <c r="G603">
        <v>6.0999999999999999E-2</v>
      </c>
    </row>
    <row r="604" spans="1:7" x14ac:dyDescent="0.2">
      <c r="A604">
        <v>19820331</v>
      </c>
      <c r="B604">
        <v>1982</v>
      </c>
      <c r="C604">
        <v>3</v>
      </c>
      <c r="D604">
        <v>-1.8700000000000001E-2</v>
      </c>
      <c r="E604">
        <v>9.7999999999999997E-3</v>
      </c>
      <c r="F604">
        <v>-1.9E-3</v>
      </c>
      <c r="G604">
        <v>3.78E-2</v>
      </c>
    </row>
    <row r="605" spans="1:7" x14ac:dyDescent="0.2">
      <c r="A605">
        <v>19820430</v>
      </c>
      <c r="B605">
        <v>1982</v>
      </c>
      <c r="C605">
        <v>4</v>
      </c>
      <c r="D605">
        <v>3.27E-2</v>
      </c>
      <c r="E605">
        <v>1.1299999999999999E-2</v>
      </c>
      <c r="F605">
        <v>1.5100000000000001E-2</v>
      </c>
      <c r="G605">
        <v>-2.7799999999999998E-2</v>
      </c>
    </row>
    <row r="606" spans="1:7" x14ac:dyDescent="0.2">
      <c r="A606">
        <v>19820528</v>
      </c>
      <c r="B606">
        <v>1982</v>
      </c>
      <c r="C606">
        <v>5</v>
      </c>
      <c r="D606">
        <v>-3.9899999999999998E-2</v>
      </c>
      <c r="E606">
        <v>1.06E-2</v>
      </c>
      <c r="F606">
        <v>4.7000000000000002E-3</v>
      </c>
      <c r="G606">
        <v>1.8100000000000002E-2</v>
      </c>
    </row>
    <row r="607" spans="1:7" x14ac:dyDescent="0.2">
      <c r="A607">
        <v>19820630</v>
      </c>
      <c r="B607">
        <v>1982</v>
      </c>
      <c r="C607">
        <v>6</v>
      </c>
      <c r="D607">
        <v>-3.09E-2</v>
      </c>
      <c r="E607">
        <v>9.5999999999999992E-3</v>
      </c>
      <c r="F607">
        <v>-4.0000000000000001E-3</v>
      </c>
      <c r="G607">
        <v>1.54E-2</v>
      </c>
    </row>
    <row r="608" spans="1:7" x14ac:dyDescent="0.2">
      <c r="A608">
        <v>19820730</v>
      </c>
      <c r="B608">
        <v>1982</v>
      </c>
      <c r="C608">
        <v>7</v>
      </c>
      <c r="D608">
        <v>-3.1899999999999998E-2</v>
      </c>
      <c r="E608">
        <v>1.0500000000000001E-2</v>
      </c>
      <c r="F608">
        <v>8.3999999999999995E-3</v>
      </c>
      <c r="G608">
        <v>1.5E-3</v>
      </c>
    </row>
    <row r="609" spans="1:7" x14ac:dyDescent="0.2">
      <c r="A609">
        <v>19820831</v>
      </c>
      <c r="B609">
        <v>1982</v>
      </c>
      <c r="C609">
        <v>8</v>
      </c>
      <c r="D609">
        <v>0.1114</v>
      </c>
      <c r="E609">
        <v>7.6E-3</v>
      </c>
      <c r="F609">
        <v>-4.1099999999999998E-2</v>
      </c>
      <c r="G609">
        <v>1.1599999999999999E-2</v>
      </c>
    </row>
    <row r="610" spans="1:7" x14ac:dyDescent="0.2">
      <c r="A610">
        <v>19820930</v>
      </c>
      <c r="B610">
        <v>1982</v>
      </c>
      <c r="C610">
        <v>9</v>
      </c>
      <c r="D610">
        <v>1.29E-2</v>
      </c>
      <c r="E610">
        <v>5.1000000000000004E-3</v>
      </c>
      <c r="F610">
        <v>2.8799999999999999E-2</v>
      </c>
      <c r="G610">
        <v>3.3999999999999998E-3</v>
      </c>
    </row>
    <row r="611" spans="1:7" x14ac:dyDescent="0.2">
      <c r="A611">
        <v>19821029</v>
      </c>
      <c r="B611">
        <v>1982</v>
      </c>
      <c r="C611">
        <v>10</v>
      </c>
      <c r="D611">
        <v>0.113</v>
      </c>
      <c r="E611">
        <v>5.8999999999999999E-3</v>
      </c>
      <c r="F611">
        <v>2.35E-2</v>
      </c>
      <c r="G611">
        <v>-3.6799999999999999E-2</v>
      </c>
    </row>
    <row r="612" spans="1:7" x14ac:dyDescent="0.2">
      <c r="A612">
        <v>19821130</v>
      </c>
      <c r="B612">
        <v>1982</v>
      </c>
      <c r="C612">
        <v>11</v>
      </c>
      <c r="D612">
        <v>4.6699999999999998E-2</v>
      </c>
      <c r="E612">
        <v>6.3E-3</v>
      </c>
      <c r="F612">
        <v>4.7699999999999999E-2</v>
      </c>
      <c r="G612">
        <v>-1.9599999999999999E-2</v>
      </c>
    </row>
    <row r="613" spans="1:7" x14ac:dyDescent="0.2">
      <c r="A613">
        <v>19821231</v>
      </c>
      <c r="B613">
        <v>1982</v>
      </c>
      <c r="C613">
        <v>12</v>
      </c>
      <c r="D613">
        <v>5.4999999999999997E-3</v>
      </c>
      <c r="E613">
        <v>6.7000000000000002E-3</v>
      </c>
      <c r="F613">
        <v>-1.8E-3</v>
      </c>
      <c r="G613">
        <v>1E-4</v>
      </c>
    </row>
    <row r="614" spans="1:7" x14ac:dyDescent="0.2">
      <c r="A614">
        <v>19830131</v>
      </c>
      <c r="B614">
        <v>1983</v>
      </c>
      <c r="C614">
        <v>1</v>
      </c>
      <c r="D614">
        <v>3.5999999999999997E-2</v>
      </c>
      <c r="E614">
        <v>6.8999999999999999E-3</v>
      </c>
      <c r="F614">
        <v>2.7E-2</v>
      </c>
      <c r="G614">
        <v>-8.6E-3</v>
      </c>
    </row>
    <row r="615" spans="1:7" x14ac:dyDescent="0.2">
      <c r="A615">
        <v>19830228</v>
      </c>
      <c r="B615">
        <v>1983</v>
      </c>
      <c r="C615">
        <v>2</v>
      </c>
      <c r="D615">
        <v>2.5899999999999999E-2</v>
      </c>
      <c r="E615">
        <v>6.1999999999999998E-3</v>
      </c>
      <c r="F615">
        <v>3.2300000000000002E-2</v>
      </c>
      <c r="G615">
        <v>6.7000000000000002E-3</v>
      </c>
    </row>
    <row r="616" spans="1:7" x14ac:dyDescent="0.2">
      <c r="A616">
        <v>19830331</v>
      </c>
      <c r="B616">
        <v>1983</v>
      </c>
      <c r="C616">
        <v>3</v>
      </c>
      <c r="D616">
        <v>2.8199999999999999E-2</v>
      </c>
      <c r="E616">
        <v>6.3E-3</v>
      </c>
      <c r="F616">
        <v>1.77E-2</v>
      </c>
      <c r="G616">
        <v>2.07E-2</v>
      </c>
    </row>
    <row r="617" spans="1:7" x14ac:dyDescent="0.2">
      <c r="A617">
        <v>19830429</v>
      </c>
      <c r="B617">
        <v>1983</v>
      </c>
      <c r="C617">
        <v>4</v>
      </c>
      <c r="D617">
        <v>6.6699999999999995E-2</v>
      </c>
      <c r="E617">
        <v>7.1000000000000004E-3</v>
      </c>
      <c r="F617">
        <v>5.3E-3</v>
      </c>
      <c r="G617">
        <v>6.0000000000000001E-3</v>
      </c>
    </row>
    <row r="618" spans="1:7" x14ac:dyDescent="0.2">
      <c r="A618">
        <v>19830531</v>
      </c>
      <c r="B618">
        <v>1983</v>
      </c>
      <c r="C618">
        <v>5</v>
      </c>
      <c r="D618">
        <v>5.1999999999999998E-3</v>
      </c>
      <c r="E618">
        <v>6.8999999999999999E-3</v>
      </c>
      <c r="F618">
        <v>6.1600000000000002E-2</v>
      </c>
      <c r="G618">
        <v>-1.4E-2</v>
      </c>
    </row>
    <row r="619" spans="1:7" x14ac:dyDescent="0.2">
      <c r="A619">
        <v>19830630</v>
      </c>
      <c r="B619">
        <v>1983</v>
      </c>
      <c r="C619">
        <v>6</v>
      </c>
      <c r="D619">
        <v>3.0700000000000002E-2</v>
      </c>
      <c r="E619">
        <v>6.7000000000000002E-3</v>
      </c>
      <c r="F619">
        <v>9.1000000000000004E-3</v>
      </c>
      <c r="G619">
        <v>-3.8699999999999998E-2</v>
      </c>
    </row>
    <row r="620" spans="1:7" x14ac:dyDescent="0.2">
      <c r="A620">
        <v>19830729</v>
      </c>
      <c r="B620">
        <v>1983</v>
      </c>
      <c r="C620">
        <v>7</v>
      </c>
      <c r="D620">
        <v>-4.07E-2</v>
      </c>
      <c r="E620">
        <v>7.4000000000000003E-3</v>
      </c>
      <c r="F620">
        <v>1.46E-2</v>
      </c>
      <c r="G620">
        <v>5.62E-2</v>
      </c>
    </row>
    <row r="621" spans="1:7" x14ac:dyDescent="0.2">
      <c r="A621">
        <v>19830831</v>
      </c>
      <c r="B621">
        <v>1983</v>
      </c>
      <c r="C621">
        <v>8</v>
      </c>
      <c r="D621">
        <v>-5.0000000000000001E-3</v>
      </c>
      <c r="E621">
        <v>7.6E-3</v>
      </c>
      <c r="F621">
        <v>-4.2999999999999997E-2</v>
      </c>
      <c r="G621">
        <v>5.5500000000000001E-2</v>
      </c>
    </row>
    <row r="622" spans="1:7" x14ac:dyDescent="0.2">
      <c r="A622">
        <v>19830930</v>
      </c>
      <c r="B622">
        <v>1983</v>
      </c>
      <c r="C622">
        <v>9</v>
      </c>
      <c r="D622">
        <v>9.1000000000000004E-3</v>
      </c>
      <c r="E622">
        <v>7.6E-3</v>
      </c>
      <c r="F622">
        <v>5.5999999999999999E-3</v>
      </c>
      <c r="G622">
        <v>1.09E-2</v>
      </c>
    </row>
    <row r="623" spans="1:7" x14ac:dyDescent="0.2">
      <c r="A623">
        <v>19831031</v>
      </c>
      <c r="B623">
        <v>1983</v>
      </c>
      <c r="C623">
        <v>10</v>
      </c>
      <c r="D623">
        <v>-3.44E-2</v>
      </c>
      <c r="E623">
        <v>7.6E-3</v>
      </c>
      <c r="F623">
        <v>-3.5999999999999997E-2</v>
      </c>
      <c r="G623">
        <v>5.0599999999999999E-2</v>
      </c>
    </row>
    <row r="624" spans="1:7" x14ac:dyDescent="0.2">
      <c r="A624">
        <v>19831130</v>
      </c>
      <c r="B624">
        <v>1983</v>
      </c>
      <c r="C624">
        <v>11</v>
      </c>
      <c r="D624">
        <v>2.1600000000000001E-2</v>
      </c>
      <c r="E624">
        <v>7.0000000000000001E-3</v>
      </c>
      <c r="F624">
        <v>2.0400000000000001E-2</v>
      </c>
      <c r="G624">
        <v>-6.1999999999999998E-3</v>
      </c>
    </row>
    <row r="625" spans="1:7" x14ac:dyDescent="0.2">
      <c r="A625">
        <v>19831230</v>
      </c>
      <c r="B625">
        <v>1983</v>
      </c>
      <c r="C625">
        <v>12</v>
      </c>
      <c r="D625">
        <v>-1.78E-2</v>
      </c>
      <c r="E625">
        <v>7.3000000000000001E-3</v>
      </c>
      <c r="F625">
        <v>-2.8999999999999998E-3</v>
      </c>
      <c r="G625">
        <v>1.67E-2</v>
      </c>
    </row>
    <row r="626" spans="1:7" x14ac:dyDescent="0.2">
      <c r="A626">
        <v>19840131</v>
      </c>
      <c r="B626">
        <v>1984</v>
      </c>
      <c r="C626">
        <v>1</v>
      </c>
      <c r="D626">
        <v>-1.9199999999999998E-2</v>
      </c>
      <c r="E626">
        <v>7.6E-3</v>
      </c>
      <c r="F626">
        <v>-4.3E-3</v>
      </c>
      <c r="G626">
        <v>7.6300000000000007E-2</v>
      </c>
    </row>
    <row r="627" spans="1:7" x14ac:dyDescent="0.2">
      <c r="A627">
        <v>19840229</v>
      </c>
      <c r="B627">
        <v>1984</v>
      </c>
      <c r="C627">
        <v>2</v>
      </c>
      <c r="D627">
        <v>-4.82E-2</v>
      </c>
      <c r="E627">
        <v>7.1000000000000004E-3</v>
      </c>
      <c r="F627">
        <v>-1.7100000000000001E-2</v>
      </c>
      <c r="G627">
        <v>3.3599999999999998E-2</v>
      </c>
    </row>
    <row r="628" spans="1:7" x14ac:dyDescent="0.2">
      <c r="A628">
        <v>19840330</v>
      </c>
      <c r="B628">
        <v>1984</v>
      </c>
      <c r="C628">
        <v>3</v>
      </c>
      <c r="D628">
        <v>6.3E-3</v>
      </c>
      <c r="E628">
        <v>7.3000000000000001E-3</v>
      </c>
      <c r="F628">
        <v>6.9999999999999999E-4</v>
      </c>
      <c r="G628">
        <v>4.7999999999999996E-3</v>
      </c>
    </row>
    <row r="629" spans="1:7" x14ac:dyDescent="0.2">
      <c r="A629">
        <v>19840430</v>
      </c>
      <c r="B629">
        <v>1984</v>
      </c>
      <c r="C629">
        <v>4</v>
      </c>
      <c r="D629">
        <v>-5.1000000000000004E-3</v>
      </c>
      <c r="E629">
        <v>8.0999999999999996E-3</v>
      </c>
      <c r="F629">
        <v>-1.2E-2</v>
      </c>
      <c r="G629">
        <v>1.29E-2</v>
      </c>
    </row>
    <row r="630" spans="1:7" x14ac:dyDescent="0.2">
      <c r="A630">
        <v>19840531</v>
      </c>
      <c r="B630">
        <v>1984</v>
      </c>
      <c r="C630">
        <v>5</v>
      </c>
      <c r="D630">
        <v>-5.9700000000000003E-2</v>
      </c>
      <c r="E630">
        <v>7.7999999999999996E-3</v>
      </c>
      <c r="F630">
        <v>2.9999999999999997E-4</v>
      </c>
      <c r="G630">
        <v>2.5999999999999999E-3</v>
      </c>
    </row>
    <row r="631" spans="1:7" x14ac:dyDescent="0.2">
      <c r="A631">
        <v>19840629</v>
      </c>
      <c r="B631">
        <v>1984</v>
      </c>
      <c r="C631">
        <v>6</v>
      </c>
      <c r="D631">
        <v>1.8200000000000001E-2</v>
      </c>
      <c r="E631">
        <v>7.4999999999999997E-3</v>
      </c>
      <c r="F631">
        <v>-3.2000000000000002E-3</v>
      </c>
      <c r="G631">
        <v>-2.5999999999999999E-2</v>
      </c>
    </row>
    <row r="632" spans="1:7" x14ac:dyDescent="0.2">
      <c r="A632">
        <v>19840731</v>
      </c>
      <c r="B632">
        <v>1984</v>
      </c>
      <c r="C632">
        <v>7</v>
      </c>
      <c r="D632">
        <v>-2.7400000000000001E-2</v>
      </c>
      <c r="E632">
        <v>8.2000000000000007E-3</v>
      </c>
      <c r="F632">
        <v>-2.2100000000000002E-2</v>
      </c>
      <c r="G632">
        <v>4.8999999999999998E-3</v>
      </c>
    </row>
    <row r="633" spans="1:7" x14ac:dyDescent="0.2">
      <c r="A633">
        <v>19840831</v>
      </c>
      <c r="B633">
        <v>1984</v>
      </c>
      <c r="C633">
        <v>8</v>
      </c>
      <c r="D633">
        <v>0.1028</v>
      </c>
      <c r="E633">
        <v>8.3000000000000001E-3</v>
      </c>
      <c r="F633">
        <v>-2.5000000000000001E-3</v>
      </c>
      <c r="G633">
        <v>-1.8499999999999999E-2</v>
      </c>
    </row>
    <row r="634" spans="1:7" x14ac:dyDescent="0.2">
      <c r="A634">
        <v>19840928</v>
      </c>
      <c r="B634">
        <v>1984</v>
      </c>
      <c r="C634">
        <v>9</v>
      </c>
      <c r="D634">
        <v>-8.0000000000000002E-3</v>
      </c>
      <c r="E634">
        <v>8.6E-3</v>
      </c>
      <c r="F634">
        <v>2E-3</v>
      </c>
      <c r="G634">
        <v>5.3199999999999997E-2</v>
      </c>
    </row>
    <row r="635" spans="1:7" x14ac:dyDescent="0.2">
      <c r="A635">
        <v>19841031</v>
      </c>
      <c r="B635">
        <v>1984</v>
      </c>
      <c r="C635">
        <v>10</v>
      </c>
      <c r="D635">
        <v>-8.3999999999999995E-3</v>
      </c>
      <c r="E635">
        <v>0.01</v>
      </c>
      <c r="F635">
        <v>-1.2E-2</v>
      </c>
      <c r="G635">
        <v>5.1000000000000004E-3</v>
      </c>
    </row>
    <row r="636" spans="1:7" x14ac:dyDescent="0.2">
      <c r="A636">
        <v>19841130</v>
      </c>
      <c r="B636">
        <v>1984</v>
      </c>
      <c r="C636">
        <v>11</v>
      </c>
      <c r="D636">
        <v>-1.7600000000000001E-2</v>
      </c>
      <c r="E636">
        <v>7.3000000000000001E-3</v>
      </c>
      <c r="F636">
        <v>-6.1999999999999998E-3</v>
      </c>
      <c r="G636">
        <v>4.0800000000000003E-2</v>
      </c>
    </row>
    <row r="637" spans="1:7" x14ac:dyDescent="0.2">
      <c r="A637">
        <v>19841231</v>
      </c>
      <c r="B637">
        <v>1984</v>
      </c>
      <c r="C637">
        <v>12</v>
      </c>
      <c r="D637">
        <v>1.84E-2</v>
      </c>
      <c r="E637">
        <v>6.4000000000000003E-3</v>
      </c>
      <c r="F637">
        <v>-6.0000000000000001E-3</v>
      </c>
      <c r="G637">
        <v>-1.6999999999999999E-3</v>
      </c>
    </row>
    <row r="638" spans="1:7" x14ac:dyDescent="0.2">
      <c r="A638">
        <v>19850131</v>
      </c>
      <c r="B638">
        <v>1985</v>
      </c>
      <c r="C638">
        <v>1</v>
      </c>
      <c r="D638">
        <v>7.9899999999999999E-2</v>
      </c>
      <c r="E638">
        <v>6.4999999999999997E-3</v>
      </c>
      <c r="F638">
        <v>3.27E-2</v>
      </c>
      <c r="G638">
        <v>-5.4300000000000001E-2</v>
      </c>
    </row>
    <row r="639" spans="1:7" x14ac:dyDescent="0.2">
      <c r="A639">
        <v>19850228</v>
      </c>
      <c r="B639">
        <v>1985</v>
      </c>
      <c r="C639">
        <v>2</v>
      </c>
      <c r="D639">
        <v>1.2200000000000001E-2</v>
      </c>
      <c r="E639">
        <v>5.7999999999999996E-3</v>
      </c>
      <c r="F639">
        <v>7.6E-3</v>
      </c>
      <c r="G639">
        <v>-1.1999999999999999E-3</v>
      </c>
    </row>
    <row r="640" spans="1:7" x14ac:dyDescent="0.2">
      <c r="A640">
        <v>19850329</v>
      </c>
      <c r="B640">
        <v>1985</v>
      </c>
      <c r="C640">
        <v>3</v>
      </c>
      <c r="D640">
        <v>-8.3999999999999995E-3</v>
      </c>
      <c r="E640">
        <v>6.1999999999999998E-3</v>
      </c>
      <c r="F640">
        <v>-1.15E-2</v>
      </c>
      <c r="G640">
        <v>4.1000000000000002E-2</v>
      </c>
    </row>
    <row r="641" spans="1:7" x14ac:dyDescent="0.2">
      <c r="A641">
        <v>19850430</v>
      </c>
      <c r="B641">
        <v>1985</v>
      </c>
      <c r="C641">
        <v>4</v>
      </c>
      <c r="D641">
        <v>-9.5999999999999992E-3</v>
      </c>
      <c r="E641">
        <v>7.1999999999999998E-3</v>
      </c>
      <c r="F641">
        <v>1.4E-3</v>
      </c>
      <c r="G641">
        <v>3.73E-2</v>
      </c>
    </row>
    <row r="642" spans="1:7" x14ac:dyDescent="0.2">
      <c r="A642">
        <v>19850531</v>
      </c>
      <c r="B642">
        <v>1985</v>
      </c>
      <c r="C642">
        <v>5</v>
      </c>
      <c r="D642">
        <v>5.0900000000000001E-2</v>
      </c>
      <c r="E642">
        <v>6.6E-3</v>
      </c>
      <c r="F642">
        <v>-2.2499999999999999E-2</v>
      </c>
      <c r="G642">
        <v>-8.6E-3</v>
      </c>
    </row>
    <row r="643" spans="1:7" x14ac:dyDescent="0.2">
      <c r="A643">
        <v>19850628</v>
      </c>
      <c r="B643">
        <v>1985</v>
      </c>
      <c r="C643">
        <v>6</v>
      </c>
      <c r="D643">
        <v>1.2699999999999999E-2</v>
      </c>
      <c r="E643">
        <v>5.4999999999999997E-3</v>
      </c>
      <c r="F643">
        <v>6.1000000000000004E-3</v>
      </c>
      <c r="G643">
        <v>6.3E-3</v>
      </c>
    </row>
    <row r="644" spans="1:7" x14ac:dyDescent="0.2">
      <c r="A644">
        <v>19850731</v>
      </c>
      <c r="B644">
        <v>1985</v>
      </c>
      <c r="C644">
        <v>7</v>
      </c>
      <c r="D644">
        <v>-7.4000000000000003E-3</v>
      </c>
      <c r="E644">
        <v>6.1999999999999998E-3</v>
      </c>
      <c r="F644">
        <v>2.8500000000000001E-2</v>
      </c>
      <c r="G644">
        <v>-1.6299999999999999E-2</v>
      </c>
    </row>
    <row r="645" spans="1:7" x14ac:dyDescent="0.2">
      <c r="A645">
        <v>19850830</v>
      </c>
      <c r="B645">
        <v>1985</v>
      </c>
      <c r="C645">
        <v>8</v>
      </c>
      <c r="D645">
        <v>-1.0200000000000001E-2</v>
      </c>
      <c r="E645">
        <v>5.4999999999999997E-3</v>
      </c>
      <c r="F645">
        <v>-3.3999999999999998E-3</v>
      </c>
      <c r="G645">
        <v>2.2800000000000001E-2</v>
      </c>
    </row>
    <row r="646" spans="1:7" x14ac:dyDescent="0.2">
      <c r="A646">
        <v>19850930</v>
      </c>
      <c r="B646">
        <v>1985</v>
      </c>
      <c r="C646">
        <v>9</v>
      </c>
      <c r="D646">
        <v>-4.5400000000000003E-2</v>
      </c>
      <c r="E646">
        <v>6.0000000000000001E-3</v>
      </c>
      <c r="F646">
        <v>-1.5800000000000002E-2</v>
      </c>
      <c r="G646">
        <v>1.32E-2</v>
      </c>
    </row>
    <row r="647" spans="1:7" x14ac:dyDescent="0.2">
      <c r="A647">
        <v>19851031</v>
      </c>
      <c r="B647">
        <v>1985</v>
      </c>
      <c r="C647">
        <v>10</v>
      </c>
      <c r="D647">
        <v>4.02E-2</v>
      </c>
      <c r="E647">
        <v>6.4999999999999997E-3</v>
      </c>
      <c r="F647">
        <v>-1.5699999999999999E-2</v>
      </c>
      <c r="G647">
        <v>7.7999999999999996E-3</v>
      </c>
    </row>
    <row r="648" spans="1:7" x14ac:dyDescent="0.2">
      <c r="A648">
        <v>19851129</v>
      </c>
      <c r="B648">
        <v>1985</v>
      </c>
      <c r="C648">
        <v>11</v>
      </c>
      <c r="D648">
        <v>6.4799999999999996E-2</v>
      </c>
      <c r="E648">
        <v>6.1000000000000004E-3</v>
      </c>
      <c r="F648">
        <v>2.3E-3</v>
      </c>
      <c r="G648">
        <v>-2.87E-2</v>
      </c>
    </row>
    <row r="649" spans="1:7" x14ac:dyDescent="0.2">
      <c r="A649">
        <v>19851231</v>
      </c>
      <c r="B649">
        <v>1985</v>
      </c>
      <c r="C649">
        <v>12</v>
      </c>
      <c r="D649">
        <v>3.8800000000000001E-2</v>
      </c>
      <c r="E649">
        <v>6.4999999999999997E-3</v>
      </c>
      <c r="F649">
        <v>-4.8999999999999998E-3</v>
      </c>
      <c r="G649">
        <v>-1.5299999999999999E-2</v>
      </c>
    </row>
    <row r="650" spans="1:7" x14ac:dyDescent="0.2">
      <c r="A650">
        <v>19860131</v>
      </c>
      <c r="B650">
        <v>1986</v>
      </c>
      <c r="C650">
        <v>1</v>
      </c>
      <c r="D650">
        <v>6.4999999999999997E-3</v>
      </c>
      <c r="E650">
        <v>5.5999999999999999E-3</v>
      </c>
      <c r="F650">
        <v>1.2200000000000001E-2</v>
      </c>
      <c r="G650">
        <v>5.3E-3</v>
      </c>
    </row>
    <row r="651" spans="1:7" x14ac:dyDescent="0.2">
      <c r="A651">
        <v>19860228</v>
      </c>
      <c r="B651">
        <v>1986</v>
      </c>
      <c r="C651">
        <v>2</v>
      </c>
      <c r="D651">
        <v>7.1300000000000002E-2</v>
      </c>
      <c r="E651">
        <v>5.3E-3</v>
      </c>
      <c r="F651">
        <v>-6.4999999999999997E-3</v>
      </c>
      <c r="G651">
        <v>-9.4000000000000004E-3</v>
      </c>
    </row>
    <row r="652" spans="1:7" x14ac:dyDescent="0.2">
      <c r="A652">
        <v>19860331</v>
      </c>
      <c r="B652">
        <v>1986</v>
      </c>
      <c r="C652">
        <v>3</v>
      </c>
      <c r="D652">
        <v>4.8800000000000003E-2</v>
      </c>
      <c r="E652">
        <v>6.0000000000000001E-3</v>
      </c>
      <c r="F652">
        <v>-5.1999999999999998E-3</v>
      </c>
      <c r="G652">
        <v>-4.4000000000000003E-3</v>
      </c>
    </row>
    <row r="653" spans="1:7" x14ac:dyDescent="0.2">
      <c r="A653">
        <v>19860430</v>
      </c>
      <c r="B653">
        <v>1986</v>
      </c>
      <c r="C653">
        <v>4</v>
      </c>
      <c r="D653">
        <v>-1.3100000000000001E-2</v>
      </c>
      <c r="E653">
        <v>5.1999999999999998E-3</v>
      </c>
      <c r="F653">
        <v>2.8400000000000002E-2</v>
      </c>
      <c r="G653">
        <v>-2.8500000000000001E-2</v>
      </c>
    </row>
    <row r="654" spans="1:7" x14ac:dyDescent="0.2">
      <c r="A654">
        <v>19860530</v>
      </c>
      <c r="B654">
        <v>1986</v>
      </c>
      <c r="C654">
        <v>5</v>
      </c>
      <c r="D654">
        <v>4.6199999999999998E-2</v>
      </c>
      <c r="E654">
        <v>4.8999999999999998E-3</v>
      </c>
      <c r="F654">
        <v>-1.32E-2</v>
      </c>
      <c r="G654">
        <v>-1.1000000000000001E-3</v>
      </c>
    </row>
    <row r="655" spans="1:7" x14ac:dyDescent="0.2">
      <c r="A655">
        <v>19860630</v>
      </c>
      <c r="B655">
        <v>1986</v>
      </c>
      <c r="C655">
        <v>6</v>
      </c>
      <c r="D655">
        <v>1.03E-2</v>
      </c>
      <c r="E655">
        <v>5.1999999999999998E-3</v>
      </c>
      <c r="F655">
        <v>-9.1000000000000004E-3</v>
      </c>
      <c r="G655">
        <v>1.4E-2</v>
      </c>
    </row>
    <row r="656" spans="1:7" x14ac:dyDescent="0.2">
      <c r="A656">
        <v>19860731</v>
      </c>
      <c r="B656">
        <v>1986</v>
      </c>
      <c r="C656">
        <v>7</v>
      </c>
      <c r="D656">
        <v>-6.4500000000000002E-2</v>
      </c>
      <c r="E656">
        <v>5.1999999999999998E-3</v>
      </c>
      <c r="F656">
        <v>-3.3799999999999997E-2</v>
      </c>
      <c r="G656">
        <v>4.7800000000000002E-2</v>
      </c>
    </row>
    <row r="657" spans="1:7" x14ac:dyDescent="0.2">
      <c r="A657">
        <v>19860829</v>
      </c>
      <c r="B657">
        <v>1986</v>
      </c>
      <c r="C657">
        <v>8</v>
      </c>
      <c r="D657">
        <v>6.0699999999999997E-2</v>
      </c>
      <c r="E657">
        <v>4.5999999999999999E-3</v>
      </c>
      <c r="F657">
        <v>-4.1700000000000001E-2</v>
      </c>
      <c r="G657">
        <v>3.5200000000000002E-2</v>
      </c>
    </row>
    <row r="658" spans="1:7" x14ac:dyDescent="0.2">
      <c r="A658">
        <v>19860930</v>
      </c>
      <c r="B658">
        <v>1986</v>
      </c>
      <c r="C658">
        <v>9</v>
      </c>
      <c r="D658">
        <v>-8.5999999999999993E-2</v>
      </c>
      <c r="E658">
        <v>4.4999999999999997E-3</v>
      </c>
      <c r="F658">
        <v>2.2800000000000001E-2</v>
      </c>
      <c r="G658">
        <v>3.1899999999999998E-2</v>
      </c>
    </row>
    <row r="659" spans="1:7" x14ac:dyDescent="0.2">
      <c r="A659">
        <v>19861031</v>
      </c>
      <c r="B659">
        <v>1986</v>
      </c>
      <c r="C659">
        <v>10</v>
      </c>
      <c r="D659">
        <v>4.6600000000000003E-2</v>
      </c>
      <c r="E659">
        <v>4.5999999999999999E-3</v>
      </c>
      <c r="F659">
        <v>-2.4799999999999999E-2</v>
      </c>
      <c r="G659">
        <v>-1.32E-2</v>
      </c>
    </row>
    <row r="660" spans="1:7" x14ac:dyDescent="0.2">
      <c r="A660">
        <v>19861128</v>
      </c>
      <c r="B660">
        <v>1986</v>
      </c>
      <c r="C660">
        <v>11</v>
      </c>
      <c r="D660">
        <v>1.17E-2</v>
      </c>
      <c r="E660">
        <v>3.8999999999999998E-3</v>
      </c>
      <c r="F660">
        <v>-1.9199999999999998E-2</v>
      </c>
      <c r="G660">
        <v>-5.9999999999999995E-4</v>
      </c>
    </row>
    <row r="661" spans="1:7" x14ac:dyDescent="0.2">
      <c r="A661">
        <v>19861231</v>
      </c>
      <c r="B661">
        <v>1986</v>
      </c>
      <c r="C661">
        <v>12</v>
      </c>
      <c r="D661">
        <v>-3.27E-2</v>
      </c>
      <c r="E661">
        <v>4.8999999999999998E-3</v>
      </c>
      <c r="F661">
        <v>8.0000000000000004E-4</v>
      </c>
      <c r="G661">
        <v>3.7000000000000002E-3</v>
      </c>
    </row>
    <row r="662" spans="1:7" x14ac:dyDescent="0.2">
      <c r="A662">
        <v>19870130</v>
      </c>
      <c r="B662">
        <v>1987</v>
      </c>
      <c r="C662">
        <v>1</v>
      </c>
      <c r="D662">
        <v>0.12470000000000001</v>
      </c>
      <c r="E662">
        <v>4.1999999999999997E-3</v>
      </c>
      <c r="F662">
        <v>-1.8100000000000002E-2</v>
      </c>
      <c r="G662">
        <v>-3.1800000000000002E-2</v>
      </c>
    </row>
    <row r="663" spans="1:7" x14ac:dyDescent="0.2">
      <c r="A663">
        <v>19870227</v>
      </c>
      <c r="B663">
        <v>1987</v>
      </c>
      <c r="C663">
        <v>2</v>
      </c>
      <c r="D663">
        <v>4.3900000000000002E-2</v>
      </c>
      <c r="E663">
        <v>4.3E-3</v>
      </c>
      <c r="F663">
        <v>3.49E-2</v>
      </c>
      <c r="G663">
        <v>-5.9900000000000002E-2</v>
      </c>
    </row>
    <row r="664" spans="1:7" x14ac:dyDescent="0.2">
      <c r="A664">
        <v>19870331</v>
      </c>
      <c r="B664">
        <v>1987</v>
      </c>
      <c r="C664">
        <v>3</v>
      </c>
      <c r="D664">
        <v>1.6400000000000001E-2</v>
      </c>
      <c r="E664">
        <v>4.7000000000000002E-3</v>
      </c>
      <c r="F664">
        <v>3.7000000000000002E-3</v>
      </c>
      <c r="G664">
        <v>1.66E-2</v>
      </c>
    </row>
    <row r="665" spans="1:7" x14ac:dyDescent="0.2">
      <c r="A665">
        <v>19870430</v>
      </c>
      <c r="B665">
        <v>1987</v>
      </c>
      <c r="C665">
        <v>4</v>
      </c>
      <c r="D665">
        <v>-2.1100000000000001E-2</v>
      </c>
      <c r="E665">
        <v>4.4000000000000003E-3</v>
      </c>
      <c r="F665">
        <v>-1.6899999999999998E-2</v>
      </c>
      <c r="G665">
        <v>-3.3E-3</v>
      </c>
    </row>
    <row r="666" spans="1:7" x14ac:dyDescent="0.2">
      <c r="A666">
        <v>19870529</v>
      </c>
      <c r="B666">
        <v>1987</v>
      </c>
      <c r="C666">
        <v>5</v>
      </c>
      <c r="D666">
        <v>1.1000000000000001E-3</v>
      </c>
      <c r="E666">
        <v>3.8E-3</v>
      </c>
      <c r="F666">
        <v>-5.3E-3</v>
      </c>
      <c r="G666">
        <v>1.2999999999999999E-3</v>
      </c>
    </row>
    <row r="667" spans="1:7" x14ac:dyDescent="0.2">
      <c r="A667">
        <v>19870630</v>
      </c>
      <c r="B667">
        <v>1987</v>
      </c>
      <c r="C667">
        <v>6</v>
      </c>
      <c r="D667">
        <v>3.9399999999999998E-2</v>
      </c>
      <c r="E667">
        <v>4.7999999999999996E-3</v>
      </c>
      <c r="F667">
        <v>-2.18E-2</v>
      </c>
      <c r="G667">
        <v>1.0699999999999999E-2</v>
      </c>
    </row>
    <row r="668" spans="1:7" x14ac:dyDescent="0.2">
      <c r="A668">
        <v>19870731</v>
      </c>
      <c r="B668">
        <v>1987</v>
      </c>
      <c r="C668">
        <v>7</v>
      </c>
      <c r="D668">
        <v>3.85E-2</v>
      </c>
      <c r="E668">
        <v>4.5999999999999999E-3</v>
      </c>
      <c r="F668">
        <v>-6.7000000000000002E-3</v>
      </c>
      <c r="G668">
        <v>6.6E-3</v>
      </c>
    </row>
    <row r="669" spans="1:7" x14ac:dyDescent="0.2">
      <c r="A669">
        <v>19870831</v>
      </c>
      <c r="B669">
        <v>1987</v>
      </c>
      <c r="C669">
        <v>8</v>
      </c>
      <c r="D669">
        <v>3.5200000000000002E-2</v>
      </c>
      <c r="E669">
        <v>4.7000000000000002E-3</v>
      </c>
      <c r="F669">
        <v>-7.1999999999999998E-3</v>
      </c>
      <c r="G669">
        <v>-8.9999999999999993E-3</v>
      </c>
    </row>
    <row r="670" spans="1:7" x14ac:dyDescent="0.2">
      <c r="A670">
        <v>19870930</v>
      </c>
      <c r="B670">
        <v>1987</v>
      </c>
      <c r="C670">
        <v>9</v>
      </c>
      <c r="D670">
        <v>-2.5899999999999999E-2</v>
      </c>
      <c r="E670">
        <v>4.4999999999999997E-3</v>
      </c>
      <c r="F670">
        <v>5.1999999999999998E-3</v>
      </c>
      <c r="G670">
        <v>2.8E-3</v>
      </c>
    </row>
    <row r="671" spans="1:7" x14ac:dyDescent="0.2">
      <c r="A671">
        <v>19871030</v>
      </c>
      <c r="B671">
        <v>1987</v>
      </c>
      <c r="C671">
        <v>10</v>
      </c>
      <c r="D671">
        <v>-0.2324</v>
      </c>
      <c r="E671">
        <v>6.0000000000000001E-3</v>
      </c>
      <c r="F671">
        <v>-8.43E-2</v>
      </c>
      <c r="G671">
        <v>4.2299999999999997E-2</v>
      </c>
    </row>
    <row r="672" spans="1:7" x14ac:dyDescent="0.2">
      <c r="A672">
        <v>19871130</v>
      </c>
      <c r="B672">
        <v>1987</v>
      </c>
      <c r="C672">
        <v>11</v>
      </c>
      <c r="D672">
        <v>-7.7700000000000005E-2</v>
      </c>
      <c r="E672">
        <v>3.5000000000000001E-3</v>
      </c>
      <c r="F672">
        <v>2.7699999999999999E-2</v>
      </c>
      <c r="G672">
        <v>3.1399999999999997E-2</v>
      </c>
    </row>
    <row r="673" spans="1:7" x14ac:dyDescent="0.2">
      <c r="A673">
        <v>19871231</v>
      </c>
      <c r="B673">
        <v>1987</v>
      </c>
      <c r="C673">
        <v>12</v>
      </c>
      <c r="D673">
        <v>6.8099999999999994E-2</v>
      </c>
      <c r="E673">
        <v>3.8999999999999998E-3</v>
      </c>
      <c r="F673">
        <v>1.2999999999999999E-3</v>
      </c>
      <c r="G673">
        <v>-4.4900000000000002E-2</v>
      </c>
    </row>
    <row r="674" spans="1:7" x14ac:dyDescent="0.2">
      <c r="A674">
        <v>19880129</v>
      </c>
      <c r="B674">
        <v>1988</v>
      </c>
      <c r="C674">
        <v>1</v>
      </c>
      <c r="D674">
        <v>4.2099999999999999E-2</v>
      </c>
      <c r="E674">
        <v>2.8999999999999998E-3</v>
      </c>
      <c r="F674">
        <v>-7.7000000000000002E-3</v>
      </c>
      <c r="G674">
        <v>5.0799999999999998E-2</v>
      </c>
    </row>
    <row r="675" spans="1:7" x14ac:dyDescent="0.2">
      <c r="A675">
        <v>19880229</v>
      </c>
      <c r="B675">
        <v>1988</v>
      </c>
      <c r="C675">
        <v>2</v>
      </c>
      <c r="D675">
        <v>4.7500000000000001E-2</v>
      </c>
      <c r="E675">
        <v>4.5999999999999999E-3</v>
      </c>
      <c r="F675">
        <v>3.3599999999999998E-2</v>
      </c>
      <c r="G675">
        <v>-1.6500000000000001E-2</v>
      </c>
    </row>
    <row r="676" spans="1:7" x14ac:dyDescent="0.2">
      <c r="A676">
        <v>19880331</v>
      </c>
      <c r="B676">
        <v>1988</v>
      </c>
      <c r="C676">
        <v>3</v>
      </c>
      <c r="D676">
        <v>-2.2700000000000001E-2</v>
      </c>
      <c r="E676">
        <v>4.4000000000000003E-3</v>
      </c>
      <c r="F676">
        <v>6.1600000000000002E-2</v>
      </c>
      <c r="G676">
        <v>7.4000000000000003E-3</v>
      </c>
    </row>
    <row r="677" spans="1:7" x14ac:dyDescent="0.2">
      <c r="A677">
        <v>19880429</v>
      </c>
      <c r="B677">
        <v>1988</v>
      </c>
      <c r="C677">
        <v>4</v>
      </c>
      <c r="D677">
        <v>5.5999999999999999E-3</v>
      </c>
      <c r="E677">
        <v>4.5999999999999999E-3</v>
      </c>
      <c r="F677">
        <v>9.5999999999999992E-3</v>
      </c>
      <c r="G677">
        <v>1.6899999999999998E-2</v>
      </c>
    </row>
    <row r="678" spans="1:7" x14ac:dyDescent="0.2">
      <c r="A678">
        <v>19880531</v>
      </c>
      <c r="B678">
        <v>1988</v>
      </c>
      <c r="C678">
        <v>5</v>
      </c>
      <c r="D678">
        <v>-2.8999999999999998E-3</v>
      </c>
      <c r="E678">
        <v>5.1000000000000004E-3</v>
      </c>
      <c r="F678">
        <v>-2.64E-2</v>
      </c>
      <c r="G678">
        <v>2.3E-2</v>
      </c>
    </row>
    <row r="679" spans="1:7" x14ac:dyDescent="0.2">
      <c r="A679">
        <v>19880630</v>
      </c>
      <c r="B679">
        <v>1988</v>
      </c>
      <c r="C679">
        <v>6</v>
      </c>
      <c r="D679">
        <v>4.7899999999999998E-2</v>
      </c>
      <c r="E679">
        <v>4.8999999999999998E-3</v>
      </c>
      <c r="F679">
        <v>2.1600000000000001E-2</v>
      </c>
      <c r="G679">
        <v>-1.0699999999999999E-2</v>
      </c>
    </row>
    <row r="680" spans="1:7" x14ac:dyDescent="0.2">
      <c r="A680">
        <v>19880729</v>
      </c>
      <c r="B680">
        <v>1988</v>
      </c>
      <c r="C680">
        <v>7</v>
      </c>
      <c r="D680">
        <v>-1.2500000000000001E-2</v>
      </c>
      <c r="E680">
        <v>5.1000000000000004E-3</v>
      </c>
      <c r="F680">
        <v>-2.0999999999999999E-3</v>
      </c>
      <c r="G680">
        <v>2.2700000000000001E-2</v>
      </c>
    </row>
    <row r="681" spans="1:7" x14ac:dyDescent="0.2">
      <c r="A681">
        <v>19880831</v>
      </c>
      <c r="B681">
        <v>1988</v>
      </c>
      <c r="C681">
        <v>8</v>
      </c>
      <c r="D681">
        <v>-3.3099999999999997E-2</v>
      </c>
      <c r="E681">
        <v>5.8999999999999999E-3</v>
      </c>
      <c r="F681">
        <v>4.0000000000000002E-4</v>
      </c>
      <c r="G681">
        <v>2.0299999999999999E-2</v>
      </c>
    </row>
    <row r="682" spans="1:7" x14ac:dyDescent="0.2">
      <c r="A682">
        <v>19880930</v>
      </c>
      <c r="B682">
        <v>1988</v>
      </c>
      <c r="C682">
        <v>9</v>
      </c>
      <c r="D682">
        <v>3.3000000000000002E-2</v>
      </c>
      <c r="E682">
        <v>6.1999999999999998E-3</v>
      </c>
      <c r="F682">
        <v>-1.2500000000000001E-2</v>
      </c>
      <c r="G682">
        <v>-6.7999999999999996E-3</v>
      </c>
    </row>
    <row r="683" spans="1:7" x14ac:dyDescent="0.2">
      <c r="A683">
        <v>19881031</v>
      </c>
      <c r="B683">
        <v>1988</v>
      </c>
      <c r="C683">
        <v>10</v>
      </c>
      <c r="D683">
        <v>1.15E-2</v>
      </c>
      <c r="E683">
        <v>6.1000000000000004E-3</v>
      </c>
      <c r="F683">
        <v>-2.9000000000000001E-2</v>
      </c>
      <c r="G683">
        <v>1.7100000000000001E-2</v>
      </c>
    </row>
    <row r="684" spans="1:7" x14ac:dyDescent="0.2">
      <c r="A684">
        <v>19881130</v>
      </c>
      <c r="B684">
        <v>1988</v>
      </c>
      <c r="C684">
        <v>11</v>
      </c>
      <c r="D684">
        <v>-2.29E-2</v>
      </c>
      <c r="E684">
        <v>5.7000000000000002E-3</v>
      </c>
      <c r="F684">
        <v>-1.7399999999999999E-2</v>
      </c>
      <c r="G684">
        <v>1.24E-2</v>
      </c>
    </row>
    <row r="685" spans="1:7" x14ac:dyDescent="0.2">
      <c r="A685">
        <v>19881230</v>
      </c>
      <c r="B685">
        <v>1988</v>
      </c>
      <c r="C685">
        <v>12</v>
      </c>
      <c r="D685">
        <v>1.49E-2</v>
      </c>
      <c r="E685">
        <v>6.3E-3</v>
      </c>
      <c r="F685">
        <v>1.95E-2</v>
      </c>
      <c r="G685">
        <v>-1.55E-2</v>
      </c>
    </row>
    <row r="686" spans="1:7" x14ac:dyDescent="0.2">
      <c r="A686">
        <v>19890131</v>
      </c>
      <c r="B686">
        <v>1989</v>
      </c>
      <c r="C686">
        <v>1</v>
      </c>
      <c r="D686">
        <v>6.0999999999999999E-2</v>
      </c>
      <c r="E686">
        <v>5.4999999999999997E-3</v>
      </c>
      <c r="F686">
        <v>-2.1399999999999999E-2</v>
      </c>
      <c r="G686">
        <v>5.1000000000000004E-3</v>
      </c>
    </row>
    <row r="687" spans="1:7" x14ac:dyDescent="0.2">
      <c r="A687">
        <v>19890228</v>
      </c>
      <c r="B687">
        <v>1989</v>
      </c>
      <c r="C687">
        <v>2</v>
      </c>
      <c r="D687">
        <v>-2.2499999999999999E-2</v>
      </c>
      <c r="E687">
        <v>6.1000000000000004E-3</v>
      </c>
      <c r="F687">
        <v>2.76E-2</v>
      </c>
      <c r="G687">
        <v>8.6999999999999994E-3</v>
      </c>
    </row>
    <row r="688" spans="1:7" x14ac:dyDescent="0.2">
      <c r="A688">
        <v>19890331</v>
      </c>
      <c r="B688">
        <v>1989</v>
      </c>
      <c r="C688">
        <v>3</v>
      </c>
      <c r="D688">
        <v>1.5699999999999999E-2</v>
      </c>
      <c r="E688">
        <v>6.7000000000000002E-3</v>
      </c>
      <c r="F688">
        <v>7.4000000000000003E-3</v>
      </c>
      <c r="G688">
        <v>4.5999999999999999E-3</v>
      </c>
    </row>
    <row r="689" spans="1:7" x14ac:dyDescent="0.2">
      <c r="A689">
        <v>19890428</v>
      </c>
      <c r="B689">
        <v>1989</v>
      </c>
      <c r="C689">
        <v>4</v>
      </c>
      <c r="D689">
        <v>4.3299999999999998E-2</v>
      </c>
      <c r="E689">
        <v>6.7000000000000002E-3</v>
      </c>
      <c r="F689">
        <v>-5.8999999999999999E-3</v>
      </c>
      <c r="G689">
        <v>-1.4500000000000001E-2</v>
      </c>
    </row>
    <row r="690" spans="1:7" x14ac:dyDescent="0.2">
      <c r="A690">
        <v>19890531</v>
      </c>
      <c r="B690">
        <v>1989</v>
      </c>
      <c r="C690">
        <v>5</v>
      </c>
      <c r="D690">
        <v>3.3500000000000002E-2</v>
      </c>
      <c r="E690">
        <v>7.9000000000000008E-3</v>
      </c>
      <c r="F690">
        <v>-4.0000000000000002E-4</v>
      </c>
      <c r="G690">
        <v>-8.2000000000000007E-3</v>
      </c>
    </row>
    <row r="691" spans="1:7" x14ac:dyDescent="0.2">
      <c r="A691">
        <v>19890630</v>
      </c>
      <c r="B691">
        <v>1989</v>
      </c>
      <c r="C691">
        <v>6</v>
      </c>
      <c r="D691">
        <v>-1.35E-2</v>
      </c>
      <c r="E691">
        <v>7.1000000000000004E-3</v>
      </c>
      <c r="F691">
        <v>-1.01E-2</v>
      </c>
      <c r="G691">
        <v>2.1899999999999999E-2</v>
      </c>
    </row>
    <row r="692" spans="1:7" x14ac:dyDescent="0.2">
      <c r="A692">
        <v>19890731</v>
      </c>
      <c r="B692">
        <v>1989</v>
      </c>
      <c r="C692">
        <v>7</v>
      </c>
      <c r="D692">
        <v>7.1999999999999995E-2</v>
      </c>
      <c r="E692">
        <v>7.0000000000000001E-3</v>
      </c>
      <c r="F692">
        <v>-4.02E-2</v>
      </c>
      <c r="G692">
        <v>-2.8400000000000002E-2</v>
      </c>
    </row>
    <row r="693" spans="1:7" x14ac:dyDescent="0.2">
      <c r="A693">
        <v>19890831</v>
      </c>
      <c r="B693">
        <v>1989</v>
      </c>
      <c r="C693">
        <v>8</v>
      </c>
      <c r="D693">
        <v>1.44E-2</v>
      </c>
      <c r="E693">
        <v>7.4000000000000003E-3</v>
      </c>
      <c r="F693">
        <v>5.0000000000000001E-3</v>
      </c>
      <c r="G693">
        <v>7.1999999999999998E-3</v>
      </c>
    </row>
    <row r="694" spans="1:7" x14ac:dyDescent="0.2">
      <c r="A694">
        <v>19890929</v>
      </c>
      <c r="B694">
        <v>1989</v>
      </c>
      <c r="C694">
        <v>9</v>
      </c>
      <c r="D694">
        <v>-7.6E-3</v>
      </c>
      <c r="E694">
        <v>6.4999999999999997E-3</v>
      </c>
      <c r="F694">
        <v>2.8E-3</v>
      </c>
      <c r="G694">
        <v>-1.34E-2</v>
      </c>
    </row>
    <row r="695" spans="1:7" x14ac:dyDescent="0.2">
      <c r="A695">
        <v>19891031</v>
      </c>
      <c r="B695">
        <v>1989</v>
      </c>
      <c r="C695">
        <v>10</v>
      </c>
      <c r="D695">
        <v>-3.6700000000000003E-2</v>
      </c>
      <c r="E695">
        <v>6.7999999999999996E-3</v>
      </c>
      <c r="F695">
        <v>-3.3000000000000002E-2</v>
      </c>
      <c r="G695">
        <v>-1.03E-2</v>
      </c>
    </row>
    <row r="696" spans="1:7" x14ac:dyDescent="0.2">
      <c r="A696">
        <v>19891130</v>
      </c>
      <c r="B696">
        <v>1989</v>
      </c>
      <c r="C696">
        <v>11</v>
      </c>
      <c r="D696">
        <v>1.03E-2</v>
      </c>
      <c r="E696">
        <v>6.8999999999999999E-3</v>
      </c>
      <c r="F696">
        <v>-1.24E-2</v>
      </c>
      <c r="G696">
        <v>-1.12E-2</v>
      </c>
    </row>
    <row r="697" spans="1:7" x14ac:dyDescent="0.2">
      <c r="A697">
        <v>19891229</v>
      </c>
      <c r="B697">
        <v>1989</v>
      </c>
      <c r="C697">
        <v>12</v>
      </c>
      <c r="D697">
        <v>1.1599999999999999E-2</v>
      </c>
      <c r="E697">
        <v>6.1000000000000004E-3</v>
      </c>
      <c r="F697">
        <v>-2.41E-2</v>
      </c>
      <c r="G697">
        <v>2.8E-3</v>
      </c>
    </row>
    <row r="698" spans="1:7" x14ac:dyDescent="0.2">
      <c r="A698">
        <v>19900131</v>
      </c>
      <c r="B698">
        <v>1990</v>
      </c>
      <c r="C698">
        <v>1</v>
      </c>
      <c r="D698">
        <v>-7.85E-2</v>
      </c>
      <c r="E698">
        <v>5.7000000000000002E-3</v>
      </c>
      <c r="F698">
        <v>-1.29E-2</v>
      </c>
      <c r="G698">
        <v>8.6999999999999994E-3</v>
      </c>
    </row>
    <row r="699" spans="1:7" x14ac:dyDescent="0.2">
      <c r="A699">
        <v>19900228</v>
      </c>
      <c r="B699">
        <v>1990</v>
      </c>
      <c r="C699">
        <v>2</v>
      </c>
      <c r="D699">
        <v>1.11E-2</v>
      </c>
      <c r="E699">
        <v>5.7000000000000002E-3</v>
      </c>
      <c r="F699">
        <v>1.03E-2</v>
      </c>
      <c r="G699">
        <v>6.1000000000000004E-3</v>
      </c>
    </row>
    <row r="700" spans="1:7" x14ac:dyDescent="0.2">
      <c r="A700">
        <v>19900330</v>
      </c>
      <c r="B700">
        <v>1990</v>
      </c>
      <c r="C700">
        <v>3</v>
      </c>
      <c r="D700">
        <v>1.83E-2</v>
      </c>
      <c r="E700">
        <v>6.4000000000000003E-3</v>
      </c>
      <c r="F700">
        <v>1.52E-2</v>
      </c>
      <c r="G700">
        <v>-2.9000000000000001E-2</v>
      </c>
    </row>
    <row r="701" spans="1:7" x14ac:dyDescent="0.2">
      <c r="A701">
        <v>19900430</v>
      </c>
      <c r="B701">
        <v>1990</v>
      </c>
      <c r="C701">
        <v>4</v>
      </c>
      <c r="D701">
        <v>-3.3599999999999998E-2</v>
      </c>
      <c r="E701">
        <v>6.8999999999999999E-3</v>
      </c>
      <c r="F701">
        <v>-5.0000000000000001E-3</v>
      </c>
      <c r="G701">
        <v>-2.5499999999999998E-2</v>
      </c>
    </row>
    <row r="702" spans="1:7" x14ac:dyDescent="0.2">
      <c r="A702">
        <v>19900531</v>
      </c>
      <c r="B702">
        <v>1990</v>
      </c>
      <c r="C702">
        <v>5</v>
      </c>
      <c r="D702">
        <v>8.4199999999999997E-2</v>
      </c>
      <c r="E702">
        <v>6.7999999999999996E-3</v>
      </c>
      <c r="F702">
        <v>-2.5700000000000001E-2</v>
      </c>
      <c r="G702">
        <v>-3.7400000000000003E-2</v>
      </c>
    </row>
    <row r="703" spans="1:7" x14ac:dyDescent="0.2">
      <c r="A703">
        <v>19900629</v>
      </c>
      <c r="B703">
        <v>1990</v>
      </c>
      <c r="C703">
        <v>6</v>
      </c>
      <c r="D703">
        <v>-1.09E-2</v>
      </c>
      <c r="E703">
        <v>6.3E-3</v>
      </c>
      <c r="F703">
        <v>1.43E-2</v>
      </c>
      <c r="G703">
        <v>-1.9400000000000001E-2</v>
      </c>
    </row>
    <row r="704" spans="1:7" x14ac:dyDescent="0.2">
      <c r="A704">
        <v>19900731</v>
      </c>
      <c r="B704">
        <v>1990</v>
      </c>
      <c r="C704">
        <v>7</v>
      </c>
      <c r="D704">
        <v>-1.9E-2</v>
      </c>
      <c r="E704">
        <v>6.7999999999999996E-3</v>
      </c>
      <c r="F704">
        <v>-3.2099999999999997E-2</v>
      </c>
      <c r="G704">
        <v>-1E-4</v>
      </c>
    </row>
    <row r="705" spans="1:7" x14ac:dyDescent="0.2">
      <c r="A705">
        <v>19900831</v>
      </c>
      <c r="B705">
        <v>1990</v>
      </c>
      <c r="C705">
        <v>8</v>
      </c>
      <c r="D705">
        <v>-0.10150000000000001</v>
      </c>
      <c r="E705">
        <v>6.6E-3</v>
      </c>
      <c r="F705">
        <v>-3.5799999999999998E-2</v>
      </c>
      <c r="G705">
        <v>1.5800000000000002E-2</v>
      </c>
    </row>
    <row r="706" spans="1:7" x14ac:dyDescent="0.2">
      <c r="A706">
        <v>19900928</v>
      </c>
      <c r="B706">
        <v>1990</v>
      </c>
      <c r="C706">
        <v>9</v>
      </c>
      <c r="D706">
        <v>-6.1199999999999997E-2</v>
      </c>
      <c r="E706">
        <v>6.0000000000000001E-3</v>
      </c>
      <c r="F706">
        <v>-3.6700000000000003E-2</v>
      </c>
      <c r="G706">
        <v>7.3000000000000001E-3</v>
      </c>
    </row>
    <row r="707" spans="1:7" x14ac:dyDescent="0.2">
      <c r="A707">
        <v>19901031</v>
      </c>
      <c r="B707">
        <v>1990</v>
      </c>
      <c r="C707">
        <v>10</v>
      </c>
      <c r="D707">
        <v>-1.9199999999999998E-2</v>
      </c>
      <c r="E707">
        <v>6.7999999999999996E-3</v>
      </c>
      <c r="F707">
        <v>-5.5100000000000003E-2</v>
      </c>
      <c r="G707">
        <v>2.2000000000000001E-3</v>
      </c>
    </row>
    <row r="708" spans="1:7" x14ac:dyDescent="0.2">
      <c r="A708">
        <v>19901130</v>
      </c>
      <c r="B708">
        <v>1990</v>
      </c>
      <c r="C708">
        <v>11</v>
      </c>
      <c r="D708">
        <v>6.3500000000000001E-2</v>
      </c>
      <c r="E708">
        <v>5.7000000000000002E-3</v>
      </c>
      <c r="F708">
        <v>3.3E-3</v>
      </c>
      <c r="G708">
        <v>-3.1600000000000003E-2</v>
      </c>
    </row>
    <row r="709" spans="1:7" x14ac:dyDescent="0.2">
      <c r="A709">
        <v>19901231</v>
      </c>
      <c r="B709">
        <v>1990</v>
      </c>
      <c r="C709">
        <v>12</v>
      </c>
      <c r="D709">
        <v>2.46E-2</v>
      </c>
      <c r="E709">
        <v>6.0000000000000001E-3</v>
      </c>
      <c r="F709">
        <v>7.9000000000000008E-3</v>
      </c>
      <c r="G709">
        <v>-1.54E-2</v>
      </c>
    </row>
    <row r="710" spans="1:7" x14ac:dyDescent="0.2">
      <c r="A710">
        <v>19910131</v>
      </c>
      <c r="B710">
        <v>1991</v>
      </c>
      <c r="C710">
        <v>1</v>
      </c>
      <c r="D710">
        <v>4.6899999999999997E-2</v>
      </c>
      <c r="E710">
        <v>5.1999999999999998E-3</v>
      </c>
      <c r="F710">
        <v>3.7900000000000003E-2</v>
      </c>
      <c r="G710">
        <v>-1.84E-2</v>
      </c>
    </row>
    <row r="711" spans="1:7" x14ac:dyDescent="0.2">
      <c r="A711">
        <v>19910228</v>
      </c>
      <c r="B711">
        <v>1991</v>
      </c>
      <c r="C711">
        <v>2</v>
      </c>
      <c r="D711">
        <v>7.1900000000000006E-2</v>
      </c>
      <c r="E711">
        <v>4.7999999999999996E-3</v>
      </c>
      <c r="F711">
        <v>3.95E-2</v>
      </c>
      <c r="G711">
        <v>-5.4000000000000003E-3</v>
      </c>
    </row>
    <row r="712" spans="1:7" x14ac:dyDescent="0.2">
      <c r="A712">
        <v>19910328</v>
      </c>
      <c r="B712">
        <v>1991</v>
      </c>
      <c r="C712">
        <v>3</v>
      </c>
      <c r="D712">
        <v>2.6499999999999999E-2</v>
      </c>
      <c r="E712">
        <v>4.4000000000000003E-3</v>
      </c>
      <c r="F712">
        <v>3.8899999999999997E-2</v>
      </c>
      <c r="G712">
        <v>-1.23E-2</v>
      </c>
    </row>
    <row r="713" spans="1:7" x14ac:dyDescent="0.2">
      <c r="A713">
        <v>19910430</v>
      </c>
      <c r="B713">
        <v>1991</v>
      </c>
      <c r="C713">
        <v>4</v>
      </c>
      <c r="D713">
        <v>-2.8E-3</v>
      </c>
      <c r="E713">
        <v>5.3E-3</v>
      </c>
      <c r="F713">
        <v>5.0000000000000001E-3</v>
      </c>
      <c r="G713">
        <v>1.4200000000000001E-2</v>
      </c>
    </row>
    <row r="714" spans="1:7" x14ac:dyDescent="0.2">
      <c r="A714">
        <v>19910531</v>
      </c>
      <c r="B714">
        <v>1991</v>
      </c>
      <c r="C714">
        <v>5</v>
      </c>
      <c r="D714">
        <v>3.6499999999999998E-2</v>
      </c>
      <c r="E714">
        <v>4.7000000000000002E-3</v>
      </c>
      <c r="F714">
        <v>-3.3999999999999998E-3</v>
      </c>
      <c r="G714">
        <v>-5.7000000000000002E-3</v>
      </c>
    </row>
    <row r="715" spans="1:7" x14ac:dyDescent="0.2">
      <c r="A715">
        <v>19910628</v>
      </c>
      <c r="B715">
        <v>1991</v>
      </c>
      <c r="C715">
        <v>6</v>
      </c>
      <c r="D715">
        <v>-4.9399999999999999E-2</v>
      </c>
      <c r="E715">
        <v>4.1999999999999997E-3</v>
      </c>
      <c r="F715">
        <v>6.9999999999999999E-4</v>
      </c>
      <c r="G715">
        <v>1.21E-2</v>
      </c>
    </row>
    <row r="716" spans="1:7" x14ac:dyDescent="0.2">
      <c r="A716">
        <v>19910731</v>
      </c>
      <c r="B716">
        <v>1991</v>
      </c>
      <c r="C716">
        <v>7</v>
      </c>
      <c r="D716">
        <v>4.24E-2</v>
      </c>
      <c r="E716">
        <v>4.8999999999999998E-3</v>
      </c>
      <c r="F716">
        <v>-9.2999999999999992E-3</v>
      </c>
      <c r="G716">
        <v>-1.2500000000000001E-2</v>
      </c>
    </row>
    <row r="717" spans="1:7" x14ac:dyDescent="0.2">
      <c r="A717">
        <v>19910830</v>
      </c>
      <c r="B717">
        <v>1991</v>
      </c>
      <c r="C717">
        <v>8</v>
      </c>
      <c r="D717">
        <v>2.3199999999999998E-2</v>
      </c>
      <c r="E717">
        <v>4.5999999999999999E-3</v>
      </c>
      <c r="F717">
        <v>1.5900000000000001E-2</v>
      </c>
      <c r="G717">
        <v>-7.7999999999999996E-3</v>
      </c>
    </row>
    <row r="718" spans="1:7" x14ac:dyDescent="0.2">
      <c r="A718">
        <v>19910930</v>
      </c>
      <c r="B718">
        <v>1991</v>
      </c>
      <c r="C718">
        <v>9</v>
      </c>
      <c r="D718">
        <v>-1.5900000000000001E-2</v>
      </c>
      <c r="E718">
        <v>4.5999999999999999E-3</v>
      </c>
      <c r="F718">
        <v>1.6299999999999999E-2</v>
      </c>
      <c r="G718">
        <v>-0.01</v>
      </c>
    </row>
    <row r="719" spans="1:7" x14ac:dyDescent="0.2">
      <c r="A719">
        <v>19911031</v>
      </c>
      <c r="B719">
        <v>1991</v>
      </c>
      <c r="C719">
        <v>10</v>
      </c>
      <c r="D719">
        <v>1.29E-2</v>
      </c>
      <c r="E719">
        <v>4.1999999999999997E-3</v>
      </c>
      <c r="F719">
        <v>8.9999999999999993E-3</v>
      </c>
      <c r="G719">
        <v>-4.3E-3</v>
      </c>
    </row>
    <row r="720" spans="1:7" x14ac:dyDescent="0.2">
      <c r="A720">
        <v>19911129</v>
      </c>
      <c r="B720">
        <v>1991</v>
      </c>
      <c r="C720">
        <v>11</v>
      </c>
      <c r="D720">
        <v>-4.19E-2</v>
      </c>
      <c r="E720">
        <v>3.8999999999999998E-3</v>
      </c>
      <c r="F720">
        <v>-4.7999999999999996E-3</v>
      </c>
      <c r="G720">
        <v>-1.9300000000000001E-2</v>
      </c>
    </row>
    <row r="721" spans="1:7" x14ac:dyDescent="0.2">
      <c r="A721">
        <v>19911231</v>
      </c>
      <c r="B721">
        <v>1991</v>
      </c>
      <c r="C721">
        <v>12</v>
      </c>
      <c r="D721">
        <v>0.1084</v>
      </c>
      <c r="E721">
        <v>3.8E-3</v>
      </c>
      <c r="F721">
        <v>-2.24E-2</v>
      </c>
      <c r="G721">
        <v>-4.0300000000000002E-2</v>
      </c>
    </row>
    <row r="722" spans="1:7" x14ac:dyDescent="0.2">
      <c r="A722">
        <v>19920131</v>
      </c>
      <c r="B722">
        <v>1992</v>
      </c>
      <c r="C722">
        <v>1</v>
      </c>
      <c r="D722">
        <v>-5.8999999999999999E-3</v>
      </c>
      <c r="E722">
        <v>3.3999999999999998E-3</v>
      </c>
      <c r="F722">
        <v>8.4699999999999998E-2</v>
      </c>
      <c r="G722">
        <v>4.5100000000000001E-2</v>
      </c>
    </row>
    <row r="723" spans="1:7" x14ac:dyDescent="0.2">
      <c r="A723">
        <v>19920228</v>
      </c>
      <c r="B723">
        <v>1992</v>
      </c>
      <c r="C723">
        <v>2</v>
      </c>
      <c r="D723">
        <v>1.09E-2</v>
      </c>
      <c r="E723">
        <v>2.8E-3</v>
      </c>
      <c r="F723">
        <v>8.8000000000000005E-3</v>
      </c>
      <c r="G723">
        <v>6.3700000000000007E-2</v>
      </c>
    </row>
    <row r="724" spans="1:7" x14ac:dyDescent="0.2">
      <c r="A724">
        <v>19920331</v>
      </c>
      <c r="B724">
        <v>1992</v>
      </c>
      <c r="C724">
        <v>3</v>
      </c>
      <c r="D724">
        <v>-2.6599999999999999E-2</v>
      </c>
      <c r="E724">
        <v>3.3999999999999998E-3</v>
      </c>
      <c r="F724">
        <v>-1.03E-2</v>
      </c>
      <c r="G724">
        <v>3.6499999999999998E-2</v>
      </c>
    </row>
    <row r="725" spans="1:7" x14ac:dyDescent="0.2">
      <c r="A725">
        <v>19920430</v>
      </c>
      <c r="B725">
        <v>1992</v>
      </c>
      <c r="C725">
        <v>4</v>
      </c>
      <c r="D725">
        <v>1.0699999999999999E-2</v>
      </c>
      <c r="E725">
        <v>3.2000000000000002E-3</v>
      </c>
      <c r="F725">
        <v>-6.1199999999999997E-2</v>
      </c>
      <c r="G725">
        <v>4.3099999999999999E-2</v>
      </c>
    </row>
    <row r="726" spans="1:7" x14ac:dyDescent="0.2">
      <c r="A726">
        <v>19920529</v>
      </c>
      <c r="B726">
        <v>1992</v>
      </c>
      <c r="C726">
        <v>5</v>
      </c>
      <c r="D726">
        <v>3.0000000000000001E-3</v>
      </c>
      <c r="E726">
        <v>2.8E-3</v>
      </c>
      <c r="F726">
        <v>3.8999999999999998E-3</v>
      </c>
      <c r="G726">
        <v>1.2800000000000001E-2</v>
      </c>
    </row>
    <row r="727" spans="1:7" x14ac:dyDescent="0.2">
      <c r="A727">
        <v>19920630</v>
      </c>
      <c r="B727">
        <v>1992</v>
      </c>
      <c r="C727">
        <v>6</v>
      </c>
      <c r="D727">
        <v>-2.3400000000000001E-2</v>
      </c>
      <c r="E727">
        <v>3.2000000000000002E-3</v>
      </c>
      <c r="F727">
        <v>-3.09E-2</v>
      </c>
      <c r="G727">
        <v>3.4000000000000002E-2</v>
      </c>
    </row>
    <row r="728" spans="1:7" x14ac:dyDescent="0.2">
      <c r="A728">
        <v>19920731</v>
      </c>
      <c r="B728">
        <v>1992</v>
      </c>
      <c r="C728">
        <v>7</v>
      </c>
      <c r="D728">
        <v>3.7699999999999997E-2</v>
      </c>
      <c r="E728">
        <v>3.0999999999999999E-3</v>
      </c>
      <c r="F728">
        <v>-4.4000000000000003E-3</v>
      </c>
      <c r="G728">
        <v>-5.3E-3</v>
      </c>
    </row>
    <row r="729" spans="1:7" x14ac:dyDescent="0.2">
      <c r="A729">
        <v>19920831</v>
      </c>
      <c r="B729">
        <v>1992</v>
      </c>
      <c r="C729">
        <v>8</v>
      </c>
      <c r="D729">
        <v>-2.3800000000000002E-2</v>
      </c>
      <c r="E729">
        <v>2.5999999999999999E-3</v>
      </c>
      <c r="F729">
        <v>-1.1999999999999999E-3</v>
      </c>
      <c r="G729">
        <v>-1.03E-2</v>
      </c>
    </row>
    <row r="730" spans="1:7" x14ac:dyDescent="0.2">
      <c r="A730">
        <v>19920930</v>
      </c>
      <c r="B730">
        <v>1992</v>
      </c>
      <c r="C730">
        <v>9</v>
      </c>
      <c r="D730">
        <v>1.1900000000000001E-2</v>
      </c>
      <c r="E730">
        <v>2.5999999999999999E-3</v>
      </c>
      <c r="F730">
        <v>5.5999999999999999E-3</v>
      </c>
      <c r="G730">
        <v>-2.0999999999999999E-3</v>
      </c>
    </row>
    <row r="731" spans="1:7" x14ac:dyDescent="0.2">
      <c r="A731">
        <v>19921030</v>
      </c>
      <c r="B731">
        <v>1992</v>
      </c>
      <c r="C731">
        <v>10</v>
      </c>
      <c r="D731">
        <v>1.0200000000000001E-2</v>
      </c>
      <c r="E731">
        <v>2.3E-3</v>
      </c>
      <c r="F731">
        <v>2.0500000000000001E-2</v>
      </c>
      <c r="G731">
        <v>-2.1000000000000001E-2</v>
      </c>
    </row>
    <row r="732" spans="1:7" x14ac:dyDescent="0.2">
      <c r="A732">
        <v>19921130</v>
      </c>
      <c r="B732">
        <v>1992</v>
      </c>
      <c r="C732">
        <v>11</v>
      </c>
      <c r="D732">
        <v>4.1300000000000003E-2</v>
      </c>
      <c r="E732">
        <v>2.3E-3</v>
      </c>
      <c r="F732">
        <v>3.6999999999999998E-2</v>
      </c>
      <c r="G732">
        <v>-1.4800000000000001E-2</v>
      </c>
    </row>
    <row r="733" spans="1:7" x14ac:dyDescent="0.2">
      <c r="A733">
        <v>19921231</v>
      </c>
      <c r="B733">
        <v>1992</v>
      </c>
      <c r="C733">
        <v>12</v>
      </c>
      <c r="D733">
        <v>1.5299999999999999E-2</v>
      </c>
      <c r="E733">
        <v>2.8E-3</v>
      </c>
      <c r="F733">
        <v>1.6400000000000001E-2</v>
      </c>
      <c r="G733">
        <v>2.52E-2</v>
      </c>
    </row>
    <row r="734" spans="1:7" x14ac:dyDescent="0.2">
      <c r="A734">
        <v>19930129</v>
      </c>
      <c r="B734">
        <v>1993</v>
      </c>
      <c r="C734">
        <v>1</v>
      </c>
      <c r="D734">
        <v>9.2999999999999992E-3</v>
      </c>
      <c r="E734">
        <v>2.3E-3</v>
      </c>
      <c r="F734">
        <v>2.0299999999999999E-2</v>
      </c>
      <c r="G734">
        <v>5.8700000000000002E-2</v>
      </c>
    </row>
    <row r="735" spans="1:7" x14ac:dyDescent="0.2">
      <c r="A735">
        <v>19930226</v>
      </c>
      <c r="B735">
        <v>1993</v>
      </c>
      <c r="C735">
        <v>2</v>
      </c>
      <c r="D735">
        <v>1.1999999999999999E-3</v>
      </c>
      <c r="E735">
        <v>2.2000000000000001E-3</v>
      </c>
      <c r="F735">
        <v>-3.4299999999999997E-2</v>
      </c>
      <c r="G735">
        <v>6.4199999999999993E-2</v>
      </c>
    </row>
    <row r="736" spans="1:7" x14ac:dyDescent="0.2">
      <c r="A736">
        <v>19930331</v>
      </c>
      <c r="B736">
        <v>1993</v>
      </c>
      <c r="C736">
        <v>3</v>
      </c>
      <c r="D736">
        <v>2.3E-2</v>
      </c>
      <c r="E736">
        <v>2.5000000000000001E-3</v>
      </c>
      <c r="F736">
        <v>2.3E-3</v>
      </c>
      <c r="G736">
        <v>1.2200000000000001E-2</v>
      </c>
    </row>
    <row r="737" spans="1:7" x14ac:dyDescent="0.2">
      <c r="A737">
        <v>19930430</v>
      </c>
      <c r="B737">
        <v>1993</v>
      </c>
      <c r="C737">
        <v>4</v>
      </c>
      <c r="D737">
        <v>-3.0499999999999999E-2</v>
      </c>
      <c r="E737">
        <v>2.3999999999999998E-3</v>
      </c>
      <c r="F737">
        <v>-7.0000000000000001E-3</v>
      </c>
      <c r="G737">
        <v>2.6100000000000002E-2</v>
      </c>
    </row>
    <row r="738" spans="1:7" x14ac:dyDescent="0.2">
      <c r="A738">
        <v>19930528</v>
      </c>
      <c r="B738">
        <v>1993</v>
      </c>
      <c r="C738">
        <v>5</v>
      </c>
      <c r="D738">
        <v>2.8899999999999999E-2</v>
      </c>
      <c r="E738">
        <v>2.2000000000000001E-3</v>
      </c>
      <c r="F738">
        <v>1.9599999999999999E-2</v>
      </c>
      <c r="G738">
        <v>-3.4099999999999998E-2</v>
      </c>
    </row>
    <row r="739" spans="1:7" x14ac:dyDescent="0.2">
      <c r="A739">
        <v>19930630</v>
      </c>
      <c r="B739">
        <v>1993</v>
      </c>
      <c r="C739">
        <v>6</v>
      </c>
      <c r="D739">
        <v>3.0999999999999999E-3</v>
      </c>
      <c r="E739">
        <v>2.5000000000000001E-3</v>
      </c>
      <c r="F739">
        <v>-3.0999999999999999E-3</v>
      </c>
      <c r="G739">
        <v>2.6200000000000001E-2</v>
      </c>
    </row>
    <row r="740" spans="1:7" x14ac:dyDescent="0.2">
      <c r="A740">
        <v>19930730</v>
      </c>
      <c r="B740">
        <v>1993</v>
      </c>
      <c r="C740">
        <v>7</v>
      </c>
      <c r="D740">
        <v>-3.3999999999999998E-3</v>
      </c>
      <c r="E740">
        <v>2.3999999999999998E-3</v>
      </c>
      <c r="F740">
        <v>9.2999999999999992E-3</v>
      </c>
      <c r="G740">
        <v>3.2399999999999998E-2</v>
      </c>
    </row>
    <row r="741" spans="1:7" x14ac:dyDescent="0.2">
      <c r="A741">
        <v>19930831</v>
      </c>
      <c r="B741">
        <v>1993</v>
      </c>
      <c r="C741">
        <v>8</v>
      </c>
      <c r="D741">
        <v>3.7100000000000001E-2</v>
      </c>
      <c r="E741">
        <v>2.5000000000000001E-3</v>
      </c>
      <c r="F741">
        <v>3.2000000000000002E-3</v>
      </c>
      <c r="G741">
        <v>-4.4999999999999997E-3</v>
      </c>
    </row>
    <row r="742" spans="1:7" x14ac:dyDescent="0.2">
      <c r="A742">
        <v>19930930</v>
      </c>
      <c r="B742">
        <v>1993</v>
      </c>
      <c r="C742">
        <v>9</v>
      </c>
      <c r="D742">
        <v>-1.1999999999999999E-3</v>
      </c>
      <c r="E742">
        <v>2.5999999999999999E-3</v>
      </c>
      <c r="F742">
        <v>3.1099999999999999E-2</v>
      </c>
      <c r="G742">
        <v>-4.4999999999999997E-3</v>
      </c>
    </row>
    <row r="743" spans="1:7" x14ac:dyDescent="0.2">
      <c r="A743">
        <v>19931029</v>
      </c>
      <c r="B743">
        <v>1993</v>
      </c>
      <c r="C743">
        <v>10</v>
      </c>
      <c r="D743">
        <v>1.41E-2</v>
      </c>
      <c r="E743">
        <v>2.2000000000000001E-3</v>
      </c>
      <c r="F743">
        <v>1.4500000000000001E-2</v>
      </c>
      <c r="G743">
        <v>-1.54E-2</v>
      </c>
    </row>
    <row r="744" spans="1:7" x14ac:dyDescent="0.2">
      <c r="A744">
        <v>19931130</v>
      </c>
      <c r="B744">
        <v>1993</v>
      </c>
      <c r="C744">
        <v>11</v>
      </c>
      <c r="D744">
        <v>-1.89E-2</v>
      </c>
      <c r="E744">
        <v>2.5000000000000001E-3</v>
      </c>
      <c r="F744">
        <v>-1.43E-2</v>
      </c>
      <c r="G744">
        <v>-2.7000000000000001E-3</v>
      </c>
    </row>
    <row r="745" spans="1:7" x14ac:dyDescent="0.2">
      <c r="A745">
        <v>19931231</v>
      </c>
      <c r="B745">
        <v>1993</v>
      </c>
      <c r="C745">
        <v>12</v>
      </c>
      <c r="D745">
        <v>1.6500000000000001E-2</v>
      </c>
      <c r="E745">
        <v>2.3E-3</v>
      </c>
      <c r="F745">
        <v>1.2200000000000001E-2</v>
      </c>
      <c r="G745">
        <v>5.7000000000000002E-3</v>
      </c>
    </row>
    <row r="746" spans="1:7" x14ac:dyDescent="0.2">
      <c r="A746">
        <v>19940131</v>
      </c>
      <c r="B746">
        <v>1994</v>
      </c>
      <c r="C746">
        <v>1</v>
      </c>
      <c r="D746">
        <v>2.87E-2</v>
      </c>
      <c r="E746">
        <v>2.5000000000000001E-3</v>
      </c>
      <c r="F746">
        <v>1.4E-3</v>
      </c>
      <c r="G746">
        <v>2.0899999999999998E-2</v>
      </c>
    </row>
    <row r="747" spans="1:7" x14ac:dyDescent="0.2">
      <c r="A747">
        <v>19940228</v>
      </c>
      <c r="B747">
        <v>1994</v>
      </c>
      <c r="C747">
        <v>2</v>
      </c>
      <c r="D747">
        <v>-2.5499999999999998E-2</v>
      </c>
      <c r="E747">
        <v>2.0999999999999999E-3</v>
      </c>
      <c r="F747">
        <v>2.7300000000000001E-2</v>
      </c>
      <c r="G747">
        <v>-1.44E-2</v>
      </c>
    </row>
    <row r="748" spans="1:7" x14ac:dyDescent="0.2">
      <c r="A748">
        <v>19940331</v>
      </c>
      <c r="B748">
        <v>1994</v>
      </c>
      <c r="C748">
        <v>3</v>
      </c>
      <c r="D748">
        <v>-4.7800000000000002E-2</v>
      </c>
      <c r="E748">
        <v>2.7000000000000001E-3</v>
      </c>
      <c r="F748">
        <v>-9.7999999999999997E-3</v>
      </c>
      <c r="G748">
        <v>1.3100000000000001E-2</v>
      </c>
    </row>
    <row r="749" spans="1:7" x14ac:dyDescent="0.2">
      <c r="A749">
        <v>19940429</v>
      </c>
      <c r="B749">
        <v>1994</v>
      </c>
      <c r="C749">
        <v>4</v>
      </c>
      <c r="D749">
        <v>6.7999999999999996E-3</v>
      </c>
      <c r="E749">
        <v>2.7000000000000001E-3</v>
      </c>
      <c r="F749">
        <v>-9.2999999999999992E-3</v>
      </c>
      <c r="G749">
        <v>1.6799999999999999E-2</v>
      </c>
    </row>
    <row r="750" spans="1:7" x14ac:dyDescent="0.2">
      <c r="A750">
        <v>19940531</v>
      </c>
      <c r="B750">
        <v>1994</v>
      </c>
      <c r="C750">
        <v>5</v>
      </c>
      <c r="D750">
        <v>5.7999999999999996E-3</v>
      </c>
      <c r="E750">
        <v>3.0999999999999999E-3</v>
      </c>
      <c r="F750">
        <v>-2.0199999999999999E-2</v>
      </c>
      <c r="G750">
        <v>2E-3</v>
      </c>
    </row>
    <row r="751" spans="1:7" x14ac:dyDescent="0.2">
      <c r="A751">
        <v>19940630</v>
      </c>
      <c r="B751">
        <v>1994</v>
      </c>
      <c r="C751">
        <v>6</v>
      </c>
      <c r="D751">
        <v>-3.0300000000000001E-2</v>
      </c>
      <c r="E751">
        <v>3.0999999999999999E-3</v>
      </c>
      <c r="F751">
        <v>-4.4999999999999997E-3</v>
      </c>
      <c r="G751">
        <v>1.7000000000000001E-2</v>
      </c>
    </row>
    <row r="752" spans="1:7" x14ac:dyDescent="0.2">
      <c r="A752">
        <v>19940729</v>
      </c>
      <c r="B752">
        <v>1994</v>
      </c>
      <c r="C752">
        <v>7</v>
      </c>
      <c r="D752">
        <v>2.8199999999999999E-2</v>
      </c>
      <c r="E752">
        <v>2.8E-3</v>
      </c>
      <c r="F752">
        <v>-1.7299999999999999E-2</v>
      </c>
      <c r="G752">
        <v>5.8999999999999999E-3</v>
      </c>
    </row>
    <row r="753" spans="1:7" x14ac:dyDescent="0.2">
      <c r="A753">
        <v>19940831</v>
      </c>
      <c r="B753">
        <v>1994</v>
      </c>
      <c r="C753">
        <v>8</v>
      </c>
      <c r="D753">
        <v>4.0099999999999997E-2</v>
      </c>
      <c r="E753">
        <v>3.7000000000000002E-3</v>
      </c>
      <c r="F753">
        <v>1.34E-2</v>
      </c>
      <c r="G753">
        <v>-2.8199999999999999E-2</v>
      </c>
    </row>
    <row r="754" spans="1:7" x14ac:dyDescent="0.2">
      <c r="A754">
        <v>19940930</v>
      </c>
      <c r="B754">
        <v>1994</v>
      </c>
      <c r="C754">
        <v>9</v>
      </c>
      <c r="D754">
        <v>-2.3099999999999999E-2</v>
      </c>
      <c r="E754">
        <v>3.7000000000000002E-3</v>
      </c>
      <c r="F754">
        <v>2.8199999999999999E-2</v>
      </c>
      <c r="G754">
        <v>-1.9E-2</v>
      </c>
    </row>
    <row r="755" spans="1:7" x14ac:dyDescent="0.2">
      <c r="A755">
        <v>19941031</v>
      </c>
      <c r="B755">
        <v>1994</v>
      </c>
      <c r="C755">
        <v>10</v>
      </c>
      <c r="D755">
        <v>1.34E-2</v>
      </c>
      <c r="E755">
        <v>3.8E-3</v>
      </c>
      <c r="F755">
        <v>-2.3400000000000001E-2</v>
      </c>
      <c r="G755">
        <v>-1.7299999999999999E-2</v>
      </c>
    </row>
    <row r="756" spans="1:7" x14ac:dyDescent="0.2">
      <c r="A756">
        <v>19941130</v>
      </c>
      <c r="B756">
        <v>1994</v>
      </c>
      <c r="C756">
        <v>11</v>
      </c>
      <c r="D756">
        <v>-4.0399999999999998E-2</v>
      </c>
      <c r="E756">
        <v>3.7000000000000002E-3</v>
      </c>
      <c r="F756">
        <v>2.7000000000000001E-3</v>
      </c>
      <c r="G756">
        <v>-9.4000000000000004E-3</v>
      </c>
    </row>
    <row r="757" spans="1:7" x14ac:dyDescent="0.2">
      <c r="A757">
        <v>19941230</v>
      </c>
      <c r="B757">
        <v>1994</v>
      </c>
      <c r="C757">
        <v>12</v>
      </c>
      <c r="D757">
        <v>8.6E-3</v>
      </c>
      <c r="E757">
        <v>4.4000000000000003E-3</v>
      </c>
      <c r="F757">
        <v>4.0000000000000002E-4</v>
      </c>
      <c r="G757">
        <v>5.4999999999999997E-3</v>
      </c>
    </row>
    <row r="758" spans="1:7" x14ac:dyDescent="0.2">
      <c r="A758">
        <v>19950131</v>
      </c>
      <c r="B758">
        <v>1995</v>
      </c>
      <c r="C758">
        <v>1</v>
      </c>
      <c r="D758">
        <v>1.7999999999999999E-2</v>
      </c>
      <c r="E758">
        <v>4.1999999999999997E-3</v>
      </c>
      <c r="F758">
        <v>-2.6499999999999999E-2</v>
      </c>
      <c r="G758">
        <v>8.3000000000000001E-3</v>
      </c>
    </row>
    <row r="759" spans="1:7" x14ac:dyDescent="0.2">
      <c r="A759">
        <v>19950228</v>
      </c>
      <c r="B759">
        <v>1995</v>
      </c>
      <c r="C759">
        <v>2</v>
      </c>
      <c r="D759">
        <v>3.6299999999999999E-2</v>
      </c>
      <c r="E759">
        <v>4.0000000000000001E-3</v>
      </c>
      <c r="F759">
        <v>-6.7000000000000002E-3</v>
      </c>
      <c r="G759">
        <v>1.0800000000000001E-2</v>
      </c>
    </row>
    <row r="760" spans="1:7" x14ac:dyDescent="0.2">
      <c r="A760">
        <v>19950331</v>
      </c>
      <c r="B760">
        <v>1995</v>
      </c>
      <c r="C760">
        <v>3</v>
      </c>
      <c r="D760">
        <v>2.1899999999999999E-2</v>
      </c>
      <c r="E760">
        <v>4.5999999999999999E-3</v>
      </c>
      <c r="F760">
        <v>-7.0000000000000001E-3</v>
      </c>
      <c r="G760">
        <v>-1.0699999999999999E-2</v>
      </c>
    </row>
    <row r="761" spans="1:7" x14ac:dyDescent="0.2">
      <c r="A761">
        <v>19950428</v>
      </c>
      <c r="B761">
        <v>1995</v>
      </c>
      <c r="C761">
        <v>4</v>
      </c>
      <c r="D761">
        <v>2.1100000000000001E-2</v>
      </c>
      <c r="E761">
        <v>4.4000000000000003E-3</v>
      </c>
      <c r="F761">
        <v>-6.1999999999999998E-3</v>
      </c>
      <c r="G761">
        <v>2.2599999999999999E-2</v>
      </c>
    </row>
    <row r="762" spans="1:7" x14ac:dyDescent="0.2">
      <c r="A762">
        <v>19950531</v>
      </c>
      <c r="B762">
        <v>1995</v>
      </c>
      <c r="C762">
        <v>5</v>
      </c>
      <c r="D762">
        <v>2.9000000000000001E-2</v>
      </c>
      <c r="E762">
        <v>5.4000000000000003E-3</v>
      </c>
      <c r="F762">
        <v>-2.1999999999999999E-2</v>
      </c>
      <c r="G762">
        <v>1.6899999999999998E-2</v>
      </c>
    </row>
    <row r="763" spans="1:7" x14ac:dyDescent="0.2">
      <c r="A763">
        <v>19950630</v>
      </c>
      <c r="B763">
        <v>1995</v>
      </c>
      <c r="C763">
        <v>6</v>
      </c>
      <c r="D763">
        <v>2.7199999999999998E-2</v>
      </c>
      <c r="E763">
        <v>4.7000000000000002E-3</v>
      </c>
      <c r="F763">
        <v>2.93E-2</v>
      </c>
      <c r="G763">
        <v>-2.2700000000000001E-2</v>
      </c>
    </row>
    <row r="764" spans="1:7" x14ac:dyDescent="0.2">
      <c r="A764">
        <v>19950731</v>
      </c>
      <c r="B764">
        <v>1995</v>
      </c>
      <c r="C764">
        <v>7</v>
      </c>
      <c r="D764">
        <v>3.7199999999999997E-2</v>
      </c>
      <c r="E764">
        <v>4.4999999999999997E-3</v>
      </c>
      <c r="F764">
        <v>2.0899999999999998E-2</v>
      </c>
      <c r="G764">
        <v>-1.6799999999999999E-2</v>
      </c>
    </row>
    <row r="765" spans="1:7" x14ac:dyDescent="0.2">
      <c r="A765">
        <v>19950831</v>
      </c>
      <c r="B765">
        <v>1995</v>
      </c>
      <c r="C765">
        <v>8</v>
      </c>
      <c r="D765">
        <v>5.4999999999999997E-3</v>
      </c>
      <c r="E765">
        <v>4.7000000000000002E-3</v>
      </c>
      <c r="F765">
        <v>1.6E-2</v>
      </c>
      <c r="G765">
        <v>2.7099999999999999E-2</v>
      </c>
    </row>
    <row r="766" spans="1:7" x14ac:dyDescent="0.2">
      <c r="A766">
        <v>19950929</v>
      </c>
      <c r="B766">
        <v>1995</v>
      </c>
      <c r="C766">
        <v>9</v>
      </c>
      <c r="D766">
        <v>3.3500000000000002E-2</v>
      </c>
      <c r="E766">
        <v>4.3E-3</v>
      </c>
      <c r="F766">
        <v>-2.1000000000000001E-2</v>
      </c>
      <c r="G766">
        <v>-7.6E-3</v>
      </c>
    </row>
    <row r="767" spans="1:7" x14ac:dyDescent="0.2">
      <c r="A767">
        <v>19951031</v>
      </c>
      <c r="B767">
        <v>1995</v>
      </c>
      <c r="C767">
        <v>10</v>
      </c>
      <c r="D767">
        <v>-1.52E-2</v>
      </c>
      <c r="E767">
        <v>4.7000000000000002E-3</v>
      </c>
      <c r="F767">
        <v>-3.7400000000000003E-2</v>
      </c>
      <c r="G767">
        <v>-7.4999999999999997E-3</v>
      </c>
    </row>
    <row r="768" spans="1:7" x14ac:dyDescent="0.2">
      <c r="A768">
        <v>19951130</v>
      </c>
      <c r="B768">
        <v>1995</v>
      </c>
      <c r="C768">
        <v>11</v>
      </c>
      <c r="D768">
        <v>3.9600000000000003E-2</v>
      </c>
      <c r="E768">
        <v>4.1999999999999997E-3</v>
      </c>
      <c r="F768">
        <v>-1.17E-2</v>
      </c>
      <c r="G768">
        <v>9.4000000000000004E-3</v>
      </c>
    </row>
    <row r="769" spans="1:7" x14ac:dyDescent="0.2">
      <c r="A769">
        <v>19951229</v>
      </c>
      <c r="B769">
        <v>1995</v>
      </c>
      <c r="C769">
        <v>12</v>
      </c>
      <c r="D769">
        <v>1.03E-2</v>
      </c>
      <c r="E769">
        <v>4.8999999999999998E-3</v>
      </c>
      <c r="F769">
        <v>5.7000000000000002E-3</v>
      </c>
      <c r="G769">
        <v>8.6E-3</v>
      </c>
    </row>
    <row r="770" spans="1:7" x14ac:dyDescent="0.2">
      <c r="A770">
        <v>19960131</v>
      </c>
      <c r="B770">
        <v>1996</v>
      </c>
      <c r="C770">
        <v>1</v>
      </c>
      <c r="D770">
        <v>2.2599999999999999E-2</v>
      </c>
      <c r="E770">
        <v>4.3E-3</v>
      </c>
      <c r="F770">
        <v>-2.6200000000000001E-2</v>
      </c>
      <c r="G770">
        <v>3.0000000000000001E-3</v>
      </c>
    </row>
    <row r="771" spans="1:7" x14ac:dyDescent="0.2">
      <c r="A771">
        <v>19960229</v>
      </c>
      <c r="B771">
        <v>1996</v>
      </c>
      <c r="C771">
        <v>2</v>
      </c>
      <c r="D771">
        <v>1.3299999999999999E-2</v>
      </c>
      <c r="E771">
        <v>3.8999999999999998E-3</v>
      </c>
      <c r="F771">
        <v>1.8800000000000001E-2</v>
      </c>
      <c r="G771">
        <v>-1.4200000000000001E-2</v>
      </c>
    </row>
    <row r="772" spans="1:7" x14ac:dyDescent="0.2">
      <c r="A772">
        <v>19960329</v>
      </c>
      <c r="B772">
        <v>1996</v>
      </c>
      <c r="C772">
        <v>3</v>
      </c>
      <c r="D772">
        <v>7.3000000000000001E-3</v>
      </c>
      <c r="E772">
        <v>3.8999999999999998E-3</v>
      </c>
      <c r="F772">
        <v>1.2999999999999999E-2</v>
      </c>
      <c r="G772">
        <v>0.01</v>
      </c>
    </row>
    <row r="773" spans="1:7" x14ac:dyDescent="0.2">
      <c r="A773">
        <v>19960430</v>
      </c>
      <c r="B773">
        <v>1996</v>
      </c>
      <c r="C773">
        <v>4</v>
      </c>
      <c r="D773">
        <v>2.06E-2</v>
      </c>
      <c r="E773">
        <v>4.5999999999999999E-3</v>
      </c>
      <c r="F773">
        <v>4.9200000000000001E-2</v>
      </c>
      <c r="G773">
        <v>-3.9E-2</v>
      </c>
    </row>
    <row r="774" spans="1:7" x14ac:dyDescent="0.2">
      <c r="A774">
        <v>19960531</v>
      </c>
      <c r="B774">
        <v>1996</v>
      </c>
      <c r="C774">
        <v>5</v>
      </c>
      <c r="D774">
        <v>2.3599999999999999E-2</v>
      </c>
      <c r="E774">
        <v>4.1999999999999997E-3</v>
      </c>
      <c r="F774">
        <v>3.04E-2</v>
      </c>
      <c r="G774">
        <v>-1.2E-2</v>
      </c>
    </row>
    <row r="775" spans="1:7" x14ac:dyDescent="0.2">
      <c r="A775">
        <v>19960628</v>
      </c>
      <c r="B775">
        <v>1996</v>
      </c>
      <c r="C775">
        <v>6</v>
      </c>
      <c r="D775">
        <v>-1.14E-2</v>
      </c>
      <c r="E775">
        <v>4.0000000000000001E-3</v>
      </c>
      <c r="F775">
        <v>-3.5799999999999998E-2</v>
      </c>
      <c r="G775">
        <v>1.5599999999999999E-2</v>
      </c>
    </row>
    <row r="776" spans="1:7" x14ac:dyDescent="0.2">
      <c r="A776">
        <v>19960731</v>
      </c>
      <c r="B776">
        <v>1996</v>
      </c>
      <c r="C776">
        <v>7</v>
      </c>
      <c r="D776">
        <v>-5.9700000000000003E-2</v>
      </c>
      <c r="E776">
        <v>4.4999999999999997E-3</v>
      </c>
      <c r="F776">
        <v>-3.8300000000000001E-2</v>
      </c>
      <c r="G776">
        <v>4.4499999999999998E-2</v>
      </c>
    </row>
    <row r="777" spans="1:7" x14ac:dyDescent="0.2">
      <c r="A777">
        <v>19960830</v>
      </c>
      <c r="B777">
        <v>1996</v>
      </c>
      <c r="C777">
        <v>8</v>
      </c>
      <c r="D777">
        <v>2.7699999999999999E-2</v>
      </c>
      <c r="E777">
        <v>4.1000000000000003E-3</v>
      </c>
      <c r="F777">
        <v>2.3E-2</v>
      </c>
      <c r="G777">
        <v>-4.5999999999999999E-3</v>
      </c>
    </row>
    <row r="778" spans="1:7" x14ac:dyDescent="0.2">
      <c r="A778">
        <v>19960930</v>
      </c>
      <c r="B778">
        <v>1996</v>
      </c>
      <c r="C778">
        <v>9</v>
      </c>
      <c r="D778">
        <v>5.0099999999999999E-2</v>
      </c>
      <c r="E778">
        <v>4.4000000000000003E-3</v>
      </c>
      <c r="F778">
        <v>-8.8000000000000005E-3</v>
      </c>
      <c r="G778">
        <v>-3.1399999999999997E-2</v>
      </c>
    </row>
    <row r="779" spans="1:7" x14ac:dyDescent="0.2">
      <c r="A779">
        <v>19961031</v>
      </c>
      <c r="B779">
        <v>1996</v>
      </c>
      <c r="C779">
        <v>10</v>
      </c>
      <c r="D779">
        <v>8.6E-3</v>
      </c>
      <c r="E779">
        <v>4.1999999999999997E-3</v>
      </c>
      <c r="F779">
        <v>-4.4400000000000002E-2</v>
      </c>
      <c r="G779">
        <v>5.1200000000000002E-2</v>
      </c>
    </row>
    <row r="780" spans="1:7" x14ac:dyDescent="0.2">
      <c r="A780">
        <v>19961129</v>
      </c>
      <c r="B780">
        <v>1996</v>
      </c>
      <c r="C780">
        <v>11</v>
      </c>
      <c r="D780">
        <v>6.25E-2</v>
      </c>
      <c r="E780">
        <v>4.1000000000000003E-3</v>
      </c>
      <c r="F780">
        <v>-3.8899999999999997E-2</v>
      </c>
      <c r="G780">
        <v>1.1599999999999999E-2</v>
      </c>
    </row>
    <row r="781" spans="1:7" x14ac:dyDescent="0.2">
      <c r="A781">
        <v>19961231</v>
      </c>
      <c r="B781">
        <v>1996</v>
      </c>
      <c r="C781">
        <v>12</v>
      </c>
      <c r="D781">
        <v>-1.7000000000000001E-2</v>
      </c>
      <c r="E781">
        <v>4.5999999999999999E-3</v>
      </c>
      <c r="F781">
        <v>3.2000000000000001E-2</v>
      </c>
      <c r="G781">
        <v>8.9999999999999993E-3</v>
      </c>
    </row>
    <row r="782" spans="1:7" x14ac:dyDescent="0.2">
      <c r="A782">
        <v>19970131</v>
      </c>
      <c r="B782">
        <v>1997</v>
      </c>
      <c r="C782">
        <v>1</v>
      </c>
      <c r="D782">
        <v>4.9799999999999997E-2</v>
      </c>
      <c r="E782">
        <v>4.4999999999999997E-3</v>
      </c>
      <c r="F782">
        <v>-1.84E-2</v>
      </c>
      <c r="G782">
        <v>-1.6400000000000001E-2</v>
      </c>
    </row>
    <row r="783" spans="1:7" x14ac:dyDescent="0.2">
      <c r="A783">
        <v>19970228</v>
      </c>
      <c r="B783">
        <v>1997</v>
      </c>
      <c r="C783">
        <v>2</v>
      </c>
      <c r="D783">
        <v>-4.8999999999999998E-3</v>
      </c>
      <c r="E783">
        <v>3.8999999999999998E-3</v>
      </c>
      <c r="F783">
        <v>-2.9000000000000001E-2</v>
      </c>
      <c r="G783">
        <v>5.1900000000000002E-2</v>
      </c>
    </row>
    <row r="784" spans="1:7" x14ac:dyDescent="0.2">
      <c r="A784">
        <v>19970331</v>
      </c>
      <c r="B784">
        <v>1997</v>
      </c>
      <c r="C784">
        <v>3</v>
      </c>
      <c r="D784">
        <v>-5.0200000000000002E-2</v>
      </c>
      <c r="E784">
        <v>4.3E-3</v>
      </c>
      <c r="F784">
        <v>-3.8E-3</v>
      </c>
      <c r="G784">
        <v>3.8100000000000002E-2</v>
      </c>
    </row>
    <row r="785" spans="1:7" x14ac:dyDescent="0.2">
      <c r="A785">
        <v>19970430</v>
      </c>
      <c r="B785">
        <v>1997</v>
      </c>
      <c r="C785">
        <v>4</v>
      </c>
      <c r="D785">
        <v>4.0399999999999998E-2</v>
      </c>
      <c r="E785">
        <v>4.3E-3</v>
      </c>
      <c r="F785">
        <v>-5.6599999999999998E-2</v>
      </c>
      <c r="G785">
        <v>-6.9999999999999999E-4</v>
      </c>
    </row>
    <row r="786" spans="1:7" x14ac:dyDescent="0.2">
      <c r="A786">
        <v>19970530</v>
      </c>
      <c r="B786">
        <v>1997</v>
      </c>
      <c r="C786">
        <v>5</v>
      </c>
      <c r="D786">
        <v>6.7400000000000002E-2</v>
      </c>
      <c r="E786">
        <v>4.8999999999999998E-3</v>
      </c>
      <c r="F786">
        <v>4.8899999999999999E-2</v>
      </c>
      <c r="G786">
        <v>-3.8699999999999998E-2</v>
      </c>
    </row>
    <row r="787" spans="1:7" x14ac:dyDescent="0.2">
      <c r="A787">
        <v>19970630</v>
      </c>
      <c r="B787">
        <v>1997</v>
      </c>
      <c r="C787">
        <v>6</v>
      </c>
      <c r="D787">
        <v>4.1000000000000002E-2</v>
      </c>
      <c r="E787">
        <v>3.7000000000000002E-3</v>
      </c>
      <c r="F787">
        <v>1.32E-2</v>
      </c>
      <c r="G787">
        <v>1.23E-2</v>
      </c>
    </row>
    <row r="788" spans="1:7" x14ac:dyDescent="0.2">
      <c r="A788">
        <v>19970731</v>
      </c>
      <c r="B788">
        <v>1997</v>
      </c>
      <c r="C788">
        <v>7</v>
      </c>
      <c r="D788">
        <v>7.3300000000000004E-2</v>
      </c>
      <c r="E788">
        <v>4.3E-3</v>
      </c>
      <c r="F788">
        <v>-2.8000000000000001E-2</v>
      </c>
      <c r="G788">
        <v>8.3999999999999995E-3</v>
      </c>
    </row>
    <row r="789" spans="1:7" x14ac:dyDescent="0.2">
      <c r="A789">
        <v>19970829</v>
      </c>
      <c r="B789">
        <v>1997</v>
      </c>
      <c r="C789">
        <v>8</v>
      </c>
      <c r="D789">
        <v>-4.1500000000000002E-2</v>
      </c>
      <c r="E789">
        <v>4.1000000000000003E-3</v>
      </c>
      <c r="F789">
        <v>7.3099999999999998E-2</v>
      </c>
      <c r="G789">
        <v>1.38E-2</v>
      </c>
    </row>
    <row r="790" spans="1:7" x14ac:dyDescent="0.2">
      <c r="A790">
        <v>19970930</v>
      </c>
      <c r="B790">
        <v>1997</v>
      </c>
      <c r="C790">
        <v>9</v>
      </c>
      <c r="D790">
        <v>5.3499999999999999E-2</v>
      </c>
      <c r="E790">
        <v>4.4000000000000003E-3</v>
      </c>
      <c r="F790">
        <v>2.6100000000000002E-2</v>
      </c>
      <c r="G790">
        <v>2.0000000000000001E-4</v>
      </c>
    </row>
    <row r="791" spans="1:7" x14ac:dyDescent="0.2">
      <c r="A791">
        <v>19971031</v>
      </c>
      <c r="B791">
        <v>1997</v>
      </c>
      <c r="C791">
        <v>10</v>
      </c>
      <c r="D791">
        <v>-3.7999999999999999E-2</v>
      </c>
      <c r="E791">
        <v>4.1999999999999997E-3</v>
      </c>
      <c r="F791">
        <v>-6.7999999999999996E-3</v>
      </c>
      <c r="G791">
        <v>1.9599999999999999E-2</v>
      </c>
    </row>
    <row r="792" spans="1:7" x14ac:dyDescent="0.2">
      <c r="A792">
        <v>19971128</v>
      </c>
      <c r="B792">
        <v>1997</v>
      </c>
      <c r="C792">
        <v>11</v>
      </c>
      <c r="D792">
        <v>2.98E-2</v>
      </c>
      <c r="E792">
        <v>3.8999999999999998E-3</v>
      </c>
      <c r="F792">
        <v>-4.9399999999999999E-2</v>
      </c>
      <c r="G792">
        <v>7.7999999999999996E-3</v>
      </c>
    </row>
    <row r="793" spans="1:7" x14ac:dyDescent="0.2">
      <c r="A793">
        <v>19971231</v>
      </c>
      <c r="B793">
        <v>1997</v>
      </c>
      <c r="C793">
        <v>12</v>
      </c>
      <c r="D793">
        <v>1.32E-2</v>
      </c>
      <c r="E793">
        <v>4.7999999999999996E-3</v>
      </c>
      <c r="F793">
        <v>-2.35E-2</v>
      </c>
      <c r="G793">
        <v>3.4599999999999999E-2</v>
      </c>
    </row>
    <row r="794" spans="1:7" x14ac:dyDescent="0.2">
      <c r="A794">
        <v>19980130</v>
      </c>
      <c r="B794">
        <v>1998</v>
      </c>
      <c r="C794">
        <v>1</v>
      </c>
      <c r="D794">
        <v>1.5E-3</v>
      </c>
      <c r="E794">
        <v>4.3E-3</v>
      </c>
      <c r="F794">
        <v>-1.15E-2</v>
      </c>
      <c r="G794">
        <v>-1.4500000000000001E-2</v>
      </c>
    </row>
    <row r="795" spans="1:7" x14ac:dyDescent="0.2">
      <c r="A795">
        <v>19980227</v>
      </c>
      <c r="B795">
        <v>1998</v>
      </c>
      <c r="C795">
        <v>2</v>
      </c>
      <c r="D795">
        <v>7.0400000000000004E-2</v>
      </c>
      <c r="E795">
        <v>3.8999999999999998E-3</v>
      </c>
      <c r="F795">
        <v>0</v>
      </c>
      <c r="G795">
        <v>-1.2999999999999999E-3</v>
      </c>
    </row>
    <row r="796" spans="1:7" x14ac:dyDescent="0.2">
      <c r="A796">
        <v>19980331</v>
      </c>
      <c r="B796">
        <v>1998</v>
      </c>
      <c r="C796">
        <v>3</v>
      </c>
      <c r="D796">
        <v>4.7600000000000003E-2</v>
      </c>
      <c r="E796">
        <v>3.8999999999999998E-3</v>
      </c>
      <c r="F796">
        <v>-9.4000000000000004E-3</v>
      </c>
      <c r="G796">
        <v>1.06E-2</v>
      </c>
    </row>
    <row r="797" spans="1:7" x14ac:dyDescent="0.2">
      <c r="A797">
        <v>19980430</v>
      </c>
      <c r="B797">
        <v>1998</v>
      </c>
      <c r="C797">
        <v>4</v>
      </c>
      <c r="D797">
        <v>7.3000000000000001E-3</v>
      </c>
      <c r="E797">
        <v>4.3E-3</v>
      </c>
      <c r="F797">
        <v>2.0999999999999999E-3</v>
      </c>
      <c r="G797">
        <v>7.4000000000000003E-3</v>
      </c>
    </row>
    <row r="798" spans="1:7" x14ac:dyDescent="0.2">
      <c r="A798">
        <v>19980529</v>
      </c>
      <c r="B798">
        <v>1998</v>
      </c>
      <c r="C798">
        <v>5</v>
      </c>
      <c r="D798">
        <v>-3.0700000000000002E-2</v>
      </c>
      <c r="E798">
        <v>4.0000000000000001E-3</v>
      </c>
      <c r="F798">
        <v>-3.7499999999999999E-2</v>
      </c>
      <c r="G798">
        <v>4.1599999999999998E-2</v>
      </c>
    </row>
    <row r="799" spans="1:7" x14ac:dyDescent="0.2">
      <c r="A799">
        <v>19980630</v>
      </c>
      <c r="B799">
        <v>1998</v>
      </c>
      <c r="C799">
        <v>6</v>
      </c>
      <c r="D799">
        <v>3.1800000000000002E-2</v>
      </c>
      <c r="E799">
        <v>4.1000000000000003E-3</v>
      </c>
      <c r="F799">
        <v>-3.1600000000000003E-2</v>
      </c>
      <c r="G799">
        <v>-2.3199999999999998E-2</v>
      </c>
    </row>
    <row r="800" spans="1:7" x14ac:dyDescent="0.2">
      <c r="A800">
        <v>19980731</v>
      </c>
      <c r="B800">
        <v>1998</v>
      </c>
      <c r="C800">
        <v>7</v>
      </c>
      <c r="D800">
        <v>-2.46E-2</v>
      </c>
      <c r="E800">
        <v>4.0000000000000001E-3</v>
      </c>
      <c r="F800">
        <v>-5.1200000000000002E-2</v>
      </c>
      <c r="G800">
        <v>-9.7000000000000003E-3</v>
      </c>
    </row>
    <row r="801" spans="1:7" x14ac:dyDescent="0.2">
      <c r="A801">
        <v>19980831</v>
      </c>
      <c r="B801">
        <v>1998</v>
      </c>
      <c r="C801">
        <v>8</v>
      </c>
      <c r="D801">
        <v>-0.1608</v>
      </c>
      <c r="E801">
        <v>4.3E-3</v>
      </c>
      <c r="F801">
        <v>-5.2999999999999999E-2</v>
      </c>
      <c r="G801">
        <v>3.4099999999999998E-2</v>
      </c>
    </row>
    <row r="802" spans="1:7" x14ac:dyDescent="0.2">
      <c r="A802">
        <v>19980930</v>
      </c>
      <c r="B802">
        <v>1998</v>
      </c>
      <c r="C802">
        <v>9</v>
      </c>
      <c r="D802">
        <v>6.1499999999999999E-2</v>
      </c>
      <c r="E802">
        <v>4.5999999999999999E-3</v>
      </c>
      <c r="F802">
        <v>-1.1999999999999999E-3</v>
      </c>
      <c r="G802">
        <v>-3.3099999999999997E-2</v>
      </c>
    </row>
    <row r="803" spans="1:7" x14ac:dyDescent="0.2">
      <c r="A803">
        <v>19981030</v>
      </c>
      <c r="B803">
        <v>1998</v>
      </c>
      <c r="C803">
        <v>10</v>
      </c>
      <c r="D803">
        <v>7.1300000000000002E-2</v>
      </c>
      <c r="E803">
        <v>3.2000000000000002E-3</v>
      </c>
      <c r="F803">
        <v>-3.32E-2</v>
      </c>
      <c r="G803">
        <v>-2.1999999999999999E-2</v>
      </c>
    </row>
    <row r="804" spans="1:7" x14ac:dyDescent="0.2">
      <c r="A804">
        <v>19981130</v>
      </c>
      <c r="B804">
        <v>1998</v>
      </c>
      <c r="C804">
        <v>11</v>
      </c>
      <c r="D804">
        <v>6.0999999999999999E-2</v>
      </c>
      <c r="E804">
        <v>3.0999999999999999E-3</v>
      </c>
      <c r="F804">
        <v>1.0699999999999999E-2</v>
      </c>
      <c r="G804">
        <v>-3.1399999999999997E-2</v>
      </c>
    </row>
    <row r="805" spans="1:7" x14ac:dyDescent="0.2">
      <c r="A805">
        <v>19981231</v>
      </c>
      <c r="B805">
        <v>1998</v>
      </c>
      <c r="C805">
        <v>12</v>
      </c>
      <c r="D805">
        <v>6.1600000000000002E-2</v>
      </c>
      <c r="E805">
        <v>3.8E-3</v>
      </c>
      <c r="F805">
        <v>-3.3E-3</v>
      </c>
      <c r="G805">
        <v>-4.4600000000000001E-2</v>
      </c>
    </row>
    <row r="806" spans="1:7" x14ac:dyDescent="0.2">
      <c r="A806">
        <v>19990129</v>
      </c>
      <c r="B806">
        <v>1999</v>
      </c>
      <c r="C806">
        <v>1</v>
      </c>
      <c r="D806">
        <v>3.5000000000000003E-2</v>
      </c>
      <c r="E806">
        <v>3.5000000000000001E-3</v>
      </c>
      <c r="F806">
        <v>3.8999999999999998E-3</v>
      </c>
      <c r="G806">
        <v>-4.0300000000000002E-2</v>
      </c>
    </row>
    <row r="807" spans="1:7" x14ac:dyDescent="0.2">
      <c r="A807">
        <v>19990226</v>
      </c>
      <c r="B807">
        <v>1999</v>
      </c>
      <c r="C807">
        <v>2</v>
      </c>
      <c r="D807">
        <v>-4.0800000000000003E-2</v>
      </c>
      <c r="E807">
        <v>3.5000000000000001E-3</v>
      </c>
      <c r="F807">
        <v>-5.6800000000000003E-2</v>
      </c>
      <c r="G807">
        <v>1.4E-2</v>
      </c>
    </row>
    <row r="808" spans="1:7" x14ac:dyDescent="0.2">
      <c r="A808">
        <v>19990331</v>
      </c>
      <c r="B808">
        <v>1999</v>
      </c>
      <c r="C808">
        <v>3</v>
      </c>
      <c r="D808">
        <v>3.4500000000000003E-2</v>
      </c>
      <c r="E808">
        <v>4.3E-3</v>
      </c>
      <c r="F808">
        <v>-3.9399999999999998E-2</v>
      </c>
      <c r="G808">
        <v>-2.64E-2</v>
      </c>
    </row>
    <row r="809" spans="1:7" x14ac:dyDescent="0.2">
      <c r="A809">
        <v>19990430</v>
      </c>
      <c r="B809">
        <v>1999</v>
      </c>
      <c r="C809">
        <v>4</v>
      </c>
      <c r="D809">
        <v>4.3299999999999998E-2</v>
      </c>
      <c r="E809">
        <v>3.7000000000000002E-3</v>
      </c>
      <c r="F809">
        <v>3.9899999999999998E-2</v>
      </c>
      <c r="G809">
        <v>2.5100000000000001E-2</v>
      </c>
    </row>
    <row r="810" spans="1:7" x14ac:dyDescent="0.2">
      <c r="A810">
        <v>19990528</v>
      </c>
      <c r="B810">
        <v>1999</v>
      </c>
      <c r="C810">
        <v>5</v>
      </c>
      <c r="D810">
        <v>-2.46E-2</v>
      </c>
      <c r="E810">
        <v>3.3999999999999998E-3</v>
      </c>
      <c r="F810">
        <v>3.4200000000000001E-2</v>
      </c>
      <c r="G810">
        <v>2.4E-2</v>
      </c>
    </row>
    <row r="811" spans="1:7" x14ac:dyDescent="0.2">
      <c r="A811">
        <v>19990630</v>
      </c>
      <c r="B811">
        <v>1999</v>
      </c>
      <c r="C811">
        <v>6</v>
      </c>
      <c r="D811">
        <v>4.7699999999999999E-2</v>
      </c>
      <c r="E811">
        <v>4.0000000000000001E-3</v>
      </c>
      <c r="F811">
        <v>3.0599999999999999E-2</v>
      </c>
      <c r="G811">
        <v>-3.5900000000000001E-2</v>
      </c>
    </row>
    <row r="812" spans="1:7" x14ac:dyDescent="0.2">
      <c r="A812">
        <v>19990730</v>
      </c>
      <c r="B812">
        <v>1999</v>
      </c>
      <c r="C812">
        <v>7</v>
      </c>
      <c r="D812">
        <v>-3.4700000000000002E-2</v>
      </c>
      <c r="E812">
        <v>3.8E-3</v>
      </c>
      <c r="F812">
        <v>2.6599999999999999E-2</v>
      </c>
      <c r="G812">
        <v>-7.7000000000000002E-3</v>
      </c>
    </row>
    <row r="813" spans="1:7" x14ac:dyDescent="0.2">
      <c r="A813">
        <v>19990831</v>
      </c>
      <c r="B813">
        <v>1999</v>
      </c>
      <c r="C813">
        <v>8</v>
      </c>
      <c r="D813">
        <v>-1.38E-2</v>
      </c>
      <c r="E813">
        <v>3.8999999999999998E-3</v>
      </c>
      <c r="F813">
        <v>-1.2699999999999999E-2</v>
      </c>
      <c r="G813">
        <v>-1.3100000000000001E-2</v>
      </c>
    </row>
    <row r="814" spans="1:7" x14ac:dyDescent="0.2">
      <c r="A814">
        <v>19990930</v>
      </c>
      <c r="B814">
        <v>1999</v>
      </c>
      <c r="C814">
        <v>9</v>
      </c>
      <c r="D814">
        <v>-2.81E-2</v>
      </c>
      <c r="E814">
        <v>3.8999999999999998E-3</v>
      </c>
      <c r="F814">
        <v>3.3300000000000003E-2</v>
      </c>
      <c r="G814">
        <v>-3.39E-2</v>
      </c>
    </row>
    <row r="815" spans="1:7" x14ac:dyDescent="0.2">
      <c r="A815">
        <v>19991029</v>
      </c>
      <c r="B815">
        <v>1999</v>
      </c>
      <c r="C815">
        <v>10</v>
      </c>
      <c r="D815">
        <v>6.13E-2</v>
      </c>
      <c r="E815">
        <v>3.8999999999999998E-3</v>
      </c>
      <c r="F815">
        <v>-6.9400000000000003E-2</v>
      </c>
      <c r="G815">
        <v>-2.8799999999999999E-2</v>
      </c>
    </row>
    <row r="816" spans="1:7" x14ac:dyDescent="0.2">
      <c r="A816">
        <v>19991130</v>
      </c>
      <c r="B816">
        <v>1999</v>
      </c>
      <c r="C816">
        <v>11</v>
      </c>
      <c r="D816">
        <v>3.3700000000000001E-2</v>
      </c>
      <c r="E816">
        <v>3.5999999999999999E-3</v>
      </c>
      <c r="F816">
        <v>7.3800000000000004E-2</v>
      </c>
      <c r="G816">
        <v>-6.5000000000000002E-2</v>
      </c>
    </row>
    <row r="817" spans="1:7" x14ac:dyDescent="0.2">
      <c r="A817">
        <v>19991231</v>
      </c>
      <c r="B817">
        <v>1999</v>
      </c>
      <c r="C817">
        <v>12</v>
      </c>
      <c r="D817">
        <v>7.7200000000000005E-2</v>
      </c>
      <c r="E817">
        <v>4.4000000000000003E-3</v>
      </c>
      <c r="F817">
        <v>7.1499999999999994E-2</v>
      </c>
      <c r="G817">
        <v>-8.6699999999999999E-2</v>
      </c>
    </row>
    <row r="818" spans="1:7" x14ac:dyDescent="0.2">
      <c r="A818">
        <v>20000131</v>
      </c>
      <c r="B818">
        <v>2000</v>
      </c>
      <c r="C818">
        <v>1</v>
      </c>
      <c r="D818">
        <v>-4.7399999999999998E-2</v>
      </c>
      <c r="E818">
        <v>4.1000000000000003E-3</v>
      </c>
      <c r="F818">
        <v>4.9500000000000002E-2</v>
      </c>
      <c r="G818">
        <v>-3.0999999999999999E-3</v>
      </c>
    </row>
    <row r="819" spans="1:7" x14ac:dyDescent="0.2">
      <c r="A819">
        <v>20000229</v>
      </c>
      <c r="B819">
        <v>2000</v>
      </c>
      <c r="C819">
        <v>2</v>
      </c>
      <c r="D819">
        <v>2.4500000000000001E-2</v>
      </c>
      <c r="E819">
        <v>4.3E-3</v>
      </c>
      <c r="F819">
        <v>0.21709999999999999</v>
      </c>
      <c r="G819">
        <v>-9.9299999999999999E-2</v>
      </c>
    </row>
    <row r="820" spans="1:7" x14ac:dyDescent="0.2">
      <c r="A820">
        <v>20000331</v>
      </c>
      <c r="B820">
        <v>2000</v>
      </c>
      <c r="C820">
        <v>3</v>
      </c>
      <c r="D820">
        <v>5.1999999999999998E-2</v>
      </c>
      <c r="E820">
        <v>4.7000000000000002E-3</v>
      </c>
      <c r="F820">
        <v>-0.16869999999999999</v>
      </c>
      <c r="G820">
        <v>7.3700000000000002E-2</v>
      </c>
    </row>
    <row r="821" spans="1:7" x14ac:dyDescent="0.2">
      <c r="A821">
        <v>20000428</v>
      </c>
      <c r="B821">
        <v>2000</v>
      </c>
      <c r="C821">
        <v>4</v>
      </c>
      <c r="D821">
        <v>-6.4000000000000001E-2</v>
      </c>
      <c r="E821">
        <v>4.5999999999999999E-3</v>
      </c>
      <c r="F821">
        <v>-7.7499999999999999E-2</v>
      </c>
      <c r="G821">
        <v>8.5999999999999993E-2</v>
      </c>
    </row>
    <row r="822" spans="1:7" x14ac:dyDescent="0.2">
      <c r="A822">
        <v>20000531</v>
      </c>
      <c r="B822">
        <v>2000</v>
      </c>
      <c r="C822">
        <v>5</v>
      </c>
      <c r="D822">
        <v>-4.4200000000000003E-2</v>
      </c>
      <c r="E822">
        <v>5.0000000000000001E-3</v>
      </c>
      <c r="F822">
        <v>-5.11E-2</v>
      </c>
      <c r="G822">
        <v>2.5600000000000001E-2</v>
      </c>
    </row>
    <row r="823" spans="1:7" x14ac:dyDescent="0.2">
      <c r="A823">
        <v>20000630</v>
      </c>
      <c r="B823">
        <v>2000</v>
      </c>
      <c r="C823">
        <v>6</v>
      </c>
      <c r="D823">
        <v>4.6399999999999997E-2</v>
      </c>
      <c r="E823">
        <v>4.0000000000000001E-3</v>
      </c>
      <c r="F823">
        <v>0.1386</v>
      </c>
      <c r="G823">
        <v>-9.8599999999999993E-2</v>
      </c>
    </row>
    <row r="824" spans="1:7" x14ac:dyDescent="0.2">
      <c r="A824">
        <v>20000731</v>
      </c>
      <c r="B824">
        <v>2000</v>
      </c>
      <c r="C824">
        <v>7</v>
      </c>
      <c r="D824">
        <v>-2.5100000000000001E-2</v>
      </c>
      <c r="E824">
        <v>4.7999999999999996E-3</v>
      </c>
      <c r="F824">
        <v>-2.7900000000000001E-2</v>
      </c>
      <c r="G824">
        <v>8.14E-2</v>
      </c>
    </row>
    <row r="825" spans="1:7" x14ac:dyDescent="0.2">
      <c r="A825">
        <v>20000831</v>
      </c>
      <c r="B825">
        <v>2000</v>
      </c>
      <c r="C825">
        <v>8</v>
      </c>
      <c r="D825">
        <v>7.0300000000000001E-2</v>
      </c>
      <c r="E825">
        <v>5.0000000000000001E-3</v>
      </c>
      <c r="F825">
        <v>-1.1299999999999999E-2</v>
      </c>
      <c r="G825">
        <v>-6.7999999999999996E-3</v>
      </c>
    </row>
    <row r="826" spans="1:7" x14ac:dyDescent="0.2">
      <c r="A826">
        <v>20000929</v>
      </c>
      <c r="B826">
        <v>2000</v>
      </c>
      <c r="C826">
        <v>9</v>
      </c>
      <c r="D826">
        <v>-5.45E-2</v>
      </c>
      <c r="E826">
        <v>5.1000000000000004E-3</v>
      </c>
      <c r="F826">
        <v>-1.3899999999999999E-2</v>
      </c>
      <c r="G826">
        <v>6.2399999999999997E-2</v>
      </c>
    </row>
    <row r="827" spans="1:7" x14ac:dyDescent="0.2">
      <c r="A827">
        <v>20001031</v>
      </c>
      <c r="B827">
        <v>2000</v>
      </c>
      <c r="C827">
        <v>10</v>
      </c>
      <c r="D827">
        <v>-2.76E-2</v>
      </c>
      <c r="E827">
        <v>5.5999999999999999E-3</v>
      </c>
      <c r="F827">
        <v>-3.7600000000000001E-2</v>
      </c>
      <c r="G827">
        <v>5.5199999999999999E-2</v>
      </c>
    </row>
    <row r="828" spans="1:7" x14ac:dyDescent="0.2">
      <c r="A828">
        <v>20001130</v>
      </c>
      <c r="B828">
        <v>2000</v>
      </c>
      <c r="C828">
        <v>11</v>
      </c>
      <c r="D828">
        <v>-0.1072</v>
      </c>
      <c r="E828">
        <v>5.1000000000000004E-3</v>
      </c>
      <c r="F828">
        <v>-2.7900000000000001E-2</v>
      </c>
      <c r="G828">
        <v>0.113</v>
      </c>
    </row>
    <row r="829" spans="1:7" x14ac:dyDescent="0.2">
      <c r="A829">
        <v>20001229</v>
      </c>
      <c r="B829">
        <v>2000</v>
      </c>
      <c r="C829">
        <v>12</v>
      </c>
      <c r="D829">
        <v>1.1900000000000001E-2</v>
      </c>
      <c r="E829">
        <v>5.0000000000000001E-3</v>
      </c>
      <c r="F829">
        <v>9.7000000000000003E-3</v>
      </c>
      <c r="G829">
        <v>7.3300000000000004E-2</v>
      </c>
    </row>
    <row r="830" spans="1:7" x14ac:dyDescent="0.2">
      <c r="A830">
        <v>20010131</v>
      </c>
      <c r="B830">
        <v>2001</v>
      </c>
      <c r="C830">
        <v>1</v>
      </c>
      <c r="D830">
        <v>3.1300000000000001E-2</v>
      </c>
      <c r="E830">
        <v>5.4000000000000003E-3</v>
      </c>
      <c r="F830">
        <v>6.5699999999999995E-2</v>
      </c>
      <c r="G830">
        <v>-4.9000000000000002E-2</v>
      </c>
    </row>
    <row r="831" spans="1:7" x14ac:dyDescent="0.2">
      <c r="A831">
        <v>20010228</v>
      </c>
      <c r="B831">
        <v>2001</v>
      </c>
      <c r="C831">
        <v>2</v>
      </c>
      <c r="D831">
        <v>-0.10050000000000001</v>
      </c>
      <c r="E831">
        <v>3.8E-3</v>
      </c>
      <c r="F831">
        <v>-7.4000000000000003E-3</v>
      </c>
      <c r="G831">
        <v>0.129</v>
      </c>
    </row>
    <row r="832" spans="1:7" x14ac:dyDescent="0.2">
      <c r="A832">
        <v>20010330</v>
      </c>
      <c r="B832">
        <v>2001</v>
      </c>
      <c r="C832">
        <v>3</v>
      </c>
      <c r="D832">
        <v>-7.2599999999999998E-2</v>
      </c>
      <c r="E832">
        <v>4.1999999999999997E-3</v>
      </c>
      <c r="F832">
        <v>3.3999999999999998E-3</v>
      </c>
      <c r="G832">
        <v>6.4500000000000002E-2</v>
      </c>
    </row>
    <row r="833" spans="1:7" x14ac:dyDescent="0.2">
      <c r="A833">
        <v>20010430</v>
      </c>
      <c r="B833">
        <v>2001</v>
      </c>
      <c r="C833">
        <v>4</v>
      </c>
      <c r="D833">
        <v>7.9399999999999998E-2</v>
      </c>
      <c r="E833">
        <v>3.8999999999999998E-3</v>
      </c>
      <c r="F833">
        <v>5.1999999999999998E-3</v>
      </c>
      <c r="G833">
        <v>-4.6899999999999997E-2</v>
      </c>
    </row>
    <row r="834" spans="1:7" x14ac:dyDescent="0.2">
      <c r="A834">
        <v>20010531</v>
      </c>
      <c r="B834">
        <v>2001</v>
      </c>
      <c r="C834">
        <v>5</v>
      </c>
      <c r="D834">
        <v>7.1999999999999998E-3</v>
      </c>
      <c r="E834">
        <v>3.2000000000000002E-3</v>
      </c>
      <c r="F834">
        <v>2.5999999999999999E-2</v>
      </c>
      <c r="G834">
        <v>3.1399999999999997E-2</v>
      </c>
    </row>
    <row r="835" spans="1:7" x14ac:dyDescent="0.2">
      <c r="A835">
        <v>20010629</v>
      </c>
      <c r="B835">
        <v>2001</v>
      </c>
      <c r="C835">
        <v>6</v>
      </c>
      <c r="D835">
        <v>-1.9400000000000001E-2</v>
      </c>
      <c r="E835">
        <v>2.8E-3</v>
      </c>
      <c r="F835">
        <v>6.0499999999999998E-2</v>
      </c>
      <c r="G835">
        <v>-1.06E-2</v>
      </c>
    </row>
    <row r="836" spans="1:7" x14ac:dyDescent="0.2">
      <c r="A836">
        <v>20010731</v>
      </c>
      <c r="B836">
        <v>2001</v>
      </c>
      <c r="C836">
        <v>7</v>
      </c>
      <c r="D836">
        <v>-2.1299999999999999E-2</v>
      </c>
      <c r="E836">
        <v>3.0000000000000001E-3</v>
      </c>
      <c r="F836">
        <v>-4.3499999999999997E-2</v>
      </c>
      <c r="G836">
        <v>5.5800000000000002E-2</v>
      </c>
    </row>
    <row r="837" spans="1:7" x14ac:dyDescent="0.2">
      <c r="A837">
        <v>20010831</v>
      </c>
      <c r="B837">
        <v>2001</v>
      </c>
      <c r="C837">
        <v>8</v>
      </c>
      <c r="D837">
        <v>-6.4600000000000005E-2</v>
      </c>
      <c r="E837">
        <v>3.0999999999999999E-3</v>
      </c>
      <c r="F837">
        <v>2.4899999999999999E-2</v>
      </c>
      <c r="G837">
        <v>2.5000000000000001E-2</v>
      </c>
    </row>
    <row r="838" spans="1:7" x14ac:dyDescent="0.2">
      <c r="A838">
        <v>20010928</v>
      </c>
      <c r="B838">
        <v>2001</v>
      </c>
      <c r="C838">
        <v>9</v>
      </c>
      <c r="D838">
        <v>-9.2499999999999999E-2</v>
      </c>
      <c r="E838">
        <v>2.8E-3</v>
      </c>
      <c r="F838">
        <v>-6.13E-2</v>
      </c>
      <c r="G838">
        <v>1.6E-2</v>
      </c>
    </row>
    <row r="839" spans="1:7" x14ac:dyDescent="0.2">
      <c r="A839">
        <v>20011031</v>
      </c>
      <c r="B839">
        <v>2001</v>
      </c>
      <c r="C839">
        <v>10</v>
      </c>
      <c r="D839">
        <v>2.46E-2</v>
      </c>
      <c r="E839">
        <v>2.2000000000000001E-3</v>
      </c>
      <c r="F839">
        <v>7.6300000000000007E-2</v>
      </c>
      <c r="G839">
        <v>-8.1000000000000003E-2</v>
      </c>
    </row>
    <row r="840" spans="1:7" x14ac:dyDescent="0.2">
      <c r="A840">
        <v>20011130</v>
      </c>
      <c r="B840">
        <v>2001</v>
      </c>
      <c r="C840">
        <v>11</v>
      </c>
      <c r="D840">
        <v>7.5399999999999995E-2</v>
      </c>
      <c r="E840">
        <v>1.6999999999999999E-3</v>
      </c>
      <c r="F840">
        <v>-4.1000000000000003E-3</v>
      </c>
      <c r="G840">
        <v>0.02</v>
      </c>
    </row>
    <row r="841" spans="1:7" x14ac:dyDescent="0.2">
      <c r="A841">
        <v>20011231</v>
      </c>
      <c r="B841">
        <v>2001</v>
      </c>
      <c r="C841">
        <v>12</v>
      </c>
      <c r="D841">
        <v>1.61E-2</v>
      </c>
      <c r="E841">
        <v>1.5E-3</v>
      </c>
      <c r="F841">
        <v>4.5699999999999998E-2</v>
      </c>
      <c r="G841">
        <v>1.0999999999999999E-2</v>
      </c>
    </row>
    <row r="842" spans="1:7" x14ac:dyDescent="0.2">
      <c r="A842">
        <v>20020131</v>
      </c>
      <c r="B842">
        <v>2002</v>
      </c>
      <c r="C842">
        <v>1</v>
      </c>
      <c r="D842">
        <v>-1.44E-2</v>
      </c>
      <c r="E842">
        <v>1.4E-3</v>
      </c>
      <c r="F842">
        <v>1.1900000000000001E-2</v>
      </c>
      <c r="G842">
        <v>3.3300000000000003E-2</v>
      </c>
    </row>
    <row r="843" spans="1:7" x14ac:dyDescent="0.2">
      <c r="A843">
        <v>20020228</v>
      </c>
      <c r="B843">
        <v>2002</v>
      </c>
      <c r="C843">
        <v>2</v>
      </c>
      <c r="D843">
        <v>-2.29E-2</v>
      </c>
      <c r="E843">
        <v>1.2999999999999999E-3</v>
      </c>
      <c r="F843">
        <v>-1.0999999999999999E-2</v>
      </c>
      <c r="G843">
        <v>2.5000000000000001E-2</v>
      </c>
    </row>
    <row r="844" spans="1:7" x14ac:dyDescent="0.2">
      <c r="A844">
        <v>20020328</v>
      </c>
      <c r="B844">
        <v>2002</v>
      </c>
      <c r="C844">
        <v>3</v>
      </c>
      <c r="D844">
        <v>4.24E-2</v>
      </c>
      <c r="E844">
        <v>1.2999999999999999E-3</v>
      </c>
      <c r="F844">
        <v>4.2299999999999997E-2</v>
      </c>
      <c r="G844">
        <v>1.11E-2</v>
      </c>
    </row>
    <row r="845" spans="1:7" x14ac:dyDescent="0.2">
      <c r="A845">
        <v>20020430</v>
      </c>
      <c r="B845">
        <v>2002</v>
      </c>
      <c r="C845">
        <v>4</v>
      </c>
      <c r="D845">
        <v>-5.1999999999999998E-2</v>
      </c>
      <c r="E845">
        <v>1.5E-3</v>
      </c>
      <c r="F845">
        <v>5.9400000000000001E-2</v>
      </c>
      <c r="G845">
        <v>3.9300000000000002E-2</v>
      </c>
    </row>
    <row r="846" spans="1:7" x14ac:dyDescent="0.2">
      <c r="A846">
        <v>20020531</v>
      </c>
      <c r="B846">
        <v>2002</v>
      </c>
      <c r="C846">
        <v>5</v>
      </c>
      <c r="D846">
        <v>-1.38E-2</v>
      </c>
      <c r="E846">
        <v>1.4E-3</v>
      </c>
      <c r="F846">
        <v>-3.2099999999999997E-2</v>
      </c>
      <c r="G846">
        <v>1.6899999999999998E-2</v>
      </c>
    </row>
    <row r="847" spans="1:7" x14ac:dyDescent="0.2">
      <c r="A847">
        <v>20020628</v>
      </c>
      <c r="B847">
        <v>2002</v>
      </c>
      <c r="C847">
        <v>6</v>
      </c>
      <c r="D847">
        <v>-7.2099999999999997E-2</v>
      </c>
      <c r="E847">
        <v>1.2999999999999999E-3</v>
      </c>
      <c r="F847">
        <v>4.2599999999999999E-2</v>
      </c>
      <c r="G847">
        <v>1.2999999999999999E-3</v>
      </c>
    </row>
    <row r="848" spans="1:7" x14ac:dyDescent="0.2">
      <c r="A848">
        <v>20020731</v>
      </c>
      <c r="B848">
        <v>2002</v>
      </c>
      <c r="C848">
        <v>7</v>
      </c>
      <c r="D848">
        <v>-8.1799999999999998E-2</v>
      </c>
      <c r="E848">
        <v>1.5E-3</v>
      </c>
      <c r="F848">
        <v>-5.2999999999999999E-2</v>
      </c>
      <c r="G848">
        <v>-3.4099999999999998E-2</v>
      </c>
    </row>
    <row r="849" spans="1:7" x14ac:dyDescent="0.2">
      <c r="A849">
        <v>20020830</v>
      </c>
      <c r="B849">
        <v>2002</v>
      </c>
      <c r="C849">
        <v>8</v>
      </c>
      <c r="D849">
        <v>5.0000000000000001E-3</v>
      </c>
      <c r="E849">
        <v>1.4E-3</v>
      </c>
      <c r="F849">
        <v>-2.4400000000000002E-2</v>
      </c>
      <c r="G849">
        <v>2.4899999999999999E-2</v>
      </c>
    </row>
    <row r="850" spans="1:7" x14ac:dyDescent="0.2">
      <c r="A850">
        <v>20020930</v>
      </c>
      <c r="B850">
        <v>2002</v>
      </c>
      <c r="C850">
        <v>9</v>
      </c>
      <c r="D850">
        <v>-0.10349999999999999</v>
      </c>
      <c r="E850">
        <v>1.4E-3</v>
      </c>
      <c r="F850">
        <v>2.5700000000000001E-2</v>
      </c>
      <c r="G850">
        <v>1.3100000000000001E-2</v>
      </c>
    </row>
    <row r="851" spans="1:7" x14ac:dyDescent="0.2">
      <c r="A851">
        <v>20021031</v>
      </c>
      <c r="B851">
        <v>2002</v>
      </c>
      <c r="C851">
        <v>10</v>
      </c>
      <c r="D851">
        <v>7.8399999999999997E-2</v>
      </c>
      <c r="E851">
        <v>1.4E-3</v>
      </c>
      <c r="F851">
        <v>-2.9000000000000001E-2</v>
      </c>
      <c r="G851">
        <v>-5.4600000000000003E-2</v>
      </c>
    </row>
    <row r="852" spans="1:7" x14ac:dyDescent="0.2">
      <c r="A852">
        <v>20021129</v>
      </c>
      <c r="B852">
        <v>2002</v>
      </c>
      <c r="C852">
        <v>11</v>
      </c>
      <c r="D852">
        <v>5.96E-2</v>
      </c>
      <c r="E852">
        <v>1.1999999999999999E-3</v>
      </c>
      <c r="F852">
        <v>2.8400000000000002E-2</v>
      </c>
      <c r="G852">
        <v>-1.15E-2</v>
      </c>
    </row>
    <row r="853" spans="1:7" x14ac:dyDescent="0.2">
      <c r="A853">
        <v>20021231</v>
      </c>
      <c r="B853">
        <v>2002</v>
      </c>
      <c r="C853">
        <v>12</v>
      </c>
      <c r="D853">
        <v>-5.7599999999999998E-2</v>
      </c>
      <c r="E853">
        <v>1.1000000000000001E-3</v>
      </c>
      <c r="F853">
        <v>0</v>
      </c>
      <c r="G853">
        <v>2.2499999999999999E-2</v>
      </c>
    </row>
    <row r="854" spans="1:7" x14ac:dyDescent="0.2">
      <c r="A854">
        <v>20030131</v>
      </c>
      <c r="B854">
        <v>2003</v>
      </c>
      <c r="C854">
        <v>1</v>
      </c>
      <c r="D854">
        <v>-2.5700000000000001E-2</v>
      </c>
      <c r="E854">
        <v>1E-3</v>
      </c>
      <c r="F854">
        <v>1.3899999999999999E-2</v>
      </c>
      <c r="G854">
        <v>-9.2999999999999992E-3</v>
      </c>
    </row>
    <row r="855" spans="1:7" x14ac:dyDescent="0.2">
      <c r="A855">
        <v>20030228</v>
      </c>
      <c r="B855">
        <v>2003</v>
      </c>
      <c r="C855">
        <v>2</v>
      </c>
      <c r="D855">
        <v>-1.8800000000000001E-2</v>
      </c>
      <c r="E855">
        <v>8.9999999999999998E-4</v>
      </c>
      <c r="F855">
        <v>-3.3999999999999998E-3</v>
      </c>
      <c r="G855">
        <v>-1.46E-2</v>
      </c>
    </row>
    <row r="856" spans="1:7" x14ac:dyDescent="0.2">
      <c r="A856">
        <v>20030331</v>
      </c>
      <c r="B856">
        <v>2003</v>
      </c>
      <c r="C856">
        <v>3</v>
      </c>
      <c r="D856">
        <v>1.09E-2</v>
      </c>
      <c r="E856">
        <v>1E-3</v>
      </c>
      <c r="F856">
        <v>8.8999999999999999E-3</v>
      </c>
      <c r="G856">
        <v>-2.0899999999999998E-2</v>
      </c>
    </row>
    <row r="857" spans="1:7" x14ac:dyDescent="0.2">
      <c r="A857">
        <v>20030430</v>
      </c>
      <c r="B857">
        <v>2003</v>
      </c>
      <c r="C857">
        <v>4</v>
      </c>
      <c r="D857">
        <v>8.2199999999999995E-2</v>
      </c>
      <c r="E857">
        <v>1E-3</v>
      </c>
      <c r="F857">
        <v>5.7000000000000002E-3</v>
      </c>
      <c r="G857">
        <v>1.03E-2</v>
      </c>
    </row>
    <row r="858" spans="1:7" x14ac:dyDescent="0.2">
      <c r="A858">
        <v>20030530</v>
      </c>
      <c r="B858">
        <v>2003</v>
      </c>
      <c r="C858">
        <v>5</v>
      </c>
      <c r="D858">
        <v>6.0499999999999998E-2</v>
      </c>
      <c r="E858">
        <v>8.9999999999999998E-4</v>
      </c>
      <c r="F858">
        <v>4.7E-2</v>
      </c>
      <c r="G858">
        <v>-3.0000000000000001E-3</v>
      </c>
    </row>
    <row r="859" spans="1:7" x14ac:dyDescent="0.2">
      <c r="A859">
        <v>20030630</v>
      </c>
      <c r="B859">
        <v>2003</v>
      </c>
      <c r="C859">
        <v>6</v>
      </c>
      <c r="D859">
        <v>1.4200000000000001E-2</v>
      </c>
      <c r="E859">
        <v>1E-3</v>
      </c>
      <c r="F859">
        <v>1.67E-2</v>
      </c>
      <c r="G859">
        <v>6.6E-3</v>
      </c>
    </row>
    <row r="860" spans="1:7" x14ac:dyDescent="0.2">
      <c r="A860">
        <v>20030731</v>
      </c>
      <c r="B860">
        <v>2003</v>
      </c>
      <c r="C860">
        <v>7</v>
      </c>
      <c r="D860">
        <v>2.35E-2</v>
      </c>
      <c r="E860">
        <v>6.9999999999999999E-4</v>
      </c>
      <c r="F860">
        <v>5.2499999999999998E-2</v>
      </c>
      <c r="G860">
        <v>-1.15E-2</v>
      </c>
    </row>
    <row r="861" spans="1:7" x14ac:dyDescent="0.2">
      <c r="A861">
        <v>20030829</v>
      </c>
      <c r="B861">
        <v>2003</v>
      </c>
      <c r="C861">
        <v>8</v>
      </c>
      <c r="D861">
        <v>2.3400000000000001E-2</v>
      </c>
      <c r="E861">
        <v>6.9999999999999999E-4</v>
      </c>
      <c r="F861">
        <v>2.5999999999999999E-2</v>
      </c>
      <c r="G861">
        <v>2.0299999999999999E-2</v>
      </c>
    </row>
    <row r="862" spans="1:7" x14ac:dyDescent="0.2">
      <c r="A862">
        <v>20030930</v>
      </c>
      <c r="B862">
        <v>2003</v>
      </c>
      <c r="C862">
        <v>9</v>
      </c>
      <c r="D862">
        <v>-1.24E-2</v>
      </c>
      <c r="E862">
        <v>8.0000000000000004E-4</v>
      </c>
      <c r="F862">
        <v>7.9000000000000008E-3</v>
      </c>
      <c r="G862">
        <v>2.0000000000000001E-4</v>
      </c>
    </row>
    <row r="863" spans="1:7" x14ac:dyDescent="0.2">
      <c r="A863">
        <v>20031031</v>
      </c>
      <c r="B863">
        <v>2003</v>
      </c>
      <c r="C863">
        <v>10</v>
      </c>
      <c r="D863">
        <v>6.08E-2</v>
      </c>
      <c r="E863">
        <v>6.9999999999999999E-4</v>
      </c>
      <c r="F863">
        <v>2.6800000000000001E-2</v>
      </c>
      <c r="G863">
        <v>1.7600000000000001E-2</v>
      </c>
    </row>
    <row r="864" spans="1:7" x14ac:dyDescent="0.2">
      <c r="A864">
        <v>20031128</v>
      </c>
      <c r="B864">
        <v>2003</v>
      </c>
      <c r="C864">
        <v>11</v>
      </c>
      <c r="D864">
        <v>1.35E-2</v>
      </c>
      <c r="E864">
        <v>6.9999999999999999E-4</v>
      </c>
      <c r="F864">
        <v>2.01E-2</v>
      </c>
      <c r="G864">
        <v>1.8599999999999998E-2</v>
      </c>
    </row>
    <row r="865" spans="1:7" x14ac:dyDescent="0.2">
      <c r="A865">
        <v>20031231</v>
      </c>
      <c r="B865">
        <v>2003</v>
      </c>
      <c r="C865">
        <v>12</v>
      </c>
      <c r="D865">
        <v>4.2900000000000001E-2</v>
      </c>
      <c r="E865">
        <v>8.0000000000000004E-4</v>
      </c>
      <c r="F865">
        <v>-3.0099999999999998E-2</v>
      </c>
      <c r="G865">
        <v>2.4199999999999999E-2</v>
      </c>
    </row>
    <row r="866" spans="1:7" x14ac:dyDescent="0.2">
      <c r="A866">
        <v>20040130</v>
      </c>
      <c r="B866">
        <v>2004</v>
      </c>
      <c r="C866">
        <v>1</v>
      </c>
      <c r="D866">
        <v>2.1499999999999998E-2</v>
      </c>
      <c r="E866">
        <v>6.9999999999999999E-4</v>
      </c>
      <c r="F866">
        <v>2.8000000000000001E-2</v>
      </c>
      <c r="G866">
        <v>1.9699999999999999E-2</v>
      </c>
    </row>
    <row r="867" spans="1:7" x14ac:dyDescent="0.2">
      <c r="A867">
        <v>20040227</v>
      </c>
      <c r="B867">
        <v>2004</v>
      </c>
      <c r="C867">
        <v>2</v>
      </c>
      <c r="D867">
        <v>1.4E-2</v>
      </c>
      <c r="E867">
        <v>5.9999999999999995E-4</v>
      </c>
      <c r="F867">
        <v>-1.43E-2</v>
      </c>
      <c r="G867">
        <v>4.8999999999999998E-3</v>
      </c>
    </row>
    <row r="868" spans="1:7" x14ac:dyDescent="0.2">
      <c r="A868">
        <v>20040331</v>
      </c>
      <c r="B868">
        <v>2004</v>
      </c>
      <c r="C868">
        <v>3</v>
      </c>
      <c r="D868">
        <v>-1.32E-2</v>
      </c>
      <c r="E868">
        <v>8.9999999999999998E-4</v>
      </c>
      <c r="F868">
        <v>1.7500000000000002E-2</v>
      </c>
      <c r="G868">
        <v>2.0999999999999999E-3</v>
      </c>
    </row>
    <row r="869" spans="1:7" x14ac:dyDescent="0.2">
      <c r="A869">
        <v>20040430</v>
      </c>
      <c r="B869">
        <v>2004</v>
      </c>
      <c r="C869">
        <v>4</v>
      </c>
      <c r="D869">
        <v>-1.83E-2</v>
      </c>
      <c r="E869">
        <v>8.0000000000000004E-4</v>
      </c>
      <c r="F869">
        <v>-2.06E-2</v>
      </c>
      <c r="G869">
        <v>-2.6200000000000001E-2</v>
      </c>
    </row>
    <row r="870" spans="1:7" x14ac:dyDescent="0.2">
      <c r="A870">
        <v>20040528</v>
      </c>
      <c r="B870">
        <v>2004</v>
      </c>
      <c r="C870">
        <v>5</v>
      </c>
      <c r="D870">
        <v>1.17E-2</v>
      </c>
      <c r="E870">
        <v>5.9999999999999995E-4</v>
      </c>
      <c r="F870">
        <v>-2.0999999999999999E-3</v>
      </c>
      <c r="G870">
        <v>-3.8999999999999998E-3</v>
      </c>
    </row>
    <row r="871" spans="1:7" x14ac:dyDescent="0.2">
      <c r="A871">
        <v>20040630</v>
      </c>
      <c r="B871">
        <v>2004</v>
      </c>
      <c r="C871">
        <v>6</v>
      </c>
      <c r="D871">
        <v>1.8599999999999998E-2</v>
      </c>
      <c r="E871">
        <v>8.0000000000000004E-4</v>
      </c>
      <c r="F871">
        <v>2.2599999999999999E-2</v>
      </c>
      <c r="G871">
        <v>1.38E-2</v>
      </c>
    </row>
    <row r="872" spans="1:7" x14ac:dyDescent="0.2">
      <c r="A872">
        <v>20040730</v>
      </c>
      <c r="B872">
        <v>2004</v>
      </c>
      <c r="C872">
        <v>7</v>
      </c>
      <c r="D872">
        <v>-4.0599999999999997E-2</v>
      </c>
      <c r="E872">
        <v>1E-3</v>
      </c>
      <c r="F872">
        <v>-3.7999999999999999E-2</v>
      </c>
      <c r="G872">
        <v>4.1000000000000002E-2</v>
      </c>
    </row>
    <row r="873" spans="1:7" x14ac:dyDescent="0.2">
      <c r="A873">
        <v>20040831</v>
      </c>
      <c r="B873">
        <v>2004</v>
      </c>
      <c r="C873">
        <v>8</v>
      </c>
      <c r="D873">
        <v>8.0000000000000004E-4</v>
      </c>
      <c r="E873">
        <v>1.1000000000000001E-3</v>
      </c>
      <c r="F873">
        <v>-1.6299999999999999E-2</v>
      </c>
      <c r="G873">
        <v>1.03E-2</v>
      </c>
    </row>
    <row r="874" spans="1:7" x14ac:dyDescent="0.2">
      <c r="A874">
        <v>20040930</v>
      </c>
      <c r="B874">
        <v>2004</v>
      </c>
      <c r="C874">
        <v>9</v>
      </c>
      <c r="D874">
        <v>1.6E-2</v>
      </c>
      <c r="E874">
        <v>1.1000000000000001E-3</v>
      </c>
      <c r="F874">
        <v>3.0300000000000001E-2</v>
      </c>
      <c r="G874">
        <v>-2.5000000000000001E-3</v>
      </c>
    </row>
    <row r="875" spans="1:7" x14ac:dyDescent="0.2">
      <c r="A875">
        <v>20041029</v>
      </c>
      <c r="B875">
        <v>2004</v>
      </c>
      <c r="C875">
        <v>10</v>
      </c>
      <c r="D875">
        <v>1.43E-2</v>
      </c>
      <c r="E875">
        <v>1.1000000000000001E-3</v>
      </c>
      <c r="F875">
        <v>3.0999999999999999E-3</v>
      </c>
      <c r="G875">
        <v>-6.1999999999999998E-3</v>
      </c>
    </row>
    <row r="876" spans="1:7" x14ac:dyDescent="0.2">
      <c r="A876">
        <v>20041130</v>
      </c>
      <c r="B876">
        <v>2004</v>
      </c>
      <c r="C876">
        <v>11</v>
      </c>
      <c r="D876">
        <v>4.5400000000000003E-2</v>
      </c>
      <c r="E876">
        <v>1.5E-3</v>
      </c>
      <c r="F876">
        <v>3.9100000000000003E-2</v>
      </c>
      <c r="G876">
        <v>1.7899999999999999E-2</v>
      </c>
    </row>
    <row r="877" spans="1:7" x14ac:dyDescent="0.2">
      <c r="A877">
        <v>20041231</v>
      </c>
      <c r="B877">
        <v>2004</v>
      </c>
      <c r="C877">
        <v>12</v>
      </c>
      <c r="D877">
        <v>3.4299999999999997E-2</v>
      </c>
      <c r="E877">
        <v>1.6000000000000001E-3</v>
      </c>
      <c r="F877">
        <v>1.1999999999999999E-3</v>
      </c>
      <c r="G877">
        <v>-5.9999999999999995E-4</v>
      </c>
    </row>
    <row r="878" spans="1:7" x14ac:dyDescent="0.2">
      <c r="A878">
        <v>20050131</v>
      </c>
      <c r="B878">
        <v>2005</v>
      </c>
      <c r="C878">
        <v>1</v>
      </c>
      <c r="D878">
        <v>-2.76E-2</v>
      </c>
      <c r="E878">
        <v>1.6000000000000001E-3</v>
      </c>
      <c r="F878">
        <v>-1.5100000000000001E-2</v>
      </c>
      <c r="G878">
        <v>1.9699999999999999E-2</v>
      </c>
    </row>
    <row r="879" spans="1:7" x14ac:dyDescent="0.2">
      <c r="A879">
        <v>20050228</v>
      </c>
      <c r="B879">
        <v>2005</v>
      </c>
      <c r="C879">
        <v>2</v>
      </c>
      <c r="D879">
        <v>1.89E-2</v>
      </c>
      <c r="E879">
        <v>1.6000000000000001E-3</v>
      </c>
      <c r="F879">
        <v>-5.1000000000000004E-3</v>
      </c>
      <c r="G879">
        <v>1.6299999999999999E-2</v>
      </c>
    </row>
    <row r="880" spans="1:7" x14ac:dyDescent="0.2">
      <c r="A880">
        <v>20050331</v>
      </c>
      <c r="B880">
        <v>2005</v>
      </c>
      <c r="C880">
        <v>3</v>
      </c>
      <c r="D880">
        <v>-1.9699999999999999E-2</v>
      </c>
      <c r="E880">
        <v>2.0999999999999999E-3</v>
      </c>
      <c r="F880">
        <v>-1.3899999999999999E-2</v>
      </c>
      <c r="G880">
        <v>1.5800000000000002E-2</v>
      </c>
    </row>
    <row r="881" spans="1:7" x14ac:dyDescent="0.2">
      <c r="A881">
        <v>20050429</v>
      </c>
      <c r="B881">
        <v>2005</v>
      </c>
      <c r="C881">
        <v>4</v>
      </c>
      <c r="D881">
        <v>-2.6100000000000002E-2</v>
      </c>
      <c r="E881">
        <v>2.0999999999999999E-3</v>
      </c>
      <c r="F881">
        <v>-3.9899999999999998E-2</v>
      </c>
      <c r="G881">
        <v>-3.3999999999999998E-3</v>
      </c>
    </row>
    <row r="882" spans="1:7" x14ac:dyDescent="0.2">
      <c r="A882">
        <v>20050531</v>
      </c>
      <c r="B882">
        <v>2005</v>
      </c>
      <c r="C882">
        <v>5</v>
      </c>
      <c r="D882">
        <v>3.6499999999999998E-2</v>
      </c>
      <c r="E882">
        <v>2.3999999999999998E-3</v>
      </c>
      <c r="F882">
        <v>2.8899999999999999E-2</v>
      </c>
      <c r="G882">
        <v>-8.0999999999999996E-3</v>
      </c>
    </row>
    <row r="883" spans="1:7" x14ac:dyDescent="0.2">
      <c r="A883">
        <v>20050630</v>
      </c>
      <c r="B883">
        <v>2005</v>
      </c>
      <c r="C883">
        <v>6</v>
      </c>
      <c r="D883">
        <v>5.7000000000000002E-3</v>
      </c>
      <c r="E883">
        <v>2.3E-3</v>
      </c>
      <c r="F883">
        <v>2.6200000000000001E-2</v>
      </c>
      <c r="G883">
        <v>2.6200000000000001E-2</v>
      </c>
    </row>
    <row r="884" spans="1:7" x14ac:dyDescent="0.2">
      <c r="A884">
        <v>20050729</v>
      </c>
      <c r="B884">
        <v>2005</v>
      </c>
      <c r="C884">
        <v>7</v>
      </c>
      <c r="D884">
        <v>3.9199999999999999E-2</v>
      </c>
      <c r="E884">
        <v>2.3999999999999998E-3</v>
      </c>
      <c r="F884">
        <v>2.93E-2</v>
      </c>
      <c r="G884">
        <v>-5.1000000000000004E-3</v>
      </c>
    </row>
    <row r="885" spans="1:7" x14ac:dyDescent="0.2">
      <c r="A885">
        <v>20050831</v>
      </c>
      <c r="B885">
        <v>2005</v>
      </c>
      <c r="C885">
        <v>8</v>
      </c>
      <c r="D885">
        <v>-1.2200000000000001E-2</v>
      </c>
      <c r="E885">
        <v>3.0000000000000001E-3</v>
      </c>
      <c r="F885">
        <v>-9.1999999999999998E-3</v>
      </c>
      <c r="G885">
        <v>1.2699999999999999E-2</v>
      </c>
    </row>
    <row r="886" spans="1:7" x14ac:dyDescent="0.2">
      <c r="A886">
        <v>20050930</v>
      </c>
      <c r="B886">
        <v>2005</v>
      </c>
      <c r="C886">
        <v>9</v>
      </c>
      <c r="D886">
        <v>4.8999999999999998E-3</v>
      </c>
      <c r="E886">
        <v>2.8999999999999998E-3</v>
      </c>
      <c r="F886">
        <v>-5.7999999999999996E-3</v>
      </c>
      <c r="G886">
        <v>7.7000000000000002E-3</v>
      </c>
    </row>
    <row r="887" spans="1:7" x14ac:dyDescent="0.2">
      <c r="A887">
        <v>20051031</v>
      </c>
      <c r="B887">
        <v>2005</v>
      </c>
      <c r="C887">
        <v>10</v>
      </c>
      <c r="D887">
        <v>-2.0199999999999999E-2</v>
      </c>
      <c r="E887">
        <v>2.7000000000000001E-3</v>
      </c>
      <c r="F887">
        <v>-1.21E-2</v>
      </c>
      <c r="G887">
        <v>2.3E-3</v>
      </c>
    </row>
    <row r="888" spans="1:7" x14ac:dyDescent="0.2">
      <c r="A888">
        <v>20051130</v>
      </c>
      <c r="B888">
        <v>2005</v>
      </c>
      <c r="C888">
        <v>11</v>
      </c>
      <c r="D888">
        <v>3.61E-2</v>
      </c>
      <c r="E888">
        <v>3.0999999999999999E-3</v>
      </c>
      <c r="F888">
        <v>9.1000000000000004E-3</v>
      </c>
      <c r="G888">
        <v>-1.18E-2</v>
      </c>
    </row>
    <row r="889" spans="1:7" x14ac:dyDescent="0.2">
      <c r="A889">
        <v>20051230</v>
      </c>
      <c r="B889">
        <v>2005</v>
      </c>
      <c r="C889">
        <v>12</v>
      </c>
      <c r="D889">
        <v>-2.5000000000000001E-3</v>
      </c>
      <c r="E889">
        <v>3.2000000000000002E-3</v>
      </c>
      <c r="F889">
        <v>-4.5999999999999999E-3</v>
      </c>
      <c r="G889">
        <v>4.4000000000000003E-3</v>
      </c>
    </row>
    <row r="890" spans="1:7" x14ac:dyDescent="0.2">
      <c r="A890">
        <v>20060131</v>
      </c>
      <c r="B890">
        <v>2006</v>
      </c>
      <c r="C890">
        <v>1</v>
      </c>
      <c r="D890">
        <v>3.04E-2</v>
      </c>
      <c r="E890">
        <v>3.5000000000000001E-3</v>
      </c>
      <c r="F890">
        <v>5.4199999999999998E-2</v>
      </c>
      <c r="G890">
        <v>1.12E-2</v>
      </c>
    </row>
    <row r="891" spans="1:7" x14ac:dyDescent="0.2">
      <c r="A891">
        <v>20060228</v>
      </c>
      <c r="B891">
        <v>2006</v>
      </c>
      <c r="C891">
        <v>2</v>
      </c>
      <c r="D891">
        <v>-3.0000000000000001E-3</v>
      </c>
      <c r="E891">
        <v>3.3999999999999998E-3</v>
      </c>
      <c r="F891">
        <v>-3.8E-3</v>
      </c>
      <c r="G891">
        <v>-2.5000000000000001E-3</v>
      </c>
    </row>
    <row r="892" spans="1:7" x14ac:dyDescent="0.2">
      <c r="A892">
        <v>20060331</v>
      </c>
      <c r="B892">
        <v>2006</v>
      </c>
      <c r="C892">
        <v>3</v>
      </c>
      <c r="D892">
        <v>1.46E-2</v>
      </c>
      <c r="E892">
        <v>3.7000000000000002E-3</v>
      </c>
      <c r="F892">
        <v>3.5499999999999997E-2</v>
      </c>
      <c r="G892">
        <v>6.1000000000000004E-3</v>
      </c>
    </row>
    <row r="893" spans="1:7" x14ac:dyDescent="0.2">
      <c r="A893">
        <v>20060428</v>
      </c>
      <c r="B893">
        <v>2006</v>
      </c>
      <c r="C893">
        <v>4</v>
      </c>
      <c r="D893">
        <v>7.3000000000000001E-3</v>
      </c>
      <c r="E893">
        <v>3.5999999999999999E-3</v>
      </c>
      <c r="F893">
        <v>-1.34E-2</v>
      </c>
      <c r="G893">
        <v>2.5899999999999999E-2</v>
      </c>
    </row>
    <row r="894" spans="1:7" x14ac:dyDescent="0.2">
      <c r="A894">
        <v>20060531</v>
      </c>
      <c r="B894">
        <v>2006</v>
      </c>
      <c r="C894">
        <v>5</v>
      </c>
      <c r="D894">
        <v>-3.5700000000000003E-2</v>
      </c>
      <c r="E894">
        <v>4.3E-3</v>
      </c>
      <c r="F894">
        <v>-3.04E-2</v>
      </c>
      <c r="G894">
        <v>2.5499999999999998E-2</v>
      </c>
    </row>
    <row r="895" spans="1:7" x14ac:dyDescent="0.2">
      <c r="A895">
        <v>20060630</v>
      </c>
      <c r="B895">
        <v>2006</v>
      </c>
      <c r="C895">
        <v>6</v>
      </c>
      <c r="D895">
        <v>-3.5000000000000001E-3</v>
      </c>
      <c r="E895">
        <v>4.0000000000000001E-3</v>
      </c>
      <c r="F895">
        <v>-3.5000000000000001E-3</v>
      </c>
      <c r="G895">
        <v>8.6999999999999994E-3</v>
      </c>
    </row>
    <row r="896" spans="1:7" x14ac:dyDescent="0.2">
      <c r="A896">
        <v>20060731</v>
      </c>
      <c r="B896">
        <v>2006</v>
      </c>
      <c r="C896">
        <v>7</v>
      </c>
      <c r="D896">
        <v>-7.7999999999999996E-3</v>
      </c>
      <c r="E896">
        <v>4.0000000000000001E-3</v>
      </c>
      <c r="F896">
        <v>-4.0800000000000003E-2</v>
      </c>
      <c r="G896">
        <v>2.9399999999999999E-2</v>
      </c>
    </row>
    <row r="897" spans="1:7" x14ac:dyDescent="0.2">
      <c r="A897">
        <v>20060831</v>
      </c>
      <c r="B897">
        <v>2006</v>
      </c>
      <c r="C897">
        <v>8</v>
      </c>
      <c r="D897">
        <v>2.0299999999999999E-2</v>
      </c>
      <c r="E897">
        <v>4.1999999999999997E-3</v>
      </c>
      <c r="F897">
        <v>8.9999999999999993E-3</v>
      </c>
      <c r="G897">
        <v>-1.72E-2</v>
      </c>
    </row>
    <row r="898" spans="1:7" x14ac:dyDescent="0.2">
      <c r="A898">
        <v>20060929</v>
      </c>
      <c r="B898">
        <v>2006</v>
      </c>
      <c r="C898">
        <v>9</v>
      </c>
      <c r="D898">
        <v>1.84E-2</v>
      </c>
      <c r="E898">
        <v>4.1000000000000003E-3</v>
      </c>
      <c r="F898">
        <v>-1.37E-2</v>
      </c>
      <c r="G898">
        <v>5.0000000000000001E-4</v>
      </c>
    </row>
    <row r="899" spans="1:7" x14ac:dyDescent="0.2">
      <c r="A899">
        <v>20061031</v>
      </c>
      <c r="B899">
        <v>2006</v>
      </c>
      <c r="C899">
        <v>10</v>
      </c>
      <c r="D899">
        <v>3.2300000000000002E-2</v>
      </c>
      <c r="E899">
        <v>4.1000000000000003E-3</v>
      </c>
      <c r="F899">
        <v>1.7299999999999999E-2</v>
      </c>
      <c r="G899">
        <v>-4.0000000000000002E-4</v>
      </c>
    </row>
    <row r="900" spans="1:7" x14ac:dyDescent="0.2">
      <c r="A900">
        <v>20061130</v>
      </c>
      <c r="B900">
        <v>2006</v>
      </c>
      <c r="C900">
        <v>11</v>
      </c>
      <c r="D900">
        <v>1.7100000000000001E-2</v>
      </c>
      <c r="E900">
        <v>4.1999999999999997E-3</v>
      </c>
      <c r="F900">
        <v>8.6E-3</v>
      </c>
      <c r="G900">
        <v>6.9999999999999999E-4</v>
      </c>
    </row>
    <row r="901" spans="1:7" x14ac:dyDescent="0.2">
      <c r="A901">
        <v>20061229</v>
      </c>
      <c r="B901">
        <v>2006</v>
      </c>
      <c r="C901">
        <v>12</v>
      </c>
      <c r="D901">
        <v>8.6999999999999994E-3</v>
      </c>
      <c r="E901">
        <v>4.0000000000000001E-3</v>
      </c>
      <c r="F901">
        <v>-1.0999999999999999E-2</v>
      </c>
      <c r="G901">
        <v>3.1600000000000003E-2</v>
      </c>
    </row>
    <row r="902" spans="1:7" x14ac:dyDescent="0.2">
      <c r="A902">
        <v>20070131</v>
      </c>
      <c r="B902">
        <v>2007</v>
      </c>
      <c r="C902">
        <v>1</v>
      </c>
      <c r="D902">
        <v>1.4E-2</v>
      </c>
      <c r="E902">
        <v>4.4000000000000003E-3</v>
      </c>
      <c r="F902">
        <v>1E-3</v>
      </c>
      <c r="G902">
        <v>-1.1000000000000001E-3</v>
      </c>
    </row>
    <row r="903" spans="1:7" x14ac:dyDescent="0.2">
      <c r="A903">
        <v>20070228</v>
      </c>
      <c r="B903">
        <v>2007</v>
      </c>
      <c r="C903">
        <v>2</v>
      </c>
      <c r="D903">
        <v>-1.9599999999999999E-2</v>
      </c>
      <c r="E903">
        <v>3.8E-3</v>
      </c>
      <c r="F903">
        <v>1.32E-2</v>
      </c>
      <c r="G903">
        <v>-8.9999999999999998E-4</v>
      </c>
    </row>
    <row r="904" spans="1:7" x14ac:dyDescent="0.2">
      <c r="A904">
        <v>20070330</v>
      </c>
      <c r="B904">
        <v>2007</v>
      </c>
      <c r="C904">
        <v>3</v>
      </c>
      <c r="D904">
        <v>6.7999999999999996E-3</v>
      </c>
      <c r="E904">
        <v>4.3E-3</v>
      </c>
      <c r="F904">
        <v>-5.9999999999999995E-4</v>
      </c>
      <c r="G904">
        <v>-2.2000000000000001E-3</v>
      </c>
    </row>
    <row r="905" spans="1:7" x14ac:dyDescent="0.2">
      <c r="A905">
        <v>20070430</v>
      </c>
      <c r="B905">
        <v>2007</v>
      </c>
      <c r="C905">
        <v>4</v>
      </c>
      <c r="D905">
        <v>3.49E-2</v>
      </c>
      <c r="E905">
        <v>4.4000000000000003E-3</v>
      </c>
      <c r="F905">
        <v>-2.06E-2</v>
      </c>
      <c r="G905">
        <v>-1.15E-2</v>
      </c>
    </row>
    <row r="906" spans="1:7" x14ac:dyDescent="0.2">
      <c r="A906">
        <v>20070531</v>
      </c>
      <c r="B906">
        <v>2007</v>
      </c>
      <c r="C906">
        <v>5</v>
      </c>
      <c r="D906">
        <v>3.2399999999999998E-2</v>
      </c>
      <c r="E906">
        <v>4.1000000000000003E-3</v>
      </c>
      <c r="F906">
        <v>2.9999999999999997E-4</v>
      </c>
      <c r="G906">
        <v>-5.0000000000000001E-4</v>
      </c>
    </row>
    <row r="907" spans="1:7" x14ac:dyDescent="0.2">
      <c r="A907">
        <v>20070629</v>
      </c>
      <c r="B907">
        <v>2007</v>
      </c>
      <c r="C907">
        <v>6</v>
      </c>
      <c r="D907">
        <v>-1.9599999999999999E-2</v>
      </c>
      <c r="E907">
        <v>4.0000000000000001E-3</v>
      </c>
      <c r="F907">
        <v>7.7000000000000002E-3</v>
      </c>
      <c r="G907">
        <v>-1.1299999999999999E-2</v>
      </c>
    </row>
    <row r="908" spans="1:7" x14ac:dyDescent="0.2">
      <c r="A908">
        <v>20070731</v>
      </c>
      <c r="B908">
        <v>2007</v>
      </c>
      <c r="C908">
        <v>7</v>
      </c>
      <c r="D908">
        <v>-3.73E-2</v>
      </c>
      <c r="E908">
        <v>4.0000000000000001E-3</v>
      </c>
      <c r="F908">
        <v>-2.5100000000000001E-2</v>
      </c>
      <c r="G908">
        <v>-3.3399999999999999E-2</v>
      </c>
    </row>
    <row r="909" spans="1:7" x14ac:dyDescent="0.2">
      <c r="A909">
        <v>20070831</v>
      </c>
      <c r="B909">
        <v>2007</v>
      </c>
      <c r="C909">
        <v>8</v>
      </c>
      <c r="D909">
        <v>9.1999999999999998E-3</v>
      </c>
      <c r="E909">
        <v>4.1999999999999997E-3</v>
      </c>
      <c r="F909">
        <v>-1.2999999999999999E-3</v>
      </c>
      <c r="G909">
        <v>-2.24E-2</v>
      </c>
    </row>
    <row r="910" spans="1:7" x14ac:dyDescent="0.2">
      <c r="A910">
        <v>20070928</v>
      </c>
      <c r="B910">
        <v>2007</v>
      </c>
      <c r="C910">
        <v>9</v>
      </c>
      <c r="D910">
        <v>3.2199999999999999E-2</v>
      </c>
      <c r="E910">
        <v>3.2000000000000002E-3</v>
      </c>
      <c r="F910">
        <v>-2.29E-2</v>
      </c>
      <c r="G910">
        <v>-1.8700000000000001E-2</v>
      </c>
    </row>
    <row r="911" spans="1:7" x14ac:dyDescent="0.2">
      <c r="A911">
        <v>20071031</v>
      </c>
      <c r="B911">
        <v>2007</v>
      </c>
      <c r="C911">
        <v>10</v>
      </c>
      <c r="D911">
        <v>1.7999999999999999E-2</v>
      </c>
      <c r="E911">
        <v>3.2000000000000002E-3</v>
      </c>
      <c r="F911">
        <v>2.2000000000000001E-3</v>
      </c>
      <c r="G911">
        <v>-2.5899999999999999E-2</v>
      </c>
    </row>
    <row r="912" spans="1:7" x14ac:dyDescent="0.2">
      <c r="A912">
        <v>20071130</v>
      </c>
      <c r="B912">
        <v>2007</v>
      </c>
      <c r="C912">
        <v>11</v>
      </c>
      <c r="D912">
        <v>-4.8300000000000003E-2</v>
      </c>
      <c r="E912">
        <v>3.3999999999999998E-3</v>
      </c>
      <c r="F912">
        <v>-2.63E-2</v>
      </c>
      <c r="G912">
        <v>-1.18E-2</v>
      </c>
    </row>
    <row r="913" spans="1:7" x14ac:dyDescent="0.2">
      <c r="A913">
        <v>20071231</v>
      </c>
      <c r="B913">
        <v>2007</v>
      </c>
      <c r="C913">
        <v>12</v>
      </c>
      <c r="D913">
        <v>-8.6999999999999994E-3</v>
      </c>
      <c r="E913">
        <v>2.7000000000000001E-3</v>
      </c>
      <c r="F913">
        <v>2E-3</v>
      </c>
      <c r="G913">
        <v>-5.1999999999999998E-3</v>
      </c>
    </row>
    <row r="914" spans="1:7" x14ac:dyDescent="0.2">
      <c r="A914">
        <v>20080131</v>
      </c>
      <c r="B914">
        <v>2008</v>
      </c>
      <c r="C914">
        <v>1</v>
      </c>
      <c r="D914">
        <v>-6.3600000000000004E-2</v>
      </c>
      <c r="E914">
        <v>2.0999999999999999E-3</v>
      </c>
      <c r="F914">
        <v>-8.8999999999999999E-3</v>
      </c>
      <c r="G914">
        <v>3.6499999999999998E-2</v>
      </c>
    </row>
    <row r="915" spans="1:7" x14ac:dyDescent="0.2">
      <c r="A915">
        <v>20080229</v>
      </c>
      <c r="B915">
        <v>2008</v>
      </c>
      <c r="C915">
        <v>2</v>
      </c>
      <c r="D915">
        <v>-3.09E-2</v>
      </c>
      <c r="E915">
        <v>1.2999999999999999E-3</v>
      </c>
      <c r="F915">
        <v>-2.3E-3</v>
      </c>
      <c r="G915">
        <v>-9.4999999999999998E-3</v>
      </c>
    </row>
    <row r="916" spans="1:7" x14ac:dyDescent="0.2">
      <c r="A916">
        <v>20080331</v>
      </c>
      <c r="B916">
        <v>2008</v>
      </c>
      <c r="C916">
        <v>3</v>
      </c>
      <c r="D916">
        <v>-9.2999999999999992E-3</v>
      </c>
      <c r="E916">
        <v>1.6999999999999999E-3</v>
      </c>
      <c r="F916">
        <v>9.4000000000000004E-3</v>
      </c>
      <c r="G916">
        <v>-1.5E-3</v>
      </c>
    </row>
    <row r="917" spans="1:7" x14ac:dyDescent="0.2">
      <c r="A917">
        <v>20080430</v>
      </c>
      <c r="B917">
        <v>2008</v>
      </c>
      <c r="C917">
        <v>4</v>
      </c>
      <c r="D917">
        <v>4.5999999999999999E-2</v>
      </c>
      <c r="E917">
        <v>1.8E-3</v>
      </c>
      <c r="F917">
        <v>-1.6400000000000001E-2</v>
      </c>
      <c r="G917">
        <v>-9.5999999999999992E-3</v>
      </c>
    </row>
    <row r="918" spans="1:7" x14ac:dyDescent="0.2">
      <c r="A918">
        <v>20080530</v>
      </c>
      <c r="B918">
        <v>2008</v>
      </c>
      <c r="C918">
        <v>5</v>
      </c>
      <c r="D918">
        <v>1.8599999999999998E-2</v>
      </c>
      <c r="E918">
        <v>1.8E-3</v>
      </c>
      <c r="F918">
        <v>3.2199999999999999E-2</v>
      </c>
      <c r="G918">
        <v>-1.38E-2</v>
      </c>
    </row>
    <row r="919" spans="1:7" x14ac:dyDescent="0.2">
      <c r="A919">
        <v>20080630</v>
      </c>
      <c r="B919">
        <v>2008</v>
      </c>
      <c r="C919">
        <v>6</v>
      </c>
      <c r="D919">
        <v>-8.4400000000000003E-2</v>
      </c>
      <c r="E919">
        <v>1.6999999999999999E-3</v>
      </c>
      <c r="F919">
        <v>1.2699999999999999E-2</v>
      </c>
      <c r="G919">
        <v>-2.4299999999999999E-2</v>
      </c>
    </row>
    <row r="920" spans="1:7" x14ac:dyDescent="0.2">
      <c r="A920">
        <v>20080731</v>
      </c>
      <c r="B920">
        <v>2008</v>
      </c>
      <c r="C920">
        <v>7</v>
      </c>
      <c r="D920">
        <v>-7.7000000000000002E-3</v>
      </c>
      <c r="E920">
        <v>1.5E-3</v>
      </c>
      <c r="F920">
        <v>2.47E-2</v>
      </c>
      <c r="G920">
        <v>5.8099999999999999E-2</v>
      </c>
    </row>
    <row r="921" spans="1:7" x14ac:dyDescent="0.2">
      <c r="A921">
        <v>20080829</v>
      </c>
      <c r="B921">
        <v>2008</v>
      </c>
      <c r="C921">
        <v>8</v>
      </c>
      <c r="D921">
        <v>1.5299999999999999E-2</v>
      </c>
      <c r="E921">
        <v>1.2999999999999999E-3</v>
      </c>
      <c r="F921">
        <v>3.61E-2</v>
      </c>
      <c r="G921">
        <v>1.5599999999999999E-2</v>
      </c>
    </row>
    <row r="922" spans="1:7" x14ac:dyDescent="0.2">
      <c r="A922">
        <v>20080930</v>
      </c>
      <c r="B922">
        <v>2008</v>
      </c>
      <c r="C922">
        <v>9</v>
      </c>
      <c r="D922">
        <v>-9.2399999999999996E-2</v>
      </c>
      <c r="E922">
        <v>1.5E-3</v>
      </c>
      <c r="F922">
        <v>-1.1299999999999999E-2</v>
      </c>
      <c r="G922">
        <v>6.3299999999999995E-2</v>
      </c>
    </row>
    <row r="923" spans="1:7" x14ac:dyDescent="0.2">
      <c r="A923">
        <v>20081031</v>
      </c>
      <c r="B923">
        <v>2008</v>
      </c>
      <c r="C923">
        <v>10</v>
      </c>
      <c r="D923">
        <v>-0.17230000000000001</v>
      </c>
      <c r="E923">
        <v>8.0000000000000004E-4</v>
      </c>
      <c r="F923">
        <v>-2.3400000000000001E-2</v>
      </c>
      <c r="G923">
        <v>-2.9000000000000001E-2</v>
      </c>
    </row>
    <row r="924" spans="1:7" x14ac:dyDescent="0.2">
      <c r="A924">
        <v>20081128</v>
      </c>
      <c r="B924">
        <v>2008</v>
      </c>
      <c r="C924">
        <v>11</v>
      </c>
      <c r="D924">
        <v>-7.8600000000000003E-2</v>
      </c>
      <c r="E924">
        <v>2.9999999999999997E-4</v>
      </c>
      <c r="F924">
        <v>-2.9899999999999999E-2</v>
      </c>
      <c r="G924">
        <v>-5.9400000000000001E-2</v>
      </c>
    </row>
    <row r="925" spans="1:7" x14ac:dyDescent="0.2">
      <c r="A925">
        <v>20081231</v>
      </c>
      <c r="B925">
        <v>2008</v>
      </c>
      <c r="C925">
        <v>12</v>
      </c>
      <c r="D925">
        <v>1.7399999999999999E-2</v>
      </c>
      <c r="E925">
        <v>0</v>
      </c>
      <c r="F925">
        <v>3.5900000000000001E-2</v>
      </c>
      <c r="G925">
        <v>-2.3999999999999998E-3</v>
      </c>
    </row>
    <row r="926" spans="1:7" x14ac:dyDescent="0.2">
      <c r="A926">
        <v>20090130</v>
      </c>
      <c r="B926">
        <v>2009</v>
      </c>
      <c r="C926">
        <v>1</v>
      </c>
      <c r="D926">
        <v>-8.1199999999999994E-2</v>
      </c>
      <c r="E926">
        <v>0</v>
      </c>
      <c r="F926">
        <v>-1E-4</v>
      </c>
      <c r="G926">
        <v>-0.111</v>
      </c>
    </row>
    <row r="927" spans="1:7" x14ac:dyDescent="0.2">
      <c r="A927">
        <v>20090227</v>
      </c>
      <c r="B927">
        <v>2009</v>
      </c>
      <c r="C927">
        <v>2</v>
      </c>
      <c r="D927">
        <v>-0.10100000000000001</v>
      </c>
      <c r="E927">
        <v>1E-4</v>
      </c>
      <c r="F927">
        <v>1.6000000000000001E-3</v>
      </c>
      <c r="G927">
        <v>-7.2499999999999995E-2</v>
      </c>
    </row>
    <row r="928" spans="1:7" x14ac:dyDescent="0.2">
      <c r="A928">
        <v>20090331</v>
      </c>
      <c r="B928">
        <v>2009</v>
      </c>
      <c r="C928">
        <v>3</v>
      </c>
      <c r="D928">
        <v>8.9499999999999996E-2</v>
      </c>
      <c r="E928">
        <v>2.0000000000000001E-4</v>
      </c>
      <c r="F928">
        <v>-8.0000000000000004E-4</v>
      </c>
      <c r="G928">
        <v>3.5200000000000002E-2</v>
      </c>
    </row>
    <row r="929" spans="1:7" x14ac:dyDescent="0.2">
      <c r="A929">
        <v>20090430</v>
      </c>
      <c r="B929">
        <v>2009</v>
      </c>
      <c r="C929">
        <v>4</v>
      </c>
      <c r="D929">
        <v>0.1019</v>
      </c>
      <c r="E929">
        <v>1E-4</v>
      </c>
      <c r="F929">
        <v>4.8300000000000003E-2</v>
      </c>
      <c r="G929">
        <v>5.4600000000000003E-2</v>
      </c>
    </row>
    <row r="930" spans="1:7" x14ac:dyDescent="0.2">
      <c r="A930">
        <v>20090529</v>
      </c>
      <c r="B930">
        <v>2009</v>
      </c>
      <c r="C930">
        <v>5</v>
      </c>
      <c r="D930">
        <v>5.21E-2</v>
      </c>
      <c r="E930">
        <v>0</v>
      </c>
      <c r="F930">
        <v>-2.3300000000000001E-2</v>
      </c>
      <c r="G930">
        <v>-2.0999999999999999E-3</v>
      </c>
    </row>
    <row r="931" spans="1:7" x14ac:dyDescent="0.2">
      <c r="A931">
        <v>20090630</v>
      </c>
      <c r="B931">
        <v>2009</v>
      </c>
      <c r="C931">
        <v>6</v>
      </c>
      <c r="D931">
        <v>4.3E-3</v>
      </c>
      <c r="E931">
        <v>1E-4</v>
      </c>
      <c r="F931">
        <v>2.6100000000000002E-2</v>
      </c>
      <c r="G931">
        <v>-2.7099999999999999E-2</v>
      </c>
    </row>
    <row r="932" spans="1:7" x14ac:dyDescent="0.2">
      <c r="A932">
        <v>20090731</v>
      </c>
      <c r="B932">
        <v>2009</v>
      </c>
      <c r="C932">
        <v>7</v>
      </c>
      <c r="D932">
        <v>7.7200000000000005E-2</v>
      </c>
      <c r="E932">
        <v>1E-4</v>
      </c>
      <c r="F932">
        <v>2.07E-2</v>
      </c>
      <c r="G932">
        <v>5.2699999999999997E-2</v>
      </c>
    </row>
    <row r="933" spans="1:7" x14ac:dyDescent="0.2">
      <c r="A933">
        <v>20090831</v>
      </c>
      <c r="B933">
        <v>2009</v>
      </c>
      <c r="C933">
        <v>8</v>
      </c>
      <c r="D933">
        <v>3.3300000000000003E-2</v>
      </c>
      <c r="E933">
        <v>1E-4</v>
      </c>
      <c r="F933">
        <v>-8.9999999999999993E-3</v>
      </c>
      <c r="G933">
        <v>7.7600000000000002E-2</v>
      </c>
    </row>
    <row r="934" spans="1:7" x14ac:dyDescent="0.2">
      <c r="A934">
        <v>20090930</v>
      </c>
      <c r="B934">
        <v>2009</v>
      </c>
      <c r="C934">
        <v>9</v>
      </c>
      <c r="D934">
        <v>4.0800000000000003E-2</v>
      </c>
      <c r="E934">
        <v>1E-4</v>
      </c>
      <c r="F934">
        <v>2.4500000000000001E-2</v>
      </c>
      <c r="G934">
        <v>9.1999999999999998E-3</v>
      </c>
    </row>
    <row r="935" spans="1:7" x14ac:dyDescent="0.2">
      <c r="A935">
        <v>20091030</v>
      </c>
      <c r="B935">
        <v>2009</v>
      </c>
      <c r="C935">
        <v>10</v>
      </c>
      <c r="D935">
        <v>-2.5899999999999999E-2</v>
      </c>
      <c r="E935">
        <v>0</v>
      </c>
      <c r="F935">
        <v>-4.2299999999999997E-2</v>
      </c>
      <c r="G935">
        <v>-4.1799999999999997E-2</v>
      </c>
    </row>
    <row r="936" spans="1:7" x14ac:dyDescent="0.2">
      <c r="A936">
        <v>20091130</v>
      </c>
      <c r="B936">
        <v>2009</v>
      </c>
      <c r="C936">
        <v>11</v>
      </c>
      <c r="D936">
        <v>5.5599999999999997E-2</v>
      </c>
      <c r="E936">
        <v>0</v>
      </c>
      <c r="F936">
        <v>-2.4899999999999999E-2</v>
      </c>
      <c r="G936">
        <v>-1.6999999999999999E-3</v>
      </c>
    </row>
    <row r="937" spans="1:7" x14ac:dyDescent="0.2">
      <c r="A937">
        <v>20091231</v>
      </c>
      <c r="B937">
        <v>2009</v>
      </c>
      <c r="C937">
        <v>12</v>
      </c>
      <c r="D937">
        <v>2.75E-2</v>
      </c>
      <c r="E937">
        <v>1E-4</v>
      </c>
      <c r="F937">
        <v>6.1100000000000002E-2</v>
      </c>
      <c r="G937">
        <v>1E-4</v>
      </c>
    </row>
    <row r="938" spans="1:7" x14ac:dyDescent="0.2">
      <c r="A938">
        <v>20100129</v>
      </c>
      <c r="B938">
        <v>2010</v>
      </c>
      <c r="C938">
        <v>1</v>
      </c>
      <c r="D938">
        <v>-3.3599999999999998E-2</v>
      </c>
      <c r="E938">
        <v>0</v>
      </c>
      <c r="F938">
        <v>3.8E-3</v>
      </c>
      <c r="G938">
        <v>3.0999999999999999E-3</v>
      </c>
    </row>
    <row r="939" spans="1:7" x14ac:dyDescent="0.2">
      <c r="A939">
        <v>20100226</v>
      </c>
      <c r="B939">
        <v>2010</v>
      </c>
      <c r="C939">
        <v>2</v>
      </c>
      <c r="D939">
        <v>3.4000000000000002E-2</v>
      </c>
      <c r="E939">
        <v>0</v>
      </c>
      <c r="F939">
        <v>1.21E-2</v>
      </c>
      <c r="G939">
        <v>3.1699999999999999E-2</v>
      </c>
    </row>
    <row r="940" spans="1:7" x14ac:dyDescent="0.2">
      <c r="A940">
        <v>20100331</v>
      </c>
      <c r="B940">
        <v>2010</v>
      </c>
      <c r="C940">
        <v>3</v>
      </c>
      <c r="D940">
        <v>6.3100000000000003E-2</v>
      </c>
      <c r="E940">
        <v>1E-4</v>
      </c>
      <c r="F940">
        <v>1.43E-2</v>
      </c>
      <c r="G940">
        <v>2.1000000000000001E-2</v>
      </c>
    </row>
    <row r="941" spans="1:7" x14ac:dyDescent="0.2">
      <c r="A941">
        <v>20100430</v>
      </c>
      <c r="B941">
        <v>2010</v>
      </c>
      <c r="C941">
        <v>4</v>
      </c>
      <c r="D941">
        <v>0.02</v>
      </c>
      <c r="E941">
        <v>1E-4</v>
      </c>
      <c r="F941">
        <v>4.9799999999999997E-2</v>
      </c>
      <c r="G941">
        <v>2.81E-2</v>
      </c>
    </row>
    <row r="942" spans="1:7" x14ac:dyDescent="0.2">
      <c r="A942">
        <v>20100528</v>
      </c>
      <c r="B942">
        <v>2010</v>
      </c>
      <c r="C942">
        <v>5</v>
      </c>
      <c r="D942">
        <v>-7.8899999999999998E-2</v>
      </c>
      <c r="E942">
        <v>1E-4</v>
      </c>
      <c r="F942">
        <v>5.0000000000000001E-4</v>
      </c>
      <c r="G942">
        <v>-2.3800000000000002E-2</v>
      </c>
    </row>
    <row r="943" spans="1:7" x14ac:dyDescent="0.2">
      <c r="A943">
        <v>20100630</v>
      </c>
      <c r="B943">
        <v>2010</v>
      </c>
      <c r="C943">
        <v>6</v>
      </c>
      <c r="D943">
        <v>-5.5599999999999997E-2</v>
      </c>
      <c r="E943">
        <v>1E-4</v>
      </c>
      <c r="F943">
        <v>-1.9800000000000002E-2</v>
      </c>
      <c r="G943">
        <v>-4.4999999999999998E-2</v>
      </c>
    </row>
    <row r="944" spans="1:7" x14ac:dyDescent="0.2">
      <c r="A944">
        <v>20100730</v>
      </c>
      <c r="B944">
        <v>2010</v>
      </c>
      <c r="C944">
        <v>7</v>
      </c>
      <c r="D944">
        <v>6.93E-2</v>
      </c>
      <c r="E944">
        <v>1E-4</v>
      </c>
      <c r="F944">
        <v>1.6999999999999999E-3</v>
      </c>
      <c r="G944">
        <v>-2.5999999999999999E-3</v>
      </c>
    </row>
    <row r="945" spans="1:7" x14ac:dyDescent="0.2">
      <c r="A945">
        <v>20100831</v>
      </c>
      <c r="B945">
        <v>2010</v>
      </c>
      <c r="C945">
        <v>8</v>
      </c>
      <c r="D945">
        <v>-4.7699999999999999E-2</v>
      </c>
      <c r="E945">
        <v>1E-4</v>
      </c>
      <c r="F945">
        <v>-0.03</v>
      </c>
      <c r="G945">
        <v>-1.9599999999999999E-2</v>
      </c>
    </row>
    <row r="946" spans="1:7" x14ac:dyDescent="0.2">
      <c r="A946">
        <v>20100930</v>
      </c>
      <c r="B946">
        <v>2010</v>
      </c>
      <c r="C946">
        <v>9</v>
      </c>
      <c r="D946">
        <v>9.5399999999999999E-2</v>
      </c>
      <c r="E946">
        <v>1E-4</v>
      </c>
      <c r="F946">
        <v>3.9199999999999999E-2</v>
      </c>
      <c r="G946">
        <v>-3.1199999999999999E-2</v>
      </c>
    </row>
    <row r="947" spans="1:7" x14ac:dyDescent="0.2">
      <c r="A947">
        <v>20101029</v>
      </c>
      <c r="B947">
        <v>2010</v>
      </c>
      <c r="C947">
        <v>10</v>
      </c>
      <c r="D947">
        <v>3.8800000000000001E-2</v>
      </c>
      <c r="E947">
        <v>1E-4</v>
      </c>
      <c r="F947">
        <v>1.14E-2</v>
      </c>
      <c r="G947">
        <v>-2.5899999999999999E-2</v>
      </c>
    </row>
    <row r="948" spans="1:7" x14ac:dyDescent="0.2">
      <c r="A948">
        <v>20101130</v>
      </c>
      <c r="B948">
        <v>2010</v>
      </c>
      <c r="C948">
        <v>11</v>
      </c>
      <c r="D948">
        <v>6.0000000000000001E-3</v>
      </c>
      <c r="E948">
        <v>1E-4</v>
      </c>
      <c r="F948">
        <v>3.7100000000000001E-2</v>
      </c>
      <c r="G948">
        <v>-8.9999999999999993E-3</v>
      </c>
    </row>
    <row r="949" spans="1:7" x14ac:dyDescent="0.2">
      <c r="A949">
        <v>20101231</v>
      </c>
      <c r="B949">
        <v>2010</v>
      </c>
      <c r="C949">
        <v>12</v>
      </c>
      <c r="D949">
        <v>6.8199999999999997E-2</v>
      </c>
      <c r="E949">
        <v>1E-4</v>
      </c>
      <c r="F949">
        <v>6.8999999999999999E-3</v>
      </c>
      <c r="G949">
        <v>3.8199999999999998E-2</v>
      </c>
    </row>
    <row r="950" spans="1:7" x14ac:dyDescent="0.2">
      <c r="A950">
        <v>20110131</v>
      </c>
      <c r="B950">
        <v>2011</v>
      </c>
      <c r="C950">
        <v>1</v>
      </c>
      <c r="D950">
        <v>1.9900000000000001E-2</v>
      </c>
      <c r="E950">
        <v>1E-4</v>
      </c>
      <c r="F950">
        <v>-2.46E-2</v>
      </c>
      <c r="G950">
        <v>8.3000000000000001E-3</v>
      </c>
    </row>
    <row r="951" spans="1:7" x14ac:dyDescent="0.2">
      <c r="A951">
        <v>20110228</v>
      </c>
      <c r="B951">
        <v>2011</v>
      </c>
      <c r="C951">
        <v>2</v>
      </c>
      <c r="D951">
        <v>3.49E-2</v>
      </c>
      <c r="E951">
        <v>1E-4</v>
      </c>
      <c r="F951">
        <v>1.52E-2</v>
      </c>
      <c r="G951">
        <v>1.0800000000000001E-2</v>
      </c>
    </row>
    <row r="952" spans="1:7" x14ac:dyDescent="0.2">
      <c r="A952">
        <v>20110331</v>
      </c>
      <c r="B952">
        <v>2011</v>
      </c>
      <c r="C952">
        <v>3</v>
      </c>
      <c r="D952">
        <v>4.4999999999999997E-3</v>
      </c>
      <c r="E952">
        <v>1E-4</v>
      </c>
      <c r="F952">
        <v>2.5999999999999999E-2</v>
      </c>
      <c r="G952">
        <v>-1.5699999999999999E-2</v>
      </c>
    </row>
    <row r="953" spans="1:7" x14ac:dyDescent="0.2">
      <c r="A953">
        <v>20110429</v>
      </c>
      <c r="B953">
        <v>2011</v>
      </c>
      <c r="C953">
        <v>4</v>
      </c>
      <c r="D953">
        <v>2.9000000000000001E-2</v>
      </c>
      <c r="E953">
        <v>0</v>
      </c>
      <c r="F953">
        <v>-3.5000000000000001E-3</v>
      </c>
      <c r="G953">
        <v>-2.53E-2</v>
      </c>
    </row>
    <row r="954" spans="1:7" x14ac:dyDescent="0.2">
      <c r="A954">
        <v>20110531</v>
      </c>
      <c r="B954">
        <v>2011</v>
      </c>
      <c r="C954">
        <v>5</v>
      </c>
      <c r="D954">
        <v>-1.2699999999999999E-2</v>
      </c>
      <c r="E954">
        <v>0</v>
      </c>
      <c r="F954">
        <v>-7.1000000000000004E-3</v>
      </c>
      <c r="G954">
        <v>-2.07E-2</v>
      </c>
    </row>
    <row r="955" spans="1:7" x14ac:dyDescent="0.2">
      <c r="A955">
        <v>20110630</v>
      </c>
      <c r="B955">
        <v>2011</v>
      </c>
      <c r="C955">
        <v>6</v>
      </c>
      <c r="D955">
        <v>-1.7500000000000002E-2</v>
      </c>
      <c r="E955">
        <v>0</v>
      </c>
      <c r="F955">
        <v>-1.6999999999999999E-3</v>
      </c>
      <c r="G955">
        <v>-3.3E-3</v>
      </c>
    </row>
    <row r="956" spans="1:7" x14ac:dyDescent="0.2">
      <c r="A956">
        <v>20110729</v>
      </c>
      <c r="B956">
        <v>2011</v>
      </c>
      <c r="C956">
        <v>7</v>
      </c>
      <c r="D956">
        <v>-2.3599999999999999E-2</v>
      </c>
      <c r="E956">
        <v>0</v>
      </c>
      <c r="F956">
        <v>-1.2999999999999999E-2</v>
      </c>
      <c r="G956">
        <v>-1.23E-2</v>
      </c>
    </row>
    <row r="957" spans="1:7" x14ac:dyDescent="0.2">
      <c r="A957">
        <v>20110831</v>
      </c>
      <c r="B957">
        <v>2011</v>
      </c>
      <c r="C957">
        <v>8</v>
      </c>
      <c r="D957">
        <v>-5.9900000000000002E-2</v>
      </c>
      <c r="E957">
        <v>1E-4</v>
      </c>
      <c r="F957">
        <v>-3.0599999999999999E-2</v>
      </c>
      <c r="G957">
        <v>-2.4400000000000002E-2</v>
      </c>
    </row>
    <row r="958" spans="1:7" x14ac:dyDescent="0.2">
      <c r="A958">
        <v>20110930</v>
      </c>
      <c r="B958">
        <v>2011</v>
      </c>
      <c r="C958">
        <v>9</v>
      </c>
      <c r="D958">
        <v>-7.5899999999999995E-2</v>
      </c>
      <c r="E958">
        <v>0</v>
      </c>
      <c r="F958">
        <v>-3.49E-2</v>
      </c>
      <c r="G958">
        <v>-1.46E-2</v>
      </c>
    </row>
    <row r="959" spans="1:7" x14ac:dyDescent="0.2">
      <c r="A959">
        <v>20111031</v>
      </c>
      <c r="B959">
        <v>2011</v>
      </c>
      <c r="C959">
        <v>10</v>
      </c>
      <c r="D959">
        <v>0.1135</v>
      </c>
      <c r="E959">
        <v>0</v>
      </c>
      <c r="F959">
        <v>3.4099999999999998E-2</v>
      </c>
      <c r="G959">
        <v>-1.6999999999999999E-3</v>
      </c>
    </row>
    <row r="960" spans="1:7" x14ac:dyDescent="0.2">
      <c r="A960">
        <v>20111130</v>
      </c>
      <c r="B960">
        <v>2011</v>
      </c>
      <c r="C960">
        <v>11</v>
      </c>
      <c r="D960">
        <v>-2.8E-3</v>
      </c>
      <c r="E960">
        <v>0</v>
      </c>
      <c r="F960">
        <v>-1.6999999999999999E-3</v>
      </c>
      <c r="G960">
        <v>-3.3999999999999998E-3</v>
      </c>
    </row>
    <row r="961" spans="1:7" x14ac:dyDescent="0.2">
      <c r="A961">
        <v>20111230</v>
      </c>
      <c r="B961">
        <v>2011</v>
      </c>
      <c r="C961">
        <v>12</v>
      </c>
      <c r="D961">
        <v>7.4000000000000003E-3</v>
      </c>
      <c r="E961">
        <v>0</v>
      </c>
      <c r="F961">
        <v>-7.1000000000000004E-3</v>
      </c>
      <c r="G961">
        <v>1.7500000000000002E-2</v>
      </c>
    </row>
    <row r="962" spans="1:7" x14ac:dyDescent="0.2">
      <c r="A962">
        <v>20120131</v>
      </c>
      <c r="B962">
        <v>2012</v>
      </c>
      <c r="C962">
        <v>1</v>
      </c>
      <c r="D962">
        <v>5.0500000000000003E-2</v>
      </c>
      <c r="E962">
        <v>0</v>
      </c>
      <c r="F962">
        <v>2.1499999999999998E-2</v>
      </c>
      <c r="G962">
        <v>-1.11E-2</v>
      </c>
    </row>
    <row r="963" spans="1:7" x14ac:dyDescent="0.2">
      <c r="A963">
        <v>20120229</v>
      </c>
      <c r="B963">
        <v>2012</v>
      </c>
      <c r="C963">
        <v>2</v>
      </c>
      <c r="D963">
        <v>4.4200000000000003E-2</v>
      </c>
      <c r="E963">
        <v>0</v>
      </c>
      <c r="F963">
        <v>-1.7500000000000002E-2</v>
      </c>
      <c r="G963">
        <v>8.9999999999999998E-4</v>
      </c>
    </row>
    <row r="964" spans="1:7" x14ac:dyDescent="0.2">
      <c r="A964">
        <v>20120330</v>
      </c>
      <c r="B964">
        <v>2012</v>
      </c>
      <c r="C964">
        <v>3</v>
      </c>
      <c r="D964">
        <v>3.1099999999999999E-2</v>
      </c>
      <c r="E964">
        <v>0</v>
      </c>
      <c r="F964">
        <v>-6.0000000000000001E-3</v>
      </c>
      <c r="G964">
        <v>8.6999999999999994E-3</v>
      </c>
    </row>
    <row r="965" spans="1:7" x14ac:dyDescent="0.2">
      <c r="A965">
        <v>20120430</v>
      </c>
      <c r="B965">
        <v>2012</v>
      </c>
      <c r="C965">
        <v>4</v>
      </c>
      <c r="D965">
        <v>-8.5000000000000006E-3</v>
      </c>
      <c r="E965">
        <v>0</v>
      </c>
      <c r="F965">
        <v>-5.1000000000000004E-3</v>
      </c>
      <c r="G965">
        <v>-4.5999999999999999E-3</v>
      </c>
    </row>
    <row r="966" spans="1:7" x14ac:dyDescent="0.2">
      <c r="A966">
        <v>20120531</v>
      </c>
      <c r="B966">
        <v>2012</v>
      </c>
      <c r="C966">
        <v>5</v>
      </c>
      <c r="D966">
        <v>-6.1899999999999997E-2</v>
      </c>
      <c r="E966">
        <v>1E-4</v>
      </c>
      <c r="F966">
        <v>2.0000000000000001E-4</v>
      </c>
      <c r="G966">
        <v>-6.1999999999999998E-3</v>
      </c>
    </row>
    <row r="967" spans="1:7" x14ac:dyDescent="0.2">
      <c r="A967">
        <v>20120629</v>
      </c>
      <c r="B967">
        <v>2012</v>
      </c>
      <c r="C967">
        <v>6</v>
      </c>
      <c r="D967">
        <v>3.8899999999999997E-2</v>
      </c>
      <c r="E967">
        <v>0</v>
      </c>
      <c r="F967">
        <v>7.7000000000000002E-3</v>
      </c>
      <c r="G967">
        <v>4.4000000000000003E-3</v>
      </c>
    </row>
    <row r="968" spans="1:7" x14ac:dyDescent="0.2">
      <c r="A968">
        <v>20120731</v>
      </c>
      <c r="B968">
        <v>2012</v>
      </c>
      <c r="C968">
        <v>7</v>
      </c>
      <c r="D968">
        <v>7.9000000000000008E-3</v>
      </c>
      <c r="E968">
        <v>0</v>
      </c>
      <c r="F968">
        <v>-2.5899999999999999E-2</v>
      </c>
      <c r="G968">
        <v>-2.5999999999999999E-3</v>
      </c>
    </row>
    <row r="969" spans="1:7" x14ac:dyDescent="0.2">
      <c r="A969">
        <v>20120831</v>
      </c>
      <c r="B969">
        <v>2012</v>
      </c>
      <c r="C969">
        <v>8</v>
      </c>
      <c r="D969">
        <v>2.5499999999999998E-2</v>
      </c>
      <c r="E969">
        <v>1E-4</v>
      </c>
      <c r="F969">
        <v>4.1999999999999997E-3</v>
      </c>
      <c r="G969">
        <v>1.32E-2</v>
      </c>
    </row>
    <row r="970" spans="1:7" x14ac:dyDescent="0.2">
      <c r="A970">
        <v>20120928</v>
      </c>
      <c r="B970">
        <v>2012</v>
      </c>
      <c r="C970">
        <v>9</v>
      </c>
      <c r="D970">
        <v>2.7300000000000001E-2</v>
      </c>
      <c r="E970">
        <v>1E-4</v>
      </c>
      <c r="F970">
        <v>5.1000000000000004E-3</v>
      </c>
      <c r="G970">
        <v>1.54E-2</v>
      </c>
    </row>
    <row r="971" spans="1:7" x14ac:dyDescent="0.2">
      <c r="A971">
        <v>20121031</v>
      </c>
      <c r="B971">
        <v>2012</v>
      </c>
      <c r="C971">
        <v>10</v>
      </c>
      <c r="D971">
        <v>-1.7600000000000001E-2</v>
      </c>
      <c r="E971">
        <v>1E-4</v>
      </c>
      <c r="F971">
        <v>-1.14E-2</v>
      </c>
      <c r="G971">
        <v>3.7900000000000003E-2</v>
      </c>
    </row>
    <row r="972" spans="1:7" x14ac:dyDescent="0.2">
      <c r="A972">
        <v>20121130</v>
      </c>
      <c r="B972">
        <v>2012</v>
      </c>
      <c r="C972">
        <v>11</v>
      </c>
      <c r="D972">
        <v>7.7999999999999996E-3</v>
      </c>
      <c r="E972">
        <v>1E-4</v>
      </c>
      <c r="F972">
        <v>5.7999999999999996E-3</v>
      </c>
      <c r="G972">
        <v>-9.5999999999999992E-3</v>
      </c>
    </row>
    <row r="973" spans="1:7" x14ac:dyDescent="0.2">
      <c r="A973">
        <v>20121231</v>
      </c>
      <c r="B973">
        <v>2012</v>
      </c>
      <c r="C973">
        <v>12</v>
      </c>
      <c r="D973">
        <v>1.18E-2</v>
      </c>
      <c r="E973">
        <v>1E-4</v>
      </c>
      <c r="F973">
        <v>1.47E-2</v>
      </c>
      <c r="G973">
        <v>3.56E-2</v>
      </c>
    </row>
    <row r="974" spans="1:7" x14ac:dyDescent="0.2">
      <c r="A974">
        <v>20130131</v>
      </c>
      <c r="B974">
        <v>2013</v>
      </c>
      <c r="C974">
        <v>1</v>
      </c>
      <c r="D974">
        <v>5.57E-2</v>
      </c>
      <c r="E974">
        <v>0</v>
      </c>
      <c r="F974">
        <v>3.8999999999999998E-3</v>
      </c>
      <c r="G974">
        <v>9.4999999999999998E-3</v>
      </c>
    </row>
    <row r="975" spans="1:7" x14ac:dyDescent="0.2">
      <c r="A975">
        <v>20130228</v>
      </c>
      <c r="B975">
        <v>2013</v>
      </c>
      <c r="C975">
        <v>2</v>
      </c>
      <c r="D975">
        <v>1.29E-2</v>
      </c>
      <c r="E975">
        <v>0</v>
      </c>
      <c r="F975">
        <v>-4.4999999999999997E-3</v>
      </c>
      <c r="G975">
        <v>2.9999999999999997E-4</v>
      </c>
    </row>
    <row r="976" spans="1:7" x14ac:dyDescent="0.2">
      <c r="A976">
        <v>20130328</v>
      </c>
      <c r="B976">
        <v>2013</v>
      </c>
      <c r="C976">
        <v>3</v>
      </c>
      <c r="D976">
        <v>4.0300000000000002E-2</v>
      </c>
      <c r="E976">
        <v>0</v>
      </c>
      <c r="F976">
        <v>7.7999999999999996E-3</v>
      </c>
      <c r="G976">
        <v>-2.8999999999999998E-3</v>
      </c>
    </row>
    <row r="977" spans="1:7" x14ac:dyDescent="0.2">
      <c r="A977">
        <v>20130430</v>
      </c>
      <c r="B977">
        <v>2013</v>
      </c>
      <c r="C977">
        <v>4</v>
      </c>
      <c r="D977">
        <v>1.55E-2</v>
      </c>
      <c r="E977">
        <v>0</v>
      </c>
      <c r="F977">
        <v>-2.4199999999999999E-2</v>
      </c>
      <c r="G977">
        <v>6.3E-3</v>
      </c>
    </row>
    <row r="978" spans="1:7" x14ac:dyDescent="0.2">
      <c r="A978">
        <v>20130531</v>
      </c>
      <c r="B978">
        <v>2013</v>
      </c>
      <c r="C978">
        <v>5</v>
      </c>
      <c r="D978">
        <v>2.8000000000000001E-2</v>
      </c>
      <c r="E978">
        <v>0</v>
      </c>
      <c r="F978">
        <v>1.67E-2</v>
      </c>
      <c r="G978">
        <v>2.5999999999999999E-2</v>
      </c>
    </row>
    <row r="979" spans="1:7" x14ac:dyDescent="0.2">
      <c r="A979">
        <v>20130628</v>
      </c>
      <c r="B979">
        <v>2013</v>
      </c>
      <c r="C979">
        <v>6</v>
      </c>
      <c r="D979">
        <v>-1.2E-2</v>
      </c>
      <c r="E979">
        <v>0</v>
      </c>
      <c r="F979">
        <v>1.2200000000000001E-2</v>
      </c>
      <c r="G979">
        <v>-1.8E-3</v>
      </c>
    </row>
    <row r="980" spans="1:7" x14ac:dyDescent="0.2">
      <c r="A980">
        <v>20130731</v>
      </c>
      <c r="B980">
        <v>2013</v>
      </c>
      <c r="C980">
        <v>7</v>
      </c>
      <c r="D980">
        <v>5.6500000000000002E-2</v>
      </c>
      <c r="E980">
        <v>0</v>
      </c>
      <c r="F980">
        <v>1.8599999999999998E-2</v>
      </c>
      <c r="G980">
        <v>5.5999999999999999E-3</v>
      </c>
    </row>
    <row r="981" spans="1:7" x14ac:dyDescent="0.2">
      <c r="A981">
        <v>20130830</v>
      </c>
      <c r="B981">
        <v>2013</v>
      </c>
      <c r="C981">
        <v>8</v>
      </c>
      <c r="D981">
        <v>-2.7099999999999999E-2</v>
      </c>
      <c r="E981">
        <v>0</v>
      </c>
      <c r="F981">
        <v>3.0000000000000001E-3</v>
      </c>
      <c r="G981">
        <v>-2.7799999999999998E-2</v>
      </c>
    </row>
    <row r="982" spans="1:7" x14ac:dyDescent="0.2">
      <c r="A982">
        <v>20130930</v>
      </c>
      <c r="B982">
        <v>2013</v>
      </c>
      <c r="C982">
        <v>9</v>
      </c>
      <c r="D982">
        <v>3.7699999999999997E-2</v>
      </c>
      <c r="E982">
        <v>0</v>
      </c>
      <c r="F982">
        <v>2.93E-2</v>
      </c>
      <c r="G982">
        <v>-1.1900000000000001E-2</v>
      </c>
    </row>
    <row r="983" spans="1:7" x14ac:dyDescent="0.2">
      <c r="A983">
        <v>20131031</v>
      </c>
      <c r="B983">
        <v>2013</v>
      </c>
      <c r="C983">
        <v>10</v>
      </c>
      <c r="D983">
        <v>4.1799999999999997E-2</v>
      </c>
      <c r="E983">
        <v>0</v>
      </c>
      <c r="F983">
        <v>-1.49E-2</v>
      </c>
      <c r="G983">
        <v>1.14E-2</v>
      </c>
    </row>
    <row r="984" spans="1:7" x14ac:dyDescent="0.2">
      <c r="A984">
        <v>20131129</v>
      </c>
      <c r="B984">
        <v>2013</v>
      </c>
      <c r="C984">
        <v>11</v>
      </c>
      <c r="D984">
        <v>3.1199999999999999E-2</v>
      </c>
      <c r="E984">
        <v>0</v>
      </c>
      <c r="F984">
        <v>1.24E-2</v>
      </c>
      <c r="G984">
        <v>2.3999999999999998E-3</v>
      </c>
    </row>
    <row r="985" spans="1:7" x14ac:dyDescent="0.2">
      <c r="A985">
        <v>20131231</v>
      </c>
      <c r="B985">
        <v>2013</v>
      </c>
      <c r="C985">
        <v>12</v>
      </c>
      <c r="D985">
        <v>2.81E-2</v>
      </c>
      <c r="E985">
        <v>0</v>
      </c>
      <c r="F985">
        <v>-5.0000000000000001E-3</v>
      </c>
      <c r="G985">
        <v>-3.0999999999999999E-3</v>
      </c>
    </row>
    <row r="986" spans="1:7" x14ac:dyDescent="0.2">
      <c r="A986">
        <v>20140131</v>
      </c>
      <c r="B986">
        <v>2014</v>
      </c>
      <c r="C986">
        <v>1</v>
      </c>
      <c r="D986">
        <v>-3.32E-2</v>
      </c>
      <c r="E986">
        <v>0</v>
      </c>
      <c r="F986">
        <v>8.6E-3</v>
      </c>
      <c r="G986">
        <v>-2.0899999999999998E-2</v>
      </c>
    </row>
    <row r="987" spans="1:7" x14ac:dyDescent="0.2">
      <c r="A987">
        <v>20140228</v>
      </c>
      <c r="B987">
        <v>2014</v>
      </c>
      <c r="C987">
        <v>2</v>
      </c>
      <c r="D987">
        <v>4.65E-2</v>
      </c>
      <c r="E987">
        <v>0</v>
      </c>
      <c r="F987">
        <v>3.2000000000000002E-3</v>
      </c>
      <c r="G987">
        <v>-4.0000000000000001E-3</v>
      </c>
    </row>
    <row r="988" spans="1:7" x14ac:dyDescent="0.2">
      <c r="A988">
        <v>20140331</v>
      </c>
      <c r="B988">
        <v>2014</v>
      </c>
      <c r="C988">
        <v>3</v>
      </c>
      <c r="D988">
        <v>4.3E-3</v>
      </c>
      <c r="E988">
        <v>0</v>
      </c>
      <c r="F988">
        <v>-1.89E-2</v>
      </c>
      <c r="G988">
        <v>5.0799999999999998E-2</v>
      </c>
    </row>
    <row r="989" spans="1:7" x14ac:dyDescent="0.2">
      <c r="A989">
        <v>20140430</v>
      </c>
      <c r="B989">
        <v>2014</v>
      </c>
      <c r="C989">
        <v>4</v>
      </c>
      <c r="D989">
        <v>-1.9E-3</v>
      </c>
      <c r="E989">
        <v>0</v>
      </c>
      <c r="F989">
        <v>-4.2500000000000003E-2</v>
      </c>
      <c r="G989">
        <v>1.14E-2</v>
      </c>
    </row>
    <row r="990" spans="1:7" x14ac:dyDescent="0.2">
      <c r="A990">
        <v>20140530</v>
      </c>
      <c r="B990">
        <v>2014</v>
      </c>
      <c r="C990">
        <v>5</v>
      </c>
      <c r="D990">
        <v>2.06E-2</v>
      </c>
      <c r="E990">
        <v>0</v>
      </c>
      <c r="F990">
        <v>-1.8499999999999999E-2</v>
      </c>
      <c r="G990">
        <v>-2.7000000000000001E-3</v>
      </c>
    </row>
    <row r="991" spans="1:7" x14ac:dyDescent="0.2">
      <c r="A991">
        <v>20140630</v>
      </c>
      <c r="B991">
        <v>2014</v>
      </c>
      <c r="C991">
        <v>6</v>
      </c>
      <c r="D991">
        <v>2.6100000000000002E-2</v>
      </c>
      <c r="E991">
        <v>0</v>
      </c>
      <c r="F991">
        <v>3.0700000000000002E-2</v>
      </c>
      <c r="G991">
        <v>-7.4000000000000003E-3</v>
      </c>
    </row>
    <row r="992" spans="1:7" x14ac:dyDescent="0.2">
      <c r="A992">
        <v>20140731</v>
      </c>
      <c r="B992">
        <v>2014</v>
      </c>
      <c r="C992">
        <v>7</v>
      </c>
      <c r="D992">
        <v>-2.0400000000000001E-2</v>
      </c>
      <c r="E992">
        <v>0</v>
      </c>
      <c r="F992">
        <v>-4.24E-2</v>
      </c>
      <c r="G992">
        <v>1E-4</v>
      </c>
    </row>
    <row r="993" spans="1:7" x14ac:dyDescent="0.2">
      <c r="A993">
        <v>20140829</v>
      </c>
      <c r="B993">
        <v>2014</v>
      </c>
      <c r="C993">
        <v>8</v>
      </c>
      <c r="D993">
        <v>4.24E-2</v>
      </c>
      <c r="E993">
        <v>0</v>
      </c>
      <c r="F993">
        <v>3.5999999999999999E-3</v>
      </c>
      <c r="G993">
        <v>-5.7999999999999996E-3</v>
      </c>
    </row>
    <row r="994" spans="1:7" x14ac:dyDescent="0.2">
      <c r="A994">
        <v>20140930</v>
      </c>
      <c r="B994">
        <v>2014</v>
      </c>
      <c r="C994">
        <v>9</v>
      </c>
      <c r="D994">
        <v>-1.9699999999999999E-2</v>
      </c>
      <c r="E994">
        <v>0</v>
      </c>
      <c r="F994">
        <v>-3.8300000000000001E-2</v>
      </c>
      <c r="G994">
        <v>-1.23E-2</v>
      </c>
    </row>
    <row r="995" spans="1:7" x14ac:dyDescent="0.2">
      <c r="A995">
        <v>20141031</v>
      </c>
      <c r="B995">
        <v>2014</v>
      </c>
      <c r="C995">
        <v>10</v>
      </c>
      <c r="D995">
        <v>2.52E-2</v>
      </c>
      <c r="E995">
        <v>0</v>
      </c>
      <c r="F995">
        <v>4.2299999999999997E-2</v>
      </c>
      <c r="G995">
        <v>-1.6799999999999999E-2</v>
      </c>
    </row>
    <row r="996" spans="1:7" x14ac:dyDescent="0.2">
      <c r="A996">
        <v>20141128</v>
      </c>
      <c r="B996">
        <v>2014</v>
      </c>
      <c r="C996">
        <v>11</v>
      </c>
      <c r="D996">
        <v>2.5499999999999998E-2</v>
      </c>
      <c r="E996">
        <v>0</v>
      </c>
      <c r="F996">
        <v>-2.0899999999999998E-2</v>
      </c>
      <c r="G996">
        <v>-2.9899999999999999E-2</v>
      </c>
    </row>
    <row r="997" spans="1:7" x14ac:dyDescent="0.2">
      <c r="A997">
        <v>20141231</v>
      </c>
      <c r="B997">
        <v>2014</v>
      </c>
      <c r="C997">
        <v>12</v>
      </c>
      <c r="D997">
        <v>-5.9999999999999995E-4</v>
      </c>
      <c r="E997">
        <v>0</v>
      </c>
      <c r="F997">
        <v>2.5399999999999999E-2</v>
      </c>
      <c r="G997">
        <v>2.06E-2</v>
      </c>
    </row>
    <row r="998" spans="1:7" x14ac:dyDescent="0.2">
      <c r="A998">
        <v>20150130</v>
      </c>
      <c r="B998">
        <v>2015</v>
      </c>
      <c r="C998">
        <v>1</v>
      </c>
      <c r="D998">
        <v>-3.1099999999999999E-2</v>
      </c>
      <c r="E998">
        <v>0</v>
      </c>
      <c r="F998">
        <v>-5.5999999999999999E-3</v>
      </c>
      <c r="G998">
        <v>-3.4700000000000002E-2</v>
      </c>
    </row>
    <row r="999" spans="1:7" x14ac:dyDescent="0.2">
      <c r="A999">
        <v>20150227</v>
      </c>
      <c r="B999">
        <v>2015</v>
      </c>
      <c r="C999">
        <v>2</v>
      </c>
      <c r="D999">
        <v>6.13E-2</v>
      </c>
      <c r="E999">
        <v>0</v>
      </c>
      <c r="F999">
        <v>4.7999999999999996E-3</v>
      </c>
      <c r="G999">
        <v>-1.7899999999999999E-2</v>
      </c>
    </row>
    <row r="1000" spans="1:7" x14ac:dyDescent="0.2">
      <c r="A1000">
        <v>20150331</v>
      </c>
      <c r="B1000">
        <v>2015</v>
      </c>
      <c r="C1000">
        <v>3</v>
      </c>
      <c r="D1000">
        <v>-1.12E-2</v>
      </c>
      <c r="E1000">
        <v>0</v>
      </c>
      <c r="F1000">
        <v>3.0200000000000001E-2</v>
      </c>
      <c r="G1000">
        <v>-4.5999999999999999E-3</v>
      </c>
    </row>
    <row r="1001" spans="1:7" x14ac:dyDescent="0.2">
      <c r="A1001">
        <v>20150430</v>
      </c>
      <c r="B1001">
        <v>2015</v>
      </c>
      <c r="C1001">
        <v>4</v>
      </c>
      <c r="D1001">
        <v>5.8999999999999999E-3</v>
      </c>
      <c r="E1001">
        <v>0</v>
      </c>
      <c r="F1001">
        <v>-2.9700000000000001E-2</v>
      </c>
      <c r="G1001">
        <v>1.8599999999999998E-2</v>
      </c>
    </row>
    <row r="1002" spans="1:7" x14ac:dyDescent="0.2">
      <c r="A1002">
        <v>20150529</v>
      </c>
      <c r="B1002">
        <v>2015</v>
      </c>
      <c r="C1002">
        <v>5</v>
      </c>
      <c r="D1002">
        <v>1.3599999999999999E-2</v>
      </c>
      <c r="E1002">
        <v>0</v>
      </c>
      <c r="F1002">
        <v>8.6999999999999994E-3</v>
      </c>
      <c r="G1002">
        <v>-1.37E-2</v>
      </c>
    </row>
    <row r="1003" spans="1:7" x14ac:dyDescent="0.2">
      <c r="A1003">
        <v>20150630</v>
      </c>
      <c r="B1003">
        <v>2015</v>
      </c>
      <c r="C1003">
        <v>6</v>
      </c>
      <c r="D1003">
        <v>-1.5299999999999999E-2</v>
      </c>
      <c r="E1003">
        <v>0</v>
      </c>
      <c r="F1003">
        <v>2.8299999999999999E-2</v>
      </c>
      <c r="G1003">
        <v>-7.9000000000000008E-3</v>
      </c>
    </row>
    <row r="1004" spans="1:7" x14ac:dyDescent="0.2">
      <c r="A1004">
        <v>20150731</v>
      </c>
      <c r="B1004">
        <v>2015</v>
      </c>
      <c r="C1004">
        <v>7</v>
      </c>
      <c r="D1004">
        <v>1.54E-2</v>
      </c>
      <c r="E1004">
        <v>0</v>
      </c>
      <c r="F1004">
        <v>-4.1399999999999999E-2</v>
      </c>
      <c r="G1004">
        <v>-4.1200000000000001E-2</v>
      </c>
    </row>
    <row r="1005" spans="1:7" x14ac:dyDescent="0.2">
      <c r="A1005">
        <v>20150831</v>
      </c>
      <c r="B1005">
        <v>2015</v>
      </c>
      <c r="C1005">
        <v>8</v>
      </c>
      <c r="D1005">
        <v>-6.0400000000000002E-2</v>
      </c>
      <c r="E1005">
        <v>0</v>
      </c>
      <c r="F1005">
        <v>4.7999999999999996E-3</v>
      </c>
      <c r="G1005">
        <v>2.6800000000000001E-2</v>
      </c>
    </row>
    <row r="1006" spans="1:7" x14ac:dyDescent="0.2">
      <c r="A1006">
        <v>20150930</v>
      </c>
      <c r="B1006">
        <v>2015</v>
      </c>
      <c r="C1006">
        <v>9</v>
      </c>
      <c r="D1006">
        <v>-3.0800000000000001E-2</v>
      </c>
      <c r="E1006">
        <v>0</v>
      </c>
      <c r="F1006">
        <v>-2.64E-2</v>
      </c>
      <c r="G1006">
        <v>5.1999999999999998E-3</v>
      </c>
    </row>
    <row r="1007" spans="1:7" x14ac:dyDescent="0.2">
      <c r="A1007">
        <v>20151030</v>
      </c>
      <c r="B1007">
        <v>2015</v>
      </c>
      <c r="C1007">
        <v>10</v>
      </c>
      <c r="D1007">
        <v>7.7499999999999999E-2</v>
      </c>
      <c r="E1007">
        <v>0</v>
      </c>
      <c r="F1007">
        <v>-1.9699999999999999E-2</v>
      </c>
      <c r="G1007">
        <v>-8.0000000000000004E-4</v>
      </c>
    </row>
    <row r="1008" spans="1:7" x14ac:dyDescent="0.2">
      <c r="A1008">
        <v>20151130</v>
      </c>
      <c r="B1008">
        <v>2015</v>
      </c>
      <c r="C1008">
        <v>11</v>
      </c>
      <c r="D1008">
        <v>5.5999999999999999E-3</v>
      </c>
      <c r="E1008">
        <v>0</v>
      </c>
      <c r="F1008">
        <v>3.6400000000000002E-2</v>
      </c>
      <c r="G1008">
        <v>-5.1999999999999998E-3</v>
      </c>
    </row>
    <row r="1009" spans="1:7" x14ac:dyDescent="0.2">
      <c r="A1009">
        <v>20151231</v>
      </c>
      <c r="B1009">
        <v>2015</v>
      </c>
      <c r="C1009">
        <v>12</v>
      </c>
      <c r="D1009">
        <v>-2.1700000000000001E-2</v>
      </c>
      <c r="E1009">
        <v>1E-4</v>
      </c>
      <c r="F1009">
        <v>-2.8199999999999999E-2</v>
      </c>
      <c r="G1009">
        <v>-2.58E-2</v>
      </c>
    </row>
    <row r="1010" spans="1:7" x14ac:dyDescent="0.2">
      <c r="A1010">
        <v>20160129</v>
      </c>
      <c r="B1010">
        <v>2016</v>
      </c>
      <c r="C1010">
        <v>1</v>
      </c>
      <c r="D1010">
        <v>-5.7700000000000001E-2</v>
      </c>
      <c r="E1010">
        <v>1E-4</v>
      </c>
      <c r="F1010">
        <v>-3.39E-2</v>
      </c>
      <c r="G1010">
        <v>2.1000000000000001E-2</v>
      </c>
    </row>
    <row r="1011" spans="1:7" x14ac:dyDescent="0.2">
      <c r="A1011">
        <v>20160229</v>
      </c>
      <c r="B1011">
        <v>2016</v>
      </c>
      <c r="C1011">
        <v>2</v>
      </c>
      <c r="D1011">
        <v>-6.9999999999999999E-4</v>
      </c>
      <c r="E1011">
        <v>2.0000000000000001E-4</v>
      </c>
      <c r="F1011">
        <v>7.7999999999999996E-3</v>
      </c>
      <c r="G1011">
        <v>-4.7999999999999996E-3</v>
      </c>
    </row>
    <row r="1012" spans="1:7" x14ac:dyDescent="0.2">
      <c r="A1012">
        <v>20160331</v>
      </c>
      <c r="B1012">
        <v>2016</v>
      </c>
      <c r="C1012">
        <v>3</v>
      </c>
      <c r="D1012">
        <v>6.9599999999999995E-2</v>
      </c>
      <c r="E1012">
        <v>2.0000000000000001E-4</v>
      </c>
      <c r="F1012">
        <v>8.8000000000000005E-3</v>
      </c>
      <c r="G1012">
        <v>1.12E-2</v>
      </c>
    </row>
    <row r="1013" spans="1:7" x14ac:dyDescent="0.2">
      <c r="A1013">
        <v>20160429</v>
      </c>
      <c r="B1013">
        <v>2016</v>
      </c>
      <c r="C1013">
        <v>4</v>
      </c>
      <c r="D1013">
        <v>9.1999999999999998E-3</v>
      </c>
      <c r="E1013">
        <v>1E-4</v>
      </c>
      <c r="F1013">
        <v>6.7999999999999996E-3</v>
      </c>
      <c r="G1013">
        <v>3.2599999999999997E-2</v>
      </c>
    </row>
    <row r="1014" spans="1:7" x14ac:dyDescent="0.2">
      <c r="A1014">
        <v>20160531</v>
      </c>
      <c r="B1014">
        <v>2016</v>
      </c>
      <c r="C1014">
        <v>5</v>
      </c>
      <c r="D1014">
        <v>1.78E-2</v>
      </c>
      <c r="E1014">
        <v>1E-4</v>
      </c>
      <c r="F1014">
        <v>-2.5999999999999999E-3</v>
      </c>
      <c r="G1014">
        <v>-1.8100000000000002E-2</v>
      </c>
    </row>
    <row r="1015" spans="1:7" x14ac:dyDescent="0.2">
      <c r="A1015">
        <v>20160630</v>
      </c>
      <c r="B1015">
        <v>2016</v>
      </c>
      <c r="C1015">
        <v>6</v>
      </c>
      <c r="D1015">
        <v>-5.0000000000000001E-4</v>
      </c>
      <c r="E1015">
        <v>2.0000000000000001E-4</v>
      </c>
      <c r="F1015">
        <v>6.4999999999999997E-3</v>
      </c>
      <c r="G1015">
        <v>-1.49E-2</v>
      </c>
    </row>
    <row r="1016" spans="1:7" x14ac:dyDescent="0.2">
      <c r="A1016">
        <v>20160729</v>
      </c>
      <c r="B1016">
        <v>2016</v>
      </c>
      <c r="C1016">
        <v>7</v>
      </c>
      <c r="D1016">
        <v>3.95E-2</v>
      </c>
      <c r="E1016">
        <v>2.0000000000000001E-4</v>
      </c>
      <c r="F1016">
        <v>2.6499999999999999E-2</v>
      </c>
      <c r="G1016">
        <v>-1.1299999999999999E-2</v>
      </c>
    </row>
    <row r="1017" spans="1:7" x14ac:dyDescent="0.2">
      <c r="A1017">
        <v>20160831</v>
      </c>
      <c r="B1017">
        <v>2016</v>
      </c>
      <c r="C1017">
        <v>8</v>
      </c>
      <c r="D1017">
        <v>5.0000000000000001E-3</v>
      </c>
      <c r="E1017">
        <v>2.0000000000000001E-4</v>
      </c>
      <c r="F1017">
        <v>1.15E-2</v>
      </c>
      <c r="G1017">
        <v>3.3099999999999997E-2</v>
      </c>
    </row>
    <row r="1018" spans="1:7" x14ac:dyDescent="0.2">
      <c r="A1018">
        <v>20160930</v>
      </c>
      <c r="B1018">
        <v>2016</v>
      </c>
      <c r="C1018">
        <v>9</v>
      </c>
      <c r="D1018">
        <v>2.5000000000000001E-3</v>
      </c>
      <c r="E1018">
        <v>2.0000000000000001E-4</v>
      </c>
      <c r="F1018">
        <v>2.0199999999999999E-2</v>
      </c>
      <c r="G1018">
        <v>-1.4800000000000001E-2</v>
      </c>
    </row>
    <row r="1019" spans="1:7" x14ac:dyDescent="0.2">
      <c r="A1019">
        <v>20161031</v>
      </c>
      <c r="B1019">
        <v>2016</v>
      </c>
      <c r="C1019">
        <v>10</v>
      </c>
      <c r="D1019">
        <v>-2.0199999999999999E-2</v>
      </c>
      <c r="E1019">
        <v>2.0000000000000001E-4</v>
      </c>
      <c r="F1019">
        <v>-4.3700000000000003E-2</v>
      </c>
      <c r="G1019">
        <v>4.1799999999999997E-2</v>
      </c>
    </row>
    <row r="1020" spans="1:7" x14ac:dyDescent="0.2">
      <c r="A1020">
        <v>20161130</v>
      </c>
      <c r="B1020">
        <v>2016</v>
      </c>
      <c r="C1020">
        <v>11</v>
      </c>
      <c r="D1020">
        <v>4.8599999999999997E-2</v>
      </c>
      <c r="E1020">
        <v>1E-4</v>
      </c>
      <c r="F1020">
        <v>5.4899999999999997E-2</v>
      </c>
      <c r="G1020">
        <v>8.2699999999999996E-2</v>
      </c>
    </row>
    <row r="1021" spans="1:7" x14ac:dyDescent="0.2">
      <c r="A1021">
        <v>20161230</v>
      </c>
      <c r="B1021">
        <v>2016</v>
      </c>
      <c r="C1021">
        <v>12</v>
      </c>
      <c r="D1021">
        <v>1.8200000000000001E-2</v>
      </c>
      <c r="E1021">
        <v>2.9999999999999997E-4</v>
      </c>
      <c r="F1021">
        <v>6.9999999999999999E-4</v>
      </c>
      <c r="G1021">
        <v>3.5999999999999997E-2</v>
      </c>
    </row>
    <row r="1022" spans="1:7" x14ac:dyDescent="0.2">
      <c r="A1022">
        <v>20170131</v>
      </c>
      <c r="B1022">
        <v>2017</v>
      </c>
      <c r="C1022">
        <v>1</v>
      </c>
      <c r="D1022">
        <v>1.9400000000000001E-2</v>
      </c>
      <c r="E1022">
        <v>4.0000000000000002E-4</v>
      </c>
      <c r="F1022">
        <v>-1.0200000000000001E-2</v>
      </c>
      <c r="G1022">
        <v>-2.7799999999999998E-2</v>
      </c>
    </row>
    <row r="1023" spans="1:7" x14ac:dyDescent="0.2">
      <c r="A1023">
        <v>20170228</v>
      </c>
      <c r="B1023">
        <v>2017</v>
      </c>
      <c r="C1023">
        <v>2</v>
      </c>
      <c r="D1023">
        <v>3.5700000000000003E-2</v>
      </c>
      <c r="E1023">
        <v>4.0000000000000002E-4</v>
      </c>
      <c r="F1023">
        <v>-0.02</v>
      </c>
      <c r="G1023">
        <v>-1.7999999999999999E-2</v>
      </c>
    </row>
    <row r="1024" spans="1:7" x14ac:dyDescent="0.2">
      <c r="A1024">
        <v>20170331</v>
      </c>
      <c r="B1024">
        <v>2017</v>
      </c>
      <c r="C1024">
        <v>3</v>
      </c>
      <c r="D1024">
        <v>1.6999999999999999E-3</v>
      </c>
      <c r="E1024">
        <v>2.9999999999999997E-4</v>
      </c>
      <c r="F1024">
        <v>1.1900000000000001E-2</v>
      </c>
      <c r="G1024">
        <v>-3.1800000000000002E-2</v>
      </c>
    </row>
    <row r="1025" spans="1:7" x14ac:dyDescent="0.2">
      <c r="A1025">
        <v>20170428</v>
      </c>
      <c r="B1025">
        <v>2017</v>
      </c>
      <c r="C1025">
        <v>4</v>
      </c>
      <c r="D1025">
        <v>1.09E-2</v>
      </c>
      <c r="E1025">
        <v>5.0000000000000001E-4</v>
      </c>
      <c r="F1025">
        <v>7.3000000000000001E-3</v>
      </c>
      <c r="G1025">
        <v>-1.9E-2</v>
      </c>
    </row>
    <row r="1026" spans="1:7" x14ac:dyDescent="0.2">
      <c r="A1026">
        <v>20170531</v>
      </c>
      <c r="B1026">
        <v>2017</v>
      </c>
      <c r="C1026">
        <v>5</v>
      </c>
      <c r="D1026">
        <v>1.06E-2</v>
      </c>
      <c r="E1026">
        <v>5.9999999999999995E-4</v>
      </c>
      <c r="F1026">
        <v>-2.5499999999999998E-2</v>
      </c>
      <c r="G1026">
        <v>-3.78E-2</v>
      </c>
    </row>
    <row r="1027" spans="1:7" x14ac:dyDescent="0.2">
      <c r="A1027">
        <v>20170630</v>
      </c>
      <c r="B1027">
        <v>2017</v>
      </c>
      <c r="C1027">
        <v>6</v>
      </c>
      <c r="D1027">
        <v>7.7999999999999996E-3</v>
      </c>
      <c r="E1027">
        <v>5.9999999999999995E-4</v>
      </c>
      <c r="F1027">
        <v>2.1600000000000001E-2</v>
      </c>
      <c r="G1027">
        <v>1.32E-2</v>
      </c>
    </row>
    <row r="1028" spans="1:7" x14ac:dyDescent="0.2">
      <c r="A1028">
        <v>20170731</v>
      </c>
      <c r="B1028">
        <v>2017</v>
      </c>
      <c r="C1028">
        <v>7</v>
      </c>
      <c r="D1028">
        <v>1.8700000000000001E-2</v>
      </c>
      <c r="E1028">
        <v>6.9999999999999999E-4</v>
      </c>
      <c r="F1028">
        <v>-1.4E-2</v>
      </c>
      <c r="G1028">
        <v>-2.8E-3</v>
      </c>
    </row>
    <row r="1029" spans="1:7" x14ac:dyDescent="0.2">
      <c r="A1029">
        <v>20170831</v>
      </c>
      <c r="B1029">
        <v>2017</v>
      </c>
      <c r="C1029">
        <v>8</v>
      </c>
      <c r="D1029">
        <v>1.6000000000000001E-3</v>
      </c>
      <c r="E1029">
        <v>8.9999999999999998E-4</v>
      </c>
      <c r="F1029">
        <v>-1.6899999999999998E-2</v>
      </c>
      <c r="G1029">
        <v>-2.24E-2</v>
      </c>
    </row>
    <row r="1030" spans="1:7" x14ac:dyDescent="0.2">
      <c r="A1030">
        <v>20170929</v>
      </c>
      <c r="B1030">
        <v>2017</v>
      </c>
      <c r="C1030">
        <v>9</v>
      </c>
      <c r="D1030">
        <v>2.5100000000000001E-2</v>
      </c>
      <c r="E1030">
        <v>8.9999999999999998E-4</v>
      </c>
      <c r="F1030">
        <v>4.5400000000000003E-2</v>
      </c>
      <c r="G1030">
        <v>3.0300000000000001E-2</v>
      </c>
    </row>
    <row r="1031" spans="1:7" x14ac:dyDescent="0.2">
      <c r="A1031">
        <v>20171031</v>
      </c>
      <c r="B1031">
        <v>2017</v>
      </c>
      <c r="C1031">
        <v>10</v>
      </c>
      <c r="D1031">
        <v>2.2499999999999999E-2</v>
      </c>
      <c r="E1031">
        <v>8.9999999999999998E-4</v>
      </c>
      <c r="F1031">
        <v>-1.9400000000000001E-2</v>
      </c>
      <c r="G1031">
        <v>-5.9999999999999995E-4</v>
      </c>
    </row>
    <row r="1032" spans="1:7" x14ac:dyDescent="0.2">
      <c r="A1032">
        <v>20171130</v>
      </c>
      <c r="B1032">
        <v>2017</v>
      </c>
      <c r="C1032">
        <v>11</v>
      </c>
      <c r="D1032">
        <v>3.1199999999999999E-2</v>
      </c>
      <c r="E1032">
        <v>8.0000000000000004E-4</v>
      </c>
      <c r="F1032">
        <v>-6.6E-3</v>
      </c>
      <c r="G1032">
        <v>-5.0000000000000001E-4</v>
      </c>
    </row>
    <row r="1033" spans="1:7" x14ac:dyDescent="0.2">
      <c r="A1033">
        <v>20171229</v>
      </c>
      <c r="B1033">
        <v>2017</v>
      </c>
      <c r="C1033">
        <v>12</v>
      </c>
      <c r="D1033">
        <v>1.06E-2</v>
      </c>
      <c r="E1033">
        <v>8.9999999999999998E-4</v>
      </c>
      <c r="F1033">
        <v>-1.26E-2</v>
      </c>
      <c r="G1033">
        <v>1.4E-3</v>
      </c>
    </row>
    <row r="1034" spans="1:7" x14ac:dyDescent="0.2">
      <c r="A1034">
        <v>20180131</v>
      </c>
      <c r="B1034">
        <v>2018</v>
      </c>
      <c r="C1034">
        <v>1</v>
      </c>
      <c r="D1034">
        <v>5.5800000000000002E-2</v>
      </c>
      <c r="E1034">
        <v>1.1000000000000001E-3</v>
      </c>
      <c r="F1034">
        <v>-3.0300000000000001E-2</v>
      </c>
      <c r="G1034">
        <v>-1.37E-2</v>
      </c>
    </row>
    <row r="1035" spans="1:7" x14ac:dyDescent="0.2">
      <c r="A1035">
        <v>20180228</v>
      </c>
      <c r="B1035">
        <v>2018</v>
      </c>
      <c r="C1035">
        <v>2</v>
      </c>
      <c r="D1035">
        <v>-3.6499999999999998E-2</v>
      </c>
      <c r="E1035">
        <v>1.1000000000000001E-3</v>
      </c>
      <c r="F1035">
        <v>2.8E-3</v>
      </c>
      <c r="G1035">
        <v>-1.1900000000000001E-2</v>
      </c>
    </row>
    <row r="1036" spans="1:7" x14ac:dyDescent="0.2">
      <c r="A1036">
        <v>20180329</v>
      </c>
      <c r="B1036">
        <v>2018</v>
      </c>
      <c r="C1036">
        <v>3</v>
      </c>
      <c r="D1036">
        <v>-2.35E-2</v>
      </c>
      <c r="E1036">
        <v>1.1999999999999999E-3</v>
      </c>
      <c r="F1036">
        <v>3.9300000000000002E-2</v>
      </c>
      <c r="G1036">
        <v>-1.1000000000000001E-3</v>
      </c>
    </row>
    <row r="1037" spans="1:7" x14ac:dyDescent="0.2">
      <c r="A1037">
        <v>20180430</v>
      </c>
      <c r="B1037">
        <v>2018</v>
      </c>
      <c r="C1037">
        <v>4</v>
      </c>
      <c r="D1037">
        <v>2.8999999999999998E-3</v>
      </c>
      <c r="E1037">
        <v>1.4E-3</v>
      </c>
      <c r="F1037">
        <v>1.09E-2</v>
      </c>
      <c r="G1037">
        <v>5.3E-3</v>
      </c>
    </row>
    <row r="1038" spans="1:7" x14ac:dyDescent="0.2">
      <c r="A1038">
        <v>20180531</v>
      </c>
      <c r="B1038">
        <v>2018</v>
      </c>
      <c r="C1038">
        <v>5</v>
      </c>
      <c r="D1038">
        <v>2.6499999999999999E-2</v>
      </c>
      <c r="E1038">
        <v>1.4E-3</v>
      </c>
      <c r="F1038">
        <v>5.2400000000000002E-2</v>
      </c>
      <c r="G1038">
        <v>-3.1600000000000003E-2</v>
      </c>
    </row>
    <row r="1039" spans="1:7" x14ac:dyDescent="0.2">
      <c r="A1039">
        <v>20180629</v>
      </c>
      <c r="B1039">
        <v>2018</v>
      </c>
      <c r="C1039">
        <v>6</v>
      </c>
      <c r="D1039">
        <v>4.7999999999999996E-3</v>
      </c>
      <c r="E1039">
        <v>1.4E-3</v>
      </c>
      <c r="F1039">
        <v>1.17E-2</v>
      </c>
      <c r="G1039">
        <v>-2.3900000000000001E-2</v>
      </c>
    </row>
    <row r="1040" spans="1:7" x14ac:dyDescent="0.2">
      <c r="A1040">
        <v>20180731</v>
      </c>
      <c r="B1040">
        <v>2018</v>
      </c>
      <c r="C1040">
        <v>7</v>
      </c>
      <c r="D1040">
        <v>3.1899999999999998E-2</v>
      </c>
      <c r="E1040">
        <v>1.6000000000000001E-3</v>
      </c>
      <c r="F1040">
        <v>-2.1499999999999998E-2</v>
      </c>
      <c r="G1040">
        <v>3.8999999999999998E-3</v>
      </c>
    </row>
    <row r="1041" spans="1:7" x14ac:dyDescent="0.2">
      <c r="A1041">
        <v>20180831</v>
      </c>
      <c r="B1041">
        <v>2018</v>
      </c>
      <c r="C1041">
        <v>8</v>
      </c>
      <c r="D1041">
        <v>3.44E-2</v>
      </c>
      <c r="E1041">
        <v>1.6000000000000001E-3</v>
      </c>
      <c r="F1041">
        <v>1.23E-2</v>
      </c>
      <c r="G1041">
        <v>-4.1200000000000001E-2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41"/>
  <sheetViews>
    <sheetView topLeftCell="A1023" zoomScale="137" zoomScaleNormal="194" workbookViewId="0">
      <selection activeCell="C1041" sqref="A1:C1041"/>
    </sheetView>
  </sheetViews>
  <sheetFormatPr baseColWidth="10" defaultColWidth="8.83203125" defaultRowHeight="15" x14ac:dyDescent="0.2"/>
  <cols>
    <col min="1" max="1" width="9" bestFit="1" customWidth="1"/>
    <col min="2" max="2" width="5" bestFit="1" customWidth="1"/>
    <col min="3" max="3" width="6.83203125" bestFit="1" customWidth="1"/>
    <col min="4" max="28" width="11.164062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</row>
    <row r="2" spans="1:28" x14ac:dyDescent="0.2">
      <c r="A2">
        <v>19320130</v>
      </c>
      <c r="B2">
        <v>1932</v>
      </c>
      <c r="C2">
        <v>1</v>
      </c>
      <c r="D2">
        <v>5.5527E-2</v>
      </c>
      <c r="E2">
        <v>-5.9907000000000002E-2</v>
      </c>
      <c r="F2">
        <v>8.3062999999999998E-2</v>
      </c>
      <c r="G2">
        <v>0.14802799999999999</v>
      </c>
      <c r="H2">
        <v>6.1029E-2</v>
      </c>
      <c r="I2">
        <v>-3.0439999999999998E-3</v>
      </c>
      <c r="J2">
        <v>-1.3481999999999999E-2</v>
      </c>
      <c r="K2">
        <v>5.4795000000000003E-2</v>
      </c>
      <c r="L2">
        <v>0.14396900000000001</v>
      </c>
      <c r="M2">
        <v>0.18376200000000001</v>
      </c>
      <c r="N2">
        <v>1.1941E-2</v>
      </c>
      <c r="O2">
        <v>3.7308000000000001E-2</v>
      </c>
      <c r="P2">
        <v>2.7428000000000001E-2</v>
      </c>
      <c r="Q2">
        <v>-1.6891E-2</v>
      </c>
      <c r="R2">
        <v>5.5140000000000002E-2</v>
      </c>
      <c r="S2">
        <v>-3.5957000000000003E-2</v>
      </c>
      <c r="T2">
        <v>-3.9560000000000003E-3</v>
      </c>
      <c r="U2">
        <v>-5.5789999999999998E-3</v>
      </c>
      <c r="V2">
        <v>3.8507E-2</v>
      </c>
      <c r="W2">
        <v>1.9408999999999999E-2</v>
      </c>
      <c r="X2">
        <v>-3.6928999999999997E-2</v>
      </c>
      <c r="Y2">
        <v>-1.7499000000000001E-2</v>
      </c>
      <c r="Z2">
        <v>3.3212999999999999E-2</v>
      </c>
      <c r="AA2">
        <v>0.109191</v>
      </c>
      <c r="AB2">
        <v>7.8947000000000003E-2</v>
      </c>
    </row>
    <row r="3" spans="1:28" x14ac:dyDescent="0.2">
      <c r="A3">
        <v>19320229</v>
      </c>
      <c r="B3">
        <v>1932</v>
      </c>
      <c r="C3">
        <v>2</v>
      </c>
      <c r="D3">
        <v>-0.12789600000000001</v>
      </c>
      <c r="E3">
        <v>-1.54E-4</v>
      </c>
      <c r="F3">
        <v>5.8810000000000001E-2</v>
      </c>
      <c r="G3">
        <v>-2.3234000000000001E-2</v>
      </c>
      <c r="H3">
        <v>3.5727000000000002E-2</v>
      </c>
      <c r="I3">
        <v>-5.4119E-2</v>
      </c>
      <c r="J3">
        <v>3.2908E-2</v>
      </c>
      <c r="K3">
        <v>-2.3220999999999999E-2</v>
      </c>
      <c r="L3">
        <v>-4.5816000000000003E-2</v>
      </c>
      <c r="M3">
        <v>-1.1353E-2</v>
      </c>
      <c r="N3">
        <v>4.535E-3</v>
      </c>
      <c r="O3">
        <v>3.2113000000000003E-2</v>
      </c>
      <c r="P3">
        <v>2.3879000000000001E-2</v>
      </c>
      <c r="Q3">
        <v>2.2850000000000001E-3</v>
      </c>
      <c r="R3">
        <v>-1.4858E-2</v>
      </c>
      <c r="S3">
        <v>3.4292999999999997E-2</v>
      </c>
      <c r="T3">
        <v>5.2088000000000002E-2</v>
      </c>
      <c r="U3">
        <v>-1.3997000000000001E-2</v>
      </c>
      <c r="V3">
        <v>1.2611000000000001E-2</v>
      </c>
      <c r="W3">
        <v>3.7601000000000002E-2</v>
      </c>
      <c r="X3">
        <v>7.2592000000000004E-2</v>
      </c>
      <c r="Y3">
        <v>5.6599999999999998E-2</v>
      </c>
      <c r="Z3">
        <v>3.2597000000000001E-2</v>
      </c>
      <c r="AA3">
        <v>-3.3169999999999998E-2</v>
      </c>
      <c r="AB3">
        <v>0.146341</v>
      </c>
    </row>
    <row r="4" spans="1:28" x14ac:dyDescent="0.2">
      <c r="A4">
        <v>19320331</v>
      </c>
      <c r="B4">
        <v>1932</v>
      </c>
      <c r="C4">
        <v>3</v>
      </c>
      <c r="D4">
        <v>-0.230216</v>
      </c>
      <c r="E4">
        <v>-3.9056E-2</v>
      </c>
      <c r="F4">
        <v>-3.2485E-2</v>
      </c>
      <c r="G4">
        <v>-0.102904</v>
      </c>
      <c r="H4">
        <v>-0.1241</v>
      </c>
      <c r="I4">
        <v>-4.8922E-2</v>
      </c>
      <c r="J4">
        <v>-0.14135500000000001</v>
      </c>
      <c r="K4">
        <v>-0.114193</v>
      </c>
      <c r="L4">
        <v>-4.3035999999999998E-2</v>
      </c>
      <c r="M4">
        <v>-0.13242200000000001</v>
      </c>
      <c r="N4">
        <v>-8.6835999999999997E-2</v>
      </c>
      <c r="O4">
        <v>-0.14424400000000001</v>
      </c>
      <c r="P4">
        <v>-0.11552999999999999</v>
      </c>
      <c r="Q4">
        <v>-0.13384199999999999</v>
      </c>
      <c r="R4">
        <v>-0.109956</v>
      </c>
      <c r="S4">
        <v>-0.106974</v>
      </c>
      <c r="T4">
        <v>-0.109531</v>
      </c>
      <c r="U4">
        <v>-0.113353</v>
      </c>
      <c r="V4">
        <v>-0.123945</v>
      </c>
      <c r="W4">
        <v>-0.101478</v>
      </c>
      <c r="X4">
        <v>-0.10971</v>
      </c>
      <c r="Y4">
        <v>-0.102975</v>
      </c>
      <c r="Z4">
        <v>-0.14307300000000001</v>
      </c>
      <c r="AA4">
        <v>-0.23202300000000001</v>
      </c>
      <c r="AB4">
        <v>2.1277000000000001E-2</v>
      </c>
    </row>
    <row r="5" spans="1:28" x14ac:dyDescent="0.2">
      <c r="A5">
        <v>19320430</v>
      </c>
      <c r="B5">
        <v>1932</v>
      </c>
      <c r="C5">
        <v>4</v>
      </c>
      <c r="D5">
        <v>-0.40761999999999998</v>
      </c>
      <c r="E5">
        <v>-0.168293</v>
      </c>
      <c r="F5">
        <v>-0.25815900000000003</v>
      </c>
      <c r="G5">
        <v>-0.200186</v>
      </c>
      <c r="H5">
        <v>-0.17874899999999999</v>
      </c>
      <c r="I5">
        <v>-0.19919300000000001</v>
      </c>
      <c r="J5">
        <v>-8.1414E-2</v>
      </c>
      <c r="K5">
        <v>-0.14405000000000001</v>
      </c>
      <c r="L5">
        <v>-0.17452999999999999</v>
      </c>
      <c r="M5">
        <v>-0.143736</v>
      </c>
      <c r="N5">
        <v>-0.179453</v>
      </c>
      <c r="O5">
        <v>-0.135659</v>
      </c>
      <c r="P5">
        <v>-0.15051600000000001</v>
      </c>
      <c r="Q5">
        <v>-0.163965</v>
      </c>
      <c r="R5">
        <v>-0.223498</v>
      </c>
      <c r="S5">
        <v>-0.15115500000000001</v>
      </c>
      <c r="T5">
        <v>-0.156276</v>
      </c>
      <c r="U5">
        <v>-0.17452500000000001</v>
      </c>
      <c r="V5">
        <v>-0.142341</v>
      </c>
      <c r="W5">
        <v>-0.152035</v>
      </c>
      <c r="X5">
        <v>-0.18176700000000001</v>
      </c>
      <c r="Y5">
        <v>-0.20599500000000001</v>
      </c>
      <c r="Z5">
        <v>-0.19334100000000001</v>
      </c>
      <c r="AA5">
        <v>-0.221641</v>
      </c>
      <c r="AB5">
        <v>-0.22916700000000001</v>
      </c>
    </row>
    <row r="6" spans="1:28" x14ac:dyDescent="0.2">
      <c r="A6">
        <v>19320531</v>
      </c>
      <c r="B6">
        <v>1932</v>
      </c>
      <c r="C6">
        <v>5</v>
      </c>
      <c r="D6">
        <v>-0.12864100000000001</v>
      </c>
      <c r="E6">
        <v>-0.35237200000000002</v>
      </c>
      <c r="F6">
        <v>-5.8922000000000002E-2</v>
      </c>
      <c r="G6">
        <v>-9.178E-2</v>
      </c>
      <c r="H6">
        <v>-8.7916999999999995E-2</v>
      </c>
      <c r="I6">
        <v>-0.119878</v>
      </c>
      <c r="J6">
        <v>-0.217501</v>
      </c>
      <c r="K6">
        <v>-0.22039500000000001</v>
      </c>
      <c r="L6">
        <v>-0.18845999999999999</v>
      </c>
      <c r="M6">
        <v>-0.20477200000000001</v>
      </c>
      <c r="N6">
        <v>-0.23777300000000001</v>
      </c>
      <c r="O6">
        <v>-0.235621</v>
      </c>
      <c r="P6">
        <v>-0.269984</v>
      </c>
      <c r="Q6">
        <v>-0.24085500000000001</v>
      </c>
      <c r="R6">
        <v>-0.26444299999999998</v>
      </c>
      <c r="S6">
        <v>-0.20966799999999999</v>
      </c>
      <c r="T6">
        <v>-0.201651</v>
      </c>
      <c r="U6">
        <v>-0.181172</v>
      </c>
      <c r="V6">
        <v>-0.18579000000000001</v>
      </c>
      <c r="W6">
        <v>-0.27940500000000001</v>
      </c>
      <c r="X6">
        <v>-0.204176</v>
      </c>
      <c r="Y6">
        <v>-0.16819200000000001</v>
      </c>
      <c r="Z6">
        <v>-0.31496200000000002</v>
      </c>
      <c r="AA6">
        <v>-0.36713600000000002</v>
      </c>
      <c r="AB6">
        <v>-0.108108</v>
      </c>
    </row>
    <row r="7" spans="1:28" x14ac:dyDescent="0.2">
      <c r="A7">
        <v>19320630</v>
      </c>
      <c r="B7">
        <v>1932</v>
      </c>
      <c r="C7">
        <v>6</v>
      </c>
      <c r="D7">
        <v>0.35793900000000001</v>
      </c>
      <c r="E7">
        <v>-0.16994799999999999</v>
      </c>
      <c r="F7">
        <v>5.3018000000000003E-2</v>
      </c>
      <c r="G7">
        <v>-5.5445000000000001E-2</v>
      </c>
      <c r="H7">
        <v>-3.6624999999999998E-2</v>
      </c>
      <c r="I7">
        <v>-8.6164000000000004E-2</v>
      </c>
      <c r="J7">
        <v>-4.7937E-2</v>
      </c>
      <c r="K7">
        <v>-5.1464000000000003E-2</v>
      </c>
      <c r="L7">
        <v>0.124391</v>
      </c>
      <c r="M7">
        <v>6.5300999999999998E-2</v>
      </c>
      <c r="N7">
        <v>6.3959000000000002E-2</v>
      </c>
      <c r="O7">
        <v>4.5848E-2</v>
      </c>
      <c r="P7">
        <v>7.2774000000000005E-2</v>
      </c>
      <c r="Q7">
        <v>5.2316000000000001E-2</v>
      </c>
      <c r="R7">
        <v>9.3720000000000001E-3</v>
      </c>
      <c r="S7">
        <v>1.7482000000000001E-2</v>
      </c>
      <c r="T7">
        <v>3.4204999999999999E-2</v>
      </c>
      <c r="U7">
        <v>-4.7307000000000002E-2</v>
      </c>
      <c r="V7">
        <v>9.3776999999999999E-2</v>
      </c>
      <c r="W7">
        <v>4.7920000000000003E-3</v>
      </c>
      <c r="X7">
        <v>-3.1254999999999998E-2</v>
      </c>
      <c r="Y7">
        <v>-3.215E-3</v>
      </c>
      <c r="Z7">
        <v>5.0903999999999998E-2</v>
      </c>
      <c r="AA7">
        <v>9.1629000000000002E-2</v>
      </c>
      <c r="AB7">
        <v>0.212121</v>
      </c>
    </row>
    <row r="8" spans="1:28" x14ac:dyDescent="0.2">
      <c r="A8">
        <v>19320730</v>
      </c>
      <c r="B8">
        <v>1932</v>
      </c>
      <c r="C8">
        <v>7</v>
      </c>
      <c r="D8">
        <v>1.4750000000000001</v>
      </c>
      <c r="E8">
        <v>0.143231</v>
      </c>
      <c r="F8">
        <v>0.41726999999999997</v>
      </c>
      <c r="G8">
        <v>0.38286599999999998</v>
      </c>
      <c r="H8">
        <v>0.54779500000000003</v>
      </c>
      <c r="I8">
        <v>0.375774</v>
      </c>
      <c r="J8">
        <v>0.27665800000000002</v>
      </c>
      <c r="K8">
        <v>0.41566700000000001</v>
      </c>
      <c r="L8">
        <v>0.52574699999999996</v>
      </c>
      <c r="M8">
        <v>0.69515199999999999</v>
      </c>
      <c r="N8">
        <v>0.27476899999999999</v>
      </c>
      <c r="O8">
        <v>0.30389300000000002</v>
      </c>
      <c r="P8">
        <v>0.39620499999999997</v>
      </c>
      <c r="Q8">
        <v>0.54340500000000003</v>
      </c>
      <c r="R8">
        <v>0.68721100000000002</v>
      </c>
      <c r="S8">
        <v>0.307562</v>
      </c>
      <c r="T8">
        <v>0.31333699999999998</v>
      </c>
      <c r="U8">
        <v>0.40047700000000003</v>
      </c>
      <c r="V8">
        <v>0.68887299999999996</v>
      </c>
      <c r="W8">
        <v>0.80035800000000001</v>
      </c>
      <c r="X8">
        <v>0.26535900000000001</v>
      </c>
      <c r="Y8">
        <v>0.37205899999999997</v>
      </c>
      <c r="Z8">
        <v>0.50255899999999998</v>
      </c>
      <c r="AA8">
        <v>0.56967000000000001</v>
      </c>
      <c r="AB8">
        <v>0.98039200000000004</v>
      </c>
    </row>
    <row r="9" spans="1:28" x14ac:dyDescent="0.2">
      <c r="A9">
        <v>19320831</v>
      </c>
      <c r="B9">
        <v>1932</v>
      </c>
      <c r="C9">
        <v>8</v>
      </c>
      <c r="D9">
        <v>0.49495</v>
      </c>
      <c r="E9">
        <v>0.946241</v>
      </c>
      <c r="F9">
        <v>0.82882500000000003</v>
      </c>
      <c r="G9">
        <v>0.83839399999999997</v>
      </c>
      <c r="H9">
        <v>1.003773</v>
      </c>
      <c r="I9">
        <v>0.34384900000000002</v>
      </c>
      <c r="J9">
        <v>0.67016600000000004</v>
      </c>
      <c r="K9">
        <v>0.56444700000000003</v>
      </c>
      <c r="L9">
        <v>0.59401999999999999</v>
      </c>
      <c r="M9">
        <v>0.89972399999999997</v>
      </c>
      <c r="N9">
        <v>0.54659500000000005</v>
      </c>
      <c r="O9">
        <v>0.397036</v>
      </c>
      <c r="P9">
        <v>0.46871600000000002</v>
      </c>
      <c r="Q9">
        <v>0.69405300000000003</v>
      </c>
      <c r="R9">
        <v>0.74379200000000001</v>
      </c>
      <c r="S9">
        <v>0.29230099999999998</v>
      </c>
      <c r="T9">
        <v>0.43706600000000001</v>
      </c>
      <c r="U9">
        <v>0.65877799999999997</v>
      </c>
      <c r="V9">
        <v>0.63562300000000005</v>
      </c>
      <c r="W9">
        <v>0.86604000000000003</v>
      </c>
      <c r="X9">
        <v>0.30922100000000002</v>
      </c>
      <c r="Y9">
        <v>0.35184100000000001</v>
      </c>
      <c r="Z9">
        <v>0.47449599999999997</v>
      </c>
      <c r="AA9">
        <v>0.52043499999999998</v>
      </c>
      <c r="AB9">
        <v>0.65346499999999996</v>
      </c>
    </row>
    <row r="10" spans="1:28" x14ac:dyDescent="0.2">
      <c r="A10">
        <v>19320930</v>
      </c>
      <c r="B10">
        <v>1932</v>
      </c>
      <c r="C10">
        <v>9</v>
      </c>
      <c r="D10">
        <v>-0.27027000000000001</v>
      </c>
      <c r="E10">
        <v>-0.11060300000000001</v>
      </c>
      <c r="F10">
        <v>-0.163193</v>
      </c>
      <c r="G10">
        <v>-4.5547999999999998E-2</v>
      </c>
      <c r="H10">
        <v>-0.17135600000000001</v>
      </c>
      <c r="I10">
        <v>-7.1739999999999998E-3</v>
      </c>
      <c r="J10">
        <v>-6.3691999999999999E-2</v>
      </c>
      <c r="K10">
        <v>-5.4913999999999998E-2</v>
      </c>
      <c r="L10">
        <v>-8.2333000000000003E-2</v>
      </c>
      <c r="M10">
        <v>-0.12596599999999999</v>
      </c>
      <c r="N10">
        <v>-5.2401000000000003E-2</v>
      </c>
      <c r="O10">
        <v>-7.8091999999999995E-2</v>
      </c>
      <c r="P10">
        <v>-2.7272000000000001E-2</v>
      </c>
      <c r="Q10">
        <v>-0.118534</v>
      </c>
      <c r="R10">
        <v>-9.4062000000000007E-2</v>
      </c>
      <c r="S10">
        <v>6.5760000000000002E-3</v>
      </c>
      <c r="T10">
        <v>-4.4290000000000003E-2</v>
      </c>
      <c r="U10">
        <v>-8.4416000000000005E-2</v>
      </c>
      <c r="V10">
        <v>-6.9258E-2</v>
      </c>
      <c r="W10">
        <v>-8.9043999999999998E-2</v>
      </c>
      <c r="X10">
        <v>5.1009999999999996E-3</v>
      </c>
      <c r="Y10">
        <v>-6.4865999999999993E-2</v>
      </c>
      <c r="Z10">
        <v>-8.4468000000000001E-2</v>
      </c>
      <c r="AA10">
        <v>-2.8222000000000001E-2</v>
      </c>
      <c r="AB10">
        <v>0.15568899999999999</v>
      </c>
    </row>
    <row r="11" spans="1:28" x14ac:dyDescent="0.2">
      <c r="A11">
        <v>19321031</v>
      </c>
      <c r="B11">
        <v>1932</v>
      </c>
      <c r="C11">
        <v>10</v>
      </c>
      <c r="D11">
        <v>-9.2592999999999995E-2</v>
      </c>
      <c r="E11">
        <v>-0.13177900000000001</v>
      </c>
      <c r="F11">
        <v>-0.264345</v>
      </c>
      <c r="G11">
        <v>-0.20361000000000001</v>
      </c>
      <c r="H11">
        <v>-0.19791500000000001</v>
      </c>
      <c r="I11">
        <v>-0.12443899999999999</v>
      </c>
      <c r="J11">
        <v>-0.219808</v>
      </c>
      <c r="K11">
        <v>-0.17327300000000001</v>
      </c>
      <c r="L11">
        <v>-0.24488799999999999</v>
      </c>
      <c r="M11">
        <v>-0.22500800000000001</v>
      </c>
      <c r="N11">
        <v>-0.147872</v>
      </c>
      <c r="O11">
        <v>-0.158912</v>
      </c>
      <c r="P11">
        <v>-0.21371200000000001</v>
      </c>
      <c r="Q11">
        <v>-0.23626</v>
      </c>
      <c r="R11">
        <v>-0.25698900000000002</v>
      </c>
      <c r="S11">
        <v>-0.110973</v>
      </c>
      <c r="T11">
        <v>-0.17868200000000001</v>
      </c>
      <c r="U11">
        <v>-0.19208800000000001</v>
      </c>
      <c r="V11">
        <v>-0.203455</v>
      </c>
      <c r="W11">
        <v>-0.25691700000000001</v>
      </c>
      <c r="X11">
        <v>-0.113331</v>
      </c>
      <c r="Y11">
        <v>-9.7989999999999994E-2</v>
      </c>
      <c r="Z11">
        <v>-0.15334600000000001</v>
      </c>
      <c r="AA11">
        <v>-0.19389300000000001</v>
      </c>
      <c r="AB11">
        <v>-0.30051800000000001</v>
      </c>
    </row>
    <row r="12" spans="1:28" x14ac:dyDescent="0.2">
      <c r="A12">
        <v>19321130</v>
      </c>
      <c r="B12">
        <v>1932</v>
      </c>
      <c r="C12">
        <v>11</v>
      </c>
      <c r="D12">
        <v>-0.26530599999999999</v>
      </c>
      <c r="E12">
        <v>-0.13295799999999999</v>
      </c>
      <c r="F12">
        <v>-8.2867999999999997E-2</v>
      </c>
      <c r="G12">
        <v>-0.107934</v>
      </c>
      <c r="H12">
        <v>-7.3120000000000004E-2</v>
      </c>
      <c r="I12">
        <v>-3.9726999999999998E-2</v>
      </c>
      <c r="J12">
        <v>-7.5772999999999993E-2</v>
      </c>
      <c r="K12">
        <v>-8.5017999999999996E-2</v>
      </c>
      <c r="L12">
        <v>-7.9144999999999993E-2</v>
      </c>
      <c r="M12">
        <v>-0.17438000000000001</v>
      </c>
      <c r="N12">
        <v>-3.7696E-2</v>
      </c>
      <c r="O12">
        <v>-1.1263E-2</v>
      </c>
      <c r="P12">
        <v>-8.6183999999999997E-2</v>
      </c>
      <c r="Q12">
        <v>-0.111244</v>
      </c>
      <c r="R12">
        <v>-0.15105199999999999</v>
      </c>
      <c r="S12">
        <v>2.504E-2</v>
      </c>
      <c r="T12">
        <v>-5.0821999999999999E-2</v>
      </c>
      <c r="U12">
        <v>-9.2355999999999994E-2</v>
      </c>
      <c r="V12">
        <v>-0.15301699999999999</v>
      </c>
      <c r="W12">
        <v>-0.19983000000000001</v>
      </c>
      <c r="X12">
        <v>-3.2596E-2</v>
      </c>
      <c r="Y12">
        <v>-1.8592999999999998E-2</v>
      </c>
      <c r="Z12">
        <v>-0.103618</v>
      </c>
      <c r="AA12">
        <v>-8.4886000000000003E-2</v>
      </c>
      <c r="AB12">
        <v>-0.31111100000000003</v>
      </c>
    </row>
    <row r="13" spans="1:28" x14ac:dyDescent="0.2">
      <c r="A13">
        <v>19321231</v>
      </c>
      <c r="B13">
        <v>1932</v>
      </c>
      <c r="C13">
        <v>12</v>
      </c>
      <c r="D13">
        <v>6.9444000000000006E-2</v>
      </c>
      <c r="E13">
        <v>-0.118895</v>
      </c>
      <c r="F13">
        <v>-2.5648000000000001E-2</v>
      </c>
      <c r="G13">
        <v>-0.126054</v>
      </c>
      <c r="H13">
        <v>-0.162939</v>
      </c>
      <c r="I13">
        <v>-0.18731100000000001</v>
      </c>
      <c r="J13">
        <v>-0.16282099999999999</v>
      </c>
      <c r="K13">
        <v>-2.7539000000000001E-2</v>
      </c>
      <c r="L13">
        <v>-0.117536</v>
      </c>
      <c r="M13">
        <v>-7.5907000000000002E-2</v>
      </c>
      <c r="N13">
        <v>-2.2114000000000002E-2</v>
      </c>
      <c r="O13">
        <v>3.1719999999999998E-2</v>
      </c>
      <c r="P13">
        <v>1.1864E-2</v>
      </c>
      <c r="Q13">
        <v>-4.7687E-2</v>
      </c>
      <c r="R13">
        <v>-6.6153000000000003E-2</v>
      </c>
      <c r="S13">
        <v>4.002E-2</v>
      </c>
      <c r="T13">
        <v>1.585E-3</v>
      </c>
      <c r="U13">
        <v>1.2677000000000001E-2</v>
      </c>
      <c r="V13">
        <v>5.3509999999999999E-3</v>
      </c>
      <c r="W13">
        <v>-9.9336999999999995E-2</v>
      </c>
      <c r="X13">
        <v>7.2392999999999999E-2</v>
      </c>
      <c r="Y13">
        <v>7.3672000000000001E-2</v>
      </c>
      <c r="Z13">
        <v>1.5565000000000001E-2</v>
      </c>
      <c r="AA13">
        <v>-7.5496999999999995E-2</v>
      </c>
      <c r="AB13">
        <v>0.15053800000000001</v>
      </c>
    </row>
    <row r="14" spans="1:28" x14ac:dyDescent="0.2">
      <c r="A14">
        <v>19330131</v>
      </c>
      <c r="B14">
        <v>1933</v>
      </c>
      <c r="C14">
        <v>1</v>
      </c>
      <c r="D14">
        <v>0.57142899999999996</v>
      </c>
      <c r="E14">
        <v>-9.4560000000000009E-3</v>
      </c>
      <c r="F14">
        <v>1.5203E-2</v>
      </c>
      <c r="G14">
        <v>-7.1321999999999997E-2</v>
      </c>
      <c r="H14">
        <v>3.6981E-2</v>
      </c>
      <c r="I14">
        <v>7.5439999999999993E-2</v>
      </c>
      <c r="J14">
        <v>6.0150000000000002E-2</v>
      </c>
      <c r="K14">
        <v>3.5922999999999997E-2</v>
      </c>
      <c r="L14">
        <v>5.5088999999999999E-2</v>
      </c>
      <c r="M14">
        <v>7.6262999999999997E-2</v>
      </c>
      <c r="N14">
        <v>1.512E-2</v>
      </c>
      <c r="O14">
        <v>6.8342E-2</v>
      </c>
      <c r="P14">
        <v>2.2287999999999999E-2</v>
      </c>
      <c r="Q14">
        <v>3.4729999999999997E-2</v>
      </c>
      <c r="R14">
        <v>0.12815399999999999</v>
      </c>
      <c r="S14">
        <v>2.3969000000000001E-2</v>
      </c>
      <c r="T14">
        <v>3.4547000000000001E-2</v>
      </c>
      <c r="U14">
        <v>4.5110999999999998E-2</v>
      </c>
      <c r="V14">
        <v>6.0006999999999998E-2</v>
      </c>
      <c r="W14">
        <v>0.16531499999999999</v>
      </c>
      <c r="X14">
        <v>-3.1229999999999999E-3</v>
      </c>
      <c r="Y14">
        <v>-4.4169999999999999E-3</v>
      </c>
      <c r="Z14">
        <v>4.7567999999999999E-2</v>
      </c>
      <c r="AA14">
        <v>3.9118E-2</v>
      </c>
      <c r="AB14">
        <v>0.149533</v>
      </c>
    </row>
    <row r="15" spans="1:28" x14ac:dyDescent="0.2">
      <c r="A15">
        <v>19330228</v>
      </c>
      <c r="B15">
        <v>1933</v>
      </c>
      <c r="C15">
        <v>2</v>
      </c>
      <c r="D15">
        <v>-0.44628099999999998</v>
      </c>
      <c r="E15">
        <v>-0.18831999999999999</v>
      </c>
      <c r="F15">
        <v>-0.179897</v>
      </c>
      <c r="G15">
        <v>-0.14526500000000001</v>
      </c>
      <c r="H15">
        <v>-0.15903400000000001</v>
      </c>
      <c r="I15">
        <v>-0.26773999999999998</v>
      </c>
      <c r="J15">
        <v>-0.26675599999999999</v>
      </c>
      <c r="K15">
        <v>-0.20124</v>
      </c>
      <c r="L15">
        <v>-0.201491</v>
      </c>
      <c r="M15">
        <v>-0.21074899999999999</v>
      </c>
      <c r="N15">
        <v>-0.16531100000000001</v>
      </c>
      <c r="O15">
        <v>-0.176144</v>
      </c>
      <c r="P15">
        <v>-0.184226</v>
      </c>
      <c r="Q15">
        <v>-0.196631</v>
      </c>
      <c r="R15">
        <v>-0.19789200000000001</v>
      </c>
      <c r="S15">
        <v>-0.13375200000000001</v>
      </c>
      <c r="T15">
        <v>-0.16295799999999999</v>
      </c>
      <c r="U15">
        <v>-0.137937</v>
      </c>
      <c r="V15">
        <v>-0.124654</v>
      </c>
      <c r="W15">
        <v>-0.22972600000000001</v>
      </c>
      <c r="X15">
        <v>-0.14685799999999999</v>
      </c>
      <c r="Y15">
        <v>-0.172065</v>
      </c>
      <c r="Z15">
        <v>-0.15269199999999999</v>
      </c>
      <c r="AA15">
        <v>-0.17534</v>
      </c>
      <c r="AB15">
        <v>-0.24390200000000001</v>
      </c>
    </row>
    <row r="16" spans="1:28" x14ac:dyDescent="0.2">
      <c r="A16">
        <v>19330331</v>
      </c>
      <c r="B16">
        <v>1933</v>
      </c>
      <c r="C16">
        <v>3</v>
      </c>
      <c r="D16">
        <v>-0.16417899999999999</v>
      </c>
      <c r="E16">
        <v>7.1789000000000006E-2</v>
      </c>
      <c r="F16">
        <v>-4.8468999999999998E-2</v>
      </c>
      <c r="G16">
        <v>5.6542000000000002E-2</v>
      </c>
      <c r="H16">
        <v>0.185025</v>
      </c>
      <c r="I16">
        <v>0.142512</v>
      </c>
      <c r="J16">
        <v>0.101934</v>
      </c>
      <c r="K16">
        <v>3.2118000000000001E-2</v>
      </c>
      <c r="L16">
        <v>0.13074</v>
      </c>
      <c r="M16">
        <v>0.21981400000000001</v>
      </c>
      <c r="N16">
        <v>2.5599999999999999E-4</v>
      </c>
      <c r="O16">
        <v>0.102408</v>
      </c>
      <c r="P16">
        <v>6.1690000000000002E-2</v>
      </c>
      <c r="Q16">
        <v>0.14793100000000001</v>
      </c>
      <c r="R16">
        <v>8.7235999999999994E-2</v>
      </c>
      <c r="S16">
        <v>0.104075</v>
      </c>
      <c r="T16">
        <v>0.11819300000000001</v>
      </c>
      <c r="U16">
        <v>0.15873899999999999</v>
      </c>
      <c r="V16">
        <v>0.101285</v>
      </c>
      <c r="W16">
        <v>7.9910999999999996E-2</v>
      </c>
      <c r="X16">
        <v>-1.5070000000000001E-3</v>
      </c>
      <c r="Y16">
        <v>5.3379999999999997E-2</v>
      </c>
      <c r="Z16">
        <v>6.4449999999999993E-2</v>
      </c>
      <c r="AA16">
        <v>7.6359999999999997E-2</v>
      </c>
      <c r="AB16">
        <v>7.5269000000000003E-2</v>
      </c>
    </row>
    <row r="17" spans="1:28" x14ac:dyDescent="0.2">
      <c r="A17">
        <v>19330429</v>
      </c>
      <c r="B17">
        <v>1933</v>
      </c>
      <c r="C17">
        <v>4</v>
      </c>
      <c r="D17">
        <v>7.1429000000000006E-2</v>
      </c>
      <c r="E17">
        <v>0.50531599999999999</v>
      </c>
      <c r="F17">
        <v>0.78524700000000003</v>
      </c>
      <c r="G17">
        <v>0.484433</v>
      </c>
      <c r="H17">
        <v>0.48238700000000001</v>
      </c>
      <c r="I17">
        <v>0.28234500000000001</v>
      </c>
      <c r="J17">
        <v>0.46298499999999998</v>
      </c>
      <c r="K17">
        <v>0.62437399999999998</v>
      </c>
      <c r="L17">
        <v>0.63847900000000002</v>
      </c>
      <c r="M17">
        <v>0.53249400000000002</v>
      </c>
      <c r="N17">
        <v>0.47175499999999998</v>
      </c>
      <c r="O17">
        <v>0.399642</v>
      </c>
      <c r="P17">
        <v>0.60893200000000003</v>
      </c>
      <c r="Q17">
        <v>0.53862900000000002</v>
      </c>
      <c r="R17">
        <v>0.63946499999999995</v>
      </c>
      <c r="S17">
        <v>0.35235499999999997</v>
      </c>
      <c r="T17">
        <v>0.53583800000000004</v>
      </c>
      <c r="U17">
        <v>0.55462299999999998</v>
      </c>
      <c r="V17">
        <v>0.44356699999999999</v>
      </c>
      <c r="W17">
        <v>0.74451800000000001</v>
      </c>
      <c r="X17">
        <v>0.32559500000000002</v>
      </c>
      <c r="Y17">
        <v>0.39350200000000002</v>
      </c>
      <c r="Z17">
        <v>0.46981099999999998</v>
      </c>
      <c r="AA17">
        <v>0.60734299999999997</v>
      </c>
      <c r="AB17">
        <v>0.52</v>
      </c>
    </row>
    <row r="18" spans="1:28" x14ac:dyDescent="0.2">
      <c r="A18">
        <v>19330531</v>
      </c>
      <c r="B18">
        <v>1933</v>
      </c>
      <c r="C18">
        <v>5</v>
      </c>
      <c r="D18">
        <v>0.73333300000000001</v>
      </c>
      <c r="E18">
        <v>1.2604679999999999</v>
      </c>
      <c r="F18">
        <v>0.69136799999999998</v>
      </c>
      <c r="G18">
        <v>1.031955</v>
      </c>
      <c r="H18">
        <v>1.0050490000000001</v>
      </c>
      <c r="I18">
        <v>0.76496200000000003</v>
      </c>
      <c r="J18">
        <v>0.78117899999999996</v>
      </c>
      <c r="K18">
        <v>0.75512400000000002</v>
      </c>
      <c r="L18">
        <v>0.80319099999999999</v>
      </c>
      <c r="M18">
        <v>0.58135199999999998</v>
      </c>
      <c r="N18">
        <v>0.56971300000000002</v>
      </c>
      <c r="O18">
        <v>0.38916400000000001</v>
      </c>
      <c r="P18">
        <v>0.432502</v>
      </c>
      <c r="Q18">
        <v>0.58510899999999999</v>
      </c>
      <c r="R18">
        <v>0.51179300000000005</v>
      </c>
      <c r="S18">
        <v>0.22799900000000001</v>
      </c>
      <c r="T18">
        <v>0.32392399999999999</v>
      </c>
      <c r="U18">
        <v>0.33249899999999999</v>
      </c>
      <c r="V18">
        <v>0.40192600000000001</v>
      </c>
      <c r="W18">
        <v>0.62842200000000004</v>
      </c>
      <c r="X18">
        <v>0.17268700000000001</v>
      </c>
      <c r="Y18">
        <v>0.143952</v>
      </c>
      <c r="Z18">
        <v>0.21251500000000001</v>
      </c>
      <c r="AA18">
        <v>0.328179</v>
      </c>
      <c r="AB18">
        <v>0.25</v>
      </c>
    </row>
    <row r="19" spans="1:28" x14ac:dyDescent="0.2">
      <c r="A19">
        <v>19330630</v>
      </c>
      <c r="B19">
        <v>1933</v>
      </c>
      <c r="C19">
        <v>6</v>
      </c>
      <c r="D19">
        <v>0.730769</v>
      </c>
      <c r="E19">
        <v>0.60314199999999996</v>
      </c>
      <c r="F19">
        <v>0.42477399999999998</v>
      </c>
      <c r="G19">
        <v>0.27274300000000001</v>
      </c>
      <c r="H19">
        <v>0.24327099999999999</v>
      </c>
      <c r="I19">
        <v>0.23527400000000001</v>
      </c>
      <c r="J19">
        <v>0.15390400000000001</v>
      </c>
      <c r="K19">
        <v>0.22231300000000001</v>
      </c>
      <c r="L19">
        <v>0.19847200000000001</v>
      </c>
      <c r="M19">
        <v>0.18979799999999999</v>
      </c>
      <c r="N19">
        <v>0.29057100000000002</v>
      </c>
      <c r="O19">
        <v>0.136017</v>
      </c>
      <c r="P19">
        <v>0.149144</v>
      </c>
      <c r="Q19">
        <v>0.17388000000000001</v>
      </c>
      <c r="R19">
        <v>0.33282600000000001</v>
      </c>
      <c r="S19">
        <v>0.124047</v>
      </c>
      <c r="T19">
        <v>0.12606899999999999</v>
      </c>
      <c r="U19">
        <v>0.14446800000000001</v>
      </c>
      <c r="V19">
        <v>0.176313</v>
      </c>
      <c r="W19">
        <v>0.148337</v>
      </c>
      <c r="X19">
        <v>0.111486</v>
      </c>
      <c r="Y19">
        <v>0.13203000000000001</v>
      </c>
      <c r="Z19">
        <v>0.14802299999999999</v>
      </c>
      <c r="AA19">
        <v>0.207261</v>
      </c>
      <c r="AB19">
        <v>4.7368E-2</v>
      </c>
    </row>
    <row r="20" spans="1:28" x14ac:dyDescent="0.2">
      <c r="A20">
        <v>19330731</v>
      </c>
      <c r="B20">
        <v>1933</v>
      </c>
      <c r="C20">
        <v>7</v>
      </c>
      <c r="D20">
        <v>-3.2258000000000002E-2</v>
      </c>
      <c r="E20">
        <v>-0.11938500000000001</v>
      </c>
      <c r="F20">
        <v>-8.1091999999999997E-2</v>
      </c>
      <c r="G20">
        <v>-1.4308E-2</v>
      </c>
      <c r="H20">
        <v>-6.3530000000000003E-2</v>
      </c>
      <c r="I20">
        <v>-9.6924999999999997E-2</v>
      </c>
      <c r="J20">
        <v>-0.15632599999999999</v>
      </c>
      <c r="K20">
        <v>-9.6433000000000005E-2</v>
      </c>
      <c r="L20">
        <v>-0.11655699999999999</v>
      </c>
      <c r="M20">
        <v>1.2016000000000001E-2</v>
      </c>
      <c r="N20">
        <v>-9.4050999999999996E-2</v>
      </c>
      <c r="O20">
        <v>-0.14535899999999999</v>
      </c>
      <c r="P20">
        <v>-0.137128</v>
      </c>
      <c r="Q20">
        <v>-0.16705900000000001</v>
      </c>
      <c r="R20">
        <v>-0.18004899999999999</v>
      </c>
      <c r="S20">
        <v>-0.10190399999999999</v>
      </c>
      <c r="T20">
        <v>-9.5286999999999997E-2</v>
      </c>
      <c r="U20">
        <v>-0.14724499999999999</v>
      </c>
      <c r="V20">
        <v>-0.117434</v>
      </c>
      <c r="W20">
        <v>-6.5447000000000005E-2</v>
      </c>
      <c r="X20">
        <v>-8.4245E-2</v>
      </c>
      <c r="Y20">
        <v>-0.114914</v>
      </c>
      <c r="Z20">
        <v>-0.121215</v>
      </c>
      <c r="AA20">
        <v>-0.10151399999999999</v>
      </c>
      <c r="AB20">
        <v>-7.5875999999999999E-2</v>
      </c>
    </row>
    <row r="21" spans="1:28" x14ac:dyDescent="0.2">
      <c r="A21">
        <v>19330831</v>
      </c>
      <c r="B21">
        <v>1933</v>
      </c>
      <c r="C21">
        <v>8</v>
      </c>
      <c r="D21">
        <v>0</v>
      </c>
      <c r="E21">
        <v>7.3704000000000006E-2</v>
      </c>
      <c r="F21">
        <v>4.7988000000000003E-2</v>
      </c>
      <c r="G21">
        <v>5.7985000000000002E-2</v>
      </c>
      <c r="H21">
        <v>1.5506000000000001E-2</v>
      </c>
      <c r="I21">
        <v>6.1015E-2</v>
      </c>
      <c r="J21">
        <v>8.6982000000000004E-2</v>
      </c>
      <c r="K21">
        <v>0.100746</v>
      </c>
      <c r="L21">
        <v>7.3690000000000005E-2</v>
      </c>
      <c r="M21">
        <v>6.4516000000000004E-2</v>
      </c>
      <c r="N21">
        <v>0.12565799999999999</v>
      </c>
      <c r="O21">
        <v>0.19409399999999999</v>
      </c>
      <c r="P21">
        <v>0.145541</v>
      </c>
      <c r="Q21">
        <v>0.12668599999999999</v>
      </c>
      <c r="R21">
        <v>0.16355600000000001</v>
      </c>
      <c r="S21">
        <v>0.14835799999999999</v>
      </c>
      <c r="T21">
        <v>0.16770599999999999</v>
      </c>
      <c r="U21">
        <v>0.14508499999999999</v>
      </c>
      <c r="V21">
        <v>0.17469999999999999</v>
      </c>
      <c r="W21">
        <v>0.213286</v>
      </c>
      <c r="X21">
        <v>8.8206999999999994E-2</v>
      </c>
      <c r="Y21">
        <v>0.164269</v>
      </c>
      <c r="Z21">
        <v>0.157637</v>
      </c>
      <c r="AA21">
        <v>0.137014</v>
      </c>
      <c r="AB21">
        <v>0.23655000000000001</v>
      </c>
    </row>
    <row r="22" spans="1:28" x14ac:dyDescent="0.2">
      <c r="A22">
        <v>19330930</v>
      </c>
      <c r="B22">
        <v>1933</v>
      </c>
      <c r="C22">
        <v>9</v>
      </c>
      <c r="D22">
        <v>-0.16666700000000001</v>
      </c>
      <c r="E22">
        <v>-0.13086300000000001</v>
      </c>
      <c r="F22">
        <v>-0.19889000000000001</v>
      </c>
      <c r="G22">
        <v>-0.16875799999999999</v>
      </c>
      <c r="H22">
        <v>-0.170381</v>
      </c>
      <c r="I22">
        <v>-3.091E-2</v>
      </c>
      <c r="J22">
        <v>-0.11291900000000001</v>
      </c>
      <c r="K22">
        <v>-0.171874</v>
      </c>
      <c r="L22">
        <v>-0.128084</v>
      </c>
      <c r="M22">
        <v>-0.26168599999999997</v>
      </c>
      <c r="N22">
        <v>-0.13533100000000001</v>
      </c>
      <c r="O22">
        <v>-8.6121000000000003E-2</v>
      </c>
      <c r="P22">
        <v>-0.137347</v>
      </c>
      <c r="Q22">
        <v>-0.15468199999999999</v>
      </c>
      <c r="R22">
        <v>-0.25675500000000001</v>
      </c>
      <c r="S22">
        <v>-6.4791000000000001E-2</v>
      </c>
      <c r="T22">
        <v>-0.111224</v>
      </c>
      <c r="U22">
        <v>-0.178004</v>
      </c>
      <c r="V22">
        <v>-9.9278000000000005E-2</v>
      </c>
      <c r="W22">
        <v>-0.22087100000000001</v>
      </c>
      <c r="X22">
        <v>-9.8921999999999996E-2</v>
      </c>
      <c r="Y22">
        <v>-7.0856000000000002E-2</v>
      </c>
      <c r="Z22">
        <v>-0.115409</v>
      </c>
      <c r="AA22">
        <v>-0.173735</v>
      </c>
      <c r="AB22">
        <v>-0.272596</v>
      </c>
    </row>
    <row r="23" spans="1:28" x14ac:dyDescent="0.2">
      <c r="A23">
        <v>19331031</v>
      </c>
      <c r="B23">
        <v>1933</v>
      </c>
      <c r="C23">
        <v>10</v>
      </c>
      <c r="D23">
        <v>-0.12</v>
      </c>
      <c r="E23">
        <v>-0.155561</v>
      </c>
      <c r="F23">
        <v>-6.0883E-2</v>
      </c>
      <c r="G23">
        <v>-0.101865</v>
      </c>
      <c r="H23">
        <v>-0.16093199999999999</v>
      </c>
      <c r="I23">
        <v>-0.12346799999999999</v>
      </c>
      <c r="J23">
        <v>-9.7684000000000007E-2</v>
      </c>
      <c r="K23">
        <v>-0.13529099999999999</v>
      </c>
      <c r="L23">
        <v>-0.13122200000000001</v>
      </c>
      <c r="M23">
        <v>-8.9747999999999994E-2</v>
      </c>
      <c r="N23">
        <v>-7.1621000000000004E-2</v>
      </c>
      <c r="O23">
        <v>-8.8985999999999996E-2</v>
      </c>
      <c r="P23">
        <v>-0.127307</v>
      </c>
      <c r="Q23">
        <v>-0.15052099999999999</v>
      </c>
      <c r="R23">
        <v>-0.146649</v>
      </c>
      <c r="S23">
        <v>-4.6365000000000003E-2</v>
      </c>
      <c r="T23">
        <v>-7.6930999999999999E-2</v>
      </c>
      <c r="U23">
        <v>-0.102184</v>
      </c>
      <c r="V23">
        <v>-0.14582999999999999</v>
      </c>
      <c r="W23">
        <v>-0.191997</v>
      </c>
      <c r="X23">
        <v>-6.7923999999999998E-2</v>
      </c>
      <c r="Y23">
        <v>-4.6871000000000003E-2</v>
      </c>
      <c r="Z23">
        <v>-0.10789799999999999</v>
      </c>
      <c r="AA23">
        <v>-0.17429</v>
      </c>
      <c r="AB23">
        <v>-0.191524</v>
      </c>
    </row>
    <row r="24" spans="1:28" x14ac:dyDescent="0.2">
      <c r="A24">
        <v>19331129</v>
      </c>
      <c r="B24">
        <v>1933</v>
      </c>
      <c r="C24">
        <v>11</v>
      </c>
      <c r="D24">
        <v>0</v>
      </c>
      <c r="E24">
        <v>3.1601999999999998E-2</v>
      </c>
      <c r="F24">
        <v>-1.4531000000000001E-2</v>
      </c>
      <c r="G24">
        <v>0.12159399999999999</v>
      </c>
      <c r="H24">
        <v>8.7086999999999998E-2</v>
      </c>
      <c r="I24">
        <v>2.7473999999999998E-2</v>
      </c>
      <c r="J24">
        <v>7.1067000000000005E-2</v>
      </c>
      <c r="K24">
        <v>3.9725999999999997E-2</v>
      </c>
      <c r="L24">
        <v>7.6369000000000006E-2</v>
      </c>
      <c r="M24">
        <v>-1.905E-3</v>
      </c>
      <c r="N24">
        <v>6.9345000000000004E-2</v>
      </c>
      <c r="O24">
        <v>5.0098999999999998E-2</v>
      </c>
      <c r="P24">
        <v>7.9388E-2</v>
      </c>
      <c r="Q24">
        <v>4.3385E-2</v>
      </c>
      <c r="R24">
        <v>0.10079299999999999</v>
      </c>
      <c r="S24">
        <v>5.3175E-2</v>
      </c>
      <c r="T24">
        <v>0.114481</v>
      </c>
      <c r="U24">
        <v>7.3812000000000003E-2</v>
      </c>
      <c r="V24">
        <v>9.1371999999999995E-2</v>
      </c>
      <c r="W24">
        <v>0.109693</v>
      </c>
      <c r="X24">
        <v>9.9667000000000006E-2</v>
      </c>
      <c r="Y24">
        <v>0.10063800000000001</v>
      </c>
      <c r="Z24">
        <v>0.142458</v>
      </c>
      <c r="AA24">
        <v>0.153305</v>
      </c>
      <c r="AB24">
        <v>9.1553999999999996E-2</v>
      </c>
    </row>
    <row r="25" spans="1:28" x14ac:dyDescent="0.2">
      <c r="A25">
        <v>19331230</v>
      </c>
      <c r="B25">
        <v>1933</v>
      </c>
      <c r="C25">
        <v>12</v>
      </c>
      <c r="D25">
        <v>-0.36363600000000001</v>
      </c>
      <c r="E25">
        <v>-2.9947000000000001E-2</v>
      </c>
      <c r="F25">
        <v>-7.6440999999999995E-2</v>
      </c>
      <c r="G25">
        <v>-1.6567999999999999E-2</v>
      </c>
      <c r="H25">
        <v>2.6370999999999999E-2</v>
      </c>
      <c r="I25">
        <v>0.106117</v>
      </c>
      <c r="J25">
        <v>7.6397000000000007E-2</v>
      </c>
      <c r="K25">
        <v>7.5132000000000004E-2</v>
      </c>
      <c r="L25">
        <v>-2.1142000000000001E-2</v>
      </c>
      <c r="M25">
        <v>-1.0289E-2</v>
      </c>
      <c r="N25">
        <v>-6.6880000000000004E-3</v>
      </c>
      <c r="O25">
        <v>3.2294000000000003E-2</v>
      </c>
      <c r="P25">
        <v>7.0191000000000003E-2</v>
      </c>
      <c r="Q25">
        <v>3.6329E-2</v>
      </c>
      <c r="R25">
        <v>5.3274000000000002E-2</v>
      </c>
      <c r="S25">
        <v>3.153E-3</v>
      </c>
      <c r="T25">
        <v>1.6666E-2</v>
      </c>
      <c r="U25">
        <v>8.3955000000000002E-2</v>
      </c>
      <c r="V25">
        <v>-1.2411E-2</v>
      </c>
      <c r="W25">
        <v>7.6462000000000002E-2</v>
      </c>
      <c r="X25">
        <v>1.8935E-2</v>
      </c>
      <c r="Y25">
        <v>1.8533999999999998E-2</v>
      </c>
      <c r="Z25">
        <v>6.4380000000000001E-3</v>
      </c>
      <c r="AA25">
        <v>5.4488000000000002E-2</v>
      </c>
      <c r="AB25">
        <v>7.9202999999999996E-2</v>
      </c>
    </row>
    <row r="26" spans="1:28" x14ac:dyDescent="0.2">
      <c r="A26">
        <v>19340131</v>
      </c>
      <c r="B26">
        <v>1934</v>
      </c>
      <c r="C26">
        <v>1</v>
      </c>
      <c r="D26">
        <v>1</v>
      </c>
      <c r="E26">
        <v>0.44815700000000003</v>
      </c>
      <c r="F26">
        <v>0.46157599999999999</v>
      </c>
      <c r="G26">
        <v>0.40191399999999999</v>
      </c>
      <c r="H26">
        <v>0.40941699999999998</v>
      </c>
      <c r="I26">
        <v>0.24718699999999999</v>
      </c>
      <c r="J26">
        <v>0.198573</v>
      </c>
      <c r="K26">
        <v>0.317635</v>
      </c>
      <c r="L26">
        <v>0.31862400000000002</v>
      </c>
      <c r="M26">
        <v>0.50057700000000005</v>
      </c>
      <c r="N26">
        <v>0.45678600000000003</v>
      </c>
      <c r="O26">
        <v>0.200965</v>
      </c>
      <c r="P26">
        <v>0.256602</v>
      </c>
      <c r="Q26">
        <v>0.25300499999999998</v>
      </c>
      <c r="R26">
        <v>0.32278000000000001</v>
      </c>
      <c r="S26">
        <v>0.115811</v>
      </c>
      <c r="T26">
        <v>0.14041300000000001</v>
      </c>
      <c r="U26">
        <v>0.25551400000000002</v>
      </c>
      <c r="V26">
        <v>0.203429</v>
      </c>
      <c r="W26">
        <v>0.28864099999999998</v>
      </c>
      <c r="X26">
        <v>9.7599000000000005E-2</v>
      </c>
      <c r="Y26">
        <v>9.4686999999999993E-2</v>
      </c>
      <c r="Z26">
        <v>0.160582</v>
      </c>
      <c r="AA26">
        <v>0.17191999999999999</v>
      </c>
      <c r="AB26">
        <v>0.37913000000000002</v>
      </c>
    </row>
    <row r="27" spans="1:28" x14ac:dyDescent="0.2">
      <c r="A27">
        <v>19340228</v>
      </c>
      <c r="B27">
        <v>1934</v>
      </c>
      <c r="C27">
        <v>2</v>
      </c>
      <c r="D27">
        <v>-0.14285700000000001</v>
      </c>
      <c r="E27">
        <v>0.12077499999999999</v>
      </c>
      <c r="F27">
        <v>3.8473E-2</v>
      </c>
      <c r="G27">
        <v>0.121266</v>
      </c>
      <c r="H27">
        <v>6.2322000000000002E-2</v>
      </c>
      <c r="I27">
        <v>2.4841999999999999E-2</v>
      </c>
      <c r="J27">
        <v>1.1023E-2</v>
      </c>
      <c r="K27">
        <v>3.0485999999999999E-2</v>
      </c>
      <c r="L27">
        <v>-1.2087000000000001E-2</v>
      </c>
      <c r="M27">
        <v>9.3432000000000001E-2</v>
      </c>
      <c r="N27">
        <v>2.859E-3</v>
      </c>
      <c r="O27">
        <v>1.6156E-2</v>
      </c>
      <c r="P27">
        <v>4.3698000000000001E-2</v>
      </c>
      <c r="Q27">
        <v>3.5792999999999998E-2</v>
      </c>
      <c r="R27">
        <v>3.9639999999999996E-3</v>
      </c>
      <c r="S27">
        <v>-3.2340000000000001E-2</v>
      </c>
      <c r="T27">
        <v>-1.2803999999999999E-2</v>
      </c>
      <c r="U27">
        <v>-3.0727999999999998E-2</v>
      </c>
      <c r="V27">
        <v>8.0420000000000005E-3</v>
      </c>
      <c r="W27">
        <v>4.3730000000000002E-3</v>
      </c>
      <c r="X27">
        <v>-2.4166E-2</v>
      </c>
      <c r="Y27">
        <v>-2.5395999999999998E-2</v>
      </c>
      <c r="Z27">
        <v>-4.5106E-2</v>
      </c>
      <c r="AA27">
        <v>-5.5368000000000001E-2</v>
      </c>
      <c r="AB27">
        <v>-5.3838999999999998E-2</v>
      </c>
    </row>
    <row r="28" spans="1:28" x14ac:dyDescent="0.2">
      <c r="A28">
        <v>19340331</v>
      </c>
      <c r="B28">
        <v>1934</v>
      </c>
      <c r="C28">
        <v>3</v>
      </c>
      <c r="D28">
        <v>8.3333000000000004E-2</v>
      </c>
      <c r="E28">
        <v>-8.8929999999999999E-3</v>
      </c>
      <c r="F28">
        <v>1.7648E-2</v>
      </c>
      <c r="G28">
        <v>4.0926999999999998E-2</v>
      </c>
      <c r="H28">
        <v>-2.4705000000000001E-2</v>
      </c>
      <c r="I28">
        <v>1.9295E-2</v>
      </c>
      <c r="J28">
        <v>2.5013000000000001E-2</v>
      </c>
      <c r="K28">
        <v>9.7839999999999993E-3</v>
      </c>
      <c r="L28">
        <v>1.2156999999999999E-2</v>
      </c>
      <c r="M28">
        <v>3.0665999999999999E-2</v>
      </c>
      <c r="N28">
        <v>6.1411E-2</v>
      </c>
      <c r="O28">
        <v>3.4939999999999999E-2</v>
      </c>
      <c r="P28">
        <v>1.0165E-2</v>
      </c>
      <c r="Q28">
        <v>-1.2944000000000001E-2</v>
      </c>
      <c r="R28">
        <v>-4.4692999999999997E-2</v>
      </c>
      <c r="S28">
        <v>1.8193999999999998E-2</v>
      </c>
      <c r="T28">
        <v>1.2704999999999999E-2</v>
      </c>
      <c r="U28">
        <v>7.4019999999999997E-3</v>
      </c>
      <c r="V28">
        <v>-8.1349999999999999E-3</v>
      </c>
      <c r="W28">
        <v>1.178E-3</v>
      </c>
      <c r="X28">
        <v>-4.2299999999999998E-4</v>
      </c>
      <c r="Y28">
        <v>4.4900000000000002E-4</v>
      </c>
      <c r="Z28">
        <v>-1.3247999999999999E-2</v>
      </c>
      <c r="AA28">
        <v>-8.6759999999999997E-3</v>
      </c>
      <c r="AB28">
        <v>5.3790000000000001E-3</v>
      </c>
    </row>
    <row r="29" spans="1:28" x14ac:dyDescent="0.2">
      <c r="A29">
        <v>19340430</v>
      </c>
      <c r="B29">
        <v>1934</v>
      </c>
      <c r="C29">
        <v>4</v>
      </c>
      <c r="D29">
        <v>0</v>
      </c>
      <c r="E29">
        <v>2.3916E-2</v>
      </c>
      <c r="F29">
        <v>5.6677999999999999E-2</v>
      </c>
      <c r="G29">
        <v>5.4309000000000003E-2</v>
      </c>
      <c r="H29">
        <v>-2.7299999999999998E-3</v>
      </c>
      <c r="I29">
        <v>7.8910999999999995E-2</v>
      </c>
      <c r="J29">
        <v>2.1142000000000001E-2</v>
      </c>
      <c r="K29">
        <v>-3.5288E-2</v>
      </c>
      <c r="L29">
        <v>1.0808E-2</v>
      </c>
      <c r="M29">
        <v>-7.0055999999999993E-2</v>
      </c>
      <c r="N29">
        <v>-3.5226E-2</v>
      </c>
      <c r="O29">
        <v>-2.0004000000000001E-2</v>
      </c>
      <c r="P29">
        <v>-2.5267000000000001E-2</v>
      </c>
      <c r="Q29">
        <v>-8.4670000000000006E-3</v>
      </c>
      <c r="R29">
        <v>-3.1954999999999997E-2</v>
      </c>
      <c r="S29">
        <v>-4.1609999999999998E-3</v>
      </c>
      <c r="T29">
        <v>-3.6200000000000002E-4</v>
      </c>
      <c r="U29">
        <v>8.1099999999999998E-4</v>
      </c>
      <c r="V29">
        <v>-5.6728000000000001E-2</v>
      </c>
      <c r="W29">
        <v>-6.6942000000000002E-2</v>
      </c>
      <c r="X29">
        <v>-2.0313999999999999E-2</v>
      </c>
      <c r="Y29">
        <v>-1.1613E-2</v>
      </c>
      <c r="Z29">
        <v>-2.0160000000000001E-2</v>
      </c>
      <c r="AA29">
        <v>-5.7446999999999998E-2</v>
      </c>
      <c r="AB29">
        <v>-5.7600999999999999E-2</v>
      </c>
    </row>
    <row r="30" spans="1:28" x14ac:dyDescent="0.2">
      <c r="A30">
        <v>19340531</v>
      </c>
      <c r="B30">
        <v>1934</v>
      </c>
      <c r="C30">
        <v>5</v>
      </c>
      <c r="D30">
        <v>-0.115385</v>
      </c>
      <c r="E30">
        <v>-9.1744000000000006E-2</v>
      </c>
      <c r="F30">
        <v>-0.13067599999999999</v>
      </c>
      <c r="G30">
        <v>-0.127474</v>
      </c>
      <c r="H30">
        <v>-0.167213</v>
      </c>
      <c r="I30">
        <v>-8.9246000000000006E-2</v>
      </c>
      <c r="J30">
        <v>-8.7234999999999993E-2</v>
      </c>
      <c r="K30">
        <v>-0.108651</v>
      </c>
      <c r="L30">
        <v>-0.123294</v>
      </c>
      <c r="M30">
        <v>-6.0553000000000003E-2</v>
      </c>
      <c r="N30">
        <v>-7.0502999999999996E-2</v>
      </c>
      <c r="O30">
        <v>-7.4717000000000006E-2</v>
      </c>
      <c r="P30">
        <v>-9.9029000000000006E-2</v>
      </c>
      <c r="Q30">
        <v>-8.5264000000000006E-2</v>
      </c>
      <c r="R30">
        <v>-0.14502100000000001</v>
      </c>
      <c r="S30">
        <v>-5.8478000000000002E-2</v>
      </c>
      <c r="T30">
        <v>-7.1857000000000004E-2</v>
      </c>
      <c r="U30">
        <v>-0.11090700000000001</v>
      </c>
      <c r="V30">
        <v>-8.4324999999999997E-2</v>
      </c>
      <c r="W30">
        <v>-0.15198200000000001</v>
      </c>
      <c r="X30">
        <v>-6.4137E-2</v>
      </c>
      <c r="Y30">
        <v>-6.9411E-2</v>
      </c>
      <c r="Z30">
        <v>-6.3952999999999996E-2</v>
      </c>
      <c r="AA30">
        <v>-0.13348499999999999</v>
      </c>
      <c r="AB30">
        <v>-0.18798200000000001</v>
      </c>
    </row>
    <row r="31" spans="1:28" x14ac:dyDescent="0.2">
      <c r="A31">
        <v>19340630</v>
      </c>
      <c r="B31">
        <v>1934</v>
      </c>
      <c r="C31">
        <v>6</v>
      </c>
      <c r="D31">
        <v>-0.217391</v>
      </c>
      <c r="E31">
        <v>-3.143E-2</v>
      </c>
      <c r="F31">
        <v>2.6837E-2</v>
      </c>
      <c r="G31">
        <v>-1.1054E-2</v>
      </c>
      <c r="H31">
        <v>4.1840000000000002E-3</v>
      </c>
      <c r="I31">
        <v>4.0453000000000003E-2</v>
      </c>
      <c r="J31">
        <v>2.0913000000000001E-2</v>
      </c>
      <c r="K31">
        <v>-2.3827000000000001E-2</v>
      </c>
      <c r="L31">
        <v>-6.7489999999999998E-3</v>
      </c>
      <c r="M31">
        <v>-0.112815</v>
      </c>
      <c r="N31">
        <v>3.2382000000000001E-2</v>
      </c>
      <c r="O31">
        <v>3.7949999999999998E-2</v>
      </c>
      <c r="P31">
        <v>-1.9319999999999999E-3</v>
      </c>
      <c r="Q31">
        <v>2.0788999999999998E-2</v>
      </c>
      <c r="R31">
        <v>-4.4700000000000002E-4</v>
      </c>
      <c r="S31">
        <v>3.9449999999999999E-2</v>
      </c>
      <c r="T31">
        <v>3.3172E-2</v>
      </c>
      <c r="U31">
        <v>2.2416999999999999E-2</v>
      </c>
      <c r="V31">
        <v>6.0039000000000002E-2</v>
      </c>
      <c r="W31">
        <v>-8.8350000000000008E-3</v>
      </c>
      <c r="X31">
        <v>2.1943000000000001E-2</v>
      </c>
      <c r="Y31">
        <v>2.9055000000000001E-2</v>
      </c>
      <c r="Z31">
        <v>3.0438E-2</v>
      </c>
      <c r="AA31">
        <v>3.2078000000000002E-2</v>
      </c>
      <c r="AB31">
        <v>4.8717000000000003E-2</v>
      </c>
    </row>
    <row r="32" spans="1:28" x14ac:dyDescent="0.2">
      <c r="A32">
        <v>19340731</v>
      </c>
      <c r="B32">
        <v>1934</v>
      </c>
      <c r="C32">
        <v>7</v>
      </c>
      <c r="D32">
        <v>-0.20372299999999999</v>
      </c>
      <c r="E32">
        <v>-0.301093</v>
      </c>
      <c r="F32">
        <v>-0.27673799999999998</v>
      </c>
      <c r="G32">
        <v>-0.238812</v>
      </c>
      <c r="H32">
        <v>-0.23244100000000001</v>
      </c>
      <c r="I32">
        <v>-0.20152</v>
      </c>
      <c r="J32">
        <v>-0.169599</v>
      </c>
      <c r="K32">
        <v>-0.23366300000000001</v>
      </c>
      <c r="L32">
        <v>-0.26569399999999999</v>
      </c>
      <c r="M32">
        <v>-0.23897399999999999</v>
      </c>
      <c r="N32">
        <v>-0.16551299999999999</v>
      </c>
      <c r="O32">
        <v>-0.166412</v>
      </c>
      <c r="P32">
        <v>-0.16023200000000001</v>
      </c>
      <c r="Q32">
        <v>-0.20044300000000001</v>
      </c>
      <c r="R32">
        <v>-0.24426899999999999</v>
      </c>
      <c r="S32">
        <v>-0.123324</v>
      </c>
      <c r="T32">
        <v>-0.10069599999999999</v>
      </c>
      <c r="U32">
        <v>-0.140315</v>
      </c>
      <c r="V32">
        <v>-0.18456800000000001</v>
      </c>
      <c r="W32">
        <v>-0.353549</v>
      </c>
      <c r="X32">
        <v>-7.0613999999999996E-2</v>
      </c>
      <c r="Y32">
        <v>-8.2269999999999996E-2</v>
      </c>
      <c r="Z32">
        <v>-0.14621799999999999</v>
      </c>
      <c r="AA32">
        <v>-0.18293300000000001</v>
      </c>
      <c r="AB32">
        <v>-0.30842999999999998</v>
      </c>
    </row>
    <row r="33" spans="1:28" x14ac:dyDescent="0.2">
      <c r="A33">
        <v>19340831</v>
      </c>
      <c r="B33">
        <v>1934</v>
      </c>
      <c r="C33">
        <v>8</v>
      </c>
      <c r="D33">
        <v>0.151231</v>
      </c>
      <c r="E33">
        <v>0.186339</v>
      </c>
      <c r="F33">
        <v>9.715E-2</v>
      </c>
      <c r="G33">
        <v>0.118906</v>
      </c>
      <c r="H33">
        <v>0.12936300000000001</v>
      </c>
      <c r="I33">
        <v>0.14721699999999999</v>
      </c>
      <c r="J33">
        <v>7.2972999999999996E-2</v>
      </c>
      <c r="K33">
        <v>8.8461999999999999E-2</v>
      </c>
      <c r="L33">
        <v>0.135462</v>
      </c>
      <c r="M33">
        <v>0.10643</v>
      </c>
      <c r="N33">
        <v>7.8733999999999998E-2</v>
      </c>
      <c r="O33">
        <v>9.2660999999999993E-2</v>
      </c>
      <c r="P33">
        <v>7.9257999999999995E-2</v>
      </c>
      <c r="Q33">
        <v>0.12532099999999999</v>
      </c>
      <c r="R33">
        <v>8.3543999999999993E-2</v>
      </c>
      <c r="S33">
        <v>6.0589999999999998E-2</v>
      </c>
      <c r="T33">
        <v>6.6373000000000001E-2</v>
      </c>
      <c r="U33">
        <v>5.0587E-2</v>
      </c>
      <c r="V33">
        <v>0.101757</v>
      </c>
      <c r="W33">
        <v>0.115814</v>
      </c>
      <c r="X33">
        <v>5.5842999999999997E-2</v>
      </c>
      <c r="Y33">
        <v>5.2103999999999998E-2</v>
      </c>
      <c r="Z33">
        <v>4.7168000000000002E-2</v>
      </c>
      <c r="AA33">
        <v>2.3771E-2</v>
      </c>
      <c r="AB33">
        <v>8.5384000000000002E-2</v>
      </c>
    </row>
    <row r="34" spans="1:28" x14ac:dyDescent="0.2">
      <c r="A34">
        <v>19340929</v>
      </c>
      <c r="B34">
        <v>1934</v>
      </c>
      <c r="C34">
        <v>9</v>
      </c>
      <c r="D34">
        <v>-1.8044999999999999E-2</v>
      </c>
      <c r="E34">
        <v>-0.100535</v>
      </c>
      <c r="F34">
        <v>-2.4309000000000001E-2</v>
      </c>
      <c r="G34">
        <v>-9.6860000000000002E-3</v>
      </c>
      <c r="H34">
        <v>-2.5534999999999999E-2</v>
      </c>
      <c r="I34">
        <v>-1.9571999999999999E-2</v>
      </c>
      <c r="J34">
        <v>-3.1020000000000002E-3</v>
      </c>
      <c r="K34">
        <v>-3.2062E-2</v>
      </c>
      <c r="L34">
        <v>-1.8114000000000002E-2</v>
      </c>
      <c r="M34">
        <v>-4.3733000000000001E-2</v>
      </c>
      <c r="N34">
        <v>-2.0818E-2</v>
      </c>
      <c r="O34">
        <v>1.6553999999999999E-2</v>
      </c>
      <c r="P34">
        <v>-2.5509999999999999E-3</v>
      </c>
      <c r="Q34">
        <v>-2.5464000000000001E-2</v>
      </c>
      <c r="R34">
        <v>-6.6499999999999997E-3</v>
      </c>
      <c r="S34">
        <v>-1.1365E-2</v>
      </c>
      <c r="T34">
        <v>5.1070000000000004E-3</v>
      </c>
      <c r="U34">
        <v>-7.4960000000000001E-3</v>
      </c>
      <c r="V34">
        <v>-1.0348E-2</v>
      </c>
      <c r="W34">
        <v>2.1654E-2</v>
      </c>
      <c r="X34">
        <v>8.3500000000000002E-4</v>
      </c>
      <c r="Y34">
        <v>-2.5869999999999999E-3</v>
      </c>
      <c r="Z34">
        <v>-5.6870000000000002E-3</v>
      </c>
      <c r="AA34">
        <v>-1.1606E-2</v>
      </c>
      <c r="AB34">
        <v>2.3732E-2</v>
      </c>
    </row>
    <row r="35" spans="1:28" x14ac:dyDescent="0.2">
      <c r="A35">
        <v>19341031</v>
      </c>
      <c r="B35">
        <v>1934</v>
      </c>
      <c r="C35">
        <v>10</v>
      </c>
      <c r="D35">
        <v>2.8464E-2</v>
      </c>
      <c r="E35">
        <v>1.7060000000000001E-3</v>
      </c>
      <c r="F35">
        <v>-1.6112000000000001E-2</v>
      </c>
      <c r="G35">
        <v>-9.2168E-2</v>
      </c>
      <c r="H35">
        <v>-2.5561E-2</v>
      </c>
      <c r="I35">
        <v>-6.0012000000000003E-2</v>
      </c>
      <c r="J35">
        <v>1.4082000000000001E-2</v>
      </c>
      <c r="K35">
        <v>-1.9739E-2</v>
      </c>
      <c r="L35">
        <v>-1.3743E-2</v>
      </c>
      <c r="M35">
        <v>-4.9708000000000002E-2</v>
      </c>
      <c r="N35">
        <v>1.2928E-2</v>
      </c>
      <c r="O35">
        <v>-3.9890000000000004E-3</v>
      </c>
      <c r="P35">
        <v>1.346E-2</v>
      </c>
      <c r="Q35">
        <v>-5.5596E-2</v>
      </c>
      <c r="R35">
        <v>-7.0341000000000001E-2</v>
      </c>
      <c r="S35">
        <v>1.766E-3</v>
      </c>
      <c r="T35">
        <v>7.1440000000000002E-3</v>
      </c>
      <c r="U35">
        <v>1.8023000000000001E-2</v>
      </c>
      <c r="V35">
        <v>-0.10133200000000001</v>
      </c>
      <c r="W35">
        <v>-9.9682000000000007E-2</v>
      </c>
      <c r="X35">
        <v>6.2240000000000004E-3</v>
      </c>
      <c r="Y35">
        <v>-1.8356000000000001E-2</v>
      </c>
      <c r="Z35">
        <v>-5.7806999999999997E-2</v>
      </c>
      <c r="AA35">
        <v>-6.1477999999999998E-2</v>
      </c>
      <c r="AB35">
        <v>-7.2439000000000003E-2</v>
      </c>
    </row>
    <row r="36" spans="1:28" x14ac:dyDescent="0.2">
      <c r="A36">
        <v>19341130</v>
      </c>
      <c r="B36">
        <v>1934</v>
      </c>
      <c r="C36">
        <v>11</v>
      </c>
      <c r="D36">
        <v>7.2057999999999997E-2</v>
      </c>
      <c r="E36">
        <v>0.123791</v>
      </c>
      <c r="F36">
        <v>0.24839</v>
      </c>
      <c r="G36">
        <v>0.18178</v>
      </c>
      <c r="H36">
        <v>0.15059400000000001</v>
      </c>
      <c r="I36">
        <v>0.249802</v>
      </c>
      <c r="J36">
        <v>0.206597</v>
      </c>
      <c r="K36">
        <v>0.19719700000000001</v>
      </c>
      <c r="L36">
        <v>0.137436</v>
      </c>
      <c r="M36">
        <v>3.8713999999999998E-2</v>
      </c>
      <c r="N36">
        <v>0.13841800000000001</v>
      </c>
      <c r="O36">
        <v>0.127217</v>
      </c>
      <c r="P36">
        <v>0.12757099999999999</v>
      </c>
      <c r="Q36">
        <v>0.19394600000000001</v>
      </c>
      <c r="R36">
        <v>4.9477E-2</v>
      </c>
      <c r="S36">
        <v>0.13500100000000001</v>
      </c>
      <c r="T36">
        <v>0.12709000000000001</v>
      </c>
      <c r="U36">
        <v>0.12228899999999999</v>
      </c>
      <c r="V36">
        <v>0.11935999999999999</v>
      </c>
      <c r="W36">
        <v>7.0080000000000003E-2</v>
      </c>
      <c r="X36">
        <v>0.104393</v>
      </c>
      <c r="Y36">
        <v>4.4699999999999997E-2</v>
      </c>
      <c r="Z36">
        <v>6.1675000000000001E-2</v>
      </c>
      <c r="AA36">
        <v>0.11791600000000001</v>
      </c>
      <c r="AB36">
        <v>3.6748000000000003E-2</v>
      </c>
    </row>
    <row r="37" spans="1:28" x14ac:dyDescent="0.2">
      <c r="A37">
        <v>19341231</v>
      </c>
      <c r="B37">
        <v>1934</v>
      </c>
      <c r="C37">
        <v>12</v>
      </c>
      <c r="D37">
        <v>6.1476999999999997E-2</v>
      </c>
      <c r="E37">
        <v>-3.1815999999999997E-2</v>
      </c>
      <c r="F37">
        <v>5.5760000000000002E-3</v>
      </c>
      <c r="G37">
        <v>1.3561999999999999E-2</v>
      </c>
      <c r="H37">
        <v>-2.4962000000000002E-2</v>
      </c>
      <c r="I37">
        <v>5.3548999999999999E-2</v>
      </c>
      <c r="J37">
        <v>2.4649999999999998E-2</v>
      </c>
      <c r="K37">
        <v>3.0976E-2</v>
      </c>
      <c r="L37">
        <v>3.6445999999999999E-2</v>
      </c>
      <c r="M37">
        <v>5.6639999999999998E-3</v>
      </c>
      <c r="N37">
        <v>3.7588000000000003E-2</v>
      </c>
      <c r="O37">
        <v>2.9867000000000001E-2</v>
      </c>
      <c r="P37">
        <v>2.8178000000000002E-2</v>
      </c>
      <c r="Q37">
        <v>4.1813000000000003E-2</v>
      </c>
      <c r="R37">
        <v>-3.1988000000000003E-2</v>
      </c>
      <c r="S37">
        <v>3.0488000000000001E-2</v>
      </c>
      <c r="T37">
        <v>3.9348000000000001E-2</v>
      </c>
      <c r="U37">
        <v>3.9059000000000003E-2</v>
      </c>
      <c r="V37">
        <v>1.6832E-2</v>
      </c>
      <c r="W37">
        <v>-5.4519999999999999E-2</v>
      </c>
      <c r="X37">
        <v>7.9360000000000003E-3</v>
      </c>
      <c r="Y37">
        <v>2.0149999999999999E-3</v>
      </c>
      <c r="Z37">
        <v>-1.2845000000000001E-2</v>
      </c>
      <c r="AA37">
        <v>-2.728E-3</v>
      </c>
      <c r="AB37">
        <v>-4.2896999999999998E-2</v>
      </c>
    </row>
    <row r="38" spans="1:28" x14ac:dyDescent="0.2">
      <c r="A38">
        <v>19350131</v>
      </c>
      <c r="B38">
        <v>1935</v>
      </c>
      <c r="C38">
        <v>1</v>
      </c>
      <c r="D38">
        <v>-3.9712999999999998E-2</v>
      </c>
      <c r="E38">
        <v>-0.108183</v>
      </c>
      <c r="F38">
        <v>-0.10291</v>
      </c>
      <c r="G38">
        <v>1.5235E-2</v>
      </c>
      <c r="H38">
        <v>-3.4414E-2</v>
      </c>
      <c r="I38">
        <v>-8.9718999999999993E-2</v>
      </c>
      <c r="J38">
        <v>-8.2620000000000002E-3</v>
      </c>
      <c r="K38">
        <v>-2.554E-2</v>
      </c>
      <c r="L38">
        <v>-3.8505999999999999E-2</v>
      </c>
      <c r="M38">
        <v>-3.2030999999999997E-2</v>
      </c>
      <c r="N38">
        <v>-4.4902999999999998E-2</v>
      </c>
      <c r="O38">
        <v>-4.6177000000000003E-2</v>
      </c>
      <c r="P38">
        <v>-2.6838000000000001E-2</v>
      </c>
      <c r="Q38">
        <v>-1.5875E-2</v>
      </c>
      <c r="R38">
        <v>-4.0773999999999998E-2</v>
      </c>
      <c r="S38">
        <v>-4.3416000000000003E-2</v>
      </c>
      <c r="T38">
        <v>-2.4220999999999999E-2</v>
      </c>
      <c r="U38">
        <v>-3.4742000000000002E-2</v>
      </c>
      <c r="V38">
        <v>-5.9590999999999998E-2</v>
      </c>
      <c r="W38">
        <v>-0.14812</v>
      </c>
      <c r="X38">
        <v>-1.9557000000000001E-2</v>
      </c>
      <c r="Y38">
        <v>-3.8519999999999999E-2</v>
      </c>
      <c r="Z38">
        <v>-2.5241E-2</v>
      </c>
      <c r="AA38">
        <v>-8.6652999999999994E-2</v>
      </c>
      <c r="AB38">
        <v>-0.14033999999999999</v>
      </c>
    </row>
    <row r="39" spans="1:28" x14ac:dyDescent="0.2">
      <c r="A39">
        <v>19350228</v>
      </c>
      <c r="B39">
        <v>1935</v>
      </c>
      <c r="C39">
        <v>2</v>
      </c>
      <c r="D39">
        <v>-0.110608</v>
      </c>
      <c r="E39">
        <v>-0.14371100000000001</v>
      </c>
      <c r="F39">
        <v>-7.7558000000000002E-2</v>
      </c>
      <c r="G39">
        <v>-8.2166000000000003E-2</v>
      </c>
      <c r="H39">
        <v>-0.105823</v>
      </c>
      <c r="I39">
        <v>-1.7326000000000001E-2</v>
      </c>
      <c r="J39">
        <v>-4.4236999999999999E-2</v>
      </c>
      <c r="K39">
        <v>-4.7986000000000001E-2</v>
      </c>
      <c r="L39">
        <v>-3.9405999999999997E-2</v>
      </c>
      <c r="M39">
        <v>-0.113576</v>
      </c>
      <c r="N39">
        <v>1.057E-3</v>
      </c>
      <c r="O39">
        <v>-3.6095000000000002E-2</v>
      </c>
      <c r="P39">
        <v>5.6600000000000001E-3</v>
      </c>
      <c r="Q39">
        <v>-6.4373E-2</v>
      </c>
      <c r="R39">
        <v>-0.110254</v>
      </c>
      <c r="S39">
        <v>3.228E-3</v>
      </c>
      <c r="T39">
        <v>1.1047E-2</v>
      </c>
      <c r="U39">
        <v>2.5249999999999999E-3</v>
      </c>
      <c r="V39">
        <v>-0.10283299999999999</v>
      </c>
      <c r="W39">
        <v>-0.221169</v>
      </c>
      <c r="X39">
        <v>2.3630000000000001E-3</v>
      </c>
      <c r="Y39">
        <v>-1.84E-2</v>
      </c>
      <c r="Z39">
        <v>-4.2327999999999998E-2</v>
      </c>
      <c r="AA39">
        <v>-9.1875999999999999E-2</v>
      </c>
      <c r="AB39">
        <v>-0.137848</v>
      </c>
    </row>
    <row r="40" spans="1:28" x14ac:dyDescent="0.2">
      <c r="A40">
        <v>19350330</v>
      </c>
      <c r="B40">
        <v>1935</v>
      </c>
      <c r="C40">
        <v>3</v>
      </c>
      <c r="D40">
        <v>-5.4647000000000001E-2</v>
      </c>
      <c r="E40">
        <v>-0.14605799999999999</v>
      </c>
      <c r="F40">
        <v>-9.4549999999999995E-2</v>
      </c>
      <c r="G40">
        <v>-0.132572</v>
      </c>
      <c r="H40">
        <v>-0.115574</v>
      </c>
      <c r="I40">
        <v>-0.111204</v>
      </c>
      <c r="J40">
        <v>-7.4923000000000003E-2</v>
      </c>
      <c r="K40">
        <v>-7.5980000000000006E-2</v>
      </c>
      <c r="L40">
        <v>-7.1918999999999997E-2</v>
      </c>
      <c r="M40">
        <v>-0.14088999999999999</v>
      </c>
      <c r="N40">
        <v>-1.5084E-2</v>
      </c>
      <c r="O40">
        <v>-9.0940999999999994E-2</v>
      </c>
      <c r="P40">
        <v>-4.7959000000000002E-2</v>
      </c>
      <c r="Q40">
        <v>-0.107263</v>
      </c>
      <c r="R40">
        <v>-0.125088</v>
      </c>
      <c r="S40">
        <v>-4.0216000000000002E-2</v>
      </c>
      <c r="T40">
        <v>-5.7250000000000002E-2</v>
      </c>
      <c r="U40">
        <v>-6.0568999999999998E-2</v>
      </c>
      <c r="V40">
        <v>-5.8880000000000002E-2</v>
      </c>
      <c r="W40">
        <v>-9.5393000000000006E-2</v>
      </c>
      <c r="X40">
        <v>-3.5448E-2</v>
      </c>
      <c r="Y40">
        <v>-1.9049E-2</v>
      </c>
      <c r="Z40">
        <v>-1.2481000000000001E-2</v>
      </c>
      <c r="AA40">
        <v>-8.8942999999999994E-2</v>
      </c>
      <c r="AB40">
        <v>-7.109E-2</v>
      </c>
    </row>
    <row r="41" spans="1:28" x14ac:dyDescent="0.2">
      <c r="A41">
        <v>19350430</v>
      </c>
      <c r="B41">
        <v>1935</v>
      </c>
      <c r="C41">
        <v>4</v>
      </c>
      <c r="D41">
        <v>0.37007299999999999</v>
      </c>
      <c r="E41">
        <v>7.3460000000000001E-3</v>
      </c>
      <c r="F41">
        <v>9.4140000000000001E-2</v>
      </c>
      <c r="G41">
        <v>0.103871</v>
      </c>
      <c r="H41">
        <v>0.124581</v>
      </c>
      <c r="I41">
        <v>9.6309000000000006E-2</v>
      </c>
      <c r="J41">
        <v>0.109138</v>
      </c>
      <c r="K41">
        <v>0.12199</v>
      </c>
      <c r="L41">
        <v>6.0012000000000003E-2</v>
      </c>
      <c r="M41">
        <v>0.115809</v>
      </c>
      <c r="N41">
        <v>4.6309000000000003E-2</v>
      </c>
      <c r="O41">
        <v>0.120306</v>
      </c>
      <c r="P41">
        <v>6.0336000000000001E-2</v>
      </c>
      <c r="Q41">
        <v>0.115241</v>
      </c>
      <c r="R41">
        <v>0.10936999999999999</v>
      </c>
      <c r="S41">
        <v>5.8652000000000003E-2</v>
      </c>
      <c r="T41">
        <v>6.5337000000000006E-2</v>
      </c>
      <c r="U41">
        <v>5.7067E-2</v>
      </c>
      <c r="V41">
        <v>7.9482999999999998E-2</v>
      </c>
      <c r="W41">
        <v>0.113624</v>
      </c>
      <c r="X41">
        <v>7.0951E-2</v>
      </c>
      <c r="Y41">
        <v>0.106846</v>
      </c>
      <c r="Z41">
        <v>0.109512</v>
      </c>
      <c r="AA41">
        <v>0.13714199999999999</v>
      </c>
      <c r="AB41">
        <v>0.15101700000000001</v>
      </c>
    </row>
    <row r="42" spans="1:28" x14ac:dyDescent="0.2">
      <c r="A42">
        <v>19350531</v>
      </c>
      <c r="B42">
        <v>1935</v>
      </c>
      <c r="C42">
        <v>5</v>
      </c>
      <c r="D42">
        <v>-0.18323900000000001</v>
      </c>
      <c r="E42">
        <v>-2.2941E-2</v>
      </c>
      <c r="F42">
        <v>8.0813999999999997E-2</v>
      </c>
      <c r="G42">
        <v>2.2089999999999999E-2</v>
      </c>
      <c r="H42">
        <v>4.1529999999999996E-3</v>
      </c>
      <c r="I42">
        <v>-2.1878000000000002E-2</v>
      </c>
      <c r="J42">
        <v>3.3300000000000002E-4</v>
      </c>
      <c r="K42">
        <v>5.4647000000000001E-2</v>
      </c>
      <c r="L42">
        <v>4.8364999999999998E-2</v>
      </c>
      <c r="M42">
        <v>6.0809999999999996E-3</v>
      </c>
      <c r="N42">
        <v>4.2632999999999997E-2</v>
      </c>
      <c r="O42">
        <v>-1.3386E-2</v>
      </c>
      <c r="P42">
        <v>1.2297000000000001E-2</v>
      </c>
      <c r="Q42">
        <v>-2.2686999999999999E-2</v>
      </c>
      <c r="R42">
        <v>3.7588999999999997E-2</v>
      </c>
      <c r="S42">
        <v>1.5900000000000001E-3</v>
      </c>
      <c r="T42">
        <v>1.4359E-2</v>
      </c>
      <c r="U42">
        <v>-4.2839999999999996E-3</v>
      </c>
      <c r="V42">
        <v>4.9223999999999997E-2</v>
      </c>
      <c r="W42">
        <v>2.1472999999999999E-2</v>
      </c>
      <c r="X42">
        <v>2.7272999999999999E-2</v>
      </c>
      <c r="Y42">
        <v>5.4549E-2</v>
      </c>
      <c r="Z42">
        <v>4.9168000000000003E-2</v>
      </c>
      <c r="AA42">
        <v>2.5007000000000001E-2</v>
      </c>
      <c r="AB42">
        <v>7.3970999999999995E-2</v>
      </c>
    </row>
    <row r="43" spans="1:28" x14ac:dyDescent="0.2">
      <c r="A43">
        <v>19350629</v>
      </c>
      <c r="B43">
        <v>1935</v>
      </c>
      <c r="C43">
        <v>6</v>
      </c>
      <c r="D43">
        <v>1.6084000000000001E-2</v>
      </c>
      <c r="E43">
        <v>-1.044E-2</v>
      </c>
      <c r="F43">
        <v>-2.5699E-2</v>
      </c>
      <c r="G43">
        <v>3.9248999999999999E-2</v>
      </c>
      <c r="H43">
        <v>1.6514000000000001E-2</v>
      </c>
      <c r="I43">
        <v>8.1656000000000006E-2</v>
      </c>
      <c r="J43">
        <v>8.0911999999999998E-2</v>
      </c>
      <c r="K43">
        <v>5.7271000000000002E-2</v>
      </c>
      <c r="L43">
        <v>4.0372999999999999E-2</v>
      </c>
      <c r="M43">
        <v>-2.5524999999999999E-2</v>
      </c>
      <c r="N43">
        <v>4.5421999999999997E-2</v>
      </c>
      <c r="O43">
        <v>0.111202</v>
      </c>
      <c r="P43">
        <v>7.1000999999999995E-2</v>
      </c>
      <c r="Q43">
        <v>3.7680999999999999E-2</v>
      </c>
      <c r="R43">
        <v>4.4898E-2</v>
      </c>
      <c r="S43">
        <v>5.4133000000000001E-2</v>
      </c>
      <c r="T43">
        <v>8.6605000000000001E-2</v>
      </c>
      <c r="U43">
        <v>6.4122999999999999E-2</v>
      </c>
      <c r="V43">
        <v>3.6072E-2</v>
      </c>
      <c r="W43">
        <v>2.3782999999999999E-2</v>
      </c>
      <c r="X43">
        <v>6.7184999999999995E-2</v>
      </c>
      <c r="Y43">
        <v>5.5389000000000001E-2</v>
      </c>
      <c r="Z43">
        <v>4.4665999999999997E-2</v>
      </c>
      <c r="AA43">
        <v>7.6355999999999993E-2</v>
      </c>
      <c r="AB43">
        <v>0.17133100000000001</v>
      </c>
    </row>
    <row r="44" spans="1:28" x14ac:dyDescent="0.2">
      <c r="A44">
        <v>19350731</v>
      </c>
      <c r="B44">
        <v>1935</v>
      </c>
      <c r="C44">
        <v>7</v>
      </c>
      <c r="D44">
        <v>0.10225099999999999</v>
      </c>
      <c r="E44">
        <v>0.21492700000000001</v>
      </c>
      <c r="F44">
        <v>0.22672400000000001</v>
      </c>
      <c r="G44">
        <v>0.15715000000000001</v>
      </c>
      <c r="H44">
        <v>0.13036300000000001</v>
      </c>
      <c r="I44">
        <v>0.120979</v>
      </c>
      <c r="J44">
        <v>0.15556900000000001</v>
      </c>
      <c r="K44">
        <v>0.14400099999999999</v>
      </c>
      <c r="L44">
        <v>0.12958800000000001</v>
      </c>
      <c r="M44">
        <v>0.155365</v>
      </c>
      <c r="N44">
        <v>7.8824000000000005E-2</v>
      </c>
      <c r="O44">
        <v>7.0485999999999993E-2</v>
      </c>
      <c r="P44">
        <v>0.12288200000000001</v>
      </c>
      <c r="Q44">
        <v>8.0661999999999998E-2</v>
      </c>
      <c r="R44">
        <v>0.13461300000000001</v>
      </c>
      <c r="S44">
        <v>6.862E-2</v>
      </c>
      <c r="T44">
        <v>6.6321000000000005E-2</v>
      </c>
      <c r="U44">
        <v>6.4022999999999997E-2</v>
      </c>
      <c r="V44">
        <v>8.4015000000000006E-2</v>
      </c>
      <c r="W44">
        <v>0.186276</v>
      </c>
      <c r="X44">
        <v>7.4121999999999993E-2</v>
      </c>
      <c r="Y44">
        <v>6.1635000000000002E-2</v>
      </c>
      <c r="Z44">
        <v>5.0081000000000001E-2</v>
      </c>
      <c r="AA44">
        <v>0.12729299999999999</v>
      </c>
      <c r="AB44">
        <v>0.107007</v>
      </c>
    </row>
    <row r="45" spans="1:28" x14ac:dyDescent="0.2">
      <c r="A45">
        <v>19350831</v>
      </c>
      <c r="B45">
        <v>1935</v>
      </c>
      <c r="C45">
        <v>8</v>
      </c>
      <c r="D45">
        <v>6.8846000000000004E-2</v>
      </c>
      <c r="E45">
        <v>-2.7750000000000001E-3</v>
      </c>
      <c r="F45">
        <v>0.16234599999999999</v>
      </c>
      <c r="G45">
        <v>0.145178</v>
      </c>
      <c r="H45">
        <v>0.200075</v>
      </c>
      <c r="I45">
        <v>8.6310999999999999E-2</v>
      </c>
      <c r="J45">
        <v>6.1608000000000003E-2</v>
      </c>
      <c r="K45">
        <v>5.6811E-2</v>
      </c>
      <c r="L45">
        <v>0.12031600000000001</v>
      </c>
      <c r="M45">
        <v>0.14568300000000001</v>
      </c>
      <c r="N45">
        <v>8.2690000000000003E-3</v>
      </c>
      <c r="O45">
        <v>1.6142E-2</v>
      </c>
      <c r="P45">
        <v>5.8068000000000002E-2</v>
      </c>
      <c r="Q45">
        <v>5.9762000000000003E-2</v>
      </c>
      <c r="R45">
        <v>0.142736</v>
      </c>
      <c r="S45">
        <v>7.3629999999999998E-3</v>
      </c>
      <c r="T45">
        <v>3.8655000000000002E-2</v>
      </c>
      <c r="U45">
        <v>3.4269000000000001E-2</v>
      </c>
      <c r="V45">
        <v>2.4919E-2</v>
      </c>
      <c r="W45">
        <v>5.7013000000000001E-2</v>
      </c>
      <c r="X45">
        <v>2.7472E-2</v>
      </c>
      <c r="Y45">
        <v>9.7900000000000001E-3</v>
      </c>
      <c r="Z45">
        <v>2.0147999999999999E-2</v>
      </c>
      <c r="AA45">
        <v>3.6152999999999998E-2</v>
      </c>
      <c r="AB45">
        <v>5.3069999999999999E-2</v>
      </c>
    </row>
    <row r="46" spans="1:28" x14ac:dyDescent="0.2">
      <c r="A46">
        <v>19350930</v>
      </c>
      <c r="B46">
        <v>1935</v>
      </c>
      <c r="C46">
        <v>9</v>
      </c>
      <c r="D46">
        <v>-9.1331999999999997E-2</v>
      </c>
      <c r="E46">
        <v>0.198741</v>
      </c>
      <c r="F46">
        <v>4.3769999999999998E-3</v>
      </c>
      <c r="G46">
        <v>8.1212999999999994E-2</v>
      </c>
      <c r="H46">
        <v>-5.5939000000000003E-2</v>
      </c>
      <c r="I46">
        <v>0.106087</v>
      </c>
      <c r="J46">
        <v>5.1138000000000003E-2</v>
      </c>
      <c r="K46">
        <v>3.2592000000000003E-2</v>
      </c>
      <c r="L46">
        <v>2.9905000000000001E-2</v>
      </c>
      <c r="M46">
        <v>1.9112000000000001E-2</v>
      </c>
      <c r="N46">
        <v>2.3753E-2</v>
      </c>
      <c r="O46">
        <v>7.4231000000000005E-2</v>
      </c>
      <c r="P46">
        <v>5.5802999999999998E-2</v>
      </c>
      <c r="Q46">
        <v>6.3375000000000001E-2</v>
      </c>
      <c r="R46">
        <v>-7.5537999999999994E-2</v>
      </c>
      <c r="S46">
        <v>3.0106999999999998E-2</v>
      </c>
      <c r="T46">
        <v>2.5940999999999999E-2</v>
      </c>
      <c r="U46">
        <v>1.8329999999999999E-2</v>
      </c>
      <c r="V46">
        <v>3.4008999999999998E-2</v>
      </c>
      <c r="W46">
        <v>-1.848E-3</v>
      </c>
      <c r="X46">
        <v>5.4255999999999999E-2</v>
      </c>
      <c r="Y46">
        <v>-9.5359999999999993E-3</v>
      </c>
      <c r="Z46">
        <v>1.5077999999999999E-2</v>
      </c>
      <c r="AA46">
        <v>4.7959999999999999E-3</v>
      </c>
      <c r="AB46">
        <v>6.8840000000000004E-3</v>
      </c>
    </row>
    <row r="47" spans="1:28" x14ac:dyDescent="0.2">
      <c r="A47">
        <v>19351031</v>
      </c>
      <c r="B47">
        <v>1935</v>
      </c>
      <c r="C47">
        <v>10</v>
      </c>
      <c r="D47">
        <v>0.118246</v>
      </c>
      <c r="E47">
        <v>3.7367999999999998E-2</v>
      </c>
      <c r="F47">
        <v>0.105674</v>
      </c>
      <c r="G47">
        <v>0.13369600000000001</v>
      </c>
      <c r="H47">
        <v>4.5247999999999997E-2</v>
      </c>
      <c r="I47">
        <v>9.2728000000000005E-2</v>
      </c>
      <c r="J47">
        <v>0.13533200000000001</v>
      </c>
      <c r="K47">
        <v>9.4132999999999994E-2</v>
      </c>
      <c r="L47">
        <v>9.2109999999999997E-2</v>
      </c>
      <c r="M47">
        <v>7.7590999999999993E-2</v>
      </c>
      <c r="N47">
        <v>9.3432000000000001E-2</v>
      </c>
      <c r="O47">
        <v>9.3422000000000005E-2</v>
      </c>
      <c r="P47">
        <v>0.100261</v>
      </c>
      <c r="Q47">
        <v>0.101301</v>
      </c>
      <c r="R47">
        <v>8.0041000000000001E-2</v>
      </c>
      <c r="S47">
        <v>6.5902000000000002E-2</v>
      </c>
      <c r="T47">
        <v>7.1070999999999995E-2</v>
      </c>
      <c r="U47">
        <v>5.0396999999999997E-2</v>
      </c>
      <c r="V47">
        <v>0.11627700000000001</v>
      </c>
      <c r="W47">
        <v>6.6699999999999995E-2</v>
      </c>
      <c r="X47">
        <v>6.4563999999999996E-2</v>
      </c>
      <c r="Y47">
        <v>8.5640999999999995E-2</v>
      </c>
      <c r="Z47">
        <v>7.0751999999999995E-2</v>
      </c>
      <c r="AA47">
        <v>7.8562999999999994E-2</v>
      </c>
      <c r="AB47">
        <v>6.2252000000000002E-2</v>
      </c>
    </row>
    <row r="48" spans="1:28" x14ac:dyDescent="0.2">
      <c r="A48">
        <v>19351130</v>
      </c>
      <c r="B48">
        <v>1935</v>
      </c>
      <c r="C48">
        <v>11</v>
      </c>
      <c r="D48">
        <v>0.34643400000000002</v>
      </c>
      <c r="E48">
        <v>0.11225300000000001</v>
      </c>
      <c r="F48">
        <v>0.31145099999999998</v>
      </c>
      <c r="G48">
        <v>0.199069</v>
      </c>
      <c r="H48">
        <v>0.41928900000000002</v>
      </c>
      <c r="I48">
        <v>5.9586E-2</v>
      </c>
      <c r="J48">
        <v>6.0602000000000003E-2</v>
      </c>
      <c r="K48">
        <v>8.8252999999999998E-2</v>
      </c>
      <c r="L48">
        <v>0.12822500000000001</v>
      </c>
      <c r="M48">
        <v>0.224826</v>
      </c>
      <c r="N48">
        <v>0.138819</v>
      </c>
      <c r="O48">
        <v>8.9188000000000003E-2</v>
      </c>
      <c r="P48">
        <v>7.5717000000000007E-2</v>
      </c>
      <c r="Q48">
        <v>6.6741999999999996E-2</v>
      </c>
      <c r="R48">
        <v>0.15417500000000001</v>
      </c>
      <c r="S48">
        <v>3.7512999999999998E-2</v>
      </c>
      <c r="T48">
        <v>3.4410000000000003E-2</v>
      </c>
      <c r="U48">
        <v>5.8374000000000002E-2</v>
      </c>
      <c r="V48">
        <v>8.5989999999999997E-2</v>
      </c>
      <c r="W48">
        <v>0.13045100000000001</v>
      </c>
      <c r="X48">
        <v>2.5964000000000001E-2</v>
      </c>
      <c r="Y48">
        <v>5.4265000000000001E-2</v>
      </c>
      <c r="Z48">
        <v>5.6502999999999998E-2</v>
      </c>
      <c r="AA48">
        <v>6.4320000000000002E-2</v>
      </c>
      <c r="AB48">
        <v>0.19958600000000001</v>
      </c>
    </row>
    <row r="49" spans="1:28" x14ac:dyDescent="0.2">
      <c r="A49">
        <v>19351231</v>
      </c>
      <c r="B49">
        <v>1935</v>
      </c>
      <c r="C49">
        <v>12</v>
      </c>
      <c r="D49">
        <v>9.3130000000000004E-2</v>
      </c>
      <c r="E49">
        <v>-4.4749999999999998E-2</v>
      </c>
      <c r="F49">
        <v>2.6210000000000001E-3</v>
      </c>
      <c r="G49">
        <v>4.6822999999999997E-2</v>
      </c>
      <c r="H49">
        <v>2.0621E-2</v>
      </c>
      <c r="I49">
        <v>8.7504999999999999E-2</v>
      </c>
      <c r="J49">
        <v>9.2356999999999995E-2</v>
      </c>
      <c r="K49">
        <v>0.16805899999999999</v>
      </c>
      <c r="L49">
        <v>5.6723999999999997E-2</v>
      </c>
      <c r="M49">
        <v>9.2899999999999996E-3</v>
      </c>
      <c r="N49">
        <v>6.2658000000000005E-2</v>
      </c>
      <c r="O49">
        <v>5.9244999999999999E-2</v>
      </c>
      <c r="P49">
        <v>9.3245999999999996E-2</v>
      </c>
      <c r="Q49">
        <v>9.9325999999999998E-2</v>
      </c>
      <c r="R49">
        <v>0.11749800000000001</v>
      </c>
      <c r="S49">
        <v>8.5581000000000004E-2</v>
      </c>
      <c r="T49">
        <v>2.3784E-2</v>
      </c>
      <c r="U49">
        <v>9.2923000000000006E-2</v>
      </c>
      <c r="V49">
        <v>0.137236</v>
      </c>
      <c r="W49">
        <v>7.0917999999999995E-2</v>
      </c>
      <c r="X49">
        <v>2.4056999999999999E-2</v>
      </c>
      <c r="Y49">
        <v>4.5811999999999999E-2</v>
      </c>
      <c r="Z49">
        <v>5.7468999999999999E-2</v>
      </c>
      <c r="AA49">
        <v>5.8144000000000001E-2</v>
      </c>
      <c r="AB49">
        <v>8.5820999999999995E-2</v>
      </c>
    </row>
    <row r="50" spans="1:28" x14ac:dyDescent="0.2">
      <c r="A50">
        <v>19360131</v>
      </c>
      <c r="B50">
        <v>1936</v>
      </c>
      <c r="C50">
        <v>1</v>
      </c>
      <c r="D50">
        <v>0.24737700000000001</v>
      </c>
      <c r="E50">
        <v>0.35608600000000001</v>
      </c>
      <c r="F50">
        <v>0.109164</v>
      </c>
      <c r="G50">
        <v>0.192941</v>
      </c>
      <c r="H50">
        <v>0.32460499999999998</v>
      </c>
      <c r="I50">
        <v>0.165357</v>
      </c>
      <c r="J50">
        <v>0.12712999999999999</v>
      </c>
      <c r="K50">
        <v>8.0140000000000003E-2</v>
      </c>
      <c r="L50">
        <v>0.117189</v>
      </c>
      <c r="M50">
        <v>0.27588699999999999</v>
      </c>
      <c r="N50">
        <v>4.1540000000000001E-2</v>
      </c>
      <c r="O50">
        <v>9.5310000000000006E-2</v>
      </c>
      <c r="P50">
        <v>9.1702000000000006E-2</v>
      </c>
      <c r="Q50">
        <v>0.11300300000000001</v>
      </c>
      <c r="R50">
        <v>0.11817999999999999</v>
      </c>
      <c r="S50">
        <v>4.1800999999999998E-2</v>
      </c>
      <c r="T50">
        <v>6.4587000000000006E-2</v>
      </c>
      <c r="U50">
        <v>8.7207999999999994E-2</v>
      </c>
      <c r="V50">
        <v>9.6768999999999994E-2</v>
      </c>
      <c r="W50">
        <v>7.6354000000000005E-2</v>
      </c>
      <c r="X50">
        <v>3.2779999999999997E-2</v>
      </c>
      <c r="Y50">
        <v>5.9309000000000001E-2</v>
      </c>
      <c r="Z50">
        <v>8.4861000000000006E-2</v>
      </c>
      <c r="AA50">
        <v>0.13650499999999999</v>
      </c>
      <c r="AB50">
        <v>0.184138</v>
      </c>
    </row>
    <row r="51" spans="1:28" x14ac:dyDescent="0.2">
      <c r="A51">
        <v>19360229</v>
      </c>
      <c r="B51">
        <v>1936</v>
      </c>
      <c r="C51">
        <v>2</v>
      </c>
      <c r="D51">
        <v>0.11756</v>
      </c>
      <c r="E51">
        <v>-6.5113000000000004E-2</v>
      </c>
      <c r="F51">
        <v>0.14671000000000001</v>
      </c>
      <c r="G51">
        <v>0.10315100000000001</v>
      </c>
      <c r="H51">
        <v>9.2324000000000003E-2</v>
      </c>
      <c r="I51">
        <v>1.7791999999999999E-2</v>
      </c>
      <c r="J51">
        <v>6.4092999999999997E-2</v>
      </c>
      <c r="K51">
        <v>6.1003000000000002E-2</v>
      </c>
      <c r="L51">
        <v>7.2659000000000001E-2</v>
      </c>
      <c r="M51">
        <v>3.5435000000000001E-2</v>
      </c>
      <c r="N51">
        <v>1.8794999999999999E-2</v>
      </c>
      <c r="O51">
        <v>2.5010999999999999E-2</v>
      </c>
      <c r="P51">
        <v>5.1135E-2</v>
      </c>
      <c r="Q51">
        <v>7.9256999999999994E-2</v>
      </c>
      <c r="R51">
        <v>3.8772000000000001E-2</v>
      </c>
      <c r="S51">
        <v>2.6488000000000001E-2</v>
      </c>
      <c r="T51">
        <v>3.4841999999999998E-2</v>
      </c>
      <c r="U51">
        <v>6.0344000000000002E-2</v>
      </c>
      <c r="V51">
        <v>3.5002999999999999E-2</v>
      </c>
      <c r="W51">
        <v>0.102904</v>
      </c>
      <c r="X51">
        <v>1.9196999999999999E-2</v>
      </c>
      <c r="Y51">
        <v>1.0374E-2</v>
      </c>
      <c r="Z51">
        <v>3.9675000000000002E-2</v>
      </c>
      <c r="AA51">
        <v>3.3300000000000003E-2</v>
      </c>
      <c r="AB51">
        <v>2.9828E-2</v>
      </c>
    </row>
    <row r="52" spans="1:28" x14ac:dyDescent="0.2">
      <c r="A52">
        <v>19360331</v>
      </c>
      <c r="B52">
        <v>1936</v>
      </c>
      <c r="C52">
        <v>3</v>
      </c>
      <c r="D52">
        <v>9.5232999999999998E-2</v>
      </c>
      <c r="E52">
        <v>-1.4345999999999999E-2</v>
      </c>
      <c r="F52">
        <v>3.9594999999999998E-2</v>
      </c>
      <c r="G52">
        <v>3.4270000000000002E-2</v>
      </c>
      <c r="H52">
        <v>7.4729999999999996E-3</v>
      </c>
      <c r="I52">
        <v>-4.437E-3</v>
      </c>
      <c r="J52">
        <v>9.8750000000000001E-3</v>
      </c>
      <c r="K52">
        <v>4.1501999999999997E-2</v>
      </c>
      <c r="L52">
        <v>-1.0848999999999999E-2</v>
      </c>
      <c r="M52">
        <v>3.14E-3</v>
      </c>
      <c r="N52">
        <v>4.3270999999999997E-2</v>
      </c>
      <c r="O52">
        <v>3.4944999999999997E-2</v>
      </c>
      <c r="P52">
        <v>3.5436000000000002E-2</v>
      </c>
      <c r="Q52">
        <v>3.9663999999999998E-2</v>
      </c>
      <c r="R52">
        <v>1.8681E-2</v>
      </c>
      <c r="S52">
        <v>-1.6417000000000001E-2</v>
      </c>
      <c r="T52">
        <v>2.6740000000000002E-3</v>
      </c>
      <c r="U52">
        <v>1.9720000000000001E-2</v>
      </c>
      <c r="V52">
        <v>2.4920000000000001E-2</v>
      </c>
      <c r="W52">
        <v>-4.5656000000000002E-2</v>
      </c>
      <c r="X52">
        <v>3.5730999999999999E-2</v>
      </c>
      <c r="Y52">
        <v>1.3294E-2</v>
      </c>
      <c r="Z52">
        <v>-2.2071E-2</v>
      </c>
      <c r="AA52">
        <v>2.0754000000000002E-2</v>
      </c>
      <c r="AB52">
        <v>-3.3782E-2</v>
      </c>
    </row>
    <row r="53" spans="1:28" x14ac:dyDescent="0.2">
      <c r="A53">
        <v>19360430</v>
      </c>
      <c r="B53">
        <v>1936</v>
      </c>
      <c r="C53">
        <v>4</v>
      </c>
      <c r="D53">
        <v>-0.28461500000000001</v>
      </c>
      <c r="E53">
        <v>-0.25525500000000001</v>
      </c>
      <c r="F53">
        <v>-0.11217299999999999</v>
      </c>
      <c r="G53">
        <v>-0.139017</v>
      </c>
      <c r="H53">
        <v>-0.225994</v>
      </c>
      <c r="I53">
        <v>-0.19395000000000001</v>
      </c>
      <c r="J53">
        <v>-0.143398</v>
      </c>
      <c r="K53">
        <v>-0.16218299999999999</v>
      </c>
      <c r="L53">
        <v>-0.15049499999999999</v>
      </c>
      <c r="M53">
        <v>-0.19206899999999999</v>
      </c>
      <c r="N53">
        <v>-8.1651000000000001E-2</v>
      </c>
      <c r="O53">
        <v>-0.10105600000000001</v>
      </c>
      <c r="P53">
        <v>-0.12479899999999999</v>
      </c>
      <c r="Q53">
        <v>-0.12504199999999999</v>
      </c>
      <c r="R53">
        <v>-8.7613999999999997E-2</v>
      </c>
      <c r="S53">
        <v>-8.6302000000000004E-2</v>
      </c>
      <c r="T53">
        <v>-9.0351000000000001E-2</v>
      </c>
      <c r="U53">
        <v>-0.11777600000000001</v>
      </c>
      <c r="V53">
        <v>-0.10342899999999999</v>
      </c>
      <c r="W53">
        <v>-0.144094</v>
      </c>
      <c r="X53">
        <v>-6.8552000000000002E-2</v>
      </c>
      <c r="Y53">
        <v>-8.1550999999999998E-2</v>
      </c>
      <c r="Z53">
        <v>-6.9250000000000006E-2</v>
      </c>
      <c r="AA53">
        <v>-0.10663300000000001</v>
      </c>
      <c r="AB53">
        <v>-8.5597999999999994E-2</v>
      </c>
    </row>
    <row r="54" spans="1:28" x14ac:dyDescent="0.2">
      <c r="A54">
        <v>19360529</v>
      </c>
      <c r="B54">
        <v>1936</v>
      </c>
      <c r="C54">
        <v>5</v>
      </c>
      <c r="D54">
        <v>1.9807000000000002E-2</v>
      </c>
      <c r="E54">
        <v>-6.9621000000000002E-2</v>
      </c>
      <c r="F54">
        <v>5.6376000000000002E-2</v>
      </c>
      <c r="G54">
        <v>8.3042000000000005E-2</v>
      </c>
      <c r="H54">
        <v>6.4611000000000002E-2</v>
      </c>
      <c r="I54">
        <v>5.0715000000000003E-2</v>
      </c>
      <c r="J54">
        <v>4.9730999999999997E-2</v>
      </c>
      <c r="K54">
        <v>6.3908999999999994E-2</v>
      </c>
      <c r="L54">
        <v>5.8896999999999998E-2</v>
      </c>
      <c r="M54">
        <v>6.8758E-2</v>
      </c>
      <c r="N54">
        <v>1.6469999999999999E-2</v>
      </c>
      <c r="O54">
        <v>4.7468000000000003E-2</v>
      </c>
      <c r="P54">
        <v>6.7211000000000007E-2</v>
      </c>
      <c r="Q54">
        <v>4.0196999999999997E-2</v>
      </c>
      <c r="R54">
        <v>0.123736</v>
      </c>
      <c r="S54">
        <v>5.4321000000000001E-2</v>
      </c>
      <c r="T54">
        <v>1.5084E-2</v>
      </c>
      <c r="U54">
        <v>3.5206000000000001E-2</v>
      </c>
      <c r="V54">
        <v>5.1791999999999998E-2</v>
      </c>
      <c r="W54">
        <v>7.8423999999999994E-2</v>
      </c>
      <c r="X54">
        <v>5.4554999999999999E-2</v>
      </c>
      <c r="Y54">
        <v>4.9549000000000003E-2</v>
      </c>
      <c r="Z54">
        <v>4.827E-2</v>
      </c>
      <c r="AA54">
        <v>6.0811999999999998E-2</v>
      </c>
      <c r="AB54">
        <v>6.8514000000000005E-2</v>
      </c>
    </row>
    <row r="55" spans="1:28" x14ac:dyDescent="0.2">
      <c r="A55">
        <v>19360630</v>
      </c>
      <c r="B55">
        <v>1936</v>
      </c>
      <c r="C55">
        <v>6</v>
      </c>
      <c r="D55">
        <v>-2.8770000000000002E-3</v>
      </c>
      <c r="E55">
        <v>4.6089999999999999E-2</v>
      </c>
      <c r="F55">
        <v>-1.3552E-2</v>
      </c>
      <c r="G55">
        <v>-2.3456000000000001E-2</v>
      </c>
      <c r="H55">
        <v>-1.6636999999999999E-2</v>
      </c>
      <c r="I55">
        <v>-2.2034999999999999E-2</v>
      </c>
      <c r="J55">
        <v>1.2734000000000001E-2</v>
      </c>
      <c r="K55">
        <v>-3.9847E-2</v>
      </c>
      <c r="L55">
        <v>-2.4853E-2</v>
      </c>
      <c r="M55">
        <v>3.57E-4</v>
      </c>
      <c r="N55">
        <v>-1.9162999999999999E-2</v>
      </c>
      <c r="O55">
        <v>7.6530000000000001E-3</v>
      </c>
      <c r="P55">
        <v>1.1452E-2</v>
      </c>
      <c r="Q55">
        <v>3.4883999999999998E-2</v>
      </c>
      <c r="R55">
        <v>-3.0588000000000001E-2</v>
      </c>
      <c r="S55">
        <v>1.001E-2</v>
      </c>
      <c r="T55">
        <v>-8.5039999999999994E-3</v>
      </c>
      <c r="U55">
        <v>-8.9599999999999999E-4</v>
      </c>
      <c r="V55">
        <v>1.6608999999999999E-2</v>
      </c>
      <c r="W55">
        <v>-1.7939E-2</v>
      </c>
      <c r="X55">
        <v>4.1279999999999997E-2</v>
      </c>
      <c r="Y55">
        <v>1.8751E-2</v>
      </c>
      <c r="Z55">
        <v>2.7047999999999999E-2</v>
      </c>
      <c r="AA55">
        <v>1.9761999999999998E-2</v>
      </c>
      <c r="AB55">
        <v>2.1548000000000001E-2</v>
      </c>
    </row>
    <row r="56" spans="1:28" x14ac:dyDescent="0.2">
      <c r="A56">
        <v>19360731</v>
      </c>
      <c r="B56">
        <v>1936</v>
      </c>
      <c r="C56">
        <v>7</v>
      </c>
      <c r="D56">
        <v>-5.7679999999999997E-3</v>
      </c>
      <c r="E56">
        <v>-2.9534000000000001E-2</v>
      </c>
      <c r="F56">
        <v>0.14885699999999999</v>
      </c>
      <c r="G56">
        <v>9.4174999999999995E-2</v>
      </c>
      <c r="H56">
        <v>6.7093E-2</v>
      </c>
      <c r="I56">
        <v>0.10734100000000001</v>
      </c>
      <c r="J56">
        <v>0.143237</v>
      </c>
      <c r="K56">
        <v>9.5033999999999993E-2</v>
      </c>
      <c r="L56">
        <v>6.6921999999999995E-2</v>
      </c>
      <c r="M56">
        <v>3.5765999999999999E-2</v>
      </c>
      <c r="N56">
        <v>7.6693999999999998E-2</v>
      </c>
      <c r="O56">
        <v>9.6711000000000005E-2</v>
      </c>
      <c r="P56">
        <v>6.2836000000000003E-2</v>
      </c>
      <c r="Q56">
        <v>7.9935000000000006E-2</v>
      </c>
      <c r="R56">
        <v>0.15221100000000001</v>
      </c>
      <c r="S56">
        <v>8.1407999999999994E-2</v>
      </c>
      <c r="T56">
        <v>3.4887000000000001E-2</v>
      </c>
      <c r="U56">
        <v>8.0304E-2</v>
      </c>
      <c r="V56">
        <v>0.11155900000000001</v>
      </c>
      <c r="W56">
        <v>0.13750999999999999</v>
      </c>
      <c r="X56">
        <v>5.9358000000000001E-2</v>
      </c>
      <c r="Y56">
        <v>6.1530000000000001E-2</v>
      </c>
      <c r="Z56">
        <v>5.5418000000000002E-2</v>
      </c>
      <c r="AA56">
        <v>0.109042</v>
      </c>
      <c r="AB56">
        <v>9.7850000000000006E-2</v>
      </c>
    </row>
    <row r="57" spans="1:28" x14ac:dyDescent="0.2">
      <c r="A57">
        <v>19360831</v>
      </c>
      <c r="B57">
        <v>1936</v>
      </c>
      <c r="C57">
        <v>8</v>
      </c>
      <c r="D57">
        <v>-3.5566E-2</v>
      </c>
      <c r="E57">
        <v>-4.9707000000000001E-2</v>
      </c>
      <c r="F57">
        <v>5.9365000000000001E-2</v>
      </c>
      <c r="G57">
        <v>3.3352E-2</v>
      </c>
      <c r="H57">
        <v>2.1909999999999999E-2</v>
      </c>
      <c r="I57">
        <v>-1.2681E-2</v>
      </c>
      <c r="J57">
        <v>3.5692000000000002E-2</v>
      </c>
      <c r="K57">
        <v>2.0961E-2</v>
      </c>
      <c r="L57">
        <v>3.3119999999999997E-2</v>
      </c>
      <c r="M57">
        <v>4.5581000000000003E-2</v>
      </c>
      <c r="N57">
        <v>1.3412E-2</v>
      </c>
      <c r="O57">
        <v>8.8929999999999999E-3</v>
      </c>
      <c r="P57">
        <v>4.3249000000000003E-2</v>
      </c>
      <c r="Q57">
        <v>2.9614000000000001E-2</v>
      </c>
      <c r="R57">
        <v>6.6041000000000002E-2</v>
      </c>
      <c r="S57">
        <v>1.0377000000000001E-2</v>
      </c>
      <c r="T57">
        <v>1.6419E-2</v>
      </c>
      <c r="U57">
        <v>3.4611000000000003E-2</v>
      </c>
      <c r="V57">
        <v>3.1856000000000002E-2</v>
      </c>
      <c r="W57">
        <v>5.3356000000000001E-2</v>
      </c>
      <c r="X57">
        <v>-2.13E-4</v>
      </c>
      <c r="Y57">
        <v>1.0739E-2</v>
      </c>
      <c r="Z57">
        <v>4.1539999999999997E-3</v>
      </c>
      <c r="AA57">
        <v>2.9564E-2</v>
      </c>
      <c r="AB57">
        <v>3.7326999999999999E-2</v>
      </c>
    </row>
    <row r="58" spans="1:28" x14ac:dyDescent="0.2">
      <c r="A58">
        <v>19360930</v>
      </c>
      <c r="B58">
        <v>1936</v>
      </c>
      <c r="C58">
        <v>9</v>
      </c>
      <c r="D58">
        <v>-1.1114000000000001E-2</v>
      </c>
      <c r="E58">
        <v>0.11137</v>
      </c>
      <c r="F58">
        <v>2.1389999999999999E-2</v>
      </c>
      <c r="G58">
        <v>6.7602999999999996E-2</v>
      </c>
      <c r="H58">
        <v>5.7801999999999999E-2</v>
      </c>
      <c r="I58">
        <v>4.3685000000000002E-2</v>
      </c>
      <c r="J58">
        <v>3.1421999999999999E-2</v>
      </c>
      <c r="K58">
        <v>2.5954999999999999E-2</v>
      </c>
      <c r="L58">
        <v>5.4657999999999998E-2</v>
      </c>
      <c r="M58">
        <v>2.4070000000000001E-2</v>
      </c>
      <c r="N58">
        <v>3.4515999999999998E-2</v>
      </c>
      <c r="O58">
        <v>8.2140000000000008E-3</v>
      </c>
      <c r="P58">
        <v>5.0075000000000001E-2</v>
      </c>
      <c r="Q58">
        <v>6.0005999999999997E-2</v>
      </c>
      <c r="R58">
        <v>1.3697000000000001E-2</v>
      </c>
      <c r="S58">
        <v>3.2432999999999997E-2</v>
      </c>
      <c r="T58">
        <v>3.5749999999999997E-2</v>
      </c>
      <c r="U58">
        <v>2.7165000000000002E-2</v>
      </c>
      <c r="V58">
        <v>5.6220000000000003E-3</v>
      </c>
      <c r="W58">
        <v>2.7577999999999998E-2</v>
      </c>
      <c r="X58">
        <v>3.8500000000000001E-3</v>
      </c>
      <c r="Y58">
        <v>1.315E-2</v>
      </c>
      <c r="Z58">
        <v>7.5469999999999999E-3</v>
      </c>
      <c r="AA58">
        <v>1.3816999999999999E-2</v>
      </c>
      <c r="AB58">
        <v>-5.9620000000000003E-3</v>
      </c>
    </row>
    <row r="59" spans="1:28" x14ac:dyDescent="0.2">
      <c r="A59">
        <v>19361031</v>
      </c>
      <c r="B59">
        <v>1936</v>
      </c>
      <c r="C59">
        <v>10</v>
      </c>
      <c r="D59">
        <v>0.135021</v>
      </c>
      <c r="E59">
        <v>8.0243999999999996E-2</v>
      </c>
      <c r="F59">
        <v>5.9284000000000003E-2</v>
      </c>
      <c r="G59">
        <v>8.2657999999999995E-2</v>
      </c>
      <c r="H59">
        <v>8.0162999999999998E-2</v>
      </c>
      <c r="I59">
        <v>1.6250000000000001E-2</v>
      </c>
      <c r="J59">
        <v>5.7104000000000002E-2</v>
      </c>
      <c r="K59">
        <v>9.4877000000000003E-2</v>
      </c>
      <c r="L59">
        <v>8.0599000000000004E-2</v>
      </c>
      <c r="M59">
        <v>7.2078000000000003E-2</v>
      </c>
      <c r="N59">
        <v>4.4714999999999998E-2</v>
      </c>
      <c r="O59">
        <v>2.1488E-2</v>
      </c>
      <c r="P59">
        <v>8.2237000000000005E-2</v>
      </c>
      <c r="Q59">
        <v>6.1225000000000002E-2</v>
      </c>
      <c r="R59">
        <v>6.0669000000000001E-2</v>
      </c>
      <c r="S59">
        <v>2.7164000000000001E-2</v>
      </c>
      <c r="T59">
        <v>4.7073999999999998E-2</v>
      </c>
      <c r="U59">
        <v>9.3322000000000002E-2</v>
      </c>
      <c r="V59">
        <v>0.16125500000000001</v>
      </c>
      <c r="W59">
        <v>3.5611999999999998E-2</v>
      </c>
      <c r="X59">
        <v>6.9425000000000001E-2</v>
      </c>
      <c r="Y59">
        <v>4.9493000000000002E-2</v>
      </c>
      <c r="Z59">
        <v>9.6568000000000001E-2</v>
      </c>
      <c r="AA59">
        <v>0.104897</v>
      </c>
      <c r="AB59">
        <v>5.3525999999999997E-2</v>
      </c>
    </row>
    <row r="60" spans="1:28" x14ac:dyDescent="0.2">
      <c r="A60">
        <v>19361130</v>
      </c>
      <c r="B60">
        <v>1936</v>
      </c>
      <c r="C60">
        <v>11</v>
      </c>
      <c r="D60">
        <v>9.8462999999999995E-2</v>
      </c>
      <c r="E60">
        <v>0.207564</v>
      </c>
      <c r="F60">
        <v>9.3010999999999996E-2</v>
      </c>
      <c r="G60">
        <v>0.15102299999999999</v>
      </c>
      <c r="H60">
        <v>0.12604499999999999</v>
      </c>
      <c r="I60">
        <v>0.13079199999999999</v>
      </c>
      <c r="J60">
        <v>9.7818000000000002E-2</v>
      </c>
      <c r="K60">
        <v>8.6037000000000002E-2</v>
      </c>
      <c r="L60">
        <v>0.11919200000000001</v>
      </c>
      <c r="M60">
        <v>0.122928</v>
      </c>
      <c r="N60">
        <v>8.8137999999999994E-2</v>
      </c>
      <c r="O60">
        <v>8.6818000000000006E-2</v>
      </c>
      <c r="P60">
        <v>9.0854000000000004E-2</v>
      </c>
      <c r="Q60">
        <v>0.111208</v>
      </c>
      <c r="R60">
        <v>8.0835000000000004E-2</v>
      </c>
      <c r="S60">
        <v>4.7104E-2</v>
      </c>
      <c r="T60">
        <v>2.6717000000000001E-2</v>
      </c>
      <c r="U60">
        <v>9.1901999999999998E-2</v>
      </c>
      <c r="V60">
        <v>7.9592999999999997E-2</v>
      </c>
      <c r="W60">
        <v>4.2021999999999997E-2</v>
      </c>
      <c r="X60">
        <v>3.0949999999999998E-2</v>
      </c>
      <c r="Y60">
        <v>3.3419999999999998E-2</v>
      </c>
      <c r="Z60">
        <v>2.3206000000000001E-2</v>
      </c>
      <c r="AA60">
        <v>3.2399999999999998E-3</v>
      </c>
      <c r="AB60">
        <v>-3.4015999999999998E-2</v>
      </c>
    </row>
    <row r="61" spans="1:28" x14ac:dyDescent="0.2">
      <c r="A61">
        <v>19361231</v>
      </c>
      <c r="B61">
        <v>1936</v>
      </c>
      <c r="C61">
        <v>12</v>
      </c>
      <c r="D61">
        <v>-3.8593000000000002E-2</v>
      </c>
      <c r="E61">
        <v>-1.4475999999999999E-2</v>
      </c>
      <c r="F61">
        <v>4.2594E-2</v>
      </c>
      <c r="G61">
        <v>-9.783E-3</v>
      </c>
      <c r="H61">
        <v>3.6063999999999999E-2</v>
      </c>
      <c r="I61">
        <v>2.8001999999999999E-2</v>
      </c>
      <c r="J61">
        <v>2.6488000000000001E-2</v>
      </c>
      <c r="K61">
        <v>1.0687E-2</v>
      </c>
      <c r="L61">
        <v>7.2331000000000006E-2</v>
      </c>
      <c r="M61">
        <v>9.2294000000000001E-2</v>
      </c>
      <c r="N61">
        <v>1.6182999999999999E-2</v>
      </c>
      <c r="O61">
        <v>2.6289E-2</v>
      </c>
      <c r="P61">
        <v>3.8904000000000001E-2</v>
      </c>
      <c r="Q61">
        <v>1.7684999999999999E-2</v>
      </c>
      <c r="R61">
        <v>6.6198000000000007E-2</v>
      </c>
      <c r="S61">
        <v>7.7879999999999998E-3</v>
      </c>
      <c r="T61">
        <v>1.8064E-2</v>
      </c>
      <c r="U61">
        <v>1.7441000000000002E-2</v>
      </c>
      <c r="V61">
        <v>3.8712999999999997E-2</v>
      </c>
      <c r="W61">
        <v>2.2134000000000001E-2</v>
      </c>
      <c r="X61">
        <v>-2.4261999999999999E-2</v>
      </c>
      <c r="Y61">
        <v>-6.7190000000000001E-3</v>
      </c>
      <c r="Z61">
        <v>1.7306999999999999E-2</v>
      </c>
      <c r="AA61">
        <v>4.8016000000000003E-2</v>
      </c>
      <c r="AB61">
        <v>-2.6069999999999999E-3</v>
      </c>
    </row>
    <row r="62" spans="1:28" x14ac:dyDescent="0.2">
      <c r="A62">
        <v>19370130</v>
      </c>
      <c r="B62">
        <v>1937</v>
      </c>
      <c r="C62">
        <v>1</v>
      </c>
      <c r="D62">
        <v>0.149621</v>
      </c>
      <c r="E62">
        <v>1.3122E-2</v>
      </c>
      <c r="F62">
        <v>0.206231</v>
      </c>
      <c r="G62">
        <v>9.9572999999999995E-2</v>
      </c>
      <c r="H62">
        <v>0.113146</v>
      </c>
      <c r="I62">
        <v>0.112592</v>
      </c>
      <c r="J62">
        <v>7.2945999999999997E-2</v>
      </c>
      <c r="K62">
        <v>4.4558E-2</v>
      </c>
      <c r="L62">
        <v>7.6286999999999994E-2</v>
      </c>
      <c r="M62">
        <v>9.3662999999999996E-2</v>
      </c>
      <c r="N62">
        <v>5.5287999999999997E-2</v>
      </c>
      <c r="O62">
        <v>3.9527E-2</v>
      </c>
      <c r="P62">
        <v>7.7063999999999994E-2</v>
      </c>
      <c r="Q62">
        <v>9.0185000000000001E-2</v>
      </c>
      <c r="R62">
        <v>6.1510000000000002E-2</v>
      </c>
      <c r="S62">
        <v>3.8108000000000003E-2</v>
      </c>
      <c r="T62">
        <v>5.6728000000000001E-2</v>
      </c>
      <c r="U62">
        <v>3.3507000000000002E-2</v>
      </c>
      <c r="V62">
        <v>2.8327000000000001E-2</v>
      </c>
      <c r="W62">
        <v>9.7036999999999998E-2</v>
      </c>
      <c r="X62">
        <v>3.7371000000000001E-2</v>
      </c>
      <c r="Y62">
        <v>3.0637999999999999E-2</v>
      </c>
      <c r="Z62">
        <v>-2.7820000000000002E-3</v>
      </c>
      <c r="AA62">
        <v>3.1383000000000001E-2</v>
      </c>
      <c r="AB62">
        <v>0.110592</v>
      </c>
    </row>
    <row r="63" spans="1:28" x14ac:dyDescent="0.2">
      <c r="A63">
        <v>19370227</v>
      </c>
      <c r="B63">
        <v>1937</v>
      </c>
      <c r="C63">
        <v>2</v>
      </c>
      <c r="D63">
        <v>-0.104533</v>
      </c>
      <c r="E63">
        <v>0.30525799999999997</v>
      </c>
      <c r="F63">
        <v>-9.1185000000000002E-2</v>
      </c>
      <c r="G63">
        <v>9.2567999999999998E-2</v>
      </c>
      <c r="H63">
        <v>0.103209</v>
      </c>
      <c r="I63">
        <v>-2.2051000000000001E-2</v>
      </c>
      <c r="J63">
        <v>3.2613999999999997E-2</v>
      </c>
      <c r="K63">
        <v>1.3741E-2</v>
      </c>
      <c r="L63">
        <v>6.4819999999999999E-3</v>
      </c>
      <c r="M63">
        <v>9.5630000000000007E-2</v>
      </c>
      <c r="N63">
        <v>3.3552999999999999E-2</v>
      </c>
      <c r="O63">
        <v>2.2938E-2</v>
      </c>
      <c r="P63">
        <v>8.9569999999999997E-3</v>
      </c>
      <c r="Q63">
        <v>1.5315E-2</v>
      </c>
      <c r="R63">
        <v>7.1841000000000002E-2</v>
      </c>
      <c r="S63">
        <v>1.5327E-2</v>
      </c>
      <c r="T63">
        <v>2.3085999999999999E-2</v>
      </c>
      <c r="U63">
        <v>1.9095000000000001E-2</v>
      </c>
      <c r="V63">
        <v>2.1121999999999998E-2</v>
      </c>
      <c r="W63">
        <v>0.103897</v>
      </c>
      <c r="X63">
        <v>-4.1110000000000001E-3</v>
      </c>
      <c r="Y63">
        <v>7.2999999999999999E-5</v>
      </c>
      <c r="Z63">
        <v>7.6239999999999997E-3</v>
      </c>
      <c r="AA63">
        <v>2.6217000000000001E-2</v>
      </c>
      <c r="AB63">
        <v>9.9671999999999997E-2</v>
      </c>
    </row>
    <row r="64" spans="1:28" x14ac:dyDescent="0.2">
      <c r="A64">
        <v>19370331</v>
      </c>
      <c r="B64">
        <v>1937</v>
      </c>
      <c r="C64">
        <v>3</v>
      </c>
      <c r="D64">
        <v>-9.9225999999999995E-2</v>
      </c>
      <c r="E64">
        <v>-0.177172</v>
      </c>
      <c r="F64">
        <v>6.7799999999999999E-2</v>
      </c>
      <c r="G64">
        <v>-9.3200000000000002E-3</v>
      </c>
      <c r="H64">
        <v>4.0978000000000001E-2</v>
      </c>
      <c r="I64">
        <v>-2.9676999999999999E-2</v>
      </c>
      <c r="J64">
        <v>-3.1857999999999997E-2</v>
      </c>
      <c r="K64">
        <v>-5.0699999999999999E-3</v>
      </c>
      <c r="L64">
        <v>2.5517999999999999E-2</v>
      </c>
      <c r="M64">
        <v>8.5529999999999998E-3</v>
      </c>
      <c r="N64">
        <v>-2.7045E-2</v>
      </c>
      <c r="O64">
        <v>-1.4618000000000001E-2</v>
      </c>
      <c r="P64">
        <v>7.1050000000000002E-3</v>
      </c>
      <c r="Q64">
        <v>-2.0827999999999999E-2</v>
      </c>
      <c r="R64">
        <v>5.4698999999999998E-2</v>
      </c>
      <c r="S64">
        <v>-2.5517000000000001E-2</v>
      </c>
      <c r="T64">
        <v>5.6800000000000002E-3</v>
      </c>
      <c r="U64">
        <v>1.6344000000000001E-2</v>
      </c>
      <c r="V64">
        <v>-3.8960000000000002E-3</v>
      </c>
      <c r="W64">
        <v>0.127253</v>
      </c>
      <c r="X64">
        <v>-1.9747000000000001E-2</v>
      </c>
      <c r="Y64">
        <v>-2.1956E-2</v>
      </c>
      <c r="Z64">
        <v>2.1789999999999999E-3</v>
      </c>
      <c r="AA64">
        <v>3.3711999999999999E-2</v>
      </c>
      <c r="AB64">
        <v>7.4543999999999999E-2</v>
      </c>
    </row>
    <row r="65" spans="1:28" x14ac:dyDescent="0.2">
      <c r="A65">
        <v>19370430</v>
      </c>
      <c r="B65">
        <v>1937</v>
      </c>
      <c r="C65">
        <v>4</v>
      </c>
      <c r="D65">
        <v>-0.19567699999999999</v>
      </c>
      <c r="E65">
        <v>-0.20761099999999999</v>
      </c>
      <c r="F65">
        <v>-0.18417500000000001</v>
      </c>
      <c r="G65">
        <v>-0.128743</v>
      </c>
      <c r="H65">
        <v>-0.18010899999999999</v>
      </c>
      <c r="I65">
        <v>-9.1162999999999994E-2</v>
      </c>
      <c r="J65">
        <v>-0.108866</v>
      </c>
      <c r="K65">
        <v>-0.115379</v>
      </c>
      <c r="L65">
        <v>-0.14996799999999999</v>
      </c>
      <c r="M65">
        <v>-0.13965900000000001</v>
      </c>
      <c r="N65">
        <v>-8.0208000000000002E-2</v>
      </c>
      <c r="O65">
        <v>-9.2531000000000002E-2</v>
      </c>
      <c r="P65">
        <v>-6.6946000000000006E-2</v>
      </c>
      <c r="Q65">
        <v>-8.5351999999999997E-2</v>
      </c>
      <c r="R65">
        <v>-0.102398</v>
      </c>
      <c r="S65">
        <v>-6.9381999999999999E-2</v>
      </c>
      <c r="T65">
        <v>-8.3652000000000004E-2</v>
      </c>
      <c r="U65">
        <v>-9.8082000000000003E-2</v>
      </c>
      <c r="V65">
        <v>-0.140677</v>
      </c>
      <c r="W65">
        <v>-0.113923</v>
      </c>
      <c r="X65">
        <v>-6.9425000000000001E-2</v>
      </c>
      <c r="Y65">
        <v>-4.9149999999999999E-2</v>
      </c>
      <c r="Z65">
        <v>-6.2357000000000003E-2</v>
      </c>
      <c r="AA65">
        <v>-7.4399000000000007E-2</v>
      </c>
      <c r="AB65">
        <v>-0.101009</v>
      </c>
    </row>
    <row r="66" spans="1:28" x14ac:dyDescent="0.2">
      <c r="A66">
        <v>19370528</v>
      </c>
      <c r="B66">
        <v>1937</v>
      </c>
      <c r="C66">
        <v>5</v>
      </c>
      <c r="D66">
        <v>-5.4126000000000001E-2</v>
      </c>
      <c r="E66">
        <v>-0.13808999999999999</v>
      </c>
      <c r="F66">
        <v>-1.9990000000000001E-2</v>
      </c>
      <c r="G66">
        <v>-1.0361E-2</v>
      </c>
      <c r="H66">
        <v>-3.7846999999999999E-2</v>
      </c>
      <c r="I66">
        <v>-4.8040000000000001E-3</v>
      </c>
      <c r="J66">
        <v>-7.816E-3</v>
      </c>
      <c r="K66">
        <v>-2.8374E-2</v>
      </c>
      <c r="L66">
        <v>-2.784E-2</v>
      </c>
      <c r="M66">
        <v>-7.7311000000000005E-2</v>
      </c>
      <c r="N66">
        <v>-1.001E-2</v>
      </c>
      <c r="O66">
        <v>-2.1374000000000001E-2</v>
      </c>
      <c r="P66">
        <v>-3.2079999999999997E-2</v>
      </c>
      <c r="Q66">
        <v>-4.9769999999999997E-3</v>
      </c>
      <c r="R66">
        <v>-3.1091000000000001E-2</v>
      </c>
      <c r="S66">
        <v>-8.1670000000000006E-3</v>
      </c>
      <c r="T66">
        <v>-1.2968E-2</v>
      </c>
      <c r="U66">
        <v>-2.4094000000000001E-2</v>
      </c>
      <c r="V66">
        <v>-2.6870000000000002E-2</v>
      </c>
      <c r="W66">
        <v>-1.512E-2</v>
      </c>
      <c r="X66">
        <v>6.8840000000000004E-3</v>
      </c>
      <c r="Y66">
        <v>-2.4749E-2</v>
      </c>
      <c r="Z66">
        <v>3.787E-3</v>
      </c>
      <c r="AA66">
        <v>-2.664E-2</v>
      </c>
      <c r="AB66">
        <v>-2.7566E-2</v>
      </c>
    </row>
    <row r="67" spans="1:28" x14ac:dyDescent="0.2">
      <c r="A67">
        <v>19370630</v>
      </c>
      <c r="B67">
        <v>1937</v>
      </c>
      <c r="C67">
        <v>6</v>
      </c>
      <c r="D67">
        <v>-0.12389600000000001</v>
      </c>
      <c r="E67">
        <v>-6.1288000000000002E-2</v>
      </c>
      <c r="F67">
        <v>-0.153917</v>
      </c>
      <c r="G67">
        <v>-9.2411999999999994E-2</v>
      </c>
      <c r="H67">
        <v>-0.13884299999999999</v>
      </c>
      <c r="I67">
        <v>-8.1236000000000003E-2</v>
      </c>
      <c r="J67">
        <v>-7.5544E-2</v>
      </c>
      <c r="K67">
        <v>-5.4462999999999998E-2</v>
      </c>
      <c r="L67">
        <v>-7.7748999999999999E-2</v>
      </c>
      <c r="M67">
        <v>-0.15044099999999999</v>
      </c>
      <c r="N67">
        <v>-5.8484000000000001E-2</v>
      </c>
      <c r="O67">
        <v>-6.4701999999999996E-2</v>
      </c>
      <c r="P67">
        <v>-5.7547000000000001E-2</v>
      </c>
      <c r="Q67">
        <v>-7.3371000000000006E-2</v>
      </c>
      <c r="R67">
        <v>-8.5277000000000006E-2</v>
      </c>
      <c r="S67">
        <v>-3.5742000000000003E-2</v>
      </c>
      <c r="T67">
        <v>-6.2682000000000002E-2</v>
      </c>
      <c r="U67">
        <v>-4.8286999999999997E-2</v>
      </c>
      <c r="V67">
        <v>-6.4780000000000004E-2</v>
      </c>
      <c r="W67">
        <v>-0.110489</v>
      </c>
      <c r="X67">
        <v>-4.4823000000000002E-2</v>
      </c>
      <c r="Y67">
        <v>-1.8085E-2</v>
      </c>
      <c r="Z67">
        <v>-2.1957000000000001E-2</v>
      </c>
      <c r="AA67">
        <v>-4.4815000000000001E-2</v>
      </c>
      <c r="AB67">
        <v>-7.7032000000000003E-2</v>
      </c>
    </row>
    <row r="68" spans="1:28" x14ac:dyDescent="0.2">
      <c r="A68">
        <v>19370731</v>
      </c>
      <c r="B68">
        <v>1937</v>
      </c>
      <c r="C68">
        <v>7</v>
      </c>
      <c r="D68">
        <v>0.13201199999999999</v>
      </c>
      <c r="E68">
        <v>0.116345</v>
      </c>
      <c r="F68">
        <v>0.135434</v>
      </c>
      <c r="G68">
        <v>0.11637500000000001</v>
      </c>
      <c r="H68">
        <v>0.110889</v>
      </c>
      <c r="I68">
        <v>0.120448</v>
      </c>
      <c r="J68">
        <v>0.111152</v>
      </c>
      <c r="K68">
        <v>9.0319999999999998E-2</v>
      </c>
      <c r="L68">
        <v>9.3872999999999998E-2</v>
      </c>
      <c r="M68">
        <v>9.3235999999999999E-2</v>
      </c>
      <c r="N68">
        <v>8.4009E-2</v>
      </c>
      <c r="O68">
        <v>0.121436</v>
      </c>
      <c r="P68">
        <v>6.6795999999999994E-2</v>
      </c>
      <c r="Q68">
        <v>7.5013999999999997E-2</v>
      </c>
      <c r="R68">
        <v>0.101454</v>
      </c>
      <c r="S68">
        <v>7.8242999999999993E-2</v>
      </c>
      <c r="T68">
        <v>9.0385999999999994E-2</v>
      </c>
      <c r="U68">
        <v>7.3608999999999994E-2</v>
      </c>
      <c r="V68">
        <v>0.10166699999999999</v>
      </c>
      <c r="W68">
        <v>8.0450999999999995E-2</v>
      </c>
      <c r="X68">
        <v>8.6951000000000001E-2</v>
      </c>
      <c r="Y68">
        <v>0.107616</v>
      </c>
      <c r="Z68">
        <v>6.9738999999999995E-2</v>
      </c>
      <c r="AA68">
        <v>0.107562</v>
      </c>
      <c r="AB68">
        <v>0.11185100000000001</v>
      </c>
    </row>
    <row r="69" spans="1:28" x14ac:dyDescent="0.2">
      <c r="A69">
        <v>19370831</v>
      </c>
      <c r="B69">
        <v>1937</v>
      </c>
      <c r="C69">
        <v>8</v>
      </c>
      <c r="D69">
        <v>-4.5786E-2</v>
      </c>
      <c r="E69">
        <v>-9.3756999999999993E-2</v>
      </c>
      <c r="F69">
        <v>-0.10261199999999999</v>
      </c>
      <c r="G69">
        <v>-5.1071999999999999E-2</v>
      </c>
      <c r="H69">
        <v>-6.4568E-2</v>
      </c>
      <c r="I69">
        <v>-7.6674999999999993E-2</v>
      </c>
      <c r="J69">
        <v>-5.5750000000000001E-2</v>
      </c>
      <c r="K69">
        <v>-3.6796000000000002E-2</v>
      </c>
      <c r="L69">
        <v>-5.5899999999999998E-2</v>
      </c>
      <c r="M69">
        <v>-3.4114999999999999E-2</v>
      </c>
      <c r="N69">
        <v>-3.2085000000000002E-2</v>
      </c>
      <c r="O69">
        <v>-5.7854000000000003E-2</v>
      </c>
      <c r="P69">
        <v>-5.2623999999999997E-2</v>
      </c>
      <c r="Q69">
        <v>-3.6602999999999997E-2</v>
      </c>
      <c r="R69">
        <v>-7.0483000000000004E-2</v>
      </c>
      <c r="S69">
        <v>-4.2651000000000001E-2</v>
      </c>
      <c r="T69">
        <v>-3.3654999999999997E-2</v>
      </c>
      <c r="U69">
        <v>-3.9223000000000001E-2</v>
      </c>
      <c r="V69">
        <v>-5.6714000000000001E-2</v>
      </c>
      <c r="W69">
        <v>-7.8361E-2</v>
      </c>
      <c r="X69">
        <v>-2.9915000000000001E-2</v>
      </c>
      <c r="Y69">
        <v>-6.6883999999999999E-2</v>
      </c>
      <c r="Z69">
        <v>-5.0643000000000001E-2</v>
      </c>
      <c r="AA69">
        <v>-6.0609999999999997E-2</v>
      </c>
      <c r="AB69">
        <v>-8.1068000000000001E-2</v>
      </c>
    </row>
    <row r="70" spans="1:28" x14ac:dyDescent="0.2">
      <c r="A70">
        <v>19370930</v>
      </c>
      <c r="B70">
        <v>1937</v>
      </c>
      <c r="C70">
        <v>9</v>
      </c>
      <c r="D70">
        <v>-0.224963</v>
      </c>
      <c r="E70">
        <v>-0.289738</v>
      </c>
      <c r="F70">
        <v>-0.226802</v>
      </c>
      <c r="G70">
        <v>-0.22058900000000001</v>
      </c>
      <c r="H70">
        <v>-0.232241</v>
      </c>
      <c r="I70">
        <v>-0.240171</v>
      </c>
      <c r="J70">
        <v>-0.20227700000000001</v>
      </c>
      <c r="K70">
        <v>-0.20879</v>
      </c>
      <c r="L70">
        <v>-0.209892</v>
      </c>
      <c r="M70">
        <v>-0.24043400000000001</v>
      </c>
      <c r="N70">
        <v>-0.20209199999999999</v>
      </c>
      <c r="O70">
        <v>-0.20042699999999999</v>
      </c>
      <c r="P70">
        <v>-0.19961899999999999</v>
      </c>
      <c r="Q70">
        <v>-0.17209199999999999</v>
      </c>
      <c r="R70">
        <v>-0.25475700000000001</v>
      </c>
      <c r="S70">
        <v>-0.17691599999999999</v>
      </c>
      <c r="T70">
        <v>-0.172512</v>
      </c>
      <c r="U70">
        <v>-0.149616</v>
      </c>
      <c r="V70">
        <v>-0.193019</v>
      </c>
      <c r="W70">
        <v>-0.22220799999999999</v>
      </c>
      <c r="X70">
        <v>-0.112927</v>
      </c>
      <c r="Y70">
        <v>-0.149172</v>
      </c>
      <c r="Z70">
        <v>-9.4149999999999998E-2</v>
      </c>
      <c r="AA70">
        <v>-0.15734100000000001</v>
      </c>
      <c r="AB70">
        <v>-0.202262</v>
      </c>
    </row>
    <row r="71" spans="1:28" x14ac:dyDescent="0.2">
      <c r="A71">
        <v>19371030</v>
      </c>
      <c r="B71">
        <v>1937</v>
      </c>
      <c r="C71">
        <v>10</v>
      </c>
      <c r="D71">
        <v>-6.7674999999999999E-2</v>
      </c>
      <c r="E71">
        <v>-8.4667999999999993E-2</v>
      </c>
      <c r="F71">
        <v>-9.6673999999999996E-2</v>
      </c>
      <c r="G71">
        <v>-7.6333999999999999E-2</v>
      </c>
      <c r="H71">
        <v>-8.0393000000000006E-2</v>
      </c>
      <c r="I71">
        <v>-0.109121</v>
      </c>
      <c r="J71">
        <v>-9.7070000000000004E-2</v>
      </c>
      <c r="K71">
        <v>-9.6632999999999997E-2</v>
      </c>
      <c r="L71">
        <v>-0.120422</v>
      </c>
      <c r="M71">
        <v>-0.12878899999999999</v>
      </c>
      <c r="N71">
        <v>-0.12595000000000001</v>
      </c>
      <c r="O71">
        <v>-9.8713999999999996E-2</v>
      </c>
      <c r="P71">
        <v>-0.117747</v>
      </c>
      <c r="Q71">
        <v>-8.5439000000000001E-2</v>
      </c>
      <c r="R71">
        <v>-0.12178899999999999</v>
      </c>
      <c r="S71">
        <v>-6.8004999999999996E-2</v>
      </c>
      <c r="T71">
        <v>-0.104531</v>
      </c>
      <c r="U71">
        <v>-8.8885000000000006E-2</v>
      </c>
      <c r="V71">
        <v>-9.6241999999999994E-2</v>
      </c>
      <c r="W71">
        <v>-0.14157400000000001</v>
      </c>
      <c r="X71">
        <v>-0.103522</v>
      </c>
      <c r="Y71">
        <v>-9.0664999999999996E-2</v>
      </c>
      <c r="Z71">
        <v>-6.5873000000000001E-2</v>
      </c>
      <c r="AA71">
        <v>-0.10130699999999999</v>
      </c>
      <c r="AB71">
        <v>-0.17660600000000001</v>
      </c>
    </row>
    <row r="72" spans="1:28" x14ac:dyDescent="0.2">
      <c r="A72">
        <v>19371130</v>
      </c>
      <c r="B72">
        <v>1937</v>
      </c>
      <c r="C72">
        <v>11</v>
      </c>
      <c r="D72">
        <v>-2.5684999999999999E-2</v>
      </c>
      <c r="E72">
        <v>-0.124625</v>
      </c>
      <c r="F72">
        <v>-0.145539</v>
      </c>
      <c r="G72">
        <v>-0.14283899999999999</v>
      </c>
      <c r="H72">
        <v>-0.164827</v>
      </c>
      <c r="I72">
        <v>-0.109079</v>
      </c>
      <c r="J72">
        <v>-0.13594300000000001</v>
      </c>
      <c r="K72">
        <v>-0.11902799999999999</v>
      </c>
      <c r="L72">
        <v>-0.105763</v>
      </c>
      <c r="M72">
        <v>-0.10105500000000001</v>
      </c>
      <c r="N72">
        <v>-9.3369999999999995E-2</v>
      </c>
      <c r="O72">
        <v>-0.12445000000000001</v>
      </c>
      <c r="P72">
        <v>-7.6748999999999998E-2</v>
      </c>
      <c r="Q72">
        <v>-9.4545000000000004E-2</v>
      </c>
      <c r="R72">
        <v>-0.11043600000000001</v>
      </c>
      <c r="S72">
        <v>-8.5486999999999994E-2</v>
      </c>
      <c r="T72">
        <v>-9.3345999999999998E-2</v>
      </c>
      <c r="U72">
        <v>-0.113493</v>
      </c>
      <c r="V72">
        <v>-0.130743</v>
      </c>
      <c r="W72">
        <v>-9.1534000000000004E-2</v>
      </c>
      <c r="X72">
        <v>-8.7957999999999995E-2</v>
      </c>
      <c r="Y72">
        <v>-8.8160000000000002E-2</v>
      </c>
      <c r="Z72">
        <v>-7.1439000000000002E-2</v>
      </c>
      <c r="AA72">
        <v>-5.5932000000000003E-2</v>
      </c>
      <c r="AB72">
        <v>-8.7112999999999996E-2</v>
      </c>
    </row>
    <row r="73" spans="1:28" x14ac:dyDescent="0.2">
      <c r="A73">
        <v>19371231</v>
      </c>
      <c r="B73">
        <v>1937</v>
      </c>
      <c r="C73">
        <v>12</v>
      </c>
      <c r="D73">
        <v>-0.19126699999999999</v>
      </c>
      <c r="E73">
        <v>-0.200937</v>
      </c>
      <c r="F73">
        <v>-0.200242</v>
      </c>
      <c r="G73">
        <v>-0.104492</v>
      </c>
      <c r="H73">
        <v>-0.12628600000000001</v>
      </c>
      <c r="I73">
        <v>-0.14266499999999999</v>
      </c>
      <c r="J73">
        <v>-0.14301900000000001</v>
      </c>
      <c r="K73">
        <v>-0.11079600000000001</v>
      </c>
      <c r="L73">
        <v>-9.9937999999999999E-2</v>
      </c>
      <c r="M73">
        <v>-0.15531600000000001</v>
      </c>
      <c r="N73">
        <v>-0.116401</v>
      </c>
      <c r="O73">
        <v>-0.12198000000000001</v>
      </c>
      <c r="P73">
        <v>-0.10588</v>
      </c>
      <c r="Q73">
        <v>-7.3941000000000007E-2</v>
      </c>
      <c r="R73">
        <v>-0.16106899999999999</v>
      </c>
      <c r="S73">
        <v>-7.0470000000000003E-3</v>
      </c>
      <c r="T73">
        <v>-6.2962000000000004E-2</v>
      </c>
      <c r="U73">
        <v>-9.9275000000000002E-2</v>
      </c>
      <c r="V73">
        <v>-0.10576000000000001</v>
      </c>
      <c r="W73">
        <v>-0.102011</v>
      </c>
      <c r="X73">
        <v>-3.7217E-2</v>
      </c>
      <c r="Y73">
        <v>-4.1193E-2</v>
      </c>
      <c r="Z73">
        <v>-1.3716000000000001E-2</v>
      </c>
      <c r="AA73">
        <v>-5.3240000000000003E-2</v>
      </c>
      <c r="AB73">
        <v>-5.0026000000000001E-2</v>
      </c>
    </row>
    <row r="74" spans="1:28" x14ac:dyDescent="0.2">
      <c r="A74">
        <v>19380131</v>
      </c>
      <c r="B74">
        <v>1938</v>
      </c>
      <c r="C74">
        <v>1</v>
      </c>
      <c r="D74">
        <v>8.5246000000000002E-2</v>
      </c>
      <c r="E74">
        <v>6.6294000000000006E-2</v>
      </c>
      <c r="F74">
        <v>0.145033</v>
      </c>
      <c r="G74">
        <v>5.9889999999999999E-2</v>
      </c>
      <c r="H74">
        <v>5.4244000000000001E-2</v>
      </c>
      <c r="I74">
        <v>4.24E-2</v>
      </c>
      <c r="J74">
        <v>7.1695999999999996E-2</v>
      </c>
      <c r="K74">
        <v>2.6252999999999999E-2</v>
      </c>
      <c r="L74">
        <v>5.1805999999999998E-2</v>
      </c>
      <c r="M74">
        <v>5.5002000000000002E-2</v>
      </c>
      <c r="N74">
        <v>2.5877000000000001E-2</v>
      </c>
      <c r="O74">
        <v>6.9086999999999996E-2</v>
      </c>
      <c r="P74">
        <v>6.2309000000000003E-2</v>
      </c>
      <c r="Q74">
        <v>4.546E-2</v>
      </c>
      <c r="R74">
        <v>3.725E-3</v>
      </c>
      <c r="S74">
        <v>2.6526999999999998E-2</v>
      </c>
      <c r="T74">
        <v>8.9250000000000006E-3</v>
      </c>
      <c r="U74">
        <v>4.9949E-2</v>
      </c>
      <c r="V74">
        <v>3.9809999999999998E-2</v>
      </c>
      <c r="W74">
        <v>-7.1989999999999997E-3</v>
      </c>
      <c r="X74">
        <v>1.5081000000000001E-2</v>
      </c>
      <c r="Y74">
        <v>5.0299999999999997E-4</v>
      </c>
      <c r="Z74">
        <v>-1.3776999999999999E-2</v>
      </c>
      <c r="AA74">
        <v>-1.529E-3</v>
      </c>
      <c r="AB74">
        <v>-2.1416999999999999E-2</v>
      </c>
    </row>
    <row r="75" spans="1:28" x14ac:dyDescent="0.2">
      <c r="A75">
        <v>19380228</v>
      </c>
      <c r="B75">
        <v>1938</v>
      </c>
      <c r="C75">
        <v>2</v>
      </c>
      <c r="D75">
        <v>4.1936000000000001E-2</v>
      </c>
      <c r="E75">
        <v>2.1121000000000001E-2</v>
      </c>
      <c r="F75">
        <v>3.2049000000000001E-2</v>
      </c>
      <c r="G75">
        <v>3.4979000000000003E-2</v>
      </c>
      <c r="H75">
        <v>5.2700000000000002E-4</v>
      </c>
      <c r="I75">
        <v>0.11708300000000001</v>
      </c>
      <c r="J75">
        <v>7.3036000000000004E-2</v>
      </c>
      <c r="K75">
        <v>5.6889000000000002E-2</v>
      </c>
      <c r="L75">
        <v>4.7031999999999997E-2</v>
      </c>
      <c r="M75">
        <v>7.2633000000000003E-2</v>
      </c>
      <c r="N75">
        <v>8.4949999999999998E-2</v>
      </c>
      <c r="O75">
        <v>6.3576999999999995E-2</v>
      </c>
      <c r="P75">
        <v>6.5279000000000004E-2</v>
      </c>
      <c r="Q75">
        <v>3.9890000000000002E-2</v>
      </c>
      <c r="R75">
        <v>7.1870000000000003E-2</v>
      </c>
      <c r="S75">
        <v>4.4773E-2</v>
      </c>
      <c r="T75">
        <v>7.2373999999999994E-2</v>
      </c>
      <c r="U75">
        <v>6.2371000000000003E-2</v>
      </c>
      <c r="V75">
        <v>5.2504000000000002E-2</v>
      </c>
      <c r="W75">
        <v>4.7659E-2</v>
      </c>
      <c r="X75">
        <v>6.1409999999999999E-2</v>
      </c>
      <c r="Y75">
        <v>7.5251999999999999E-2</v>
      </c>
      <c r="Z75">
        <v>4.3783000000000002E-2</v>
      </c>
      <c r="AA75">
        <v>6.6864000000000007E-2</v>
      </c>
      <c r="AB75">
        <v>6.0823000000000002E-2</v>
      </c>
    </row>
    <row r="76" spans="1:28" x14ac:dyDescent="0.2">
      <c r="A76">
        <v>19380331</v>
      </c>
      <c r="B76">
        <v>1938</v>
      </c>
      <c r="C76">
        <v>3</v>
      </c>
      <c r="D76">
        <v>-0.24868799999999999</v>
      </c>
      <c r="E76">
        <v>-0.33133400000000002</v>
      </c>
      <c r="F76">
        <v>-0.33520499999999998</v>
      </c>
      <c r="G76">
        <v>-0.317666</v>
      </c>
      <c r="H76">
        <v>-0.314166</v>
      </c>
      <c r="I76">
        <v>-0.30774099999999999</v>
      </c>
      <c r="J76">
        <v>-0.31691399999999997</v>
      </c>
      <c r="K76">
        <v>-0.26879900000000001</v>
      </c>
      <c r="L76">
        <v>-0.27933200000000002</v>
      </c>
      <c r="M76">
        <v>-0.30566100000000002</v>
      </c>
      <c r="N76">
        <v>-0.279416</v>
      </c>
      <c r="O76">
        <v>-0.27612799999999998</v>
      </c>
      <c r="P76">
        <v>-0.26287700000000003</v>
      </c>
      <c r="Q76">
        <v>-0.22181600000000001</v>
      </c>
      <c r="R76">
        <v>-0.35861599999999999</v>
      </c>
      <c r="S76">
        <v>-0.23566799999999999</v>
      </c>
      <c r="T76">
        <v>-0.24002599999999999</v>
      </c>
      <c r="U76">
        <v>-0.231937</v>
      </c>
      <c r="V76">
        <v>-0.300867</v>
      </c>
      <c r="W76">
        <v>-0.32303599999999999</v>
      </c>
      <c r="X76">
        <v>-0.232039</v>
      </c>
      <c r="Y76">
        <v>-0.236481</v>
      </c>
      <c r="Z76">
        <v>-0.215256</v>
      </c>
      <c r="AA76">
        <v>-0.25655699999999998</v>
      </c>
      <c r="AB76">
        <v>-0.32602799999999998</v>
      </c>
    </row>
    <row r="77" spans="1:28" x14ac:dyDescent="0.2">
      <c r="A77">
        <v>19380430</v>
      </c>
      <c r="B77">
        <v>1938</v>
      </c>
      <c r="C77">
        <v>4</v>
      </c>
      <c r="D77">
        <v>0.259544</v>
      </c>
      <c r="E77">
        <v>0.28675299999999998</v>
      </c>
      <c r="F77">
        <v>0.22749900000000001</v>
      </c>
      <c r="G77">
        <v>0.21124999999999999</v>
      </c>
      <c r="H77">
        <v>0.203067</v>
      </c>
      <c r="I77">
        <v>0.206846</v>
      </c>
      <c r="J77">
        <v>0.206147</v>
      </c>
      <c r="K77">
        <v>0.19196299999999999</v>
      </c>
      <c r="L77">
        <v>0.20441799999999999</v>
      </c>
      <c r="M77">
        <v>0.20768400000000001</v>
      </c>
      <c r="N77">
        <v>0.21383099999999999</v>
      </c>
      <c r="O77">
        <v>0.181478</v>
      </c>
      <c r="P77">
        <v>0.18105299999999999</v>
      </c>
      <c r="Q77">
        <v>0.11892</v>
      </c>
      <c r="R77">
        <v>0.25980999999999999</v>
      </c>
      <c r="S77">
        <v>0.18890499999999999</v>
      </c>
      <c r="T77">
        <v>0.14252899999999999</v>
      </c>
      <c r="U77">
        <v>0.15948000000000001</v>
      </c>
      <c r="V77">
        <v>0.21204700000000001</v>
      </c>
      <c r="W77">
        <v>0.16846700000000001</v>
      </c>
      <c r="X77">
        <v>0.12892899999999999</v>
      </c>
      <c r="Y77">
        <v>0.14937700000000001</v>
      </c>
      <c r="Z77">
        <v>0.140824</v>
      </c>
      <c r="AA77">
        <v>0.17427000000000001</v>
      </c>
      <c r="AB77">
        <v>0.112414</v>
      </c>
    </row>
    <row r="78" spans="1:28" x14ac:dyDescent="0.2">
      <c r="A78">
        <v>19380531</v>
      </c>
      <c r="B78">
        <v>1938</v>
      </c>
      <c r="C78">
        <v>5</v>
      </c>
      <c r="D78">
        <v>-0.11459</v>
      </c>
      <c r="E78">
        <v>-0.13735800000000001</v>
      </c>
      <c r="F78">
        <v>-9.1647999999999993E-2</v>
      </c>
      <c r="G78">
        <v>-6.2047999999999999E-2</v>
      </c>
      <c r="H78">
        <v>-5.7690999999999999E-2</v>
      </c>
      <c r="I78">
        <v>-0.115069</v>
      </c>
      <c r="J78">
        <v>-7.2579000000000005E-2</v>
      </c>
      <c r="K78">
        <v>-6.7083000000000004E-2</v>
      </c>
      <c r="L78">
        <v>-5.9401000000000002E-2</v>
      </c>
      <c r="M78">
        <v>-8.7024000000000004E-2</v>
      </c>
      <c r="N78">
        <v>-8.3513000000000004E-2</v>
      </c>
      <c r="O78">
        <v>-4.5134000000000001E-2</v>
      </c>
      <c r="P78">
        <v>-6.3977999999999993E-2</v>
      </c>
      <c r="Q78">
        <v>-4.7417000000000001E-2</v>
      </c>
      <c r="R78">
        <v>-4.5637999999999998E-2</v>
      </c>
      <c r="S78">
        <v>-4.7919000000000003E-2</v>
      </c>
      <c r="T78">
        <v>-3.4761E-2</v>
      </c>
      <c r="U78">
        <v>-3.4943000000000002E-2</v>
      </c>
      <c r="V78">
        <v>-8.6814000000000002E-2</v>
      </c>
      <c r="W78">
        <v>-0.118307</v>
      </c>
      <c r="X78">
        <v>-3.2503999999999998E-2</v>
      </c>
      <c r="Y78">
        <v>-5.7234E-2</v>
      </c>
      <c r="Z78">
        <v>-2.0074000000000002E-2</v>
      </c>
      <c r="AA78">
        <v>-6.1983000000000003E-2</v>
      </c>
      <c r="AB78">
        <v>-4.3034999999999997E-2</v>
      </c>
    </row>
    <row r="79" spans="1:28" x14ac:dyDescent="0.2">
      <c r="A79">
        <v>19380630</v>
      </c>
      <c r="B79">
        <v>1938</v>
      </c>
      <c r="C79">
        <v>6</v>
      </c>
      <c r="D79">
        <v>0.30190400000000001</v>
      </c>
      <c r="E79">
        <v>0.396314</v>
      </c>
      <c r="F79">
        <v>0.37445299999999998</v>
      </c>
      <c r="G79">
        <v>0.31818200000000002</v>
      </c>
      <c r="H79">
        <v>0.26474599999999998</v>
      </c>
      <c r="I79">
        <v>0.35150100000000001</v>
      </c>
      <c r="J79">
        <v>0.28665400000000002</v>
      </c>
      <c r="K79">
        <v>0.29880899999999999</v>
      </c>
      <c r="L79">
        <v>0.266065</v>
      </c>
      <c r="M79">
        <v>0.29949999999999999</v>
      </c>
      <c r="N79">
        <v>0.34176699999999999</v>
      </c>
      <c r="O79">
        <v>0.29645100000000002</v>
      </c>
      <c r="P79">
        <v>0.287721</v>
      </c>
      <c r="Q79">
        <v>0.21558099999999999</v>
      </c>
      <c r="R79">
        <v>0.33310200000000001</v>
      </c>
      <c r="S79">
        <v>0.21978700000000001</v>
      </c>
      <c r="T79">
        <v>0.25579200000000002</v>
      </c>
      <c r="U79">
        <v>0.252415</v>
      </c>
      <c r="V79">
        <v>0.27641300000000002</v>
      </c>
      <c r="W79">
        <v>0.36969999999999997</v>
      </c>
      <c r="X79">
        <v>0.25675199999999998</v>
      </c>
      <c r="Y79">
        <v>0.26992300000000002</v>
      </c>
      <c r="Z79">
        <v>0.180918</v>
      </c>
      <c r="AA79">
        <v>0.23602899999999999</v>
      </c>
      <c r="AB79">
        <v>0.33000600000000002</v>
      </c>
    </row>
    <row r="80" spans="1:28" x14ac:dyDescent="0.2">
      <c r="A80">
        <v>19380730</v>
      </c>
      <c r="B80">
        <v>1938</v>
      </c>
      <c r="C80">
        <v>7</v>
      </c>
      <c r="D80">
        <v>0.248947</v>
      </c>
      <c r="E80">
        <v>3.5011E-2</v>
      </c>
      <c r="F80">
        <v>0.27971099999999999</v>
      </c>
      <c r="G80">
        <v>0.15243999999999999</v>
      </c>
      <c r="H80">
        <v>0.160604</v>
      </c>
      <c r="I80">
        <v>8.9842000000000005E-2</v>
      </c>
      <c r="J80">
        <v>0.16419700000000001</v>
      </c>
      <c r="K80">
        <v>0.163906</v>
      </c>
      <c r="L80">
        <v>0.14227000000000001</v>
      </c>
      <c r="M80">
        <v>0.13073899999999999</v>
      </c>
      <c r="N80">
        <v>0.142654</v>
      </c>
      <c r="O80">
        <v>0.13159199999999999</v>
      </c>
      <c r="P80">
        <v>9.1277999999999998E-2</v>
      </c>
      <c r="Q80">
        <v>0.102849</v>
      </c>
      <c r="R80">
        <v>0.14512</v>
      </c>
      <c r="S80">
        <v>9.1897000000000006E-2</v>
      </c>
      <c r="T80">
        <v>0.12962799999999999</v>
      </c>
      <c r="U80">
        <v>0.14414099999999999</v>
      </c>
      <c r="V80">
        <v>0.119188</v>
      </c>
      <c r="W80">
        <v>0.15800900000000001</v>
      </c>
      <c r="X80">
        <v>7.8368999999999994E-2</v>
      </c>
      <c r="Y80">
        <v>4.8512E-2</v>
      </c>
      <c r="Z80">
        <v>5.0867999999999997E-2</v>
      </c>
      <c r="AA80">
        <v>5.3929999999999999E-2</v>
      </c>
      <c r="AB80">
        <v>0.112485</v>
      </c>
    </row>
    <row r="81" spans="1:28" x14ac:dyDescent="0.2">
      <c r="A81">
        <v>19380831</v>
      </c>
      <c r="B81">
        <v>1938</v>
      </c>
      <c r="C81">
        <v>8</v>
      </c>
      <c r="D81">
        <v>-9.8251000000000005E-2</v>
      </c>
      <c r="E81">
        <v>-0.16612399999999999</v>
      </c>
      <c r="F81">
        <v>-1.6278999999999998E-2</v>
      </c>
      <c r="G81">
        <v>-7.3440000000000005E-2</v>
      </c>
      <c r="H81">
        <v>-0.12917899999999999</v>
      </c>
      <c r="I81">
        <v>-1.7690000000000001E-2</v>
      </c>
      <c r="J81">
        <v>-4.0327000000000002E-2</v>
      </c>
      <c r="K81">
        <v>-6.368E-2</v>
      </c>
      <c r="L81">
        <v>-5.577E-2</v>
      </c>
      <c r="M81">
        <v>-9.8267999999999994E-2</v>
      </c>
      <c r="N81">
        <v>-3.7513999999999999E-2</v>
      </c>
      <c r="O81">
        <v>-4.6644999999999999E-2</v>
      </c>
      <c r="P81">
        <v>-3.4886E-2</v>
      </c>
      <c r="Q81">
        <v>-6.0146999999999999E-2</v>
      </c>
      <c r="R81">
        <v>-0.103453</v>
      </c>
      <c r="S81">
        <v>-3.9550000000000002E-2</v>
      </c>
      <c r="T81">
        <v>-2.5513999999999998E-2</v>
      </c>
      <c r="U81">
        <v>-5.1487999999999999E-2</v>
      </c>
      <c r="V81">
        <v>-6.4505000000000007E-2</v>
      </c>
      <c r="W81">
        <v>-7.1304999999999993E-2</v>
      </c>
      <c r="X81">
        <v>3.8019999999999998E-3</v>
      </c>
      <c r="Y81">
        <v>-3.8911000000000001E-2</v>
      </c>
      <c r="Z81">
        <v>-5.3931E-2</v>
      </c>
      <c r="AA81">
        <v>-3.9967999999999997E-2</v>
      </c>
      <c r="AB81">
        <v>-7.4559E-2</v>
      </c>
    </row>
    <row r="82" spans="1:28" x14ac:dyDescent="0.2">
      <c r="A82">
        <v>19380930</v>
      </c>
      <c r="B82">
        <v>1938</v>
      </c>
      <c r="C82">
        <v>9</v>
      </c>
      <c r="D82">
        <v>-0.14466499999999999</v>
      </c>
      <c r="E82">
        <v>8.4139999999999996E-3</v>
      </c>
      <c r="F82">
        <v>-6.7376000000000005E-2</v>
      </c>
      <c r="G82">
        <v>-2.8316999999999998E-2</v>
      </c>
      <c r="H82">
        <v>-3.5735999999999997E-2</v>
      </c>
      <c r="I82">
        <v>1.2970000000000001E-2</v>
      </c>
      <c r="J82">
        <v>-4.5402999999999999E-2</v>
      </c>
      <c r="K82">
        <v>-2.0830999999999999E-2</v>
      </c>
      <c r="L82">
        <v>-1.6965999999999998E-2</v>
      </c>
      <c r="M82">
        <v>-1.9817000000000001E-2</v>
      </c>
      <c r="N82">
        <v>-1.3431E-2</v>
      </c>
      <c r="O82">
        <v>-7.5940000000000001E-3</v>
      </c>
      <c r="P82">
        <v>-2.6075000000000001E-2</v>
      </c>
      <c r="Q82">
        <v>-1.5880999999999999E-2</v>
      </c>
      <c r="R82">
        <v>-3.0473E-2</v>
      </c>
      <c r="S82">
        <v>-3.173E-3</v>
      </c>
      <c r="T82">
        <v>-1.6199999999999999E-3</v>
      </c>
      <c r="U82">
        <v>-1.7092E-2</v>
      </c>
      <c r="V82">
        <v>-1.975E-2</v>
      </c>
      <c r="W82">
        <v>-3.6547999999999997E-2</v>
      </c>
      <c r="X82">
        <v>1.3303000000000001E-2</v>
      </c>
      <c r="Y82">
        <v>1.6712000000000001E-2</v>
      </c>
      <c r="Z82">
        <v>8.3370000000000007E-3</v>
      </c>
      <c r="AA82">
        <v>1.0937000000000001E-2</v>
      </c>
      <c r="AB82">
        <v>-2.3082999999999999E-2</v>
      </c>
    </row>
    <row r="83" spans="1:28" x14ac:dyDescent="0.2">
      <c r="A83">
        <v>19381031</v>
      </c>
      <c r="B83">
        <v>1938</v>
      </c>
      <c r="C83">
        <v>10</v>
      </c>
      <c r="D83">
        <v>0.132407</v>
      </c>
      <c r="E83">
        <v>3.8136999999999997E-2</v>
      </c>
      <c r="F83">
        <v>0.19253899999999999</v>
      </c>
      <c r="G83">
        <v>0.16809199999999999</v>
      </c>
      <c r="H83">
        <v>0.144506</v>
      </c>
      <c r="I83">
        <v>0.13198799999999999</v>
      </c>
      <c r="J83">
        <v>0.209531</v>
      </c>
      <c r="K83">
        <v>0.11905300000000001</v>
      </c>
      <c r="L83">
        <v>0.15118000000000001</v>
      </c>
      <c r="M83">
        <v>0.21645500000000001</v>
      </c>
      <c r="N83">
        <v>0.123777</v>
      </c>
      <c r="O83">
        <v>0.142425</v>
      </c>
      <c r="P83">
        <v>0.104977</v>
      </c>
      <c r="Q83">
        <v>0.132494</v>
      </c>
      <c r="R83">
        <v>0.22293199999999999</v>
      </c>
      <c r="S83">
        <v>0.12542300000000001</v>
      </c>
      <c r="T83">
        <v>0.110861</v>
      </c>
      <c r="U83">
        <v>9.4331999999999999E-2</v>
      </c>
      <c r="V83">
        <v>0.13935400000000001</v>
      </c>
      <c r="W83">
        <v>0.21229700000000001</v>
      </c>
      <c r="X83">
        <v>6.7539000000000002E-2</v>
      </c>
      <c r="Y83">
        <v>4.6898000000000002E-2</v>
      </c>
      <c r="Z83">
        <v>6.6657999999999995E-2</v>
      </c>
      <c r="AA83">
        <v>0.12845000000000001</v>
      </c>
      <c r="AB83">
        <v>0.17536399999999999</v>
      </c>
    </row>
    <row r="84" spans="1:28" x14ac:dyDescent="0.2">
      <c r="A84">
        <v>19381130</v>
      </c>
      <c r="B84">
        <v>1938</v>
      </c>
      <c r="C84">
        <v>11</v>
      </c>
      <c r="D84">
        <v>-6.8876999999999994E-2</v>
      </c>
      <c r="E84">
        <v>-6.8885000000000002E-2</v>
      </c>
      <c r="F84">
        <v>-0.107269</v>
      </c>
      <c r="G84">
        <v>-1.0067E-2</v>
      </c>
      <c r="H84">
        <v>-6.9532999999999998E-2</v>
      </c>
      <c r="I84">
        <v>-6.1066000000000002E-2</v>
      </c>
      <c r="J84">
        <v>-6.9254999999999997E-2</v>
      </c>
      <c r="K84">
        <v>-2.5222999999999999E-2</v>
      </c>
      <c r="L84">
        <v>-4.1932999999999998E-2</v>
      </c>
      <c r="M84">
        <v>-6.1490999999999997E-2</v>
      </c>
      <c r="N84">
        <v>-2.0379000000000001E-2</v>
      </c>
      <c r="O84">
        <v>-7.9719999999999999E-3</v>
      </c>
      <c r="P84">
        <v>8.0099999999999995E-4</v>
      </c>
      <c r="Q84">
        <v>-4.3365000000000001E-2</v>
      </c>
      <c r="R84">
        <v>-8.2150000000000001E-2</v>
      </c>
      <c r="S84">
        <v>4.7270000000000003E-3</v>
      </c>
      <c r="T84">
        <v>-8.2279999999999992E-3</v>
      </c>
      <c r="U84">
        <v>-3.7088000000000003E-2</v>
      </c>
      <c r="V84">
        <v>-3.0137000000000001E-2</v>
      </c>
      <c r="W84">
        <v>-2.6973E-2</v>
      </c>
      <c r="X84">
        <v>-1.6659E-2</v>
      </c>
      <c r="Y84">
        <v>-3.882E-3</v>
      </c>
      <c r="Z84">
        <v>-3.2296999999999999E-2</v>
      </c>
      <c r="AA84">
        <v>-2.7817000000000001E-2</v>
      </c>
      <c r="AB84">
        <v>-2.6675999999999998E-2</v>
      </c>
    </row>
    <row r="85" spans="1:28" x14ac:dyDescent="0.2">
      <c r="A85">
        <v>19381231</v>
      </c>
      <c r="B85">
        <v>1938</v>
      </c>
      <c r="C85">
        <v>12</v>
      </c>
      <c r="D85">
        <v>6.1038000000000002E-2</v>
      </c>
      <c r="E85">
        <v>3.4527000000000002E-2</v>
      </c>
      <c r="F85">
        <v>-2.0039000000000001E-2</v>
      </c>
      <c r="G85">
        <v>-1.6247999999999999E-2</v>
      </c>
      <c r="H85">
        <v>-2.8087000000000001E-2</v>
      </c>
      <c r="I85">
        <v>0.11254</v>
      </c>
      <c r="J85">
        <v>4.6684000000000003E-2</v>
      </c>
      <c r="K85">
        <v>5.4785E-2</v>
      </c>
      <c r="L85">
        <v>1.6249999999999999E-3</v>
      </c>
      <c r="M85">
        <v>3.959E-2</v>
      </c>
      <c r="N85">
        <v>3.2660000000000002E-2</v>
      </c>
      <c r="O85">
        <v>8.9977000000000001E-2</v>
      </c>
      <c r="P85">
        <v>3.6858000000000002E-2</v>
      </c>
      <c r="Q85">
        <v>5.5653000000000001E-2</v>
      </c>
      <c r="R85">
        <v>4.8920999999999999E-2</v>
      </c>
      <c r="S85">
        <v>4.9829999999999999E-2</v>
      </c>
      <c r="T85">
        <v>2.2817E-2</v>
      </c>
      <c r="U85">
        <v>7.1936E-2</v>
      </c>
      <c r="V85">
        <v>2.6089999999999999E-2</v>
      </c>
      <c r="W85">
        <v>0.123442</v>
      </c>
      <c r="X85">
        <v>3.4065999999999999E-2</v>
      </c>
      <c r="Y85">
        <v>4.0911999999999997E-2</v>
      </c>
      <c r="Z85">
        <v>2.8635000000000001E-2</v>
      </c>
      <c r="AA85">
        <v>4.7363000000000002E-2</v>
      </c>
      <c r="AB85">
        <v>0.12805</v>
      </c>
    </row>
    <row r="86" spans="1:28" x14ac:dyDescent="0.2">
      <c r="A86">
        <v>19390131</v>
      </c>
      <c r="B86">
        <v>1939</v>
      </c>
      <c r="C86">
        <v>1</v>
      </c>
      <c r="D86">
        <v>-0.101672</v>
      </c>
      <c r="E86">
        <v>-2.9810000000000001E-3</v>
      </c>
      <c r="F86">
        <v>-9.0521000000000004E-2</v>
      </c>
      <c r="G86">
        <v>-8.2512000000000002E-2</v>
      </c>
      <c r="H86">
        <v>-8.0979999999999996E-2</v>
      </c>
      <c r="I86">
        <v>-2.6086000000000002E-2</v>
      </c>
      <c r="J86">
        <v>-0.10464</v>
      </c>
      <c r="K86">
        <v>-8.6400000000000005E-2</v>
      </c>
      <c r="L86">
        <v>-7.8941999999999998E-2</v>
      </c>
      <c r="M86">
        <v>-0.13159899999999999</v>
      </c>
      <c r="N86">
        <v>-8.4541000000000005E-2</v>
      </c>
      <c r="O86">
        <v>-8.6763000000000007E-2</v>
      </c>
      <c r="P86">
        <v>-8.9507000000000003E-2</v>
      </c>
      <c r="Q86">
        <v>-7.9064999999999996E-2</v>
      </c>
      <c r="R86">
        <v>-0.102876</v>
      </c>
      <c r="S86">
        <v>-7.3381000000000002E-2</v>
      </c>
      <c r="T86">
        <v>-7.9658000000000007E-2</v>
      </c>
      <c r="U86">
        <v>-9.2285000000000006E-2</v>
      </c>
      <c r="V86">
        <v>-3.551E-2</v>
      </c>
      <c r="W86">
        <v>-0.124416</v>
      </c>
      <c r="X86">
        <v>-5.8402999999999997E-2</v>
      </c>
      <c r="Y86">
        <v>-4.3902999999999998E-2</v>
      </c>
      <c r="Z86">
        <v>-3.9898999999999997E-2</v>
      </c>
      <c r="AA86">
        <v>-8.7642999999999999E-2</v>
      </c>
      <c r="AB86">
        <v>-0.13031400000000001</v>
      </c>
    </row>
    <row r="87" spans="1:28" x14ac:dyDescent="0.2">
      <c r="A87">
        <v>19390228</v>
      </c>
      <c r="B87">
        <v>1939</v>
      </c>
      <c r="C87">
        <v>2</v>
      </c>
      <c r="D87">
        <v>2.3975E-2</v>
      </c>
      <c r="E87">
        <v>-6.8739999999999999E-3</v>
      </c>
      <c r="F87">
        <v>3.8077E-2</v>
      </c>
      <c r="G87">
        <v>1.2418999999999999E-2</v>
      </c>
      <c r="H87">
        <v>6.4704999999999999E-2</v>
      </c>
      <c r="I87">
        <v>5.8970000000000003E-3</v>
      </c>
      <c r="J87">
        <v>3.3142999999999999E-2</v>
      </c>
      <c r="K87">
        <v>4.3642E-2</v>
      </c>
      <c r="L87">
        <v>4.3270999999999997E-2</v>
      </c>
      <c r="M87">
        <v>6.9982000000000003E-2</v>
      </c>
      <c r="N87">
        <v>3.0223E-2</v>
      </c>
      <c r="O87">
        <v>8.3242999999999998E-2</v>
      </c>
      <c r="P87">
        <v>5.0021000000000003E-2</v>
      </c>
      <c r="Q87">
        <v>5.8562000000000003E-2</v>
      </c>
      <c r="R87">
        <v>8.2827999999999999E-2</v>
      </c>
      <c r="S87">
        <v>5.0522999999999998E-2</v>
      </c>
      <c r="T87">
        <v>4.8642999999999999E-2</v>
      </c>
      <c r="U87">
        <v>2.4705999999999999E-2</v>
      </c>
      <c r="V87">
        <v>3.5224999999999999E-2</v>
      </c>
      <c r="W87">
        <v>4.6671999999999998E-2</v>
      </c>
      <c r="X87">
        <v>2.7393000000000001E-2</v>
      </c>
      <c r="Y87">
        <v>3.0231999999999998E-2</v>
      </c>
      <c r="Z87">
        <v>3.9855000000000002E-2</v>
      </c>
      <c r="AA87">
        <v>6.7847000000000005E-2</v>
      </c>
      <c r="AB87">
        <v>8.3545999999999995E-2</v>
      </c>
    </row>
    <row r="88" spans="1:28" x14ac:dyDescent="0.2">
      <c r="A88">
        <v>19390331</v>
      </c>
      <c r="B88">
        <v>1939</v>
      </c>
      <c r="C88">
        <v>3</v>
      </c>
      <c r="D88">
        <v>-0.31570100000000001</v>
      </c>
      <c r="E88">
        <v>-0.224798</v>
      </c>
      <c r="F88">
        <v>-0.220553</v>
      </c>
      <c r="G88">
        <v>-0.19820099999999999</v>
      </c>
      <c r="H88">
        <v>-0.20807700000000001</v>
      </c>
      <c r="I88">
        <v>-0.18723699999999999</v>
      </c>
      <c r="J88">
        <v>-0.20122200000000001</v>
      </c>
      <c r="K88">
        <v>-0.165131</v>
      </c>
      <c r="L88">
        <v>-0.19398899999999999</v>
      </c>
      <c r="M88">
        <v>-0.25805299999999998</v>
      </c>
      <c r="N88">
        <v>-0.17932100000000001</v>
      </c>
      <c r="O88">
        <v>-0.170818</v>
      </c>
      <c r="P88">
        <v>-0.16637099999999999</v>
      </c>
      <c r="Q88">
        <v>-0.180647</v>
      </c>
      <c r="R88">
        <v>-0.24233499999999999</v>
      </c>
      <c r="S88">
        <v>-0.113764</v>
      </c>
      <c r="T88">
        <v>-0.17526600000000001</v>
      </c>
      <c r="U88">
        <v>-0.20679700000000001</v>
      </c>
      <c r="V88">
        <v>-0.16513800000000001</v>
      </c>
      <c r="W88">
        <v>-0.285298</v>
      </c>
      <c r="X88">
        <v>-0.108338</v>
      </c>
      <c r="Y88">
        <v>-8.0489000000000005E-2</v>
      </c>
      <c r="Z88">
        <v>-0.11126999999999999</v>
      </c>
      <c r="AA88">
        <v>-0.18482699999999999</v>
      </c>
      <c r="AB88">
        <v>-0.24521799999999999</v>
      </c>
    </row>
    <row r="89" spans="1:28" x14ac:dyDescent="0.2">
      <c r="A89">
        <v>19390429</v>
      </c>
      <c r="B89">
        <v>1939</v>
      </c>
      <c r="C89">
        <v>4</v>
      </c>
      <c r="D89">
        <v>4.4865000000000002E-2</v>
      </c>
      <c r="E89">
        <v>-2.6785E-2</v>
      </c>
      <c r="F89">
        <v>2.1867000000000001E-2</v>
      </c>
      <c r="G89">
        <v>1.371E-3</v>
      </c>
      <c r="H89">
        <v>3.7154E-2</v>
      </c>
      <c r="I89">
        <v>-6.2769999999999996E-3</v>
      </c>
      <c r="J89">
        <v>-8.5450000000000005E-3</v>
      </c>
      <c r="K89">
        <v>1.5443E-2</v>
      </c>
      <c r="L89">
        <v>1.4295E-2</v>
      </c>
      <c r="M89">
        <v>3.5577999999999999E-2</v>
      </c>
      <c r="N89">
        <v>8.7740000000000005E-3</v>
      </c>
      <c r="O89">
        <v>1.2329999999999999E-3</v>
      </c>
      <c r="P89">
        <v>-2.4230999999999999E-2</v>
      </c>
      <c r="Q89">
        <v>-2.121E-2</v>
      </c>
      <c r="R89">
        <v>3.5790000000000002E-2</v>
      </c>
      <c r="S89">
        <v>-9.1979999999999996E-3</v>
      </c>
      <c r="T89">
        <v>1.449E-3</v>
      </c>
      <c r="U89">
        <v>2.1410000000000001E-3</v>
      </c>
      <c r="V89">
        <v>4.1009999999999996E-3</v>
      </c>
      <c r="W89">
        <v>1.6088999999999999E-2</v>
      </c>
      <c r="X89">
        <v>-4.7029999999999997E-3</v>
      </c>
      <c r="Y89">
        <v>3.9410000000000001E-3</v>
      </c>
      <c r="Z89">
        <v>1.0480000000000001E-3</v>
      </c>
      <c r="AA89">
        <v>-2.4731E-2</v>
      </c>
      <c r="AB89">
        <v>-3.7456999999999997E-2</v>
      </c>
    </row>
    <row r="90" spans="1:28" x14ac:dyDescent="0.2">
      <c r="A90">
        <v>19390531</v>
      </c>
      <c r="B90">
        <v>1939</v>
      </c>
      <c r="C90">
        <v>5</v>
      </c>
      <c r="D90">
        <v>7.5870999999999994E-2</v>
      </c>
      <c r="E90">
        <v>3.8691000000000003E-2</v>
      </c>
      <c r="F90">
        <v>8.0666000000000002E-2</v>
      </c>
      <c r="G90">
        <v>6.7879999999999996E-2</v>
      </c>
      <c r="H90">
        <v>7.2854000000000002E-2</v>
      </c>
      <c r="I90">
        <v>6.8651000000000004E-2</v>
      </c>
      <c r="J90">
        <v>0.11512</v>
      </c>
      <c r="K90">
        <v>8.0782999999999994E-2</v>
      </c>
      <c r="L90">
        <v>9.5549999999999996E-2</v>
      </c>
      <c r="M90">
        <v>0.110933</v>
      </c>
      <c r="N90">
        <v>0.109128</v>
      </c>
      <c r="O90">
        <v>0.11204699999999999</v>
      </c>
      <c r="P90">
        <v>0.11037</v>
      </c>
      <c r="Q90">
        <v>8.7720999999999993E-2</v>
      </c>
      <c r="R90">
        <v>0.11570900000000001</v>
      </c>
      <c r="S90">
        <v>7.9462000000000005E-2</v>
      </c>
      <c r="T90">
        <v>7.8704999999999997E-2</v>
      </c>
      <c r="U90">
        <v>0.101122</v>
      </c>
      <c r="V90">
        <v>0.103085</v>
      </c>
      <c r="W90">
        <v>9.8821999999999993E-2</v>
      </c>
      <c r="X90">
        <v>6.9428000000000004E-2</v>
      </c>
      <c r="Y90">
        <v>5.9753000000000001E-2</v>
      </c>
      <c r="Z90">
        <v>3.7484999999999997E-2</v>
      </c>
      <c r="AA90">
        <v>6.6573999999999994E-2</v>
      </c>
      <c r="AB90">
        <v>0.102164</v>
      </c>
    </row>
    <row r="91" spans="1:28" x14ac:dyDescent="0.2">
      <c r="A91">
        <v>19390630</v>
      </c>
      <c r="B91">
        <v>1939</v>
      </c>
      <c r="C91">
        <v>6</v>
      </c>
      <c r="D91">
        <v>-0.103061</v>
      </c>
      <c r="E91">
        <v>-0.145929</v>
      </c>
      <c r="F91">
        <v>-0.12823499999999999</v>
      </c>
      <c r="G91">
        <v>-0.105985</v>
      </c>
      <c r="H91">
        <v>-0.12690199999999999</v>
      </c>
      <c r="I91">
        <v>-8.8371000000000005E-2</v>
      </c>
      <c r="J91">
        <v>-7.9901E-2</v>
      </c>
      <c r="K91">
        <v>-7.1667999999999996E-2</v>
      </c>
      <c r="L91">
        <v>-7.7456999999999998E-2</v>
      </c>
      <c r="M91">
        <v>-0.129991</v>
      </c>
      <c r="N91">
        <v>-8.9427999999999994E-2</v>
      </c>
      <c r="O91">
        <v>-4.6350000000000002E-2</v>
      </c>
      <c r="P91">
        <v>-8.0518000000000006E-2</v>
      </c>
      <c r="Q91">
        <v>-7.7332999999999999E-2</v>
      </c>
      <c r="R91">
        <v>-9.9006999999999998E-2</v>
      </c>
      <c r="S91">
        <v>-4.2009999999999999E-2</v>
      </c>
      <c r="T91">
        <v>-7.4911000000000005E-2</v>
      </c>
      <c r="U91">
        <v>-9.6119999999999997E-2</v>
      </c>
      <c r="V91">
        <v>-6.9498000000000004E-2</v>
      </c>
      <c r="W91">
        <v>-0.15212500000000001</v>
      </c>
      <c r="X91">
        <v>-4.2616000000000001E-2</v>
      </c>
      <c r="Y91">
        <v>-5.4406000000000003E-2</v>
      </c>
      <c r="Z91">
        <v>-3.4112999999999997E-2</v>
      </c>
      <c r="AA91">
        <v>-9.1549000000000005E-2</v>
      </c>
      <c r="AB91">
        <v>-0.139625</v>
      </c>
    </row>
    <row r="92" spans="1:28" x14ac:dyDescent="0.2">
      <c r="A92">
        <v>19390731</v>
      </c>
      <c r="B92">
        <v>1939</v>
      </c>
      <c r="C92">
        <v>7</v>
      </c>
      <c r="D92">
        <v>0.11262</v>
      </c>
      <c r="E92">
        <v>0.269318</v>
      </c>
      <c r="F92">
        <v>0.210643</v>
      </c>
      <c r="G92">
        <v>0.14419599999999999</v>
      </c>
      <c r="H92">
        <v>0.120444</v>
      </c>
      <c r="I92">
        <v>0.167799</v>
      </c>
      <c r="J92">
        <v>0.17766799999999999</v>
      </c>
      <c r="K92">
        <v>0.13879900000000001</v>
      </c>
      <c r="L92">
        <v>0.12912399999999999</v>
      </c>
      <c r="M92">
        <v>0.15282599999999999</v>
      </c>
      <c r="N92">
        <v>0.161191</v>
      </c>
      <c r="O92">
        <v>0.18133299999999999</v>
      </c>
      <c r="P92">
        <v>0.13408300000000001</v>
      </c>
      <c r="Q92">
        <v>0.110721</v>
      </c>
      <c r="R92">
        <v>0.17360200000000001</v>
      </c>
      <c r="S92">
        <v>0.14271700000000001</v>
      </c>
      <c r="T92">
        <v>0.134468</v>
      </c>
      <c r="U92">
        <v>0.14025599999999999</v>
      </c>
      <c r="V92">
        <v>0.116951</v>
      </c>
      <c r="W92">
        <v>0.22789000000000001</v>
      </c>
      <c r="X92">
        <v>0.10989699999999999</v>
      </c>
      <c r="Y92">
        <v>8.0005000000000007E-2</v>
      </c>
      <c r="Z92">
        <v>7.7243999999999993E-2</v>
      </c>
      <c r="AA92">
        <v>9.6437999999999996E-2</v>
      </c>
      <c r="AB92">
        <v>0.16530400000000001</v>
      </c>
    </row>
    <row r="93" spans="1:28" x14ac:dyDescent="0.2">
      <c r="A93">
        <v>19390831</v>
      </c>
      <c r="B93">
        <v>1939</v>
      </c>
      <c r="C93">
        <v>8</v>
      </c>
      <c r="D93">
        <v>-0.13353200000000001</v>
      </c>
      <c r="E93">
        <v>-0.197272</v>
      </c>
      <c r="F93">
        <v>-0.15637599999999999</v>
      </c>
      <c r="G93">
        <v>-0.149698</v>
      </c>
      <c r="H93">
        <v>-0.114965</v>
      </c>
      <c r="I93">
        <v>-0.15053900000000001</v>
      </c>
      <c r="J93">
        <v>-0.121863</v>
      </c>
      <c r="K93">
        <v>-0.13558200000000001</v>
      </c>
      <c r="L93">
        <v>-0.11814</v>
      </c>
      <c r="M93">
        <v>-0.131468</v>
      </c>
      <c r="N93">
        <v>-0.105794</v>
      </c>
      <c r="O93">
        <v>-0.120309</v>
      </c>
      <c r="P93">
        <v>-0.10198</v>
      </c>
      <c r="Q93">
        <v>-8.9359999999999995E-2</v>
      </c>
      <c r="R93">
        <v>-0.15004799999999999</v>
      </c>
      <c r="S93">
        <v>-0.105918</v>
      </c>
      <c r="T93">
        <v>-0.115055</v>
      </c>
      <c r="U93">
        <v>-0.10546</v>
      </c>
      <c r="V93">
        <v>-7.7554999999999999E-2</v>
      </c>
      <c r="W93">
        <v>-0.15291199999999999</v>
      </c>
      <c r="X93">
        <v>-5.5952000000000002E-2</v>
      </c>
      <c r="Y93">
        <v>-4.9551999999999999E-2</v>
      </c>
      <c r="Z93">
        <v>-6.0948000000000002E-2</v>
      </c>
      <c r="AA93">
        <v>-6.8492999999999998E-2</v>
      </c>
      <c r="AB93">
        <v>-0.139595</v>
      </c>
    </row>
    <row r="94" spans="1:28" x14ac:dyDescent="0.2">
      <c r="A94">
        <v>19390930</v>
      </c>
      <c r="B94">
        <v>1939</v>
      </c>
      <c r="C94">
        <v>9</v>
      </c>
      <c r="D94">
        <v>1.134471</v>
      </c>
      <c r="E94">
        <v>0.36769099999999999</v>
      </c>
      <c r="F94">
        <v>0.67207399999999995</v>
      </c>
      <c r="G94">
        <v>0.50365000000000004</v>
      </c>
      <c r="H94">
        <v>0.86007400000000001</v>
      </c>
      <c r="I94">
        <v>0.40687400000000001</v>
      </c>
      <c r="J94">
        <v>0.39121299999999998</v>
      </c>
      <c r="K94">
        <v>0.42473300000000003</v>
      </c>
      <c r="L94">
        <v>0.39036999999999999</v>
      </c>
      <c r="M94">
        <v>0.56006500000000004</v>
      </c>
      <c r="N94">
        <v>0.27516099999999999</v>
      </c>
      <c r="O94">
        <v>0.256548</v>
      </c>
      <c r="P94">
        <v>0.35542499999999999</v>
      </c>
      <c r="Q94">
        <v>0.28611500000000001</v>
      </c>
      <c r="R94">
        <v>0.772401</v>
      </c>
      <c r="S94">
        <v>0.154086</v>
      </c>
      <c r="T94">
        <v>0.212168</v>
      </c>
      <c r="U94">
        <v>0.214175</v>
      </c>
      <c r="V94">
        <v>0.29737999999999998</v>
      </c>
      <c r="W94">
        <v>0.36975999999999998</v>
      </c>
      <c r="X94">
        <v>0.12664600000000001</v>
      </c>
      <c r="Y94">
        <v>0.113417</v>
      </c>
      <c r="Z94">
        <v>0.14196</v>
      </c>
      <c r="AA94">
        <v>0.32246999999999998</v>
      </c>
      <c r="AB94">
        <v>0.53945100000000001</v>
      </c>
    </row>
    <row r="95" spans="1:28" x14ac:dyDescent="0.2">
      <c r="A95">
        <v>19391031</v>
      </c>
      <c r="B95">
        <v>1939</v>
      </c>
      <c r="C95">
        <v>10</v>
      </c>
      <c r="D95">
        <v>-8.0286999999999997E-2</v>
      </c>
      <c r="E95">
        <v>-4.3841999999999999E-2</v>
      </c>
      <c r="F95">
        <v>-4.0927999999999999E-2</v>
      </c>
      <c r="G95">
        <v>-5.9567000000000002E-2</v>
      </c>
      <c r="H95">
        <v>-9.3415999999999999E-2</v>
      </c>
      <c r="I95">
        <v>-2.1860000000000001E-2</v>
      </c>
      <c r="J95">
        <v>-8.8140000000000007E-3</v>
      </c>
      <c r="K95">
        <v>-3.6895999999999998E-2</v>
      </c>
      <c r="L95">
        <v>2.0215E-2</v>
      </c>
      <c r="M95">
        <v>-7.1303000000000005E-2</v>
      </c>
      <c r="N95">
        <v>2.0997999999999999E-2</v>
      </c>
      <c r="O95">
        <v>3.9092000000000002E-2</v>
      </c>
      <c r="P95">
        <v>-2.6821999999999999E-2</v>
      </c>
      <c r="Q95">
        <v>4.8019999999999998E-3</v>
      </c>
      <c r="R95">
        <v>-6.5027000000000001E-2</v>
      </c>
      <c r="S95">
        <v>2.4153999999999998E-2</v>
      </c>
      <c r="T95">
        <v>2.2155999999999999E-2</v>
      </c>
      <c r="U95">
        <v>-2.5730000000000002E-3</v>
      </c>
      <c r="V95">
        <v>-3.7902999999999999E-2</v>
      </c>
      <c r="W95">
        <v>-4.0495999999999997E-2</v>
      </c>
      <c r="X95">
        <v>-1.439E-3</v>
      </c>
      <c r="Y95">
        <v>-2.444E-3</v>
      </c>
      <c r="Z95">
        <v>1.3990000000000001E-3</v>
      </c>
      <c r="AA95">
        <v>-3.6054000000000003E-2</v>
      </c>
      <c r="AB95">
        <v>-4.6446000000000001E-2</v>
      </c>
    </row>
    <row r="96" spans="1:28" x14ac:dyDescent="0.2">
      <c r="A96">
        <v>19391130</v>
      </c>
      <c r="B96">
        <v>1939</v>
      </c>
      <c r="C96">
        <v>11</v>
      </c>
      <c r="D96">
        <v>-0.19077</v>
      </c>
      <c r="E96">
        <v>-9.2489000000000002E-2</v>
      </c>
      <c r="F96">
        <v>-0.129416</v>
      </c>
      <c r="G96">
        <v>-0.107779</v>
      </c>
      <c r="H96">
        <v>-0.184393</v>
      </c>
      <c r="I96">
        <v>-6.2031000000000003E-2</v>
      </c>
      <c r="J96">
        <v>-8.3613999999999994E-2</v>
      </c>
      <c r="K96">
        <v>-0.12293</v>
      </c>
      <c r="L96">
        <v>-8.5609000000000005E-2</v>
      </c>
      <c r="M96">
        <v>-0.15170600000000001</v>
      </c>
      <c r="N96">
        <v>-5.6080999999999999E-2</v>
      </c>
      <c r="O96">
        <v>-8.6290000000000006E-2</v>
      </c>
      <c r="P96">
        <v>-6.9115999999999997E-2</v>
      </c>
      <c r="Q96">
        <v>-6.9333000000000006E-2</v>
      </c>
      <c r="R96">
        <v>-0.16483300000000001</v>
      </c>
      <c r="S96">
        <v>-6.0033999999999997E-2</v>
      </c>
      <c r="T96">
        <v>-5.2136000000000002E-2</v>
      </c>
      <c r="U96">
        <v>-4.9939999999999998E-2</v>
      </c>
      <c r="V96">
        <v>-5.1677000000000001E-2</v>
      </c>
      <c r="W96">
        <v>-0.124335</v>
      </c>
      <c r="X96">
        <v>-2.0490000000000001E-2</v>
      </c>
      <c r="Y96">
        <v>-1.8513000000000002E-2</v>
      </c>
      <c r="Z96">
        <v>-3.0880000000000001E-2</v>
      </c>
      <c r="AA96">
        <v>-7.9519999999999993E-2</v>
      </c>
      <c r="AB96">
        <v>-0.11731800000000001</v>
      </c>
    </row>
    <row r="97" spans="1:28" x14ac:dyDescent="0.2">
      <c r="A97">
        <v>19391230</v>
      </c>
      <c r="B97">
        <v>1939</v>
      </c>
      <c r="C97">
        <v>12</v>
      </c>
      <c r="D97">
        <v>0.13713400000000001</v>
      </c>
      <c r="E97">
        <v>-1.5027E-2</v>
      </c>
      <c r="F97">
        <v>8.4910000000000003E-3</v>
      </c>
      <c r="G97">
        <v>1.7047E-2</v>
      </c>
      <c r="H97">
        <v>-1.7781999999999999E-2</v>
      </c>
      <c r="I97">
        <v>5.5368000000000001E-2</v>
      </c>
      <c r="J97">
        <v>3.8450999999999999E-2</v>
      </c>
      <c r="K97">
        <v>1.3015000000000001E-2</v>
      </c>
      <c r="L97">
        <v>7.6860000000000001E-3</v>
      </c>
      <c r="M97">
        <v>2.1897E-2</v>
      </c>
      <c r="N97">
        <v>6.2496000000000003E-2</v>
      </c>
      <c r="O97">
        <v>4.8356999999999997E-2</v>
      </c>
      <c r="P97">
        <v>5.5766999999999997E-2</v>
      </c>
      <c r="Q97">
        <v>7.2789999999999999E-3</v>
      </c>
      <c r="R97">
        <v>4.3485999999999997E-2</v>
      </c>
      <c r="S97">
        <v>4.0309999999999999E-2</v>
      </c>
      <c r="T97">
        <v>2.9052000000000001E-2</v>
      </c>
      <c r="U97">
        <v>1.5484E-2</v>
      </c>
      <c r="V97">
        <v>7.4970000000000002E-3</v>
      </c>
      <c r="W97">
        <v>-4.8139999999999997E-3</v>
      </c>
      <c r="X97">
        <v>3.6164000000000002E-2</v>
      </c>
      <c r="Y97">
        <v>2.4473999999999999E-2</v>
      </c>
      <c r="Z97">
        <v>3.9227999999999999E-2</v>
      </c>
      <c r="AA97">
        <v>8.0090000000000005E-3</v>
      </c>
      <c r="AB97">
        <v>1.8858E-2</v>
      </c>
    </row>
    <row r="98" spans="1:28" x14ac:dyDescent="0.2">
      <c r="A98">
        <v>19400131</v>
      </c>
      <c r="B98">
        <v>1940</v>
      </c>
      <c r="C98">
        <v>1</v>
      </c>
      <c r="D98">
        <v>-9.7370000000000009E-3</v>
      </c>
      <c r="E98">
        <v>-7.6227000000000003E-2</v>
      </c>
      <c r="F98">
        <v>-7.3640999999999998E-2</v>
      </c>
      <c r="G98">
        <v>-4.3743999999999998E-2</v>
      </c>
      <c r="H98">
        <v>-3.4018E-2</v>
      </c>
      <c r="I98">
        <v>-3.2870999999999997E-2</v>
      </c>
      <c r="J98">
        <v>-3.9038000000000003E-2</v>
      </c>
      <c r="K98">
        <v>-3.4256000000000002E-2</v>
      </c>
      <c r="L98">
        <v>-2.5152000000000001E-2</v>
      </c>
      <c r="M98">
        <v>-2.8974E-2</v>
      </c>
      <c r="N98">
        <v>-3.5943999999999997E-2</v>
      </c>
      <c r="O98">
        <v>-1.7742999999999998E-2</v>
      </c>
      <c r="P98">
        <v>-1.3610000000000001E-2</v>
      </c>
      <c r="Q98">
        <v>-1.4404E-2</v>
      </c>
      <c r="R98">
        <v>-6.8747000000000003E-2</v>
      </c>
      <c r="S98">
        <v>-1.3653999999999999E-2</v>
      </c>
      <c r="T98">
        <v>-1.7033E-2</v>
      </c>
      <c r="U98">
        <v>-2.3451E-2</v>
      </c>
      <c r="V98">
        <v>-3.6773E-2</v>
      </c>
      <c r="W98">
        <v>-5.3145999999999999E-2</v>
      </c>
      <c r="X98">
        <v>-2.1533E-2</v>
      </c>
      <c r="Y98">
        <v>-1.7772E-2</v>
      </c>
      <c r="Z98">
        <v>-2.0237999999999999E-2</v>
      </c>
      <c r="AA98">
        <v>-5.0823E-2</v>
      </c>
      <c r="AB98">
        <v>-7.1849999999999997E-2</v>
      </c>
    </row>
    <row r="99" spans="1:28" x14ac:dyDescent="0.2">
      <c r="A99">
        <v>19400229</v>
      </c>
      <c r="B99">
        <v>1940</v>
      </c>
      <c r="C99">
        <v>2</v>
      </c>
      <c r="D99">
        <v>1.197E-2</v>
      </c>
      <c r="E99">
        <v>1.1006999999999999E-2</v>
      </c>
      <c r="F99">
        <v>0.12257700000000001</v>
      </c>
      <c r="G99">
        <v>3.2055E-2</v>
      </c>
      <c r="H99">
        <v>8.7784000000000001E-2</v>
      </c>
      <c r="I99">
        <v>1.4929E-2</v>
      </c>
      <c r="J99">
        <v>6.1059000000000002E-2</v>
      </c>
      <c r="K99">
        <v>4.3471999999999997E-2</v>
      </c>
      <c r="L99">
        <v>4.6165999999999999E-2</v>
      </c>
      <c r="M99">
        <v>-1.0026999999999999E-2</v>
      </c>
      <c r="N99">
        <v>4.1444000000000002E-2</v>
      </c>
      <c r="O99">
        <v>4.7278000000000001E-2</v>
      </c>
      <c r="P99">
        <v>2.6942000000000001E-2</v>
      </c>
      <c r="Q99">
        <v>2.6714999999999999E-2</v>
      </c>
      <c r="R99">
        <v>4.845E-2</v>
      </c>
      <c r="S99">
        <v>2.367E-2</v>
      </c>
      <c r="T99">
        <v>2.3775000000000001E-2</v>
      </c>
      <c r="U99">
        <v>3.5816000000000001E-2</v>
      </c>
      <c r="V99">
        <v>3.6941000000000002E-2</v>
      </c>
      <c r="W99">
        <v>-2.23E-4</v>
      </c>
      <c r="X99">
        <v>8.1539999999999998E-3</v>
      </c>
      <c r="Y99">
        <v>1.6202000000000001E-2</v>
      </c>
      <c r="Z99">
        <v>1.2930000000000001E-3</v>
      </c>
      <c r="AA99">
        <v>1.7434999999999999E-2</v>
      </c>
      <c r="AB99">
        <v>1.7871000000000001E-2</v>
      </c>
    </row>
    <row r="100" spans="1:28" x14ac:dyDescent="0.2">
      <c r="A100">
        <v>19400330</v>
      </c>
      <c r="B100">
        <v>1940</v>
      </c>
      <c r="C100">
        <v>3</v>
      </c>
      <c r="D100">
        <v>7.6518000000000003E-2</v>
      </c>
      <c r="E100">
        <v>9.3296000000000004E-2</v>
      </c>
      <c r="F100">
        <v>-5.9476000000000001E-2</v>
      </c>
      <c r="G100">
        <v>5.3109999999999997E-3</v>
      </c>
      <c r="H100">
        <v>3.4473999999999998E-2</v>
      </c>
      <c r="I100">
        <v>2.9241E-2</v>
      </c>
      <c r="J100">
        <v>4.6593000000000002E-2</v>
      </c>
      <c r="K100">
        <v>2.1205999999999999E-2</v>
      </c>
      <c r="L100">
        <v>1.9924999999999998E-2</v>
      </c>
      <c r="M100">
        <v>2.1361000000000002E-2</v>
      </c>
      <c r="N100">
        <v>6.3504000000000005E-2</v>
      </c>
      <c r="O100">
        <v>3.1931000000000001E-2</v>
      </c>
      <c r="P100">
        <v>1.3331000000000001E-2</v>
      </c>
      <c r="Q100">
        <v>2.8145E-2</v>
      </c>
      <c r="R100">
        <v>-3.4120000000000001E-3</v>
      </c>
      <c r="S100">
        <v>3.9496999999999997E-2</v>
      </c>
      <c r="T100">
        <v>2.1319999999999999E-2</v>
      </c>
      <c r="U100">
        <v>1.6820000000000002E-2</v>
      </c>
      <c r="V100">
        <v>2.3408999999999999E-2</v>
      </c>
      <c r="W100">
        <v>-4.8120000000000003E-3</v>
      </c>
      <c r="X100">
        <v>2.4913000000000001E-2</v>
      </c>
      <c r="Y100">
        <v>7.7120000000000001E-3</v>
      </c>
      <c r="Z100">
        <v>2.1489000000000001E-2</v>
      </c>
      <c r="AA100">
        <v>2.2846999999999999E-2</v>
      </c>
      <c r="AB100">
        <v>2.8063000000000001E-2</v>
      </c>
    </row>
    <row r="101" spans="1:28" x14ac:dyDescent="0.2">
      <c r="A101">
        <v>19400430</v>
      </c>
      <c r="B101">
        <v>1940</v>
      </c>
      <c r="C101">
        <v>4</v>
      </c>
      <c r="D101">
        <v>0.205067</v>
      </c>
      <c r="E101">
        <v>-4.6560000000000004E-3</v>
      </c>
      <c r="F101">
        <v>2.0733000000000001E-2</v>
      </c>
      <c r="G101">
        <v>4.5007999999999999E-2</v>
      </c>
      <c r="H101">
        <v>8.0010999999999999E-2</v>
      </c>
      <c r="I101">
        <v>1.7971000000000001E-2</v>
      </c>
      <c r="J101">
        <v>4.5793E-2</v>
      </c>
      <c r="K101">
        <v>1.2203E-2</v>
      </c>
      <c r="L101">
        <v>4.8375000000000001E-2</v>
      </c>
      <c r="M101">
        <v>3.6361999999999998E-2</v>
      </c>
      <c r="N101">
        <v>4.1782E-2</v>
      </c>
      <c r="O101">
        <v>6.1260000000000004E-3</v>
      </c>
      <c r="P101">
        <v>5.0528999999999998E-2</v>
      </c>
      <c r="Q101">
        <v>1.9102999999999998E-2</v>
      </c>
      <c r="R101">
        <v>4.7722000000000001E-2</v>
      </c>
      <c r="S101">
        <v>-1.6337000000000001E-2</v>
      </c>
      <c r="T101">
        <v>-3.8739999999999998E-3</v>
      </c>
      <c r="U101">
        <v>-7.3800000000000003E-3</v>
      </c>
      <c r="V101">
        <v>1.9945999999999998E-2</v>
      </c>
      <c r="W101">
        <v>-1.1084999999999999E-2</v>
      </c>
      <c r="X101">
        <v>7.7300000000000003E-4</v>
      </c>
      <c r="Y101">
        <v>-3.375E-3</v>
      </c>
      <c r="Z101">
        <v>7.3489999999999996E-3</v>
      </c>
      <c r="AA101">
        <v>7.6800000000000002E-4</v>
      </c>
      <c r="AB101">
        <v>-1.8315999999999999E-2</v>
      </c>
    </row>
    <row r="102" spans="1:28" x14ac:dyDescent="0.2">
      <c r="A102">
        <v>19400531</v>
      </c>
      <c r="B102">
        <v>1940</v>
      </c>
      <c r="C102">
        <v>5</v>
      </c>
      <c r="D102">
        <v>-0.488896</v>
      </c>
      <c r="E102">
        <v>-0.30451400000000001</v>
      </c>
      <c r="F102">
        <v>-0.33929100000000001</v>
      </c>
      <c r="G102">
        <v>-0.28482200000000002</v>
      </c>
      <c r="H102">
        <v>-0.33152900000000002</v>
      </c>
      <c r="I102">
        <v>-0.22898499999999999</v>
      </c>
      <c r="J102">
        <v>-0.25823200000000002</v>
      </c>
      <c r="K102">
        <v>-0.257081</v>
      </c>
      <c r="L102">
        <v>-0.27621200000000001</v>
      </c>
      <c r="M102">
        <v>-0.32704499999999997</v>
      </c>
      <c r="N102">
        <v>-0.26851000000000003</v>
      </c>
      <c r="O102">
        <v>-0.26909300000000003</v>
      </c>
      <c r="P102">
        <v>-0.280582</v>
      </c>
      <c r="Q102">
        <v>-0.26264599999999999</v>
      </c>
      <c r="R102">
        <v>-0.30056699999999997</v>
      </c>
      <c r="S102">
        <v>-0.26255499999999998</v>
      </c>
      <c r="T102">
        <v>-0.270534</v>
      </c>
      <c r="U102">
        <v>-0.265347</v>
      </c>
      <c r="V102">
        <v>-0.236261</v>
      </c>
      <c r="W102">
        <v>-0.32819300000000001</v>
      </c>
      <c r="X102">
        <v>-0.21510899999999999</v>
      </c>
      <c r="Y102">
        <v>-0.192937</v>
      </c>
      <c r="Z102">
        <v>-0.21814500000000001</v>
      </c>
      <c r="AA102">
        <v>-0.21603900000000001</v>
      </c>
      <c r="AB102">
        <v>-0.26210699999999998</v>
      </c>
    </row>
    <row r="103" spans="1:28" x14ac:dyDescent="0.2">
      <c r="A103">
        <v>19400629</v>
      </c>
      <c r="B103">
        <v>1940</v>
      </c>
      <c r="C103">
        <v>6</v>
      </c>
      <c r="D103">
        <v>9.2476000000000003E-2</v>
      </c>
      <c r="E103">
        <v>1.9944E-2</v>
      </c>
      <c r="F103">
        <v>4.6650999999999998E-2</v>
      </c>
      <c r="G103">
        <v>2.6176999999999999E-2</v>
      </c>
      <c r="H103">
        <v>7.3205000000000006E-2</v>
      </c>
      <c r="I103">
        <v>1.2161999999999999E-2</v>
      </c>
      <c r="J103">
        <v>5.7903000000000003E-2</v>
      </c>
      <c r="K103">
        <v>3.7666999999999999E-2</v>
      </c>
      <c r="L103">
        <v>7.5109999999999996E-2</v>
      </c>
      <c r="M103">
        <v>8.5679000000000005E-2</v>
      </c>
      <c r="N103">
        <v>3.8850999999999997E-2</v>
      </c>
      <c r="O103">
        <v>7.2373000000000007E-2</v>
      </c>
      <c r="P103">
        <v>5.8560000000000001E-2</v>
      </c>
      <c r="Q103">
        <v>5.5097E-2</v>
      </c>
      <c r="R103">
        <v>5.8302E-2</v>
      </c>
      <c r="S103">
        <v>8.9122999999999994E-2</v>
      </c>
      <c r="T103">
        <v>5.1128E-2</v>
      </c>
      <c r="U103">
        <v>8.8038000000000005E-2</v>
      </c>
      <c r="V103">
        <v>3.9784E-2</v>
      </c>
      <c r="W103">
        <v>0.140657</v>
      </c>
      <c r="X103">
        <v>4.5538000000000002E-2</v>
      </c>
      <c r="Y103">
        <v>7.4260999999999994E-2</v>
      </c>
      <c r="Z103">
        <v>0.112708</v>
      </c>
      <c r="AA103">
        <v>5.7617000000000002E-2</v>
      </c>
      <c r="AB103">
        <v>0.18348700000000001</v>
      </c>
    </row>
    <row r="104" spans="1:28" x14ac:dyDescent="0.2">
      <c r="A104">
        <v>19400731</v>
      </c>
      <c r="B104">
        <v>1940</v>
      </c>
      <c r="C104">
        <v>7</v>
      </c>
      <c r="D104">
        <v>3.7613000000000001E-2</v>
      </c>
      <c r="E104">
        <v>2.3824000000000001E-2</v>
      </c>
      <c r="F104">
        <v>8.8599999999999996E-4</v>
      </c>
      <c r="G104">
        <v>1.2448000000000001E-2</v>
      </c>
      <c r="H104">
        <v>3.7020999999999998E-2</v>
      </c>
      <c r="I104">
        <v>3.6386000000000002E-2</v>
      </c>
      <c r="J104">
        <v>5.7480999999999997E-2</v>
      </c>
      <c r="K104">
        <v>4.2023999999999999E-2</v>
      </c>
      <c r="L104">
        <v>4.4077999999999999E-2</v>
      </c>
      <c r="M104">
        <v>1.3776E-2</v>
      </c>
      <c r="N104">
        <v>7.3687000000000002E-2</v>
      </c>
      <c r="O104">
        <v>6.8894999999999998E-2</v>
      </c>
      <c r="P104">
        <v>5.1433E-2</v>
      </c>
      <c r="Q104">
        <v>5.4309999999999997E-2</v>
      </c>
      <c r="R104">
        <v>2.9430000000000001E-2</v>
      </c>
      <c r="S104">
        <v>3.6277999999999998E-2</v>
      </c>
      <c r="T104">
        <v>4.1334999999999997E-2</v>
      </c>
      <c r="U104">
        <v>3.1210999999999999E-2</v>
      </c>
      <c r="V104">
        <v>4.7010000000000003E-2</v>
      </c>
      <c r="W104">
        <v>5.5104E-2</v>
      </c>
      <c r="X104">
        <v>3.8913999999999997E-2</v>
      </c>
      <c r="Y104">
        <v>1.9237000000000001E-2</v>
      </c>
      <c r="Z104">
        <v>3.2986000000000001E-2</v>
      </c>
      <c r="AA104">
        <v>3.1652E-2</v>
      </c>
      <c r="AB104">
        <v>2.0559999999999998E-2</v>
      </c>
    </row>
    <row r="105" spans="1:28" x14ac:dyDescent="0.2">
      <c r="A105">
        <v>19400831</v>
      </c>
      <c r="B105">
        <v>1940</v>
      </c>
      <c r="C105">
        <v>8</v>
      </c>
      <c r="D105">
        <v>-1.1256E-2</v>
      </c>
      <c r="E105">
        <v>-1.5198E-2</v>
      </c>
      <c r="F105">
        <v>5.2993999999999999E-2</v>
      </c>
      <c r="G105">
        <v>4.2303E-2</v>
      </c>
      <c r="H105">
        <v>-1.0418999999999999E-2</v>
      </c>
      <c r="I105">
        <v>3.7966E-2</v>
      </c>
      <c r="J105">
        <v>3.4708999999999997E-2</v>
      </c>
      <c r="K105">
        <v>4.4726000000000002E-2</v>
      </c>
      <c r="L105">
        <v>1.8367000000000001E-2</v>
      </c>
      <c r="M105">
        <v>4.2930999999999997E-2</v>
      </c>
      <c r="N105">
        <v>1.8262E-2</v>
      </c>
      <c r="O105">
        <v>2.6421E-2</v>
      </c>
      <c r="P105">
        <v>2.5035000000000002E-2</v>
      </c>
      <c r="Q105">
        <v>1.11E-2</v>
      </c>
      <c r="R105">
        <v>-7.2240000000000004E-3</v>
      </c>
      <c r="S105">
        <v>8.5050000000000004E-3</v>
      </c>
      <c r="T105">
        <v>2.4704E-2</v>
      </c>
      <c r="U105">
        <v>4.5734999999999998E-2</v>
      </c>
      <c r="V105">
        <v>1.9611E-2</v>
      </c>
      <c r="W105">
        <v>2.3643999999999998E-2</v>
      </c>
      <c r="X105">
        <v>3.0394000000000001E-2</v>
      </c>
      <c r="Y105">
        <v>9.5680000000000001E-3</v>
      </c>
      <c r="Z105">
        <v>5.5269999999999998E-3</v>
      </c>
      <c r="AA105">
        <v>2.8545999999999998E-2</v>
      </c>
      <c r="AB105">
        <v>3.8882E-2</v>
      </c>
    </row>
    <row r="106" spans="1:28" x14ac:dyDescent="0.2">
      <c r="A106">
        <v>19400930</v>
      </c>
      <c r="B106">
        <v>1940</v>
      </c>
      <c r="C106">
        <v>9</v>
      </c>
      <c r="D106">
        <v>2.9042999999999999E-2</v>
      </c>
      <c r="E106">
        <v>3.5314999999999999E-2</v>
      </c>
      <c r="F106">
        <v>7.6645000000000005E-2</v>
      </c>
      <c r="G106">
        <v>3.9553999999999999E-2</v>
      </c>
      <c r="H106">
        <v>4.4685999999999997E-2</v>
      </c>
      <c r="I106">
        <v>7.4995999999999993E-2</v>
      </c>
      <c r="J106">
        <v>6.1524000000000002E-2</v>
      </c>
      <c r="K106">
        <v>3.8091E-2</v>
      </c>
      <c r="L106">
        <v>4.3353000000000003E-2</v>
      </c>
      <c r="M106">
        <v>5.1331000000000002E-2</v>
      </c>
      <c r="N106">
        <v>6.1204000000000001E-2</v>
      </c>
      <c r="O106">
        <v>5.8144000000000001E-2</v>
      </c>
      <c r="P106">
        <v>4.3411999999999999E-2</v>
      </c>
      <c r="Q106">
        <v>5.7550999999999998E-2</v>
      </c>
      <c r="R106">
        <v>4.0980000000000001E-3</v>
      </c>
      <c r="S106">
        <v>3.0367999999999999E-2</v>
      </c>
      <c r="T106">
        <v>5.2560999999999997E-2</v>
      </c>
      <c r="U106">
        <v>2.5613E-2</v>
      </c>
      <c r="V106">
        <v>2.1829999999999999E-2</v>
      </c>
      <c r="W106">
        <v>-1.9729999999999999E-3</v>
      </c>
      <c r="X106">
        <v>3.4775E-2</v>
      </c>
      <c r="Y106">
        <v>2.1545999999999999E-2</v>
      </c>
      <c r="Z106">
        <v>-4.4349999999999997E-3</v>
      </c>
      <c r="AA106">
        <v>-2.3600000000000001E-3</v>
      </c>
      <c r="AB106">
        <v>3.4851E-2</v>
      </c>
    </row>
    <row r="107" spans="1:28" x14ac:dyDescent="0.2">
      <c r="A107">
        <v>19401031</v>
      </c>
      <c r="B107">
        <v>1940</v>
      </c>
      <c r="C107">
        <v>10</v>
      </c>
      <c r="D107">
        <v>7.1184999999999998E-2</v>
      </c>
      <c r="E107">
        <v>5.6723999999999997E-2</v>
      </c>
      <c r="F107">
        <v>7.0960999999999996E-2</v>
      </c>
      <c r="G107">
        <v>5.8241000000000001E-2</v>
      </c>
      <c r="H107">
        <v>5.4486E-2</v>
      </c>
      <c r="I107">
        <v>7.4829000000000007E-2</v>
      </c>
      <c r="J107">
        <v>3.1655000000000003E-2</v>
      </c>
      <c r="K107">
        <v>5.5643999999999999E-2</v>
      </c>
      <c r="L107">
        <v>8.2641000000000006E-2</v>
      </c>
      <c r="M107">
        <v>8.1749000000000002E-2</v>
      </c>
      <c r="N107">
        <v>3.2793000000000003E-2</v>
      </c>
      <c r="O107">
        <v>3.9845999999999999E-2</v>
      </c>
      <c r="P107">
        <v>5.9452999999999999E-2</v>
      </c>
      <c r="Q107">
        <v>5.4037000000000002E-2</v>
      </c>
      <c r="R107">
        <v>4.9859000000000001E-2</v>
      </c>
      <c r="S107">
        <v>4.0682999999999997E-2</v>
      </c>
      <c r="T107">
        <v>6.2836000000000003E-2</v>
      </c>
      <c r="U107">
        <v>5.3025000000000003E-2</v>
      </c>
      <c r="V107">
        <v>0.109863</v>
      </c>
      <c r="W107">
        <v>0.115449</v>
      </c>
      <c r="X107">
        <v>1.1180000000000001E-3</v>
      </c>
      <c r="Y107">
        <v>2.6623000000000001E-2</v>
      </c>
      <c r="Z107">
        <v>6.2203000000000001E-2</v>
      </c>
      <c r="AA107">
        <v>8.5446999999999995E-2</v>
      </c>
      <c r="AB107">
        <v>9.5838999999999994E-2</v>
      </c>
    </row>
    <row r="108" spans="1:28" x14ac:dyDescent="0.2">
      <c r="A108">
        <v>19401130</v>
      </c>
      <c r="B108">
        <v>1940</v>
      </c>
      <c r="C108">
        <v>11</v>
      </c>
      <c r="D108">
        <v>8.3530999999999994E-2</v>
      </c>
      <c r="E108">
        <v>-1.4243E-2</v>
      </c>
      <c r="F108">
        <v>4.1286999999999997E-2</v>
      </c>
      <c r="G108">
        <v>-8.175E-3</v>
      </c>
      <c r="H108">
        <v>-1.0430000000000001E-3</v>
      </c>
      <c r="I108">
        <v>1.0973E-2</v>
      </c>
      <c r="J108">
        <v>1.8880000000000001E-2</v>
      </c>
      <c r="K108">
        <v>4.6909999999999999E-3</v>
      </c>
      <c r="L108">
        <v>-8.5529999999999998E-3</v>
      </c>
      <c r="M108">
        <v>-6.5630000000000003E-3</v>
      </c>
      <c r="N108">
        <v>-3.3739999999999998E-3</v>
      </c>
      <c r="O108">
        <v>1.5571E-2</v>
      </c>
      <c r="P108">
        <v>1.1346E-2</v>
      </c>
      <c r="Q108">
        <v>2.2935000000000001E-2</v>
      </c>
      <c r="R108">
        <v>-1.1566E-2</v>
      </c>
      <c r="S108">
        <v>-1.8363000000000001E-2</v>
      </c>
      <c r="T108">
        <v>-3.4619999999999998E-3</v>
      </c>
      <c r="U108">
        <v>-8.2700000000000004E-4</v>
      </c>
      <c r="V108">
        <v>9.8899999999999995E-3</v>
      </c>
      <c r="W108">
        <v>-1.4173E-2</v>
      </c>
      <c r="X108">
        <v>-2.6530000000000001E-2</v>
      </c>
      <c r="Y108">
        <v>-9.5899999999999996E-3</v>
      </c>
      <c r="Z108">
        <v>-1.2985E-2</v>
      </c>
      <c r="AA108">
        <v>2.8400000000000002E-4</v>
      </c>
      <c r="AB108">
        <v>-7.1129999999999999E-2</v>
      </c>
    </row>
    <row r="109" spans="1:28" x14ac:dyDescent="0.2">
      <c r="A109">
        <v>19401231</v>
      </c>
      <c r="B109">
        <v>1940</v>
      </c>
      <c r="C109">
        <v>12</v>
      </c>
      <c r="D109">
        <v>-1.1723000000000001E-2</v>
      </c>
      <c r="E109">
        <v>-5.4769999999999999E-2</v>
      </c>
      <c r="F109">
        <v>-7.2965000000000002E-2</v>
      </c>
      <c r="G109">
        <v>-1.5727999999999999E-2</v>
      </c>
      <c r="H109">
        <v>-3.8644999999999999E-2</v>
      </c>
      <c r="I109">
        <v>-2.8951000000000001E-2</v>
      </c>
      <c r="J109">
        <v>-3.1047999999999999E-2</v>
      </c>
      <c r="K109">
        <v>-9.4210000000000006E-3</v>
      </c>
      <c r="L109">
        <v>1.0045E-2</v>
      </c>
      <c r="M109">
        <v>-2.2558999999999999E-2</v>
      </c>
      <c r="N109">
        <v>1.1739999999999999E-3</v>
      </c>
      <c r="O109">
        <v>-7.9729999999999992E-3</v>
      </c>
      <c r="P109">
        <v>-7.6270000000000001E-3</v>
      </c>
      <c r="Q109">
        <v>-3.5409999999999999E-3</v>
      </c>
      <c r="R109">
        <v>-1.1225000000000001E-2</v>
      </c>
      <c r="S109">
        <v>9.3699999999999999E-3</v>
      </c>
      <c r="T109">
        <v>-1.1730000000000001E-2</v>
      </c>
      <c r="U109">
        <v>-9.5E-4</v>
      </c>
      <c r="V109">
        <v>-1.5100000000000001E-4</v>
      </c>
      <c r="W109">
        <v>-5.8370000000000002E-3</v>
      </c>
      <c r="X109">
        <v>2.052E-3</v>
      </c>
      <c r="Y109">
        <v>1.6448000000000001E-2</v>
      </c>
      <c r="Z109">
        <v>5.0210000000000003E-3</v>
      </c>
      <c r="AA109">
        <v>1.1057000000000001E-2</v>
      </c>
      <c r="AB109">
        <v>2.3814999999999999E-2</v>
      </c>
    </row>
    <row r="110" spans="1:28" x14ac:dyDescent="0.2">
      <c r="A110">
        <v>19410131</v>
      </c>
      <c r="B110">
        <v>1941</v>
      </c>
      <c r="C110">
        <v>1</v>
      </c>
      <c r="D110">
        <v>-8.6222999999999994E-2</v>
      </c>
      <c r="E110">
        <v>-5.7031999999999999E-2</v>
      </c>
      <c r="F110">
        <v>-3.0977000000000001E-2</v>
      </c>
      <c r="G110">
        <v>-6.9249999999999997E-3</v>
      </c>
      <c r="H110">
        <v>5.8089999999999999E-3</v>
      </c>
      <c r="I110">
        <v>-5.1520000000000003E-2</v>
      </c>
      <c r="J110">
        <v>-2.6588000000000001E-2</v>
      </c>
      <c r="K110">
        <v>-3.1773999999999997E-2</v>
      </c>
      <c r="L110">
        <v>-1.4537E-2</v>
      </c>
      <c r="M110">
        <v>7.45E-4</v>
      </c>
      <c r="N110">
        <v>-6.5034999999999996E-2</v>
      </c>
      <c r="O110">
        <v>-5.4454000000000002E-2</v>
      </c>
      <c r="P110">
        <v>-4.1695000000000003E-2</v>
      </c>
      <c r="Q110">
        <v>-3.2910000000000002E-2</v>
      </c>
      <c r="R110">
        <v>1.3858000000000001E-2</v>
      </c>
      <c r="S110">
        <v>-5.4502000000000002E-2</v>
      </c>
      <c r="T110">
        <v>-4.5454000000000001E-2</v>
      </c>
      <c r="U110">
        <v>-2.5781999999999999E-2</v>
      </c>
      <c r="V110">
        <v>-4.6637999999999999E-2</v>
      </c>
      <c r="W110">
        <v>-3.519E-3</v>
      </c>
      <c r="X110">
        <v>-5.7894000000000001E-2</v>
      </c>
      <c r="Y110">
        <v>-3.7740000000000003E-2</v>
      </c>
      <c r="Z110">
        <v>-2.8174999999999999E-2</v>
      </c>
      <c r="AA110">
        <v>-2.9784000000000001E-2</v>
      </c>
      <c r="AB110">
        <v>-6.28E-3</v>
      </c>
    </row>
    <row r="111" spans="1:28" x14ac:dyDescent="0.2">
      <c r="A111">
        <v>19410228</v>
      </c>
      <c r="B111">
        <v>1941</v>
      </c>
      <c r="C111">
        <v>2</v>
      </c>
      <c r="D111">
        <v>-7.6357999999999995E-2</v>
      </c>
      <c r="E111">
        <v>-3.0079000000000002E-2</v>
      </c>
      <c r="F111">
        <v>-3.522E-3</v>
      </c>
      <c r="G111">
        <v>-4.5352999999999997E-2</v>
      </c>
      <c r="H111">
        <v>-2.7570000000000001E-2</v>
      </c>
      <c r="I111">
        <v>3.7130000000000002E-3</v>
      </c>
      <c r="J111">
        <v>-2.7723999999999999E-2</v>
      </c>
      <c r="K111">
        <v>-1.7623E-2</v>
      </c>
      <c r="L111">
        <v>-2.7255999999999999E-2</v>
      </c>
      <c r="M111">
        <v>-2.1795999999999999E-2</v>
      </c>
      <c r="N111">
        <v>-3.8885999999999997E-2</v>
      </c>
      <c r="O111">
        <v>-7.4019999999999997E-3</v>
      </c>
      <c r="P111">
        <v>-1.7436E-2</v>
      </c>
      <c r="Q111">
        <v>-2.0785000000000001E-2</v>
      </c>
      <c r="R111">
        <v>-2.6499000000000002E-2</v>
      </c>
      <c r="S111">
        <v>-2.5009E-2</v>
      </c>
      <c r="T111">
        <v>-2.2315999999999999E-2</v>
      </c>
      <c r="U111">
        <v>-2.464E-3</v>
      </c>
      <c r="V111">
        <v>-1.295E-2</v>
      </c>
      <c r="W111">
        <v>-2.0208E-2</v>
      </c>
      <c r="X111">
        <v>-1.439E-2</v>
      </c>
      <c r="Y111">
        <v>-1.6774000000000001E-2</v>
      </c>
      <c r="Z111">
        <v>-1.3563E-2</v>
      </c>
      <c r="AA111">
        <v>-1.4777E-2</v>
      </c>
      <c r="AB111">
        <v>9.8049999999999995E-3</v>
      </c>
    </row>
    <row r="112" spans="1:28" x14ac:dyDescent="0.2">
      <c r="A112">
        <v>19410331</v>
      </c>
      <c r="B112">
        <v>1941</v>
      </c>
      <c r="C112">
        <v>3</v>
      </c>
      <c r="D112">
        <v>-1.5494000000000001E-2</v>
      </c>
      <c r="E112">
        <v>-3.1952000000000001E-2</v>
      </c>
      <c r="F112">
        <v>-8.6990000000000001E-3</v>
      </c>
      <c r="G112">
        <v>1.5932000000000002E-2</v>
      </c>
      <c r="H112">
        <v>4.1749000000000001E-2</v>
      </c>
      <c r="I112">
        <v>-8.2839999999999997E-3</v>
      </c>
      <c r="J112">
        <v>2.6757E-2</v>
      </c>
      <c r="K112">
        <v>2.6318999999999999E-2</v>
      </c>
      <c r="L112">
        <v>6.1760000000000001E-3</v>
      </c>
      <c r="M112">
        <v>5.1970000000000002E-2</v>
      </c>
      <c r="N112">
        <v>2.9069999999999999E-3</v>
      </c>
      <c r="O112">
        <v>1.9620000000000002E-3</v>
      </c>
      <c r="P112">
        <v>1.3825E-2</v>
      </c>
      <c r="Q112">
        <v>1.6402E-2</v>
      </c>
      <c r="R112">
        <v>3.7692999999999997E-2</v>
      </c>
      <c r="S112">
        <v>9.358E-3</v>
      </c>
      <c r="T112">
        <v>-1.4489999999999999E-2</v>
      </c>
      <c r="U112">
        <v>1.1847999999999999E-2</v>
      </c>
      <c r="V112">
        <v>2.1524999999999999E-2</v>
      </c>
      <c r="W112">
        <v>4.2161999999999998E-2</v>
      </c>
      <c r="X112">
        <v>4.862E-3</v>
      </c>
      <c r="Y112">
        <v>9.1889999999999993E-3</v>
      </c>
      <c r="Z112">
        <v>1.8325999999999999E-2</v>
      </c>
      <c r="AA112">
        <v>1.3996E-2</v>
      </c>
      <c r="AB112">
        <v>4.0717000000000003E-2</v>
      </c>
    </row>
    <row r="113" spans="1:28" x14ac:dyDescent="0.2">
      <c r="A113">
        <v>19410430</v>
      </c>
      <c r="B113">
        <v>1941</v>
      </c>
      <c r="C113">
        <v>4</v>
      </c>
      <c r="D113">
        <v>-0.156336</v>
      </c>
      <c r="E113">
        <v>-0.12947400000000001</v>
      </c>
      <c r="F113">
        <v>-7.0931999999999995E-2</v>
      </c>
      <c r="G113">
        <v>-4.5931E-2</v>
      </c>
      <c r="H113">
        <v>-4.2206E-2</v>
      </c>
      <c r="I113">
        <v>-7.5445999999999999E-2</v>
      </c>
      <c r="J113">
        <v>-7.4409000000000003E-2</v>
      </c>
      <c r="K113">
        <v>-5.9657000000000002E-2</v>
      </c>
      <c r="L113">
        <v>-4.7613000000000003E-2</v>
      </c>
      <c r="M113">
        <v>-5.7056000000000003E-2</v>
      </c>
      <c r="N113">
        <v>-5.0022999999999998E-2</v>
      </c>
      <c r="O113">
        <v>-7.0600999999999997E-2</v>
      </c>
      <c r="P113">
        <v>-4.2673000000000003E-2</v>
      </c>
      <c r="Q113">
        <v>-5.3127000000000001E-2</v>
      </c>
      <c r="R113">
        <v>-1.7632999999999999E-2</v>
      </c>
      <c r="S113">
        <v>-7.4797000000000002E-2</v>
      </c>
      <c r="T113">
        <v>-6.4291000000000001E-2</v>
      </c>
      <c r="U113">
        <v>-5.6704999999999998E-2</v>
      </c>
      <c r="V113">
        <v>-3.8040999999999998E-2</v>
      </c>
      <c r="W113">
        <v>-4.4262000000000003E-2</v>
      </c>
      <c r="X113">
        <v>-6.4000000000000001E-2</v>
      </c>
      <c r="Y113">
        <v>-6.2886999999999998E-2</v>
      </c>
      <c r="Z113">
        <v>-3.4791999999999997E-2</v>
      </c>
      <c r="AA113">
        <v>-3.3145000000000001E-2</v>
      </c>
      <c r="AB113">
        <v>-4.9589999999999999E-3</v>
      </c>
    </row>
    <row r="114" spans="1:28" x14ac:dyDescent="0.2">
      <c r="A114">
        <v>19410531</v>
      </c>
      <c r="B114">
        <v>1941</v>
      </c>
      <c r="C114">
        <v>5</v>
      </c>
      <c r="D114">
        <v>-6.8250000000000003E-3</v>
      </c>
      <c r="E114">
        <v>3.5569000000000003E-2</v>
      </c>
      <c r="F114">
        <v>-7.92E-3</v>
      </c>
      <c r="G114">
        <v>1.2434000000000001E-2</v>
      </c>
      <c r="H114">
        <v>-1.2574999999999999E-2</v>
      </c>
      <c r="I114">
        <v>3.7007999999999999E-2</v>
      </c>
      <c r="J114">
        <v>9.6380000000000007E-3</v>
      </c>
      <c r="K114">
        <v>7.4679999999999998E-3</v>
      </c>
      <c r="L114">
        <v>1.8058000000000001E-2</v>
      </c>
      <c r="M114">
        <v>3.9872999999999999E-2</v>
      </c>
      <c r="N114">
        <v>-1.7124E-2</v>
      </c>
      <c r="O114">
        <v>1.3775000000000001E-2</v>
      </c>
      <c r="P114">
        <v>2.4733999999999999E-2</v>
      </c>
      <c r="Q114">
        <v>2.7899E-2</v>
      </c>
      <c r="R114">
        <v>-4.0270000000000002E-3</v>
      </c>
      <c r="S114">
        <v>3.6046000000000002E-2</v>
      </c>
      <c r="T114">
        <v>1.8408000000000001E-2</v>
      </c>
      <c r="U114">
        <v>-6.7600000000000004E-3</v>
      </c>
      <c r="V114">
        <v>-1.217E-3</v>
      </c>
      <c r="W114">
        <v>2.7762999999999999E-2</v>
      </c>
      <c r="X114">
        <v>1.0501999999999999E-2</v>
      </c>
      <c r="Y114">
        <v>1.2171E-2</v>
      </c>
      <c r="Z114">
        <v>3.2682999999999997E-2</v>
      </c>
      <c r="AA114">
        <v>3.4458000000000003E-2</v>
      </c>
      <c r="AB114">
        <v>-3.46E-3</v>
      </c>
    </row>
    <row r="115" spans="1:28" x14ac:dyDescent="0.2">
      <c r="A115">
        <v>19410630</v>
      </c>
      <c r="B115">
        <v>1941</v>
      </c>
      <c r="C115">
        <v>6</v>
      </c>
      <c r="D115">
        <v>3.2547E-2</v>
      </c>
      <c r="E115">
        <v>-7.5420000000000001E-3</v>
      </c>
      <c r="F115">
        <v>9.6303E-2</v>
      </c>
      <c r="G115">
        <v>8.4856000000000001E-2</v>
      </c>
      <c r="H115">
        <v>0.14002700000000001</v>
      </c>
      <c r="I115">
        <v>2.2745999999999999E-2</v>
      </c>
      <c r="J115">
        <v>5.1679999999999997E-2</v>
      </c>
      <c r="K115">
        <v>6.4772999999999997E-2</v>
      </c>
      <c r="L115">
        <v>9.6020999999999995E-2</v>
      </c>
      <c r="M115">
        <v>7.424E-2</v>
      </c>
      <c r="N115">
        <v>4.5199999999999997E-2</v>
      </c>
      <c r="O115">
        <v>6.9270999999999999E-2</v>
      </c>
      <c r="P115">
        <v>6.1428999999999997E-2</v>
      </c>
      <c r="Q115">
        <v>6.4061999999999994E-2</v>
      </c>
      <c r="R115">
        <v>9.6008999999999997E-2</v>
      </c>
      <c r="S115">
        <v>4.7126000000000001E-2</v>
      </c>
      <c r="T115">
        <v>7.8613000000000002E-2</v>
      </c>
      <c r="U115">
        <v>5.1865000000000001E-2</v>
      </c>
      <c r="V115">
        <v>5.3419000000000001E-2</v>
      </c>
      <c r="W115">
        <v>4.2053E-2</v>
      </c>
      <c r="X115">
        <v>6.6381999999999997E-2</v>
      </c>
      <c r="Y115">
        <v>5.0314999999999999E-2</v>
      </c>
      <c r="Z115">
        <v>6.4879000000000006E-2</v>
      </c>
      <c r="AA115">
        <v>3.9618E-2</v>
      </c>
      <c r="AB115">
        <v>1.9127999999999999E-2</v>
      </c>
    </row>
    <row r="116" spans="1:28" x14ac:dyDescent="0.2">
      <c r="A116">
        <v>19410731</v>
      </c>
      <c r="B116">
        <v>1941</v>
      </c>
      <c r="C116">
        <v>7</v>
      </c>
      <c r="D116">
        <v>0.17119400000000001</v>
      </c>
      <c r="E116">
        <v>0.25143399999999999</v>
      </c>
      <c r="F116">
        <v>0.27818900000000002</v>
      </c>
      <c r="G116">
        <v>0.178618</v>
      </c>
      <c r="H116">
        <v>0.251637</v>
      </c>
      <c r="I116">
        <v>0.103551</v>
      </c>
      <c r="J116">
        <v>9.2355000000000007E-2</v>
      </c>
      <c r="K116">
        <v>6.4163999999999999E-2</v>
      </c>
      <c r="L116">
        <v>0.13703899999999999</v>
      </c>
      <c r="M116">
        <v>0.21428700000000001</v>
      </c>
      <c r="N116">
        <v>8.5894999999999999E-2</v>
      </c>
      <c r="O116">
        <v>7.9689999999999997E-2</v>
      </c>
      <c r="P116">
        <v>6.9955000000000003E-2</v>
      </c>
      <c r="Q116">
        <v>0.133129</v>
      </c>
      <c r="R116">
        <v>0.18934100000000001</v>
      </c>
      <c r="S116">
        <v>7.8412999999999997E-2</v>
      </c>
      <c r="T116">
        <v>6.8872000000000003E-2</v>
      </c>
      <c r="U116">
        <v>9.6315999999999999E-2</v>
      </c>
      <c r="V116">
        <v>0.12648100000000001</v>
      </c>
      <c r="W116">
        <v>0.24576200000000001</v>
      </c>
      <c r="X116">
        <v>4.1465000000000002E-2</v>
      </c>
      <c r="Y116">
        <v>3.143E-2</v>
      </c>
      <c r="Z116">
        <v>8.2500000000000004E-2</v>
      </c>
      <c r="AA116">
        <v>8.4804000000000004E-2</v>
      </c>
      <c r="AB116">
        <v>0.111998</v>
      </c>
    </row>
    <row r="117" spans="1:28" x14ac:dyDescent="0.2">
      <c r="A117">
        <v>19410830</v>
      </c>
      <c r="B117">
        <v>1941</v>
      </c>
      <c r="C117">
        <v>8</v>
      </c>
      <c r="D117">
        <v>2.5103E-2</v>
      </c>
      <c r="E117">
        <v>-4.3249999999999999E-3</v>
      </c>
      <c r="F117">
        <v>-7.4388999999999997E-2</v>
      </c>
      <c r="G117">
        <v>-3.3591000000000003E-2</v>
      </c>
      <c r="H117">
        <v>7.9559999999999995E-3</v>
      </c>
      <c r="I117">
        <v>-3.676E-3</v>
      </c>
      <c r="J117">
        <v>-8.3009999999999994E-3</v>
      </c>
      <c r="K117">
        <v>-1.1493E-2</v>
      </c>
      <c r="L117">
        <v>-7.7749999999999998E-3</v>
      </c>
      <c r="M117">
        <v>3.3399999999999999E-4</v>
      </c>
      <c r="N117">
        <v>-1.9574999999999999E-2</v>
      </c>
      <c r="O117">
        <v>-2.1517999999999999E-2</v>
      </c>
      <c r="P117">
        <v>1.1429999999999999E-3</v>
      </c>
      <c r="Q117">
        <v>-1.9491000000000001E-2</v>
      </c>
      <c r="R117">
        <v>-2.3993E-2</v>
      </c>
      <c r="S117">
        <v>8.1150000000000007E-3</v>
      </c>
      <c r="T117">
        <v>-1.95E-4</v>
      </c>
      <c r="U117">
        <v>1.7680000000000001E-2</v>
      </c>
      <c r="V117">
        <v>-2.797E-3</v>
      </c>
      <c r="W117">
        <v>6.3670000000000003E-3</v>
      </c>
      <c r="X117">
        <v>8.7489999999999998E-3</v>
      </c>
      <c r="Y117">
        <v>2.2139999999999998E-3</v>
      </c>
      <c r="Z117">
        <v>-2.0281E-2</v>
      </c>
      <c r="AA117">
        <v>-1.2507000000000001E-2</v>
      </c>
      <c r="AB117">
        <v>-5.1218E-2</v>
      </c>
    </row>
    <row r="118" spans="1:28" x14ac:dyDescent="0.2">
      <c r="A118">
        <v>19410930</v>
      </c>
      <c r="B118">
        <v>1941</v>
      </c>
      <c r="C118">
        <v>9</v>
      </c>
      <c r="D118">
        <v>-0.117981</v>
      </c>
      <c r="E118">
        <v>-3.6358000000000001E-2</v>
      </c>
      <c r="F118">
        <v>-4.3402000000000003E-2</v>
      </c>
      <c r="G118">
        <v>-2.5877000000000001E-2</v>
      </c>
      <c r="H118">
        <v>-5.0812999999999997E-2</v>
      </c>
      <c r="I118">
        <v>-3.1371000000000003E-2</v>
      </c>
      <c r="J118">
        <v>-1.5288E-2</v>
      </c>
      <c r="K118">
        <v>-3.8667E-2</v>
      </c>
      <c r="L118">
        <v>7.986E-3</v>
      </c>
      <c r="M118">
        <v>-3.5677E-2</v>
      </c>
      <c r="N118">
        <v>-2.4841999999999999E-2</v>
      </c>
      <c r="O118">
        <v>-1.3174999999999999E-2</v>
      </c>
      <c r="P118">
        <v>-1.1847999999999999E-2</v>
      </c>
      <c r="Q118">
        <v>-2.9211000000000001E-2</v>
      </c>
      <c r="R118">
        <v>5.2180000000000004E-3</v>
      </c>
      <c r="S118">
        <v>1.1479999999999999E-3</v>
      </c>
      <c r="T118">
        <v>-1.7262E-2</v>
      </c>
      <c r="U118">
        <v>-2.6112E-2</v>
      </c>
      <c r="V118">
        <v>1.952E-3</v>
      </c>
      <c r="W118">
        <v>-1.4248E-2</v>
      </c>
      <c r="X118">
        <v>2.4989999999999999E-3</v>
      </c>
      <c r="Y118">
        <v>-9.1999999999999998E-3</v>
      </c>
      <c r="Z118">
        <v>-2.6263000000000002E-2</v>
      </c>
      <c r="AA118">
        <v>-1.6974E-2</v>
      </c>
      <c r="AB118">
        <v>-2.6971999999999999E-2</v>
      </c>
    </row>
    <row r="119" spans="1:28" x14ac:dyDescent="0.2">
      <c r="A119">
        <v>19411031</v>
      </c>
      <c r="B119">
        <v>1941</v>
      </c>
      <c r="C119">
        <v>10</v>
      </c>
      <c r="D119">
        <v>-8.6967000000000003E-2</v>
      </c>
      <c r="E119">
        <v>-3.1329999999999999E-3</v>
      </c>
      <c r="F119">
        <v>-7.8628000000000003E-2</v>
      </c>
      <c r="G119">
        <v>-6.7198999999999995E-2</v>
      </c>
      <c r="H119">
        <v>-7.9481999999999997E-2</v>
      </c>
      <c r="I119">
        <v>-5.6314000000000003E-2</v>
      </c>
      <c r="J119">
        <v>-4.8660000000000002E-2</v>
      </c>
      <c r="K119">
        <v>-5.5393999999999999E-2</v>
      </c>
      <c r="L119">
        <v>-5.5715000000000001E-2</v>
      </c>
      <c r="M119">
        <v>-7.3265999999999998E-2</v>
      </c>
      <c r="N119">
        <v>-6.3204999999999997E-2</v>
      </c>
      <c r="O119">
        <v>-6.3328999999999996E-2</v>
      </c>
      <c r="P119">
        <v>-4.9923000000000002E-2</v>
      </c>
      <c r="Q119">
        <v>-6.4371999999999999E-2</v>
      </c>
      <c r="R119">
        <v>-0.10334500000000001</v>
      </c>
      <c r="S119">
        <v>-4.9727E-2</v>
      </c>
      <c r="T119">
        <v>-5.5544999999999997E-2</v>
      </c>
      <c r="U119">
        <v>-6.0788000000000002E-2</v>
      </c>
      <c r="V119">
        <v>-4.3416000000000003E-2</v>
      </c>
      <c r="W119">
        <v>-4.9443000000000001E-2</v>
      </c>
      <c r="X119">
        <v>-6.7665000000000003E-2</v>
      </c>
      <c r="Y119">
        <v>-4.7093000000000003E-2</v>
      </c>
      <c r="Z119">
        <v>-2.1314E-2</v>
      </c>
      <c r="AA119">
        <v>-1.7103E-2</v>
      </c>
      <c r="AB119">
        <v>-1.8263000000000001E-2</v>
      </c>
    </row>
    <row r="120" spans="1:28" x14ac:dyDescent="0.2">
      <c r="A120">
        <v>19411129</v>
      </c>
      <c r="B120">
        <v>1941</v>
      </c>
      <c r="C120">
        <v>11</v>
      </c>
      <c r="D120">
        <v>-0.103848</v>
      </c>
      <c r="E120">
        <v>-5.7382000000000002E-2</v>
      </c>
      <c r="F120">
        <v>-8.2355999999999999E-2</v>
      </c>
      <c r="G120">
        <v>-3.9729E-2</v>
      </c>
      <c r="H120">
        <v>-4.2805000000000003E-2</v>
      </c>
      <c r="I120">
        <v>-2.1291000000000001E-2</v>
      </c>
      <c r="J120">
        <v>-1.4376E-2</v>
      </c>
      <c r="K120">
        <v>-5.1400000000000001E-2</v>
      </c>
      <c r="L120">
        <v>-2.2747E-2</v>
      </c>
      <c r="M120">
        <v>-3.2377999999999997E-2</v>
      </c>
      <c r="N120">
        <v>-1.3146E-2</v>
      </c>
      <c r="O120">
        <v>-2.1711999999999999E-2</v>
      </c>
      <c r="P120">
        <v>-3.2593999999999998E-2</v>
      </c>
      <c r="Q120">
        <v>-1.98E-3</v>
      </c>
      <c r="R120">
        <v>-5.8629000000000001E-2</v>
      </c>
      <c r="S120">
        <v>-7.6649999999999999E-3</v>
      </c>
      <c r="T120">
        <v>-2.0327000000000001E-2</v>
      </c>
      <c r="U120">
        <v>-1.8834E-2</v>
      </c>
      <c r="V120">
        <v>-9.7710000000000002E-3</v>
      </c>
      <c r="W120">
        <v>-3.1314000000000002E-2</v>
      </c>
      <c r="X120">
        <v>-1.8858E-2</v>
      </c>
      <c r="Y120">
        <v>-2.7E-2</v>
      </c>
      <c r="Z120">
        <v>7.1009999999999997E-3</v>
      </c>
      <c r="AA120">
        <v>-1.8246999999999999E-2</v>
      </c>
      <c r="AB120">
        <v>-2.691E-2</v>
      </c>
    </row>
    <row r="121" spans="1:28" x14ac:dyDescent="0.2">
      <c r="A121">
        <v>19411231</v>
      </c>
      <c r="B121">
        <v>1941</v>
      </c>
      <c r="C121">
        <v>12</v>
      </c>
      <c r="D121">
        <v>-0.18537999999999999</v>
      </c>
      <c r="E121">
        <v>-0.193333</v>
      </c>
      <c r="F121">
        <v>-0.103259</v>
      </c>
      <c r="G121">
        <v>-0.14676700000000001</v>
      </c>
      <c r="H121">
        <v>-0.14507400000000001</v>
      </c>
      <c r="I121">
        <v>-8.1283999999999995E-2</v>
      </c>
      <c r="J121">
        <v>-5.2476000000000002E-2</v>
      </c>
      <c r="K121">
        <v>-7.8909000000000007E-2</v>
      </c>
      <c r="L121">
        <v>-9.1447000000000001E-2</v>
      </c>
      <c r="M121">
        <v>-0.15204200000000001</v>
      </c>
      <c r="N121">
        <v>-6.9724999999999995E-2</v>
      </c>
      <c r="O121">
        <v>-3.7429999999999998E-2</v>
      </c>
      <c r="P121">
        <v>-5.1211E-2</v>
      </c>
      <c r="Q121">
        <v>-6.7168000000000005E-2</v>
      </c>
      <c r="R121">
        <v>-8.3096000000000003E-2</v>
      </c>
      <c r="S121">
        <v>-3.6214999999999997E-2</v>
      </c>
      <c r="T121">
        <v>-5.3540999999999998E-2</v>
      </c>
      <c r="U121">
        <v>-6.5299999999999997E-2</v>
      </c>
      <c r="V121">
        <v>-5.9839999999999997E-2</v>
      </c>
      <c r="W121">
        <v>-9.0009000000000006E-2</v>
      </c>
      <c r="X121">
        <v>-3.3870999999999998E-2</v>
      </c>
      <c r="Y121">
        <v>-4.9695000000000003E-2</v>
      </c>
      <c r="Z121">
        <v>-4.2833999999999997E-2</v>
      </c>
      <c r="AA121">
        <v>-9.4946000000000003E-2</v>
      </c>
      <c r="AB121">
        <v>-6.8633E-2</v>
      </c>
    </row>
    <row r="122" spans="1:28" x14ac:dyDescent="0.2">
      <c r="A122">
        <v>19420131</v>
      </c>
      <c r="B122">
        <v>1942</v>
      </c>
      <c r="C122">
        <v>1</v>
      </c>
      <c r="D122">
        <v>0.345808</v>
      </c>
      <c r="E122">
        <v>0.129913</v>
      </c>
      <c r="F122">
        <v>0.16056699999999999</v>
      </c>
      <c r="G122">
        <v>0.19774900000000001</v>
      </c>
      <c r="H122">
        <v>0.256247</v>
      </c>
      <c r="I122">
        <v>9.0802999999999995E-2</v>
      </c>
      <c r="J122">
        <v>7.0412000000000002E-2</v>
      </c>
      <c r="K122">
        <v>0.10041</v>
      </c>
      <c r="L122">
        <v>0.115491</v>
      </c>
      <c r="M122">
        <v>0.168242</v>
      </c>
      <c r="N122">
        <v>3.9402E-2</v>
      </c>
      <c r="O122">
        <v>3.1366999999999999E-2</v>
      </c>
      <c r="P122">
        <v>4.965E-2</v>
      </c>
      <c r="Q122">
        <v>7.2331999999999994E-2</v>
      </c>
      <c r="R122">
        <v>0.136959</v>
      </c>
      <c r="S122">
        <v>-2.4329E-2</v>
      </c>
      <c r="T122">
        <v>4.2708999999999997E-2</v>
      </c>
      <c r="U122">
        <v>6.2950999999999993E-2</v>
      </c>
      <c r="V122">
        <v>6.4173999999999995E-2</v>
      </c>
      <c r="W122">
        <v>9.0080999999999994E-2</v>
      </c>
      <c r="X122">
        <v>-2.9950000000000001E-2</v>
      </c>
      <c r="Y122">
        <v>1.0039999999999999E-3</v>
      </c>
      <c r="Z122">
        <v>-3.9199999999999999E-3</v>
      </c>
      <c r="AA122">
        <v>6.8237000000000006E-2</v>
      </c>
      <c r="AB122">
        <v>0.13889899999999999</v>
      </c>
    </row>
    <row r="123" spans="1:28" x14ac:dyDescent="0.2">
      <c r="A123">
        <v>19420228</v>
      </c>
      <c r="B123">
        <v>1942</v>
      </c>
      <c r="C123">
        <v>2</v>
      </c>
      <c r="D123">
        <v>-6.7696999999999993E-2</v>
      </c>
      <c r="E123">
        <v>-8.6166999999999994E-2</v>
      </c>
      <c r="F123">
        <v>-1.5921000000000001E-2</v>
      </c>
      <c r="G123">
        <v>6.3290000000000004E-3</v>
      </c>
      <c r="H123">
        <v>-2.5388999999999998E-2</v>
      </c>
      <c r="I123">
        <v>2.1589999999999999E-3</v>
      </c>
      <c r="J123">
        <v>-1.2302E-2</v>
      </c>
      <c r="K123">
        <v>-1.5428000000000001E-2</v>
      </c>
      <c r="L123">
        <v>-1.7714000000000001E-2</v>
      </c>
      <c r="M123">
        <v>-1.559E-2</v>
      </c>
      <c r="N123">
        <v>-9.8759999999999994E-3</v>
      </c>
      <c r="O123">
        <v>-1.4862999999999999E-2</v>
      </c>
      <c r="P123">
        <v>-1.1056E-2</v>
      </c>
      <c r="Q123">
        <v>-1.5003000000000001E-2</v>
      </c>
      <c r="R123">
        <v>-2.8500000000000001E-2</v>
      </c>
      <c r="S123">
        <v>-1.7614000000000001E-2</v>
      </c>
      <c r="T123">
        <v>-1.7627E-2</v>
      </c>
      <c r="U123">
        <v>-2.9059999999999999E-2</v>
      </c>
      <c r="V123">
        <v>-2.145E-2</v>
      </c>
      <c r="W123">
        <v>3.4640000000000001E-3</v>
      </c>
      <c r="X123">
        <v>-2.6092000000000001E-2</v>
      </c>
      <c r="Y123">
        <v>-2.0361000000000001E-2</v>
      </c>
      <c r="Z123">
        <v>-3.4130000000000001E-2</v>
      </c>
      <c r="AA123">
        <v>-2.4358000000000001E-2</v>
      </c>
      <c r="AB123">
        <v>-1.0914E-2</v>
      </c>
    </row>
    <row r="124" spans="1:28" x14ac:dyDescent="0.2">
      <c r="A124">
        <v>19420331</v>
      </c>
      <c r="B124">
        <v>1942</v>
      </c>
      <c r="C124">
        <v>3</v>
      </c>
      <c r="D124">
        <v>-7.7132000000000006E-2</v>
      </c>
      <c r="E124">
        <v>-7.1347999999999995E-2</v>
      </c>
      <c r="F124">
        <v>-6.1963999999999998E-2</v>
      </c>
      <c r="G124">
        <v>-3.6510000000000002E-3</v>
      </c>
      <c r="H124">
        <v>-6.5339999999999995E-2</v>
      </c>
      <c r="I124">
        <v>-4.8336999999999998E-2</v>
      </c>
      <c r="J124">
        <v>1.4843E-2</v>
      </c>
      <c r="K124">
        <v>-2.9012E-2</v>
      </c>
      <c r="L124">
        <v>-5.8485000000000002E-2</v>
      </c>
      <c r="M124">
        <v>-5.6878999999999999E-2</v>
      </c>
      <c r="N124">
        <v>-2.5475000000000001E-2</v>
      </c>
      <c r="O124">
        <v>-1.8199E-2</v>
      </c>
      <c r="P124">
        <v>-6.4119999999999996E-2</v>
      </c>
      <c r="Q124">
        <v>-4.7391000000000003E-2</v>
      </c>
      <c r="R124">
        <v>-7.4438000000000004E-2</v>
      </c>
      <c r="S124">
        <v>-5.2925E-2</v>
      </c>
      <c r="T124">
        <v>-5.9476000000000001E-2</v>
      </c>
      <c r="U124">
        <v>-6.2190000000000002E-2</v>
      </c>
      <c r="V124">
        <v>-4.1355000000000003E-2</v>
      </c>
      <c r="W124">
        <v>-4.8883000000000003E-2</v>
      </c>
      <c r="X124">
        <v>-5.5718999999999998E-2</v>
      </c>
      <c r="Y124">
        <v>-7.2544999999999998E-2</v>
      </c>
      <c r="Z124">
        <v>-8.3436999999999997E-2</v>
      </c>
      <c r="AA124">
        <v>-6.3259999999999997E-2</v>
      </c>
      <c r="AB124">
        <v>-7.1859999999999993E-2</v>
      </c>
    </row>
    <row r="125" spans="1:28" x14ac:dyDescent="0.2">
      <c r="A125">
        <v>19420430</v>
      </c>
      <c r="B125">
        <v>1942</v>
      </c>
      <c r="C125">
        <v>4</v>
      </c>
      <c r="D125">
        <v>-5.1223999999999999E-2</v>
      </c>
      <c r="E125">
        <v>-3.9775999999999999E-2</v>
      </c>
      <c r="F125">
        <v>-4.0887E-2</v>
      </c>
      <c r="G125">
        <v>-4.5081000000000003E-2</v>
      </c>
      <c r="H125">
        <v>-4.7639000000000001E-2</v>
      </c>
      <c r="I125">
        <v>-6.5846000000000002E-2</v>
      </c>
      <c r="J125">
        <v>-5.7369999999999997E-2</v>
      </c>
      <c r="K125">
        <v>-4.6371999999999997E-2</v>
      </c>
      <c r="L125">
        <v>-3.4591999999999998E-2</v>
      </c>
      <c r="M125">
        <v>-4.7737000000000002E-2</v>
      </c>
      <c r="N125">
        <v>-5.2845000000000003E-2</v>
      </c>
      <c r="O125">
        <v>-4.7029000000000001E-2</v>
      </c>
      <c r="P125">
        <v>-4.6300000000000001E-2</v>
      </c>
      <c r="Q125">
        <v>-5.3043E-2</v>
      </c>
      <c r="R125">
        <v>-4.1228000000000001E-2</v>
      </c>
      <c r="S125">
        <v>-7.1387000000000006E-2</v>
      </c>
      <c r="T125">
        <v>-5.8629000000000001E-2</v>
      </c>
      <c r="U125">
        <v>-4.5668E-2</v>
      </c>
      <c r="V125">
        <v>-5.7252999999999998E-2</v>
      </c>
      <c r="W125">
        <v>-3.5164000000000001E-2</v>
      </c>
      <c r="X125">
        <v>-3.3395000000000001E-2</v>
      </c>
      <c r="Y125">
        <v>-6.4821000000000004E-2</v>
      </c>
      <c r="Z125">
        <v>-3.5631000000000003E-2</v>
      </c>
      <c r="AA125">
        <v>-3.1754999999999999E-2</v>
      </c>
      <c r="AB125">
        <v>-1.6440000000000001E-3</v>
      </c>
    </row>
    <row r="126" spans="1:28" x14ac:dyDescent="0.2">
      <c r="A126">
        <v>19420529</v>
      </c>
      <c r="B126">
        <v>1942</v>
      </c>
      <c r="C126">
        <v>5</v>
      </c>
      <c r="D126">
        <v>-5.9651999999999997E-2</v>
      </c>
      <c r="E126">
        <v>5.3330000000000001E-3</v>
      </c>
      <c r="F126">
        <v>1.7706E-2</v>
      </c>
      <c r="G126">
        <v>-2.6620999999999999E-2</v>
      </c>
      <c r="H126">
        <v>3.0739999999999999E-3</v>
      </c>
      <c r="I126">
        <v>-2.3010000000000001E-3</v>
      </c>
      <c r="J126">
        <v>6.0879999999999997E-3</v>
      </c>
      <c r="K126">
        <v>8.463E-3</v>
      </c>
      <c r="L126">
        <v>4.8182999999999997E-2</v>
      </c>
      <c r="M126">
        <v>-5.7289999999999997E-3</v>
      </c>
      <c r="N126">
        <v>5.3629999999999997E-3</v>
      </c>
      <c r="O126">
        <v>2.2761E-2</v>
      </c>
      <c r="P126">
        <v>2.3349000000000002E-2</v>
      </c>
      <c r="Q126">
        <v>4.3848999999999999E-2</v>
      </c>
      <c r="R126">
        <v>-7.0439999999999999E-3</v>
      </c>
      <c r="S126">
        <v>4.4726000000000002E-2</v>
      </c>
      <c r="T126">
        <v>4.5949999999999998E-2</v>
      </c>
      <c r="U126">
        <v>4.5733999999999997E-2</v>
      </c>
      <c r="V126">
        <v>1.7902000000000001E-2</v>
      </c>
      <c r="W126">
        <v>4.2807999999999999E-2</v>
      </c>
      <c r="X126">
        <v>8.2427E-2</v>
      </c>
      <c r="Y126">
        <v>6.2671000000000004E-2</v>
      </c>
      <c r="Z126">
        <v>5.3915999999999999E-2</v>
      </c>
      <c r="AA126">
        <v>2.1819999999999999E-2</v>
      </c>
      <c r="AB126">
        <v>-4.6572000000000002E-2</v>
      </c>
    </row>
    <row r="127" spans="1:28" x14ac:dyDescent="0.2">
      <c r="A127">
        <v>19420630</v>
      </c>
      <c r="B127">
        <v>1942</v>
      </c>
      <c r="C127">
        <v>6</v>
      </c>
      <c r="D127">
        <v>3.1542000000000001E-2</v>
      </c>
      <c r="E127">
        <v>7.4339999999999996E-3</v>
      </c>
      <c r="F127">
        <v>-1.3828999999999999E-2</v>
      </c>
      <c r="G127">
        <v>3.8669000000000002E-2</v>
      </c>
      <c r="H127">
        <v>3.5838000000000002E-2</v>
      </c>
      <c r="I127">
        <v>1.7299999999999999E-2</v>
      </c>
      <c r="J127">
        <v>3.9226999999999998E-2</v>
      </c>
      <c r="K127">
        <v>2.3649999999999999E-3</v>
      </c>
      <c r="L127">
        <v>2.3233E-2</v>
      </c>
      <c r="M127">
        <v>8.9420000000000003E-3</v>
      </c>
      <c r="N127">
        <v>2.5056999999999999E-2</v>
      </c>
      <c r="O127">
        <v>1.7441999999999999E-2</v>
      </c>
      <c r="P127">
        <v>8.1320000000000003E-3</v>
      </c>
      <c r="Q127">
        <v>1.9505999999999999E-2</v>
      </c>
      <c r="R127">
        <v>1.3919000000000001E-2</v>
      </c>
      <c r="S127">
        <v>3.8835000000000001E-2</v>
      </c>
      <c r="T127">
        <v>2.7316E-2</v>
      </c>
      <c r="U127">
        <v>2.002E-2</v>
      </c>
      <c r="V127">
        <v>1.7978000000000001E-2</v>
      </c>
      <c r="W127">
        <v>-5.836E-3</v>
      </c>
      <c r="X127">
        <v>4.4703E-2</v>
      </c>
      <c r="Y127">
        <v>8.7449999999999993E-3</v>
      </c>
      <c r="Z127">
        <v>2.0638E-2</v>
      </c>
      <c r="AA127">
        <v>3.0515E-2</v>
      </c>
      <c r="AB127">
        <v>5.7075000000000001E-2</v>
      </c>
    </row>
    <row r="128" spans="1:28" x14ac:dyDescent="0.2">
      <c r="A128">
        <v>19420731</v>
      </c>
      <c r="B128">
        <v>1942</v>
      </c>
      <c r="C128">
        <v>7</v>
      </c>
      <c r="D128">
        <v>6.0767000000000002E-2</v>
      </c>
      <c r="E128">
        <v>5.7466999999999997E-2</v>
      </c>
      <c r="F128">
        <v>7.9002000000000003E-2</v>
      </c>
      <c r="G128">
        <v>2.3307000000000001E-2</v>
      </c>
      <c r="H128">
        <v>7.7684000000000003E-2</v>
      </c>
      <c r="I128">
        <v>3.5955000000000001E-2</v>
      </c>
      <c r="J128">
        <v>3.0592999999999999E-2</v>
      </c>
      <c r="K128">
        <v>4.1283E-2</v>
      </c>
      <c r="L128">
        <v>2.4739000000000001E-2</v>
      </c>
      <c r="M128">
        <v>6.9864999999999997E-2</v>
      </c>
      <c r="N128">
        <v>4.1347000000000002E-2</v>
      </c>
      <c r="O128">
        <v>4.5599000000000001E-2</v>
      </c>
      <c r="P128">
        <v>3.0521E-2</v>
      </c>
      <c r="Q128">
        <v>4.4204E-2</v>
      </c>
      <c r="R128">
        <v>3.7347999999999999E-2</v>
      </c>
      <c r="S128">
        <v>4.1440999999999999E-2</v>
      </c>
      <c r="T128">
        <v>3.3617000000000001E-2</v>
      </c>
      <c r="U128">
        <v>5.0285999999999997E-2</v>
      </c>
      <c r="V128">
        <v>5.1524E-2</v>
      </c>
      <c r="W128">
        <v>9.3442999999999998E-2</v>
      </c>
      <c r="X128">
        <v>1.9632E-2</v>
      </c>
      <c r="Y128">
        <v>4.3718E-2</v>
      </c>
      <c r="Z128">
        <v>3.0134000000000001E-2</v>
      </c>
      <c r="AA128">
        <v>5.8977000000000002E-2</v>
      </c>
      <c r="AB128">
        <v>7.8518000000000004E-2</v>
      </c>
    </row>
    <row r="129" spans="1:28" x14ac:dyDescent="0.2">
      <c r="A129">
        <v>19420831</v>
      </c>
      <c r="B129">
        <v>1942</v>
      </c>
      <c r="C129">
        <v>8</v>
      </c>
      <c r="D129">
        <v>1.0916E-2</v>
      </c>
      <c r="E129">
        <v>5.0789000000000001E-2</v>
      </c>
      <c r="F129">
        <v>1.8442E-2</v>
      </c>
      <c r="G129">
        <v>1.9559E-2</v>
      </c>
      <c r="H129">
        <v>1.1554E-2</v>
      </c>
      <c r="I129">
        <v>-1.0939999999999999E-3</v>
      </c>
      <c r="J129">
        <v>2.9461999999999999E-2</v>
      </c>
      <c r="K129">
        <v>3.7268999999999997E-2</v>
      </c>
      <c r="L129">
        <v>3.1338999999999999E-2</v>
      </c>
      <c r="M129">
        <v>2.3595999999999999E-2</v>
      </c>
      <c r="N129">
        <v>5.8611000000000003E-2</v>
      </c>
      <c r="O129">
        <v>2.8608000000000001E-2</v>
      </c>
      <c r="P129">
        <v>8.6730000000000002E-3</v>
      </c>
      <c r="Q129">
        <v>2.1108999999999999E-2</v>
      </c>
      <c r="R129">
        <v>3.9947000000000003E-2</v>
      </c>
      <c r="S129">
        <v>2.9388999999999998E-2</v>
      </c>
      <c r="T129">
        <v>1.4371999999999999E-2</v>
      </c>
      <c r="U129">
        <v>2.2346000000000001E-2</v>
      </c>
      <c r="V129">
        <v>1.1422E-2</v>
      </c>
      <c r="W129">
        <v>2.7570000000000001E-2</v>
      </c>
      <c r="X129">
        <v>1.1782000000000001E-2</v>
      </c>
      <c r="Y129">
        <v>1.9687E-2</v>
      </c>
      <c r="Z129">
        <v>1.1525000000000001E-2</v>
      </c>
      <c r="AA129">
        <v>4.0437000000000001E-2</v>
      </c>
      <c r="AB129">
        <v>5.5225000000000003E-2</v>
      </c>
    </row>
    <row r="130" spans="1:28" x14ac:dyDescent="0.2">
      <c r="A130">
        <v>19420930</v>
      </c>
      <c r="B130">
        <v>1942</v>
      </c>
      <c r="C130">
        <v>9</v>
      </c>
      <c r="D130">
        <v>6.8461999999999995E-2</v>
      </c>
      <c r="E130">
        <v>8.7762999999999994E-2</v>
      </c>
      <c r="F130">
        <v>1.6295E-2</v>
      </c>
      <c r="G130">
        <v>8.1876000000000004E-2</v>
      </c>
      <c r="H130">
        <v>9.0701000000000004E-2</v>
      </c>
      <c r="I130">
        <v>4.9112999999999997E-2</v>
      </c>
      <c r="J130">
        <v>1.8766999999999999E-2</v>
      </c>
      <c r="K130">
        <v>4.7807000000000002E-2</v>
      </c>
      <c r="L130">
        <v>4.4658999999999997E-2</v>
      </c>
      <c r="M130">
        <v>3.2788999999999999E-2</v>
      </c>
      <c r="N130">
        <v>1.3616E-2</v>
      </c>
      <c r="O130">
        <v>2.0220999999999999E-2</v>
      </c>
      <c r="P130">
        <v>1.4447E-2</v>
      </c>
      <c r="Q130">
        <v>3.8914999999999998E-2</v>
      </c>
      <c r="R130">
        <v>3.7825999999999999E-2</v>
      </c>
      <c r="S130">
        <v>2.53E-2</v>
      </c>
      <c r="T130">
        <v>3.2599999999999997E-2</v>
      </c>
      <c r="U130">
        <v>3.0894000000000001E-2</v>
      </c>
      <c r="V130">
        <v>2.4406000000000001E-2</v>
      </c>
      <c r="W130">
        <v>6.9219000000000003E-2</v>
      </c>
      <c r="X130">
        <v>2.9776E-2</v>
      </c>
      <c r="Y130">
        <v>2.6872E-2</v>
      </c>
      <c r="Z130">
        <v>1.4682000000000001E-2</v>
      </c>
      <c r="AA130">
        <v>2.2613000000000001E-2</v>
      </c>
      <c r="AB130">
        <v>5.6690999999999998E-2</v>
      </c>
    </row>
    <row r="131" spans="1:28" x14ac:dyDescent="0.2">
      <c r="A131">
        <v>19421031</v>
      </c>
      <c r="B131">
        <v>1942</v>
      </c>
      <c r="C131">
        <v>10</v>
      </c>
      <c r="D131">
        <v>1.4652E-2</v>
      </c>
      <c r="E131">
        <v>0.11616799999999999</v>
      </c>
      <c r="F131">
        <v>0.16103400000000001</v>
      </c>
      <c r="G131">
        <v>9.1272000000000006E-2</v>
      </c>
      <c r="H131">
        <v>0.12013500000000001</v>
      </c>
      <c r="I131">
        <v>0.105627</v>
      </c>
      <c r="J131">
        <v>7.8692999999999999E-2</v>
      </c>
      <c r="K131">
        <v>6.8810999999999997E-2</v>
      </c>
      <c r="L131">
        <v>0.10288700000000001</v>
      </c>
      <c r="M131">
        <v>0.19567100000000001</v>
      </c>
      <c r="N131">
        <v>0.113455</v>
      </c>
      <c r="O131">
        <v>6.2576000000000007E-2</v>
      </c>
      <c r="P131">
        <v>9.3862000000000001E-2</v>
      </c>
      <c r="Q131">
        <v>8.7917999999999996E-2</v>
      </c>
      <c r="R131">
        <v>0.141847</v>
      </c>
      <c r="S131">
        <v>7.2399000000000005E-2</v>
      </c>
      <c r="T131">
        <v>7.3446999999999998E-2</v>
      </c>
      <c r="U131">
        <v>6.4236000000000001E-2</v>
      </c>
      <c r="V131">
        <v>0.103868</v>
      </c>
      <c r="W131">
        <v>0.14007500000000001</v>
      </c>
      <c r="X131">
        <v>4.9745999999999999E-2</v>
      </c>
      <c r="Y131">
        <v>5.3643000000000003E-2</v>
      </c>
      <c r="Z131">
        <v>9.8726999999999995E-2</v>
      </c>
      <c r="AA131">
        <v>0.105921</v>
      </c>
      <c r="AB131">
        <v>0.133827</v>
      </c>
    </row>
    <row r="132" spans="1:28" x14ac:dyDescent="0.2">
      <c r="A132">
        <v>19421130</v>
      </c>
      <c r="B132">
        <v>1942</v>
      </c>
      <c r="C132">
        <v>11</v>
      </c>
      <c r="D132">
        <v>8.6364999999999997E-2</v>
      </c>
      <c r="E132">
        <v>-1.4815999999999999E-2</v>
      </c>
      <c r="F132">
        <v>-7.1496000000000004E-2</v>
      </c>
      <c r="G132">
        <v>-1.1006999999999999E-2</v>
      </c>
      <c r="H132">
        <v>-6.2147000000000001E-2</v>
      </c>
      <c r="I132">
        <v>4.4229999999999998E-3</v>
      </c>
      <c r="J132">
        <v>-2.0268999999999999E-2</v>
      </c>
      <c r="K132">
        <v>-7.6509999999999998E-3</v>
      </c>
      <c r="L132">
        <v>-3.7693999999999998E-2</v>
      </c>
      <c r="M132">
        <v>-5.9642000000000001E-2</v>
      </c>
      <c r="N132">
        <v>-1.7580999999999999E-2</v>
      </c>
      <c r="O132">
        <v>-1.456E-2</v>
      </c>
      <c r="P132">
        <v>-1.3289E-2</v>
      </c>
      <c r="Q132">
        <v>-2.9700000000000001E-4</v>
      </c>
      <c r="R132">
        <v>-2.4015999999999999E-2</v>
      </c>
      <c r="S132">
        <v>3.4390000000000002E-3</v>
      </c>
      <c r="T132">
        <v>-3.748E-3</v>
      </c>
      <c r="U132">
        <v>-8.4169999999999991E-3</v>
      </c>
      <c r="V132">
        <v>-2.5663999999999999E-2</v>
      </c>
      <c r="W132">
        <v>-1.3337999999999999E-2</v>
      </c>
      <c r="X132">
        <v>1.0607E-2</v>
      </c>
      <c r="Y132">
        <v>1.9623000000000002E-2</v>
      </c>
      <c r="Z132">
        <v>4.7140000000000003E-3</v>
      </c>
      <c r="AA132">
        <v>-4.0622999999999999E-2</v>
      </c>
      <c r="AB132">
        <v>-6.5417000000000003E-2</v>
      </c>
    </row>
    <row r="133" spans="1:28" x14ac:dyDescent="0.2">
      <c r="A133">
        <v>19421231</v>
      </c>
      <c r="B133">
        <v>1942</v>
      </c>
      <c r="C133">
        <v>12</v>
      </c>
      <c r="D133">
        <v>-4.8399999999999999E-2</v>
      </c>
      <c r="E133">
        <v>7.3000000000000001E-3</v>
      </c>
      <c r="F133">
        <v>3.2689999999999997E-2</v>
      </c>
      <c r="G133">
        <v>-8.7200000000000003E-3</v>
      </c>
      <c r="H133">
        <v>-1.0284E-2</v>
      </c>
      <c r="I133">
        <v>1.6601000000000001E-2</v>
      </c>
      <c r="J133">
        <v>5.6926999999999998E-2</v>
      </c>
      <c r="K133">
        <v>2.9818999999999998E-2</v>
      </c>
      <c r="L133">
        <v>2.0292000000000001E-2</v>
      </c>
      <c r="M133">
        <v>5.1353999999999997E-2</v>
      </c>
      <c r="N133">
        <v>3.7104999999999999E-2</v>
      </c>
      <c r="O133">
        <v>2.3702000000000001E-2</v>
      </c>
      <c r="P133">
        <v>3.0107999999999999E-2</v>
      </c>
      <c r="Q133">
        <v>5.0784000000000003E-2</v>
      </c>
      <c r="R133">
        <v>3.4818000000000002E-2</v>
      </c>
      <c r="S133">
        <v>6.6039E-2</v>
      </c>
      <c r="T133">
        <v>4.6628000000000003E-2</v>
      </c>
      <c r="U133">
        <v>5.0867000000000002E-2</v>
      </c>
      <c r="V133">
        <v>4.7176000000000003E-2</v>
      </c>
      <c r="W133">
        <v>6.3378000000000004E-2</v>
      </c>
      <c r="X133">
        <v>5.8747000000000001E-2</v>
      </c>
      <c r="Y133">
        <v>3.8677000000000003E-2</v>
      </c>
      <c r="Z133">
        <v>6.3718999999999998E-2</v>
      </c>
      <c r="AA133">
        <v>6.8995000000000001E-2</v>
      </c>
      <c r="AB133">
        <v>3.8265E-2</v>
      </c>
    </row>
    <row r="134" spans="1:28" x14ac:dyDescent="0.2">
      <c r="A134">
        <v>19430130</v>
      </c>
      <c r="B134">
        <v>1943</v>
      </c>
      <c r="C134">
        <v>1</v>
      </c>
      <c r="D134">
        <v>0.32142900000000002</v>
      </c>
      <c r="E134">
        <v>0.25214999999999999</v>
      </c>
      <c r="F134">
        <v>0.21459500000000001</v>
      </c>
      <c r="G134">
        <v>0.20599400000000001</v>
      </c>
      <c r="H134">
        <v>0.326048</v>
      </c>
      <c r="I134">
        <v>0.13467999999999999</v>
      </c>
      <c r="J134">
        <v>0.120601</v>
      </c>
      <c r="K134">
        <v>0.12589700000000001</v>
      </c>
      <c r="L134">
        <v>0.187468</v>
      </c>
      <c r="M134">
        <v>0.24530199999999999</v>
      </c>
      <c r="N134">
        <v>6.9824999999999998E-2</v>
      </c>
      <c r="O134">
        <v>9.8213999999999996E-2</v>
      </c>
      <c r="P134">
        <v>0.13616600000000001</v>
      </c>
      <c r="Q134">
        <v>0.125303</v>
      </c>
      <c r="R134">
        <v>0.21249899999999999</v>
      </c>
      <c r="S134">
        <v>4.8187000000000001E-2</v>
      </c>
      <c r="T134">
        <v>8.6398000000000003E-2</v>
      </c>
      <c r="U134">
        <v>8.7748999999999994E-2</v>
      </c>
      <c r="V134">
        <v>0.124513</v>
      </c>
      <c r="W134">
        <v>0.12109300000000001</v>
      </c>
      <c r="X134">
        <v>5.6089E-2</v>
      </c>
      <c r="Y134">
        <v>5.4781999999999997E-2</v>
      </c>
      <c r="Z134">
        <v>8.2975999999999994E-2</v>
      </c>
      <c r="AA134">
        <v>7.6214000000000004E-2</v>
      </c>
      <c r="AB134">
        <v>0.117864</v>
      </c>
    </row>
    <row r="135" spans="1:28" x14ac:dyDescent="0.2">
      <c r="A135">
        <v>19430227</v>
      </c>
      <c r="B135">
        <v>1943</v>
      </c>
      <c r="C135">
        <v>2</v>
      </c>
      <c r="D135">
        <v>0.171043</v>
      </c>
      <c r="E135">
        <v>0.17425199999999999</v>
      </c>
      <c r="F135">
        <v>0.120694</v>
      </c>
      <c r="G135">
        <v>0.177644</v>
      </c>
      <c r="H135">
        <v>0.26874799999999999</v>
      </c>
      <c r="I135">
        <v>0.16495499999999999</v>
      </c>
      <c r="J135">
        <v>9.4629000000000005E-2</v>
      </c>
      <c r="K135">
        <v>6.9991999999999999E-2</v>
      </c>
      <c r="L135">
        <v>0.12500600000000001</v>
      </c>
      <c r="M135">
        <v>0.15309500000000001</v>
      </c>
      <c r="N135">
        <v>6.3572000000000004E-2</v>
      </c>
      <c r="O135">
        <v>7.3797000000000001E-2</v>
      </c>
      <c r="P135">
        <v>9.5516000000000004E-2</v>
      </c>
      <c r="Q135">
        <v>0.100786</v>
      </c>
      <c r="R135">
        <v>0.19491900000000001</v>
      </c>
      <c r="S135">
        <v>4.9051999999999998E-2</v>
      </c>
      <c r="T135">
        <v>6.7575999999999997E-2</v>
      </c>
      <c r="U135">
        <v>7.1271000000000001E-2</v>
      </c>
      <c r="V135">
        <v>9.9747000000000002E-2</v>
      </c>
      <c r="W135">
        <v>0.116481</v>
      </c>
      <c r="X135">
        <v>3.5702999999999999E-2</v>
      </c>
      <c r="Y135">
        <v>6.1981000000000001E-2</v>
      </c>
      <c r="Z135">
        <v>8.3024000000000001E-2</v>
      </c>
      <c r="AA135">
        <v>9.7848000000000004E-2</v>
      </c>
      <c r="AB135">
        <v>0.123767</v>
      </c>
    </row>
    <row r="136" spans="1:28" x14ac:dyDescent="0.2">
      <c r="A136">
        <v>19430331</v>
      </c>
      <c r="B136">
        <v>1943</v>
      </c>
      <c r="C136">
        <v>3</v>
      </c>
      <c r="D136">
        <v>0.208898</v>
      </c>
      <c r="E136">
        <v>-1.7830000000000001E-3</v>
      </c>
      <c r="F136">
        <v>0.162385</v>
      </c>
      <c r="G136">
        <v>0.158579</v>
      </c>
      <c r="H136">
        <v>0.15176899999999999</v>
      </c>
      <c r="I136">
        <v>0.13897799999999999</v>
      </c>
      <c r="J136">
        <v>0.118578</v>
      </c>
      <c r="K136">
        <v>0.152447</v>
      </c>
      <c r="L136">
        <v>0.132743</v>
      </c>
      <c r="M136">
        <v>0.193137</v>
      </c>
      <c r="N136">
        <v>9.2567999999999998E-2</v>
      </c>
      <c r="O136">
        <v>7.5421000000000002E-2</v>
      </c>
      <c r="P136">
        <v>9.8919999999999994E-2</v>
      </c>
      <c r="Q136">
        <v>0.123963</v>
      </c>
      <c r="R136">
        <v>0.14432900000000001</v>
      </c>
      <c r="S136">
        <v>8.8494000000000003E-2</v>
      </c>
      <c r="T136">
        <v>7.3654999999999998E-2</v>
      </c>
      <c r="U136">
        <v>8.5549E-2</v>
      </c>
      <c r="V136">
        <v>0.114263</v>
      </c>
      <c r="W136">
        <v>0.14952599999999999</v>
      </c>
      <c r="X136">
        <v>3.6248000000000002E-2</v>
      </c>
      <c r="Y136">
        <v>4.7196000000000002E-2</v>
      </c>
      <c r="Z136">
        <v>7.5058E-2</v>
      </c>
      <c r="AA136">
        <v>7.8241000000000005E-2</v>
      </c>
      <c r="AB136">
        <v>0.106916</v>
      </c>
    </row>
    <row r="137" spans="1:28" x14ac:dyDescent="0.2">
      <c r="A137">
        <v>19430430</v>
      </c>
      <c r="B137">
        <v>1943</v>
      </c>
      <c r="C137">
        <v>4</v>
      </c>
      <c r="D137">
        <v>5.7137E-2</v>
      </c>
      <c r="E137">
        <v>8.9560000000000004E-3</v>
      </c>
      <c r="F137">
        <v>1.0078999999999999E-2</v>
      </c>
      <c r="G137">
        <v>4.7905999999999997E-2</v>
      </c>
      <c r="H137">
        <v>0.117757</v>
      </c>
      <c r="I137">
        <v>-7.8659999999999997E-3</v>
      </c>
      <c r="J137">
        <v>2.2866000000000001E-2</v>
      </c>
      <c r="K137">
        <v>7.9609999999999993E-3</v>
      </c>
      <c r="L137">
        <v>7.0507E-2</v>
      </c>
      <c r="M137">
        <v>8.3434999999999995E-2</v>
      </c>
      <c r="N137">
        <v>2.6549999999999998E-3</v>
      </c>
      <c r="O137">
        <v>-6.2350000000000001E-3</v>
      </c>
      <c r="P137">
        <v>2.7833E-2</v>
      </c>
      <c r="Q137">
        <v>3.8006999999999999E-2</v>
      </c>
      <c r="R137">
        <v>8.3473000000000006E-2</v>
      </c>
      <c r="S137">
        <v>8.6040000000000005E-3</v>
      </c>
      <c r="T137">
        <v>-4.4780000000000002E-3</v>
      </c>
      <c r="U137">
        <v>5.8560000000000001E-3</v>
      </c>
      <c r="V137">
        <v>3.3949E-2</v>
      </c>
      <c r="W137">
        <v>0.14618100000000001</v>
      </c>
      <c r="X137">
        <v>-7.3860000000000002E-3</v>
      </c>
      <c r="Y137">
        <v>1.1790999999999999E-2</v>
      </c>
      <c r="Z137">
        <v>1.1384999999999999E-2</v>
      </c>
      <c r="AA137">
        <v>-1.3600000000000001E-3</v>
      </c>
      <c r="AB137">
        <v>3.9759999999999997E-2</v>
      </c>
    </row>
    <row r="138" spans="1:28" x14ac:dyDescent="0.2">
      <c r="A138">
        <v>19430529</v>
      </c>
      <c r="B138">
        <v>1943</v>
      </c>
      <c r="C138">
        <v>5</v>
      </c>
      <c r="D138">
        <v>5.7949000000000001E-2</v>
      </c>
      <c r="E138">
        <v>8.5861999999999994E-2</v>
      </c>
      <c r="F138">
        <v>0.130055</v>
      </c>
      <c r="G138">
        <v>0.106306</v>
      </c>
      <c r="H138">
        <v>0.14952399999999999</v>
      </c>
      <c r="I138">
        <v>0.163047</v>
      </c>
      <c r="J138">
        <v>0.10578799999999999</v>
      </c>
      <c r="K138">
        <v>9.3990000000000004E-2</v>
      </c>
      <c r="L138">
        <v>8.2267999999999994E-2</v>
      </c>
      <c r="M138">
        <v>0.14832899999999999</v>
      </c>
      <c r="N138">
        <v>5.1937999999999998E-2</v>
      </c>
      <c r="O138">
        <v>4.8933999999999998E-2</v>
      </c>
      <c r="P138">
        <v>8.1455E-2</v>
      </c>
      <c r="Q138">
        <v>6.3089999999999993E-2</v>
      </c>
      <c r="R138">
        <v>0.129223</v>
      </c>
      <c r="S138">
        <v>3.1615999999999998E-2</v>
      </c>
      <c r="T138">
        <v>7.0317000000000005E-2</v>
      </c>
      <c r="U138">
        <v>5.5788999999999998E-2</v>
      </c>
      <c r="V138">
        <v>8.5792999999999994E-2</v>
      </c>
      <c r="W138">
        <v>0.100143</v>
      </c>
      <c r="X138">
        <v>5.3825999999999999E-2</v>
      </c>
      <c r="Y138">
        <v>4.5319999999999999E-2</v>
      </c>
      <c r="Z138">
        <v>7.0140999999999995E-2</v>
      </c>
      <c r="AA138">
        <v>6.0722999999999999E-2</v>
      </c>
      <c r="AB138">
        <v>5.0958000000000003E-2</v>
      </c>
    </row>
    <row r="139" spans="1:28" x14ac:dyDescent="0.2">
      <c r="A139">
        <v>19430630</v>
      </c>
      <c r="B139">
        <v>1943</v>
      </c>
      <c r="C139">
        <v>6</v>
      </c>
      <c r="D139">
        <v>9.5530000000000007E-3</v>
      </c>
      <c r="E139">
        <v>7.6189999999999999E-3</v>
      </c>
      <c r="F139">
        <v>-7.0590000000000002E-3</v>
      </c>
      <c r="G139">
        <v>2.8167000000000001E-2</v>
      </c>
      <c r="H139">
        <v>-1.8988000000000001E-2</v>
      </c>
      <c r="I139">
        <v>-1.2413E-2</v>
      </c>
      <c r="J139">
        <v>1.7468999999999998E-2</v>
      </c>
      <c r="K139">
        <v>6.9700000000000003E-4</v>
      </c>
      <c r="L139">
        <v>9.9450000000000007E-3</v>
      </c>
      <c r="M139">
        <v>1.6937000000000001E-2</v>
      </c>
      <c r="N139">
        <v>2.8709999999999999E-2</v>
      </c>
      <c r="O139">
        <v>1.3299E-2</v>
      </c>
      <c r="P139">
        <v>8.1089999999999999E-3</v>
      </c>
      <c r="Q139">
        <v>3.3128999999999999E-2</v>
      </c>
      <c r="R139">
        <v>-2.4510000000000001E-2</v>
      </c>
      <c r="S139">
        <v>1.8072999999999999E-2</v>
      </c>
      <c r="T139">
        <v>2.3630000000000002E-2</v>
      </c>
      <c r="U139">
        <v>8.0350000000000005E-3</v>
      </c>
      <c r="V139">
        <v>2.5558000000000001E-2</v>
      </c>
      <c r="W139">
        <v>-3.9433999999999997E-2</v>
      </c>
      <c r="X139">
        <v>2.0143999999999999E-2</v>
      </c>
      <c r="Y139">
        <v>3.0890999999999998E-2</v>
      </c>
      <c r="Z139">
        <v>2.8379999999999998E-3</v>
      </c>
      <c r="AA139">
        <v>3.8040000000000001E-3</v>
      </c>
      <c r="AB139">
        <v>7.5170000000000002E-3</v>
      </c>
    </row>
    <row r="140" spans="1:28" x14ac:dyDescent="0.2">
      <c r="A140">
        <v>19430731</v>
      </c>
      <c r="B140">
        <v>1943</v>
      </c>
      <c r="C140">
        <v>7</v>
      </c>
      <c r="D140">
        <v>-0.16489599999999999</v>
      </c>
      <c r="E140">
        <v>-1.7745E-2</v>
      </c>
      <c r="F140">
        <v>-7.9963000000000006E-2</v>
      </c>
      <c r="G140">
        <v>-5.9392E-2</v>
      </c>
      <c r="H140">
        <v>-7.8279000000000001E-2</v>
      </c>
      <c r="I140">
        <v>-3.4143E-2</v>
      </c>
      <c r="J140">
        <v>-5.0125000000000003E-2</v>
      </c>
      <c r="K140">
        <v>-5.2699000000000003E-2</v>
      </c>
      <c r="L140">
        <v>-8.8919999999999999E-2</v>
      </c>
      <c r="M140">
        <v>-0.11762599999999999</v>
      </c>
      <c r="N140">
        <v>-4.6198999999999997E-2</v>
      </c>
      <c r="O140">
        <v>-6.3585000000000003E-2</v>
      </c>
      <c r="P140">
        <v>-5.5448999999999998E-2</v>
      </c>
      <c r="Q140">
        <v>-6.5793000000000004E-2</v>
      </c>
      <c r="R140">
        <v>-9.4203999999999996E-2</v>
      </c>
      <c r="S140">
        <v>-5.2717E-2</v>
      </c>
      <c r="T140">
        <v>-3.9544000000000003E-2</v>
      </c>
      <c r="U140">
        <v>-6.4299999999999996E-2</v>
      </c>
      <c r="V140">
        <v>-9.0257000000000004E-2</v>
      </c>
      <c r="W140">
        <v>-0.103327</v>
      </c>
      <c r="X140">
        <v>-5.4779000000000001E-2</v>
      </c>
      <c r="Y140">
        <v>-3.4555000000000002E-2</v>
      </c>
      <c r="Z140">
        <v>-1.8768E-2</v>
      </c>
      <c r="AA140">
        <v>-4.5046999999999997E-2</v>
      </c>
      <c r="AB140">
        <v>-4.3526000000000002E-2</v>
      </c>
    </row>
    <row r="141" spans="1:28" x14ac:dyDescent="0.2">
      <c r="A141">
        <v>19430831</v>
      </c>
      <c r="B141">
        <v>1943</v>
      </c>
      <c r="C141">
        <v>8</v>
      </c>
      <c r="D141">
        <v>-6.6783999999999996E-2</v>
      </c>
      <c r="E141">
        <v>-4.3175999999999999E-2</v>
      </c>
      <c r="F141">
        <v>-5.3140000000000001E-3</v>
      </c>
      <c r="G141">
        <v>-1.2555E-2</v>
      </c>
      <c r="H141">
        <v>-8.5679999999999992E-3</v>
      </c>
      <c r="I141">
        <v>5.3569999999999998E-3</v>
      </c>
      <c r="J141">
        <v>-6.8760000000000002E-3</v>
      </c>
      <c r="K141">
        <v>-5.0480000000000004E-3</v>
      </c>
      <c r="L141">
        <v>6.5970000000000004E-3</v>
      </c>
      <c r="M141">
        <v>2.3386000000000001E-2</v>
      </c>
      <c r="N141">
        <v>2.3382E-2</v>
      </c>
      <c r="O141">
        <v>6.0730000000000003E-3</v>
      </c>
      <c r="P141">
        <v>3.3869999999999998E-3</v>
      </c>
      <c r="Q141">
        <v>2.4899999999999999E-2</v>
      </c>
      <c r="R141">
        <v>1.933E-3</v>
      </c>
      <c r="S141">
        <v>2.3678000000000001E-2</v>
      </c>
      <c r="T141">
        <v>1.4041E-2</v>
      </c>
      <c r="U141">
        <v>2.9780000000000002E-3</v>
      </c>
      <c r="V141">
        <v>9.8759999999999994E-3</v>
      </c>
      <c r="W141">
        <v>-1.3805E-2</v>
      </c>
      <c r="X141">
        <v>1.4076999999999999E-2</v>
      </c>
      <c r="Y141">
        <v>1.4871000000000001E-2</v>
      </c>
      <c r="Z141">
        <v>1.7063999999999999E-2</v>
      </c>
      <c r="AA141">
        <v>3.1059999999999998E-3</v>
      </c>
      <c r="AB141">
        <v>1.1736E-2</v>
      </c>
    </row>
    <row r="142" spans="1:28" x14ac:dyDescent="0.2">
      <c r="A142">
        <v>19430930</v>
      </c>
      <c r="B142">
        <v>1943</v>
      </c>
      <c r="C142">
        <v>9</v>
      </c>
      <c r="D142">
        <v>8.4694000000000005E-2</v>
      </c>
      <c r="E142">
        <v>1.5928000000000001E-2</v>
      </c>
      <c r="F142">
        <v>2.7791E-2</v>
      </c>
      <c r="G142">
        <v>3.2332E-2</v>
      </c>
      <c r="H142">
        <v>5.9777999999999998E-2</v>
      </c>
      <c r="I142">
        <v>5.4288999999999997E-2</v>
      </c>
      <c r="J142">
        <v>2.8683E-2</v>
      </c>
      <c r="K142">
        <v>2.8833999999999999E-2</v>
      </c>
      <c r="L142">
        <v>3.9105000000000001E-2</v>
      </c>
      <c r="M142">
        <v>8.1720000000000001E-2</v>
      </c>
      <c r="N142">
        <v>1.374E-2</v>
      </c>
      <c r="O142">
        <v>2.5894E-2</v>
      </c>
      <c r="P142">
        <v>3.7700999999999998E-2</v>
      </c>
      <c r="Q142">
        <v>1.2843E-2</v>
      </c>
      <c r="R142">
        <v>6.6165000000000002E-2</v>
      </c>
      <c r="S142">
        <v>8.6650000000000008E-3</v>
      </c>
      <c r="T142">
        <v>3.3699E-2</v>
      </c>
      <c r="U142">
        <v>4.7657999999999999E-2</v>
      </c>
      <c r="V142">
        <v>3.5590999999999998E-2</v>
      </c>
      <c r="W142">
        <v>2.5100000000000001E-2</v>
      </c>
      <c r="X142">
        <v>2.4974E-2</v>
      </c>
      <c r="Y142">
        <v>1.7717E-2</v>
      </c>
      <c r="Z142">
        <v>2.2721000000000002E-2</v>
      </c>
      <c r="AA142">
        <v>3.0407E-2</v>
      </c>
      <c r="AB142">
        <v>3.2421999999999999E-2</v>
      </c>
    </row>
    <row r="143" spans="1:28" x14ac:dyDescent="0.2">
      <c r="A143">
        <v>19431030</v>
      </c>
      <c r="B143">
        <v>1943</v>
      </c>
      <c r="C143">
        <v>10</v>
      </c>
      <c r="D143">
        <v>-2.1409999999999998E-2</v>
      </c>
      <c r="E143">
        <v>-3.058E-3</v>
      </c>
      <c r="F143">
        <v>5.0179999999999999E-3</v>
      </c>
      <c r="G143">
        <v>2.3948000000000001E-2</v>
      </c>
      <c r="H143">
        <v>-1.7159000000000001E-2</v>
      </c>
      <c r="I143">
        <v>-3.2328999999999997E-2</v>
      </c>
      <c r="J143">
        <v>8.2649999999999998E-3</v>
      </c>
      <c r="K143">
        <v>1.3162E-2</v>
      </c>
      <c r="L143">
        <v>4.1038999999999999E-2</v>
      </c>
      <c r="M143">
        <v>-2.7601000000000001E-2</v>
      </c>
      <c r="N143">
        <v>-8.2789999999999999E-3</v>
      </c>
      <c r="O143">
        <v>-5.7169999999999999E-3</v>
      </c>
      <c r="P143">
        <v>-2.5000000000000001E-3</v>
      </c>
      <c r="Q143">
        <v>9.7789999999999995E-3</v>
      </c>
      <c r="R143">
        <v>-1.6677000000000001E-2</v>
      </c>
      <c r="S143">
        <v>-2.0781999999999998E-2</v>
      </c>
      <c r="T143">
        <v>-1.4465E-2</v>
      </c>
      <c r="U143">
        <v>-1.4602E-2</v>
      </c>
      <c r="V143">
        <v>1.5855999999999999E-2</v>
      </c>
      <c r="W143">
        <v>2.4558E-2</v>
      </c>
      <c r="X143">
        <v>-1.7458999999999999E-2</v>
      </c>
      <c r="Y143">
        <v>-1.1332999999999999E-2</v>
      </c>
      <c r="Z143">
        <v>-1.0803E-2</v>
      </c>
      <c r="AA143">
        <v>5.424E-3</v>
      </c>
      <c r="AB143">
        <v>-8.5880000000000001E-3</v>
      </c>
    </row>
    <row r="144" spans="1:28" x14ac:dyDescent="0.2">
      <c r="A144">
        <v>19431130</v>
      </c>
      <c r="B144">
        <v>1943</v>
      </c>
      <c r="C144">
        <v>11</v>
      </c>
      <c r="D144">
        <v>-0.140126</v>
      </c>
      <c r="E144">
        <v>-5.3932000000000001E-2</v>
      </c>
      <c r="F144">
        <v>-7.1698999999999999E-2</v>
      </c>
      <c r="G144">
        <v>-0.101032</v>
      </c>
      <c r="H144">
        <v>-0.141044</v>
      </c>
      <c r="I144">
        <v>-7.5148000000000006E-2</v>
      </c>
      <c r="J144">
        <v>-7.8592999999999996E-2</v>
      </c>
      <c r="K144">
        <v>-5.5946999999999997E-2</v>
      </c>
      <c r="L144">
        <v>-4.7079000000000003E-2</v>
      </c>
      <c r="M144">
        <v>-0.149092</v>
      </c>
      <c r="N144">
        <v>-7.0689000000000002E-2</v>
      </c>
      <c r="O144">
        <v>-6.8725999999999995E-2</v>
      </c>
      <c r="P144">
        <v>-8.3138000000000004E-2</v>
      </c>
      <c r="Q144">
        <v>-7.8995999999999997E-2</v>
      </c>
      <c r="R144">
        <v>-0.12834400000000001</v>
      </c>
      <c r="S144">
        <v>-6.9209000000000007E-2</v>
      </c>
      <c r="T144">
        <v>-5.6578000000000003E-2</v>
      </c>
      <c r="U144">
        <v>-8.0812999999999996E-2</v>
      </c>
      <c r="V144">
        <v>-9.1537999999999994E-2</v>
      </c>
      <c r="W144">
        <v>-0.14197399999999999</v>
      </c>
      <c r="X144">
        <v>-4.8076000000000001E-2</v>
      </c>
      <c r="Y144">
        <v>-4.2712E-2</v>
      </c>
      <c r="Z144">
        <v>-6.4877000000000004E-2</v>
      </c>
      <c r="AA144">
        <v>-7.8800999999999996E-2</v>
      </c>
      <c r="AB144">
        <v>-0.12767999999999999</v>
      </c>
    </row>
    <row r="145" spans="1:28" x14ac:dyDescent="0.2">
      <c r="A145">
        <v>19431231</v>
      </c>
      <c r="B145">
        <v>1943</v>
      </c>
      <c r="C145">
        <v>12</v>
      </c>
      <c r="D145">
        <v>8.9676000000000006E-2</v>
      </c>
      <c r="E145">
        <v>4.9249000000000001E-2</v>
      </c>
      <c r="F145">
        <v>0.10736900000000001</v>
      </c>
      <c r="G145">
        <v>0.13514200000000001</v>
      </c>
      <c r="H145">
        <v>0.12640699999999999</v>
      </c>
      <c r="I145">
        <v>7.0718000000000003E-2</v>
      </c>
      <c r="J145">
        <v>6.7080000000000001E-2</v>
      </c>
      <c r="K145">
        <v>0.125721</v>
      </c>
      <c r="L145">
        <v>0.117508</v>
      </c>
      <c r="M145">
        <v>0.12511800000000001</v>
      </c>
      <c r="N145">
        <v>7.9819000000000001E-2</v>
      </c>
      <c r="O145">
        <v>9.0858999999999995E-2</v>
      </c>
      <c r="P145">
        <v>8.3381999999999998E-2</v>
      </c>
      <c r="Q145">
        <v>8.8293999999999997E-2</v>
      </c>
      <c r="R145">
        <v>0.157526</v>
      </c>
      <c r="S145">
        <v>7.2674000000000002E-2</v>
      </c>
      <c r="T145">
        <v>8.0886E-2</v>
      </c>
      <c r="U145">
        <v>9.0132000000000004E-2</v>
      </c>
      <c r="V145">
        <v>9.8060999999999995E-2</v>
      </c>
      <c r="W145">
        <v>0.122195</v>
      </c>
      <c r="X145">
        <v>5.3054999999999998E-2</v>
      </c>
      <c r="Y145">
        <v>5.8309E-2</v>
      </c>
      <c r="Z145">
        <v>6.3897999999999996E-2</v>
      </c>
      <c r="AA145">
        <v>6.2210000000000001E-2</v>
      </c>
      <c r="AB145">
        <v>7.8385999999999997E-2</v>
      </c>
    </row>
    <row r="146" spans="1:28" x14ac:dyDescent="0.2">
      <c r="A146">
        <v>19440131</v>
      </c>
      <c r="B146">
        <v>1944</v>
      </c>
      <c r="C146">
        <v>1</v>
      </c>
      <c r="D146">
        <v>8.0477999999999994E-2</v>
      </c>
      <c r="E146">
        <v>8.0421000000000006E-2</v>
      </c>
      <c r="F146">
        <v>5.0743000000000003E-2</v>
      </c>
      <c r="G146">
        <v>3.0882E-2</v>
      </c>
      <c r="H146">
        <v>8.0665000000000001E-2</v>
      </c>
      <c r="I146">
        <v>4.2353000000000002E-2</v>
      </c>
      <c r="J146">
        <v>5.5050000000000002E-2</v>
      </c>
      <c r="K146">
        <v>3.9641999999999997E-2</v>
      </c>
      <c r="L146">
        <v>5.0508999999999998E-2</v>
      </c>
      <c r="M146">
        <v>7.6702999999999993E-2</v>
      </c>
      <c r="N146">
        <v>3.9163999999999997E-2</v>
      </c>
      <c r="O146">
        <v>3.5192000000000001E-2</v>
      </c>
      <c r="P146">
        <v>3.1309999999999998E-2</v>
      </c>
      <c r="Q146">
        <v>3.4786999999999998E-2</v>
      </c>
      <c r="R146">
        <v>5.9917999999999999E-2</v>
      </c>
      <c r="S146">
        <v>2.0607E-2</v>
      </c>
      <c r="T146">
        <v>1.5304E-2</v>
      </c>
      <c r="U146">
        <v>2.6766000000000002E-2</v>
      </c>
      <c r="V146">
        <v>2.928E-2</v>
      </c>
      <c r="W146">
        <v>5.2678000000000003E-2</v>
      </c>
      <c r="X146">
        <v>6.633E-3</v>
      </c>
      <c r="Y146">
        <v>8.685E-3</v>
      </c>
      <c r="Z146">
        <v>2.1308000000000001E-2</v>
      </c>
      <c r="AA146">
        <v>2.0844000000000001E-2</v>
      </c>
      <c r="AB146">
        <v>9.1274999999999995E-2</v>
      </c>
    </row>
    <row r="147" spans="1:28" x14ac:dyDescent="0.2">
      <c r="A147">
        <v>19440229</v>
      </c>
      <c r="B147">
        <v>1944</v>
      </c>
      <c r="C147">
        <v>2</v>
      </c>
      <c r="D147">
        <v>4.2091000000000003E-2</v>
      </c>
      <c r="E147">
        <v>1.7977E-2</v>
      </c>
      <c r="F147">
        <v>2.2485000000000002E-2</v>
      </c>
      <c r="G147">
        <v>2.9406999999999999E-2</v>
      </c>
      <c r="H147">
        <v>4.2063000000000003E-2</v>
      </c>
      <c r="I147">
        <v>2.3803999999999999E-2</v>
      </c>
      <c r="J147">
        <v>2.3779999999999999E-3</v>
      </c>
      <c r="K147">
        <v>1.3429E-2</v>
      </c>
      <c r="L147">
        <v>-4.7213999999999999E-2</v>
      </c>
      <c r="M147">
        <v>3.8711000000000002E-2</v>
      </c>
      <c r="N147">
        <v>2.8035000000000001E-2</v>
      </c>
      <c r="O147">
        <v>9.2770000000000005E-3</v>
      </c>
      <c r="P147">
        <v>-6.9899999999999997E-4</v>
      </c>
      <c r="Q147">
        <v>8.5690000000000002E-3</v>
      </c>
      <c r="R147">
        <v>4.9071999999999998E-2</v>
      </c>
      <c r="S147">
        <v>1.0226000000000001E-2</v>
      </c>
      <c r="T147">
        <v>1.3768000000000001E-2</v>
      </c>
      <c r="U147">
        <v>8.1899999999999994E-3</v>
      </c>
      <c r="V147">
        <v>-1.2296E-2</v>
      </c>
      <c r="W147">
        <v>6.0235999999999998E-2</v>
      </c>
      <c r="X147">
        <v>9.6900000000000003E-4</v>
      </c>
      <c r="Y147">
        <v>-1.083E-3</v>
      </c>
      <c r="Z147">
        <v>6.1120000000000002E-3</v>
      </c>
      <c r="AA147">
        <v>1.4586E-2</v>
      </c>
      <c r="AB147">
        <v>4.7095999999999999E-2</v>
      </c>
    </row>
    <row r="148" spans="1:28" x14ac:dyDescent="0.2">
      <c r="A148">
        <v>19440331</v>
      </c>
      <c r="B148">
        <v>1944</v>
      </c>
      <c r="C148">
        <v>3</v>
      </c>
      <c r="D148">
        <v>8.2516000000000006E-2</v>
      </c>
      <c r="E148">
        <v>0.119394</v>
      </c>
      <c r="F148">
        <v>5.289E-2</v>
      </c>
      <c r="G148">
        <v>5.0888000000000003E-2</v>
      </c>
      <c r="H148">
        <v>7.6327000000000006E-2</v>
      </c>
      <c r="I148">
        <v>1.6275999999999999E-2</v>
      </c>
      <c r="J148">
        <v>2.4395E-2</v>
      </c>
      <c r="K148">
        <v>3.7273000000000001E-2</v>
      </c>
      <c r="L148">
        <v>4.0307999999999997E-2</v>
      </c>
      <c r="M148">
        <v>0.141541</v>
      </c>
      <c r="N148">
        <v>2.8764000000000001E-2</v>
      </c>
      <c r="O148">
        <v>3.7458999999999999E-2</v>
      </c>
      <c r="P148">
        <v>4.2536999999999998E-2</v>
      </c>
      <c r="Q148">
        <v>4.5427000000000002E-2</v>
      </c>
      <c r="R148">
        <v>4.3338000000000002E-2</v>
      </c>
      <c r="S148">
        <v>1.0503999999999999E-2</v>
      </c>
      <c r="T148">
        <v>2.8604999999999998E-2</v>
      </c>
      <c r="U148">
        <v>2.9328E-2</v>
      </c>
      <c r="V148">
        <v>5.0541999999999997E-2</v>
      </c>
      <c r="W148">
        <v>2.8128E-2</v>
      </c>
      <c r="X148">
        <v>2.6772000000000001E-2</v>
      </c>
      <c r="Y148">
        <v>1.6917000000000001E-2</v>
      </c>
      <c r="Z148">
        <v>1.7437999999999999E-2</v>
      </c>
      <c r="AA148">
        <v>3.0072000000000002E-2</v>
      </c>
      <c r="AB148">
        <v>5.0738999999999999E-2</v>
      </c>
    </row>
    <row r="149" spans="1:28" x14ac:dyDescent="0.2">
      <c r="A149">
        <v>19440429</v>
      </c>
      <c r="B149">
        <v>1944</v>
      </c>
      <c r="C149">
        <v>4</v>
      </c>
      <c r="D149">
        <v>-5.4490999999999998E-2</v>
      </c>
      <c r="E149">
        <v>1.3368E-2</v>
      </c>
      <c r="F149">
        <v>-2.9085E-2</v>
      </c>
      <c r="G149">
        <v>-1.9945000000000001E-2</v>
      </c>
      <c r="H149">
        <v>-4.1276E-2</v>
      </c>
      <c r="I149">
        <v>-1.5315E-2</v>
      </c>
      <c r="J149">
        <v>-1.7929E-2</v>
      </c>
      <c r="K149">
        <v>-2.7772000000000002E-2</v>
      </c>
      <c r="L149">
        <v>-3.9169000000000002E-2</v>
      </c>
      <c r="M149">
        <v>-5.6214E-2</v>
      </c>
      <c r="N149">
        <v>-3.0148999999999999E-2</v>
      </c>
      <c r="O149">
        <v>-3.1038E-2</v>
      </c>
      <c r="P149">
        <v>-3.4737999999999998E-2</v>
      </c>
      <c r="Q149">
        <v>-2.2967999999999999E-2</v>
      </c>
      <c r="R149">
        <v>-1.3573999999999999E-2</v>
      </c>
      <c r="S149">
        <v>-2.6616000000000001E-2</v>
      </c>
      <c r="T149">
        <v>-2.0660999999999999E-2</v>
      </c>
      <c r="U149">
        <v>-3.6274000000000001E-2</v>
      </c>
      <c r="V149">
        <v>-2.9054E-2</v>
      </c>
      <c r="W149">
        <v>-5.2525000000000002E-2</v>
      </c>
      <c r="X149">
        <v>-1.2439E-2</v>
      </c>
      <c r="Y149">
        <v>-1.434E-2</v>
      </c>
      <c r="Z149">
        <v>-1.5842999999999999E-2</v>
      </c>
      <c r="AA149">
        <v>-1.0446E-2</v>
      </c>
      <c r="AB149">
        <v>-1.2181000000000001E-2</v>
      </c>
    </row>
    <row r="150" spans="1:28" x14ac:dyDescent="0.2">
      <c r="A150">
        <v>19440531</v>
      </c>
      <c r="B150">
        <v>1944</v>
      </c>
      <c r="C150">
        <v>5</v>
      </c>
      <c r="D150">
        <v>7.4232000000000006E-2</v>
      </c>
      <c r="E150">
        <v>3.1872999999999999E-2</v>
      </c>
      <c r="F150">
        <v>0.11824999999999999</v>
      </c>
      <c r="G150">
        <v>6.2987000000000001E-2</v>
      </c>
      <c r="H150">
        <v>8.9581999999999995E-2</v>
      </c>
      <c r="I150">
        <v>4.8092000000000003E-2</v>
      </c>
      <c r="J150">
        <v>5.9504000000000001E-2</v>
      </c>
      <c r="K150">
        <v>5.5202000000000001E-2</v>
      </c>
      <c r="L150">
        <v>6.0186999999999997E-2</v>
      </c>
      <c r="M150">
        <v>8.0854999999999996E-2</v>
      </c>
      <c r="N150">
        <v>6.0468000000000001E-2</v>
      </c>
      <c r="O150">
        <v>7.2857000000000005E-2</v>
      </c>
      <c r="P150">
        <v>7.0285E-2</v>
      </c>
      <c r="Q150">
        <v>5.7605999999999997E-2</v>
      </c>
      <c r="R150">
        <v>8.9116000000000001E-2</v>
      </c>
      <c r="S150">
        <v>4.7282999999999999E-2</v>
      </c>
      <c r="T150">
        <v>5.7155999999999998E-2</v>
      </c>
      <c r="U150">
        <v>6.1302000000000002E-2</v>
      </c>
      <c r="V150">
        <v>8.7231000000000003E-2</v>
      </c>
      <c r="W150">
        <v>7.9631999999999994E-2</v>
      </c>
      <c r="X150">
        <v>4.4243999999999999E-2</v>
      </c>
      <c r="Y150">
        <v>4.6414999999999998E-2</v>
      </c>
      <c r="Z150">
        <v>4.5693999999999999E-2</v>
      </c>
      <c r="AA150">
        <v>4.4676E-2</v>
      </c>
      <c r="AB150">
        <v>6.9633E-2</v>
      </c>
    </row>
    <row r="151" spans="1:28" x14ac:dyDescent="0.2">
      <c r="A151">
        <v>19440630</v>
      </c>
      <c r="B151">
        <v>1944</v>
      </c>
      <c r="C151">
        <v>6</v>
      </c>
      <c r="D151">
        <v>0.25597599999999998</v>
      </c>
      <c r="E151">
        <v>0.13486400000000001</v>
      </c>
      <c r="F151">
        <v>0.11069900000000001</v>
      </c>
      <c r="G151">
        <v>0.14874899999999999</v>
      </c>
      <c r="H151">
        <v>0.164767</v>
      </c>
      <c r="I151">
        <v>0.12091399999999999</v>
      </c>
      <c r="J151">
        <v>0.122158</v>
      </c>
      <c r="K151">
        <v>5.0842999999999999E-2</v>
      </c>
      <c r="L151">
        <v>8.0794000000000005E-2</v>
      </c>
      <c r="M151">
        <v>9.128E-2</v>
      </c>
      <c r="N151">
        <v>5.5230000000000001E-2</v>
      </c>
      <c r="O151">
        <v>8.6610999999999994E-2</v>
      </c>
      <c r="P151">
        <v>8.9321999999999999E-2</v>
      </c>
      <c r="Q151">
        <v>9.5558000000000004E-2</v>
      </c>
      <c r="R151">
        <v>0.10083399999999999</v>
      </c>
      <c r="S151">
        <v>6.5494999999999998E-2</v>
      </c>
      <c r="T151">
        <v>7.9800999999999997E-2</v>
      </c>
      <c r="U151">
        <v>8.3493999999999999E-2</v>
      </c>
      <c r="V151">
        <v>0.137934</v>
      </c>
      <c r="W151">
        <v>9.9767999999999996E-2</v>
      </c>
      <c r="X151">
        <v>5.5148999999999997E-2</v>
      </c>
      <c r="Y151">
        <v>3.6637000000000003E-2</v>
      </c>
      <c r="Z151">
        <v>3.3281999999999999E-2</v>
      </c>
      <c r="AA151">
        <v>5.8671000000000001E-2</v>
      </c>
      <c r="AB151">
        <v>5.2524000000000001E-2</v>
      </c>
    </row>
    <row r="152" spans="1:28" x14ac:dyDescent="0.2">
      <c r="A152">
        <v>19440731</v>
      </c>
      <c r="B152">
        <v>1944</v>
      </c>
      <c r="C152">
        <v>7</v>
      </c>
      <c r="D152">
        <v>-4.1347000000000002E-2</v>
      </c>
      <c r="E152">
        <v>-2.3761999999999998E-2</v>
      </c>
      <c r="F152">
        <v>-7.8549999999999991E-3</v>
      </c>
      <c r="G152">
        <v>9.1999999999999998E-3</v>
      </c>
      <c r="H152">
        <v>-3.8131999999999999E-2</v>
      </c>
      <c r="I152">
        <v>-8.9060000000000007E-3</v>
      </c>
      <c r="J152">
        <v>1.6969999999999999E-3</v>
      </c>
      <c r="K152">
        <v>-2.3508000000000001E-2</v>
      </c>
      <c r="L152">
        <v>-2.477E-2</v>
      </c>
      <c r="M152">
        <v>-1.0670000000000001E-2</v>
      </c>
      <c r="N152">
        <v>-1.106E-3</v>
      </c>
      <c r="O152">
        <v>-6.8869999999999999E-3</v>
      </c>
      <c r="P152">
        <v>-6.0239999999999998E-3</v>
      </c>
      <c r="Q152">
        <v>-1.4012E-2</v>
      </c>
      <c r="R152">
        <v>-1.1856E-2</v>
      </c>
      <c r="S152">
        <v>8.0800000000000002E-4</v>
      </c>
      <c r="T152">
        <v>-1.1469E-2</v>
      </c>
      <c r="U152">
        <v>-1.3677999999999999E-2</v>
      </c>
      <c r="V152">
        <v>-2.6761E-2</v>
      </c>
      <c r="W152">
        <v>-4.568E-3</v>
      </c>
      <c r="X152">
        <v>-1.9723000000000001E-2</v>
      </c>
      <c r="Y152">
        <v>-1.5467E-2</v>
      </c>
      <c r="Z152">
        <v>-1.1749000000000001E-2</v>
      </c>
      <c r="AA152">
        <v>-1.1115999999999999E-2</v>
      </c>
      <c r="AB152">
        <v>-5.2950000000000002E-3</v>
      </c>
    </row>
    <row r="153" spans="1:28" x14ac:dyDescent="0.2">
      <c r="A153">
        <v>19440831</v>
      </c>
      <c r="B153">
        <v>1944</v>
      </c>
      <c r="C153">
        <v>8</v>
      </c>
      <c r="D153">
        <v>7.1723999999999996E-2</v>
      </c>
      <c r="E153">
        <v>2.4903000000000002E-2</v>
      </c>
      <c r="F153">
        <v>2.0055E-2</v>
      </c>
      <c r="G153">
        <v>2.6762000000000001E-2</v>
      </c>
      <c r="H153">
        <v>3.2523999999999997E-2</v>
      </c>
      <c r="I153">
        <v>2.8471E-2</v>
      </c>
      <c r="J153">
        <v>4.2743999999999997E-2</v>
      </c>
      <c r="K153">
        <v>4.5303999999999997E-2</v>
      </c>
      <c r="L153">
        <v>4.6689000000000001E-2</v>
      </c>
      <c r="M153">
        <v>-1.146E-2</v>
      </c>
      <c r="N153">
        <v>2.8391E-2</v>
      </c>
      <c r="O153">
        <v>4.4415000000000003E-2</v>
      </c>
      <c r="P153">
        <v>3.8455999999999997E-2</v>
      </c>
      <c r="Q153">
        <v>3.4923000000000003E-2</v>
      </c>
      <c r="R153">
        <v>2.1926000000000001E-2</v>
      </c>
      <c r="S153">
        <v>6.855E-3</v>
      </c>
      <c r="T153">
        <v>3.2811E-2</v>
      </c>
      <c r="U153">
        <v>2.5836000000000001E-2</v>
      </c>
      <c r="V153">
        <v>3.7839999999999999E-2</v>
      </c>
      <c r="W153">
        <v>1.1102000000000001E-2</v>
      </c>
      <c r="X153">
        <v>1.7378999999999999E-2</v>
      </c>
      <c r="Y153">
        <v>2.0240000000000002E-3</v>
      </c>
      <c r="Z153">
        <v>2.0295000000000001E-2</v>
      </c>
      <c r="AA153">
        <v>1.1035E-2</v>
      </c>
      <c r="AB153">
        <v>1.0250000000000001E-3</v>
      </c>
    </row>
    <row r="154" spans="1:28" x14ac:dyDescent="0.2">
      <c r="A154">
        <v>19440930</v>
      </c>
      <c r="B154">
        <v>1944</v>
      </c>
      <c r="C154">
        <v>9</v>
      </c>
      <c r="D154">
        <v>-1.4081E-2</v>
      </c>
      <c r="E154">
        <v>2.4102999999999999E-2</v>
      </c>
      <c r="F154">
        <v>2.9529E-2</v>
      </c>
      <c r="G154">
        <v>-8.5999999999999998E-4</v>
      </c>
      <c r="H154">
        <v>-4.1830000000000001E-3</v>
      </c>
      <c r="I154">
        <v>2.4723999999999999E-2</v>
      </c>
      <c r="J154">
        <v>-2.9840000000000001E-3</v>
      </c>
      <c r="K154">
        <v>-1.4869E-2</v>
      </c>
      <c r="L154">
        <v>3.2000000000000003E-4</v>
      </c>
      <c r="M154">
        <v>1.2961E-2</v>
      </c>
      <c r="N154">
        <v>7.2940000000000001E-3</v>
      </c>
      <c r="O154">
        <v>8.9610000000000002E-3</v>
      </c>
      <c r="P154">
        <v>-1.1596E-2</v>
      </c>
      <c r="Q154">
        <v>2.0701000000000001E-2</v>
      </c>
      <c r="R154">
        <v>2.7980000000000001E-3</v>
      </c>
      <c r="S154">
        <v>-1.8710000000000001E-3</v>
      </c>
      <c r="T154">
        <v>-1.0267999999999999E-2</v>
      </c>
      <c r="U154">
        <v>-1.5839999999999999E-3</v>
      </c>
      <c r="V154">
        <v>1.7166000000000001E-2</v>
      </c>
      <c r="W154">
        <v>-6.2820000000000003E-3</v>
      </c>
      <c r="X154">
        <v>4.8399999999999997E-3</v>
      </c>
      <c r="Y154">
        <v>-3.3509999999999998E-3</v>
      </c>
      <c r="Z154">
        <v>1.48E-3</v>
      </c>
      <c r="AA154">
        <v>-3.5599999999999998E-3</v>
      </c>
      <c r="AB154">
        <v>1.5269999999999999E-3</v>
      </c>
    </row>
    <row r="155" spans="1:28" x14ac:dyDescent="0.2">
      <c r="A155">
        <v>19441031</v>
      </c>
      <c r="B155">
        <v>1944</v>
      </c>
      <c r="C155">
        <v>10</v>
      </c>
      <c r="D155">
        <v>2.2750000000000001E-3</v>
      </c>
      <c r="E155">
        <v>1.3302E-2</v>
      </c>
      <c r="F155">
        <v>1.1239000000000001E-2</v>
      </c>
      <c r="G155">
        <v>3.5010000000000002E-3</v>
      </c>
      <c r="H155">
        <v>6.1710000000000003E-3</v>
      </c>
      <c r="I155">
        <v>-1.1309E-2</v>
      </c>
      <c r="J155">
        <v>6.4660000000000004E-3</v>
      </c>
      <c r="K155">
        <v>8.2419999999999993E-3</v>
      </c>
      <c r="L155">
        <v>6.4549999999999998E-3</v>
      </c>
      <c r="M155">
        <v>-9.2169999999999995E-3</v>
      </c>
      <c r="N155">
        <v>-1.2860999999999999E-2</v>
      </c>
      <c r="O155">
        <v>1.2810999999999999E-2</v>
      </c>
      <c r="P155">
        <v>2.2599999999999999E-4</v>
      </c>
      <c r="Q155">
        <v>-9.3220000000000004E-3</v>
      </c>
      <c r="R155">
        <v>-4.7489999999999997E-3</v>
      </c>
      <c r="S155">
        <v>-1.9139999999999999E-3</v>
      </c>
      <c r="T155">
        <v>-5.7120000000000001E-3</v>
      </c>
      <c r="U155">
        <v>-9.4059999999999994E-3</v>
      </c>
      <c r="V155">
        <v>4.4720000000000003E-3</v>
      </c>
      <c r="W155">
        <v>-1.098E-2</v>
      </c>
      <c r="X155">
        <v>-2.9819999999999998E-3</v>
      </c>
      <c r="Y155">
        <v>9.3710000000000009E-3</v>
      </c>
      <c r="Z155">
        <v>1.2962E-2</v>
      </c>
      <c r="AA155">
        <v>-3.1830000000000001E-3</v>
      </c>
      <c r="AB155">
        <v>8.2410000000000001E-3</v>
      </c>
    </row>
    <row r="156" spans="1:28" x14ac:dyDescent="0.2">
      <c r="A156">
        <v>19441130</v>
      </c>
      <c r="B156">
        <v>1944</v>
      </c>
      <c r="C156">
        <v>11</v>
      </c>
      <c r="D156">
        <v>2.2641000000000001E-2</v>
      </c>
      <c r="E156">
        <v>-8.1890000000000001E-3</v>
      </c>
      <c r="F156">
        <v>2.9322000000000001E-2</v>
      </c>
      <c r="G156">
        <v>4.9149999999999999E-2</v>
      </c>
      <c r="H156">
        <v>1.6752E-2</v>
      </c>
      <c r="I156">
        <v>2.3444E-2</v>
      </c>
      <c r="J156">
        <v>1.4312E-2</v>
      </c>
      <c r="K156">
        <v>3.431E-2</v>
      </c>
      <c r="L156">
        <v>3.2832E-2</v>
      </c>
      <c r="M156">
        <v>4.0615999999999999E-2</v>
      </c>
      <c r="N156">
        <v>4.7520000000000001E-3</v>
      </c>
      <c r="O156">
        <v>2.6088E-2</v>
      </c>
      <c r="P156">
        <v>1.3272000000000001E-2</v>
      </c>
      <c r="Q156">
        <v>1.6997000000000002E-2</v>
      </c>
      <c r="R156">
        <v>3.7115000000000002E-2</v>
      </c>
      <c r="S156">
        <v>1.6258000000000002E-2</v>
      </c>
      <c r="T156">
        <v>2.2797000000000001E-2</v>
      </c>
      <c r="U156">
        <v>2.4146999999999998E-2</v>
      </c>
      <c r="V156">
        <v>4.7806000000000001E-2</v>
      </c>
      <c r="W156">
        <v>1.5505E-2</v>
      </c>
      <c r="X156">
        <v>1.0685999999999999E-2</v>
      </c>
      <c r="Y156">
        <v>1.6719000000000001E-2</v>
      </c>
      <c r="Z156">
        <v>2.094E-2</v>
      </c>
      <c r="AA156">
        <v>2.5277999999999998E-2</v>
      </c>
      <c r="AB156">
        <v>3.8827E-2</v>
      </c>
    </row>
    <row r="157" spans="1:28" x14ac:dyDescent="0.2">
      <c r="A157">
        <v>19441230</v>
      </c>
      <c r="B157">
        <v>1944</v>
      </c>
      <c r="C157">
        <v>12</v>
      </c>
      <c r="D157">
        <v>2.3956999999999999E-2</v>
      </c>
      <c r="E157">
        <v>2.2269000000000001E-2</v>
      </c>
      <c r="F157">
        <v>6.5294000000000005E-2</v>
      </c>
      <c r="G157">
        <v>7.2625999999999996E-2</v>
      </c>
      <c r="H157">
        <v>0.152508</v>
      </c>
      <c r="I157">
        <v>6.8372000000000002E-2</v>
      </c>
      <c r="J157">
        <v>5.4455000000000003E-2</v>
      </c>
      <c r="K157">
        <v>7.5938000000000005E-2</v>
      </c>
      <c r="L157">
        <v>6.8884000000000001E-2</v>
      </c>
      <c r="M157">
        <v>0.14035</v>
      </c>
      <c r="N157">
        <v>5.2756999999999998E-2</v>
      </c>
      <c r="O157">
        <v>7.9705999999999999E-2</v>
      </c>
      <c r="P157">
        <v>5.8868999999999998E-2</v>
      </c>
      <c r="Q157">
        <v>5.4205999999999997E-2</v>
      </c>
      <c r="R157">
        <v>0.108515</v>
      </c>
      <c r="S157">
        <v>3.3480000000000003E-2</v>
      </c>
      <c r="T157">
        <v>4.8889000000000002E-2</v>
      </c>
      <c r="U157">
        <v>5.6517999999999999E-2</v>
      </c>
      <c r="V157">
        <v>6.5141000000000004E-2</v>
      </c>
      <c r="W157">
        <v>0.1217</v>
      </c>
      <c r="X157">
        <v>2.1536E-2</v>
      </c>
      <c r="Y157">
        <v>3.1555E-2</v>
      </c>
      <c r="Z157">
        <v>4.8466000000000002E-2</v>
      </c>
      <c r="AA157">
        <v>4.7381E-2</v>
      </c>
      <c r="AB157">
        <v>0.118035</v>
      </c>
    </row>
    <row r="158" spans="1:28" x14ac:dyDescent="0.2">
      <c r="A158">
        <v>19450131</v>
      </c>
      <c r="B158">
        <v>1945</v>
      </c>
      <c r="C158">
        <v>1</v>
      </c>
      <c r="D158">
        <v>0.216976</v>
      </c>
      <c r="E158">
        <v>5.6073999999999999E-2</v>
      </c>
      <c r="F158">
        <v>6.0942000000000003E-2</v>
      </c>
      <c r="G158">
        <v>4.7782999999999999E-2</v>
      </c>
      <c r="H158">
        <v>3.8313E-2</v>
      </c>
      <c r="I158">
        <v>4.7371000000000003E-2</v>
      </c>
      <c r="J158">
        <v>3.7713999999999998E-2</v>
      </c>
      <c r="K158">
        <v>5.1232E-2</v>
      </c>
      <c r="L158">
        <v>6.7762000000000003E-2</v>
      </c>
      <c r="M158">
        <v>3.4335999999999998E-2</v>
      </c>
      <c r="N158">
        <v>4.0797E-2</v>
      </c>
      <c r="O158">
        <v>4.3167999999999998E-2</v>
      </c>
      <c r="P158">
        <v>3.8475000000000002E-2</v>
      </c>
      <c r="Q158">
        <v>3.3516999999999998E-2</v>
      </c>
      <c r="R158">
        <v>4.6418000000000001E-2</v>
      </c>
      <c r="S158">
        <v>2.8509E-2</v>
      </c>
      <c r="T158">
        <v>3.0585999999999999E-2</v>
      </c>
      <c r="U158">
        <v>3.066E-2</v>
      </c>
      <c r="V158">
        <v>1.6219999999999998E-2</v>
      </c>
      <c r="W158">
        <v>3.5428000000000001E-2</v>
      </c>
      <c r="X158">
        <v>1.0246999999999999E-2</v>
      </c>
      <c r="Y158">
        <v>7.4029999999999999E-3</v>
      </c>
      <c r="Z158">
        <v>3.0204999999999999E-2</v>
      </c>
      <c r="AA158">
        <v>6.0041999999999998E-2</v>
      </c>
      <c r="AB158">
        <v>1.1586000000000001E-2</v>
      </c>
    </row>
    <row r="159" spans="1:28" x14ac:dyDescent="0.2">
      <c r="A159">
        <v>19450228</v>
      </c>
      <c r="B159">
        <v>1945</v>
      </c>
      <c r="C159">
        <v>2</v>
      </c>
      <c r="D159">
        <v>6.2351999999999998E-2</v>
      </c>
      <c r="E159">
        <v>4.7196000000000002E-2</v>
      </c>
      <c r="F159">
        <v>9.4886999999999999E-2</v>
      </c>
      <c r="G159">
        <v>7.8017000000000003E-2</v>
      </c>
      <c r="H159">
        <v>0.114091</v>
      </c>
      <c r="I159">
        <v>7.4173000000000003E-2</v>
      </c>
      <c r="J159">
        <v>7.3891999999999999E-2</v>
      </c>
      <c r="K159">
        <v>0.10592799999999999</v>
      </c>
      <c r="L159">
        <v>8.0603999999999995E-2</v>
      </c>
      <c r="M159">
        <v>0.120272</v>
      </c>
      <c r="N159">
        <v>6.6889000000000004E-2</v>
      </c>
      <c r="O159">
        <v>5.7622E-2</v>
      </c>
      <c r="P159">
        <v>9.2252000000000001E-2</v>
      </c>
      <c r="Q159">
        <v>9.1011999999999996E-2</v>
      </c>
      <c r="R159">
        <v>0.10448399999999999</v>
      </c>
      <c r="S159">
        <v>6.762E-2</v>
      </c>
      <c r="T159">
        <v>6.4225000000000004E-2</v>
      </c>
      <c r="U159">
        <v>7.1237999999999996E-2</v>
      </c>
      <c r="V159">
        <v>0.107741</v>
      </c>
      <c r="W159">
        <v>0.143486</v>
      </c>
      <c r="X159">
        <v>5.2450999999999998E-2</v>
      </c>
      <c r="Y159">
        <v>5.1824000000000002E-2</v>
      </c>
      <c r="Z159">
        <v>5.1406E-2</v>
      </c>
      <c r="AA159">
        <v>7.5565999999999994E-2</v>
      </c>
      <c r="AB159">
        <v>8.8370000000000004E-2</v>
      </c>
    </row>
    <row r="160" spans="1:28" x14ac:dyDescent="0.2">
      <c r="A160">
        <v>19450331</v>
      </c>
      <c r="B160">
        <v>1945</v>
      </c>
      <c r="C160">
        <v>3</v>
      </c>
      <c r="D160">
        <v>-8.3110000000000003E-2</v>
      </c>
      <c r="E160">
        <v>-6.9836999999999996E-2</v>
      </c>
      <c r="F160">
        <v>-9.1488E-2</v>
      </c>
      <c r="G160">
        <v>-8.2636000000000001E-2</v>
      </c>
      <c r="H160">
        <v>-0.11823</v>
      </c>
      <c r="I160">
        <v>-3.7708999999999999E-2</v>
      </c>
      <c r="J160">
        <v>-5.6285000000000002E-2</v>
      </c>
      <c r="K160">
        <v>-6.9790000000000005E-2</v>
      </c>
      <c r="L160">
        <v>-4.3683E-2</v>
      </c>
      <c r="M160">
        <v>-1.5206000000000001E-2</v>
      </c>
      <c r="N160">
        <v>-4.2053E-2</v>
      </c>
      <c r="O160">
        <v>-5.8083999999999997E-2</v>
      </c>
      <c r="P160">
        <v>-5.3444999999999999E-2</v>
      </c>
      <c r="Q160">
        <v>-6.0171000000000002E-2</v>
      </c>
      <c r="R160">
        <v>-7.4397000000000005E-2</v>
      </c>
      <c r="S160">
        <v>-3.9850999999999998E-2</v>
      </c>
      <c r="T160">
        <v>-3.7897E-2</v>
      </c>
      <c r="U160">
        <v>-3.5424999999999998E-2</v>
      </c>
      <c r="V160">
        <v>-5.0282E-2</v>
      </c>
      <c r="W160">
        <v>-4.9147000000000003E-2</v>
      </c>
      <c r="X160">
        <v>-3.8401999999999999E-2</v>
      </c>
      <c r="Y160">
        <v>-2.7349999999999999E-2</v>
      </c>
      <c r="Z160">
        <v>-3.7388999999999999E-2</v>
      </c>
      <c r="AA160">
        <v>-5.6498E-2</v>
      </c>
      <c r="AB160">
        <v>-3.6547999999999997E-2</v>
      </c>
    </row>
    <row r="161" spans="1:28" x14ac:dyDescent="0.2">
      <c r="A161">
        <v>19450430</v>
      </c>
      <c r="B161">
        <v>1945</v>
      </c>
      <c r="C161">
        <v>4</v>
      </c>
      <c r="D161">
        <v>3.6221999999999997E-2</v>
      </c>
      <c r="E161">
        <v>8.0731999999999998E-2</v>
      </c>
      <c r="F161">
        <v>9.6618999999999997E-2</v>
      </c>
      <c r="G161">
        <v>8.6539000000000005E-2</v>
      </c>
      <c r="H161">
        <v>8.5092000000000001E-2</v>
      </c>
      <c r="I161">
        <v>6.8113000000000007E-2</v>
      </c>
      <c r="J161">
        <v>7.0099999999999996E-2</v>
      </c>
      <c r="K161">
        <v>9.9301E-2</v>
      </c>
      <c r="L161">
        <v>8.3970000000000003E-2</v>
      </c>
      <c r="M161">
        <v>0.154506</v>
      </c>
      <c r="N161">
        <v>8.7082000000000007E-2</v>
      </c>
      <c r="O161">
        <v>0.102203</v>
      </c>
      <c r="P161">
        <v>6.8545999999999996E-2</v>
      </c>
      <c r="Q161">
        <v>8.3820000000000006E-2</v>
      </c>
      <c r="R161">
        <v>0.120237</v>
      </c>
      <c r="S161">
        <v>6.9111000000000006E-2</v>
      </c>
      <c r="T161">
        <v>8.4784999999999999E-2</v>
      </c>
      <c r="U161">
        <v>8.0901000000000001E-2</v>
      </c>
      <c r="V161">
        <v>7.7787999999999996E-2</v>
      </c>
      <c r="W161">
        <v>0.12789200000000001</v>
      </c>
      <c r="X161">
        <v>7.6007000000000005E-2</v>
      </c>
      <c r="Y161">
        <v>6.1136000000000003E-2</v>
      </c>
      <c r="Z161">
        <v>7.7761999999999998E-2</v>
      </c>
      <c r="AA161">
        <v>8.6208000000000007E-2</v>
      </c>
      <c r="AB161">
        <v>0.110384</v>
      </c>
    </row>
    <row r="162" spans="1:28" x14ac:dyDescent="0.2">
      <c r="A162">
        <v>19450531</v>
      </c>
      <c r="B162">
        <v>1945</v>
      </c>
      <c r="C162">
        <v>5</v>
      </c>
      <c r="D162">
        <v>9.2709999999999997E-3</v>
      </c>
      <c r="E162">
        <v>9.1655E-2</v>
      </c>
      <c r="F162">
        <v>3.7191000000000002E-2</v>
      </c>
      <c r="G162">
        <v>2.4622000000000002E-2</v>
      </c>
      <c r="H162">
        <v>6.1613000000000001E-2</v>
      </c>
      <c r="I162">
        <v>3.4050999999999998E-2</v>
      </c>
      <c r="J162">
        <v>2.4150000000000001E-2</v>
      </c>
      <c r="K162">
        <v>1.0892000000000001E-2</v>
      </c>
      <c r="L162">
        <v>2.4601999999999999E-2</v>
      </c>
      <c r="M162">
        <v>7.6004000000000002E-2</v>
      </c>
      <c r="N162">
        <v>5.006E-3</v>
      </c>
      <c r="O162">
        <v>9.2429999999999995E-3</v>
      </c>
      <c r="P162">
        <v>3.1891999999999997E-2</v>
      </c>
      <c r="Q162">
        <v>4.6443999999999999E-2</v>
      </c>
      <c r="R162">
        <v>2.0761999999999999E-2</v>
      </c>
      <c r="S162">
        <v>2.4287E-2</v>
      </c>
      <c r="T162">
        <v>1.2498E-2</v>
      </c>
      <c r="U162">
        <v>2.9239999999999999E-2</v>
      </c>
      <c r="V162">
        <v>1.0370000000000001E-2</v>
      </c>
      <c r="W162">
        <v>3.2654000000000002E-2</v>
      </c>
      <c r="X162">
        <v>1.6437E-2</v>
      </c>
      <c r="Y162">
        <v>2.0504000000000001E-2</v>
      </c>
      <c r="Z162">
        <v>7.8050000000000003E-3</v>
      </c>
      <c r="AA162">
        <v>-2.7520000000000001E-3</v>
      </c>
      <c r="AB162">
        <v>1.5367E-2</v>
      </c>
    </row>
    <row r="163" spans="1:28" x14ac:dyDescent="0.2">
      <c r="A163">
        <v>19450630</v>
      </c>
      <c r="B163">
        <v>1945</v>
      </c>
      <c r="C163">
        <v>6</v>
      </c>
      <c r="D163">
        <v>0.18254699999999999</v>
      </c>
      <c r="E163">
        <v>2.1722999999999999E-2</v>
      </c>
      <c r="F163">
        <v>4.8189000000000003E-2</v>
      </c>
      <c r="G163">
        <v>6.1948999999999997E-2</v>
      </c>
      <c r="H163">
        <v>0.150893</v>
      </c>
      <c r="I163">
        <v>8.6613999999999997E-2</v>
      </c>
      <c r="J163">
        <v>1.238E-3</v>
      </c>
      <c r="K163">
        <v>7.8499999999999993E-3</v>
      </c>
      <c r="L163">
        <v>1.4057999999999999E-2</v>
      </c>
      <c r="M163">
        <v>7.0626999999999995E-2</v>
      </c>
      <c r="N163">
        <v>1.6407000000000001E-2</v>
      </c>
      <c r="O163">
        <v>2.0088999999999999E-2</v>
      </c>
      <c r="P163">
        <v>5.6820000000000004E-3</v>
      </c>
      <c r="Q163">
        <v>2.6665000000000001E-2</v>
      </c>
      <c r="R163">
        <v>4.9972999999999997E-2</v>
      </c>
      <c r="S163">
        <v>-6.992E-3</v>
      </c>
      <c r="T163">
        <v>-1.026E-3</v>
      </c>
      <c r="U163">
        <v>1.6645E-2</v>
      </c>
      <c r="V163">
        <v>3.2975999999999998E-2</v>
      </c>
      <c r="W163">
        <v>0.11404300000000001</v>
      </c>
      <c r="X163">
        <v>-2.0802999999999999E-2</v>
      </c>
      <c r="Y163">
        <v>2.1979999999999999E-3</v>
      </c>
      <c r="Z163">
        <v>8.7679999999999998E-3</v>
      </c>
      <c r="AA163">
        <v>1.4777E-2</v>
      </c>
      <c r="AB163">
        <v>2.0752E-2</v>
      </c>
    </row>
    <row r="164" spans="1:28" x14ac:dyDescent="0.2">
      <c r="A164">
        <v>19450731</v>
      </c>
      <c r="B164">
        <v>1945</v>
      </c>
      <c r="C164">
        <v>7</v>
      </c>
      <c r="D164">
        <v>-3.3545999999999999E-2</v>
      </c>
      <c r="E164">
        <v>-3.7302000000000002E-2</v>
      </c>
      <c r="F164">
        <v>-4.3318000000000002E-2</v>
      </c>
      <c r="G164">
        <v>-3.6428000000000002E-2</v>
      </c>
      <c r="H164">
        <v>-4.2133999999999998E-2</v>
      </c>
      <c r="I164">
        <v>-1.5254E-2</v>
      </c>
      <c r="J164">
        <v>-4.1131000000000001E-2</v>
      </c>
      <c r="K164">
        <v>-4.0284E-2</v>
      </c>
      <c r="L164">
        <v>-3.4130000000000001E-2</v>
      </c>
      <c r="M164">
        <v>-5.9043999999999999E-2</v>
      </c>
      <c r="N164">
        <v>-4.0835999999999997E-2</v>
      </c>
      <c r="O164">
        <v>-2.5766000000000001E-2</v>
      </c>
      <c r="P164">
        <v>-3.6755999999999997E-2</v>
      </c>
      <c r="Q164">
        <v>-3.9697999999999997E-2</v>
      </c>
      <c r="R164">
        <v>-6.6778000000000004E-2</v>
      </c>
      <c r="S164">
        <v>-1.0172E-2</v>
      </c>
      <c r="T164">
        <v>-4.3857E-2</v>
      </c>
      <c r="U164">
        <v>-1.5426E-2</v>
      </c>
      <c r="V164">
        <v>-3.8135000000000002E-2</v>
      </c>
      <c r="W164">
        <v>-6.1661000000000001E-2</v>
      </c>
      <c r="X164">
        <v>-1.3801000000000001E-2</v>
      </c>
      <c r="Y164">
        <v>4.66E-4</v>
      </c>
      <c r="Z164">
        <v>-3.0544999999999999E-2</v>
      </c>
      <c r="AA164">
        <v>-2.0244000000000002E-2</v>
      </c>
      <c r="AB164">
        <v>-4.5358999999999997E-2</v>
      </c>
    </row>
    <row r="165" spans="1:28" x14ac:dyDescent="0.2">
      <c r="A165">
        <v>19450831</v>
      </c>
      <c r="B165">
        <v>1945</v>
      </c>
      <c r="C165">
        <v>8</v>
      </c>
      <c r="D165">
        <v>-8.26E-3</v>
      </c>
      <c r="E165">
        <v>0.116282</v>
      </c>
      <c r="F165">
        <v>7.6245999999999994E-2</v>
      </c>
      <c r="G165">
        <v>5.2056999999999999E-2</v>
      </c>
      <c r="H165">
        <v>4.8794999999999998E-2</v>
      </c>
      <c r="I165">
        <v>5.2700999999999998E-2</v>
      </c>
      <c r="J165">
        <v>7.7304999999999999E-2</v>
      </c>
      <c r="K165">
        <v>7.1584999999999996E-2</v>
      </c>
      <c r="L165">
        <v>6.4033999999999994E-2</v>
      </c>
      <c r="M165">
        <v>5.0592999999999999E-2</v>
      </c>
      <c r="N165">
        <v>9.7963999999999996E-2</v>
      </c>
      <c r="O165">
        <v>6.7842E-2</v>
      </c>
      <c r="P165">
        <v>8.4751999999999994E-2</v>
      </c>
      <c r="Q165">
        <v>7.2950000000000001E-2</v>
      </c>
      <c r="R165">
        <v>2.7206999999999999E-2</v>
      </c>
      <c r="S165">
        <v>6.4394999999999994E-2</v>
      </c>
      <c r="T165">
        <v>9.2289999999999997E-2</v>
      </c>
      <c r="U165">
        <v>9.3328999999999995E-2</v>
      </c>
      <c r="V165">
        <v>6.2774999999999997E-2</v>
      </c>
      <c r="W165">
        <v>8.7089999999999997E-3</v>
      </c>
      <c r="X165">
        <v>8.9008000000000004E-2</v>
      </c>
      <c r="Y165">
        <v>5.0761000000000001E-2</v>
      </c>
      <c r="Z165">
        <v>4.1188000000000002E-2</v>
      </c>
      <c r="AA165">
        <v>2.4379999999999999E-2</v>
      </c>
      <c r="AB165">
        <v>2.5878999999999999E-2</v>
      </c>
    </row>
    <row r="166" spans="1:28" x14ac:dyDescent="0.2">
      <c r="A166">
        <v>19450929</v>
      </c>
      <c r="B166">
        <v>1945</v>
      </c>
      <c r="C166">
        <v>9</v>
      </c>
      <c r="D166">
        <v>0.14852399999999999</v>
      </c>
      <c r="E166">
        <v>8.2826999999999998E-2</v>
      </c>
      <c r="F166">
        <v>3.6048999999999998E-2</v>
      </c>
      <c r="G166">
        <v>6.7640000000000006E-2</v>
      </c>
      <c r="H166">
        <v>7.6840000000000006E-2</v>
      </c>
      <c r="I166">
        <v>3.5014000000000003E-2</v>
      </c>
      <c r="J166">
        <v>8.1682000000000005E-2</v>
      </c>
      <c r="K166">
        <v>6.9938E-2</v>
      </c>
      <c r="L166">
        <v>7.0208000000000007E-2</v>
      </c>
      <c r="M166">
        <v>8.1378000000000006E-2</v>
      </c>
      <c r="N166">
        <v>6.6158999999999996E-2</v>
      </c>
      <c r="O166">
        <v>6.2787999999999997E-2</v>
      </c>
      <c r="P166">
        <v>6.3247999999999999E-2</v>
      </c>
      <c r="Q166">
        <v>7.5609999999999997E-2</v>
      </c>
      <c r="R166">
        <v>5.067E-2</v>
      </c>
      <c r="S166">
        <v>4.453E-2</v>
      </c>
      <c r="T166">
        <v>6.9869000000000001E-2</v>
      </c>
      <c r="U166">
        <v>5.7933999999999999E-2</v>
      </c>
      <c r="V166">
        <v>5.8923000000000003E-2</v>
      </c>
      <c r="W166">
        <v>0.10433000000000001</v>
      </c>
      <c r="X166">
        <v>5.0523999999999999E-2</v>
      </c>
      <c r="Y166">
        <v>2.3782999999999999E-2</v>
      </c>
      <c r="Z166">
        <v>3.9357999999999997E-2</v>
      </c>
      <c r="AA166">
        <v>5.0469E-2</v>
      </c>
      <c r="AB166">
        <v>5.7790000000000001E-2</v>
      </c>
    </row>
    <row r="167" spans="1:28" x14ac:dyDescent="0.2">
      <c r="A167">
        <v>19451031</v>
      </c>
      <c r="B167">
        <v>1945</v>
      </c>
      <c r="C167">
        <v>10</v>
      </c>
      <c r="D167">
        <v>0.16029399999999999</v>
      </c>
      <c r="E167">
        <v>0.10106999999999999</v>
      </c>
      <c r="F167">
        <v>0.112329</v>
      </c>
      <c r="G167">
        <v>0.12540000000000001</v>
      </c>
      <c r="H167">
        <v>0.10161199999999999</v>
      </c>
      <c r="I167">
        <v>6.4344999999999999E-2</v>
      </c>
      <c r="J167">
        <v>6.3195000000000001E-2</v>
      </c>
      <c r="K167">
        <v>5.9256999999999997E-2</v>
      </c>
      <c r="L167">
        <v>5.7707000000000001E-2</v>
      </c>
      <c r="M167">
        <v>5.7248E-2</v>
      </c>
      <c r="N167">
        <v>5.2675E-2</v>
      </c>
      <c r="O167">
        <v>2.9796E-2</v>
      </c>
      <c r="P167">
        <v>6.3381000000000007E-2</v>
      </c>
      <c r="Q167">
        <v>5.475E-2</v>
      </c>
      <c r="R167">
        <v>5.8296000000000001E-2</v>
      </c>
      <c r="S167">
        <v>4.5467E-2</v>
      </c>
      <c r="T167">
        <v>3.1074000000000001E-2</v>
      </c>
      <c r="U167">
        <v>6.0328E-2</v>
      </c>
      <c r="V167">
        <v>5.8116000000000001E-2</v>
      </c>
      <c r="W167">
        <v>6.3500000000000001E-2</v>
      </c>
      <c r="X167">
        <v>2.0864000000000001E-2</v>
      </c>
      <c r="Y167">
        <v>3.1071000000000001E-2</v>
      </c>
      <c r="Z167">
        <v>5.5029000000000002E-2</v>
      </c>
      <c r="AA167">
        <v>7.1790999999999994E-2</v>
      </c>
      <c r="AB167">
        <v>4.3258999999999999E-2</v>
      </c>
    </row>
    <row r="168" spans="1:28" x14ac:dyDescent="0.2">
      <c r="A168">
        <v>19451130</v>
      </c>
      <c r="B168">
        <v>1945</v>
      </c>
      <c r="C168">
        <v>11</v>
      </c>
      <c r="D168">
        <v>7.8220999999999999E-2</v>
      </c>
      <c r="E168">
        <v>9.1103000000000003E-2</v>
      </c>
      <c r="F168">
        <v>0.14077799999999999</v>
      </c>
      <c r="G168">
        <v>0.131189</v>
      </c>
      <c r="H168">
        <v>0.116552</v>
      </c>
      <c r="I168">
        <v>0.13600799999999999</v>
      </c>
      <c r="J168">
        <v>8.1113000000000005E-2</v>
      </c>
      <c r="K168">
        <v>7.2844000000000006E-2</v>
      </c>
      <c r="L168">
        <v>0.131046</v>
      </c>
      <c r="M168">
        <v>9.6642000000000006E-2</v>
      </c>
      <c r="N168">
        <v>7.0715E-2</v>
      </c>
      <c r="O168">
        <v>0.121084</v>
      </c>
      <c r="P168">
        <v>6.2730999999999995E-2</v>
      </c>
      <c r="Q168">
        <v>9.3584000000000001E-2</v>
      </c>
      <c r="R168">
        <v>8.8029999999999997E-2</v>
      </c>
      <c r="S168">
        <v>7.4941999999999995E-2</v>
      </c>
      <c r="T168">
        <v>0.105157</v>
      </c>
      <c r="U168">
        <v>8.6751999999999996E-2</v>
      </c>
      <c r="V168">
        <v>0.107541</v>
      </c>
      <c r="W168">
        <v>0.17182900000000001</v>
      </c>
      <c r="X168">
        <v>2.1187999999999999E-2</v>
      </c>
      <c r="Y168">
        <v>3.4672000000000001E-2</v>
      </c>
      <c r="Z168">
        <v>5.1924999999999999E-2</v>
      </c>
      <c r="AA168">
        <v>5.4912999999999997E-2</v>
      </c>
      <c r="AB168">
        <v>9.1421000000000002E-2</v>
      </c>
    </row>
    <row r="169" spans="1:28" x14ac:dyDescent="0.2">
      <c r="A169">
        <v>19451231</v>
      </c>
      <c r="B169">
        <v>1945</v>
      </c>
      <c r="C169">
        <v>12</v>
      </c>
      <c r="D169">
        <v>5.9573000000000001E-2</v>
      </c>
      <c r="E169">
        <v>2.8073000000000001E-2</v>
      </c>
      <c r="F169">
        <v>4.9734E-2</v>
      </c>
      <c r="G169">
        <v>2.9964000000000001E-2</v>
      </c>
      <c r="H169">
        <v>3.041E-2</v>
      </c>
      <c r="I169">
        <v>5.0776000000000002E-2</v>
      </c>
      <c r="J169">
        <v>5.2541999999999998E-2</v>
      </c>
      <c r="K169">
        <v>3.1640000000000001E-2</v>
      </c>
      <c r="L169">
        <v>3.5035999999999998E-2</v>
      </c>
      <c r="M169">
        <v>3.1432000000000002E-2</v>
      </c>
      <c r="N169">
        <v>2.3252999999999999E-2</v>
      </c>
      <c r="O169">
        <v>-2.1289999999999998E-3</v>
      </c>
      <c r="P169">
        <v>1.9979E-2</v>
      </c>
      <c r="Q169">
        <v>4.8219999999999999E-2</v>
      </c>
      <c r="R169">
        <v>-7.391E-3</v>
      </c>
      <c r="S169">
        <v>2.1873E-2</v>
      </c>
      <c r="T169">
        <v>2.512E-2</v>
      </c>
      <c r="U169">
        <v>2.4483999999999999E-2</v>
      </c>
      <c r="V169">
        <v>2.8361999999999998E-2</v>
      </c>
      <c r="W169">
        <v>-3.5500000000000001E-4</v>
      </c>
      <c r="X169">
        <v>1.7645000000000001E-2</v>
      </c>
      <c r="Y169">
        <v>8.2819999999999994E-3</v>
      </c>
      <c r="Z169">
        <v>1.4392E-2</v>
      </c>
      <c r="AA169">
        <v>-8.7939999999999997E-3</v>
      </c>
      <c r="AB169">
        <v>-1.0357999999999999E-2</v>
      </c>
    </row>
    <row r="170" spans="1:28" x14ac:dyDescent="0.2">
      <c r="A170">
        <v>19460131</v>
      </c>
      <c r="B170">
        <v>1946</v>
      </c>
      <c r="C170">
        <v>1</v>
      </c>
      <c r="D170">
        <v>0.35730400000000001</v>
      </c>
      <c r="E170">
        <v>9.3558000000000002E-2</v>
      </c>
      <c r="F170">
        <v>0.119343</v>
      </c>
      <c r="G170">
        <v>0.11694599999999999</v>
      </c>
      <c r="H170">
        <v>0.16739599999999999</v>
      </c>
      <c r="I170">
        <v>7.4302000000000007E-2</v>
      </c>
      <c r="J170">
        <v>9.3531000000000003E-2</v>
      </c>
      <c r="K170">
        <v>7.7491000000000004E-2</v>
      </c>
      <c r="L170">
        <v>8.0629000000000006E-2</v>
      </c>
      <c r="M170">
        <v>0.12557299999999999</v>
      </c>
      <c r="N170">
        <v>6.0916999999999999E-2</v>
      </c>
      <c r="O170">
        <v>9.2050999999999994E-2</v>
      </c>
      <c r="P170">
        <v>6.5731999999999999E-2</v>
      </c>
      <c r="Q170">
        <v>5.3769999999999998E-2</v>
      </c>
      <c r="R170">
        <v>0.15509899999999999</v>
      </c>
      <c r="S170">
        <v>5.0632999999999997E-2</v>
      </c>
      <c r="T170">
        <v>8.3865999999999996E-2</v>
      </c>
      <c r="U170">
        <v>9.1750999999999999E-2</v>
      </c>
      <c r="V170">
        <v>7.4666999999999997E-2</v>
      </c>
      <c r="W170">
        <v>9.5588000000000006E-2</v>
      </c>
      <c r="X170">
        <v>6.1447000000000002E-2</v>
      </c>
      <c r="Y170">
        <v>4.4347999999999999E-2</v>
      </c>
      <c r="Z170">
        <v>4.0467000000000003E-2</v>
      </c>
      <c r="AA170">
        <v>6.4878000000000005E-2</v>
      </c>
      <c r="AB170">
        <v>7.8355999999999995E-2</v>
      </c>
    </row>
    <row r="171" spans="1:28" x14ac:dyDescent="0.2">
      <c r="A171">
        <v>19460228</v>
      </c>
      <c r="B171">
        <v>1946</v>
      </c>
      <c r="C171">
        <v>2</v>
      </c>
      <c r="D171">
        <v>-4.6962999999999998E-2</v>
      </c>
      <c r="E171">
        <v>-0.101095</v>
      </c>
      <c r="F171">
        <v>-6.4700999999999995E-2</v>
      </c>
      <c r="G171">
        <v>-6.6699999999999995E-2</v>
      </c>
      <c r="H171">
        <v>-6.2515000000000001E-2</v>
      </c>
      <c r="I171">
        <v>-5.0368000000000003E-2</v>
      </c>
      <c r="J171">
        <v>-6.5902000000000002E-2</v>
      </c>
      <c r="K171">
        <v>-7.1984999999999993E-2</v>
      </c>
      <c r="L171">
        <v>-6.2501000000000001E-2</v>
      </c>
      <c r="M171">
        <v>-7.6332999999999998E-2</v>
      </c>
      <c r="N171">
        <v>-6.3010999999999998E-2</v>
      </c>
      <c r="O171">
        <v>-6.5305000000000002E-2</v>
      </c>
      <c r="P171">
        <v>-5.8800999999999999E-2</v>
      </c>
      <c r="Q171">
        <v>-8.4940000000000002E-2</v>
      </c>
      <c r="R171">
        <v>-9.5381999999999995E-2</v>
      </c>
      <c r="S171">
        <v>-5.1236999999999998E-2</v>
      </c>
      <c r="T171">
        <v>-6.1423999999999999E-2</v>
      </c>
      <c r="U171">
        <v>-5.3310000000000003E-2</v>
      </c>
      <c r="V171">
        <v>-6.8167000000000005E-2</v>
      </c>
      <c r="W171">
        <v>-7.3528999999999997E-2</v>
      </c>
      <c r="X171">
        <v>-5.8644000000000002E-2</v>
      </c>
      <c r="Y171">
        <v>-4.3616000000000002E-2</v>
      </c>
      <c r="Z171">
        <v>-4.9384999999999998E-2</v>
      </c>
      <c r="AA171">
        <v>-6.6972000000000004E-2</v>
      </c>
      <c r="AB171">
        <v>-7.6092999999999994E-2</v>
      </c>
    </row>
    <row r="172" spans="1:28" x14ac:dyDescent="0.2">
      <c r="A172">
        <v>19460330</v>
      </c>
      <c r="B172">
        <v>1946</v>
      </c>
      <c r="C172">
        <v>3</v>
      </c>
      <c r="D172">
        <v>-4.6517000000000003E-2</v>
      </c>
      <c r="E172">
        <v>3.7218000000000001E-2</v>
      </c>
      <c r="F172">
        <v>4.5705000000000003E-2</v>
      </c>
      <c r="G172">
        <v>4.5423999999999999E-2</v>
      </c>
      <c r="H172">
        <v>4.0395E-2</v>
      </c>
      <c r="I172">
        <v>3.6888999999999998E-2</v>
      </c>
      <c r="J172">
        <v>8.0875000000000002E-2</v>
      </c>
      <c r="K172">
        <v>5.4568999999999999E-2</v>
      </c>
      <c r="L172">
        <v>8.2013000000000003E-2</v>
      </c>
      <c r="M172">
        <v>4.1466000000000003E-2</v>
      </c>
      <c r="N172">
        <v>6.7306000000000005E-2</v>
      </c>
      <c r="O172">
        <v>8.5865999999999998E-2</v>
      </c>
      <c r="P172">
        <v>8.5979E-2</v>
      </c>
      <c r="Q172">
        <v>8.3944000000000005E-2</v>
      </c>
      <c r="R172">
        <v>5.7662999999999999E-2</v>
      </c>
      <c r="S172">
        <v>9.1637999999999997E-2</v>
      </c>
      <c r="T172">
        <v>8.4282999999999997E-2</v>
      </c>
      <c r="U172">
        <v>8.2692000000000002E-2</v>
      </c>
      <c r="V172">
        <v>6.3474000000000003E-2</v>
      </c>
      <c r="W172">
        <v>4.4770999999999998E-2</v>
      </c>
      <c r="X172">
        <v>4.5900999999999997E-2</v>
      </c>
      <c r="Y172">
        <v>4.4913000000000002E-2</v>
      </c>
      <c r="Z172">
        <v>8.3114999999999994E-2</v>
      </c>
      <c r="AA172">
        <v>7.5388999999999998E-2</v>
      </c>
      <c r="AB172">
        <v>3.8128000000000002E-2</v>
      </c>
    </row>
    <row r="173" spans="1:28" x14ac:dyDescent="0.2">
      <c r="A173">
        <v>19460430</v>
      </c>
      <c r="B173">
        <v>1946</v>
      </c>
      <c r="C173">
        <v>4</v>
      </c>
      <c r="D173">
        <v>3.2079999999999997E-2</v>
      </c>
      <c r="E173">
        <v>6.2584000000000001E-2</v>
      </c>
      <c r="F173">
        <v>0.15323400000000001</v>
      </c>
      <c r="G173">
        <v>6.8742999999999999E-2</v>
      </c>
      <c r="H173">
        <v>6.7146999999999998E-2</v>
      </c>
      <c r="I173">
        <v>4.2574000000000001E-2</v>
      </c>
      <c r="J173">
        <v>8.4445000000000006E-2</v>
      </c>
      <c r="K173">
        <v>7.5869000000000006E-2</v>
      </c>
      <c r="L173">
        <v>6.7878999999999995E-2</v>
      </c>
      <c r="M173">
        <v>7.6425000000000007E-2</v>
      </c>
      <c r="N173">
        <v>4.1665000000000001E-2</v>
      </c>
      <c r="O173">
        <v>5.2562999999999999E-2</v>
      </c>
      <c r="P173">
        <v>5.5170999999999998E-2</v>
      </c>
      <c r="Q173">
        <v>6.6840999999999998E-2</v>
      </c>
      <c r="R173">
        <v>3.7733000000000003E-2</v>
      </c>
      <c r="S173">
        <v>6.3644999999999993E-2</v>
      </c>
      <c r="T173">
        <v>3.7629000000000003E-2</v>
      </c>
      <c r="U173">
        <v>7.7901999999999999E-2</v>
      </c>
      <c r="V173">
        <v>2.7932999999999999E-2</v>
      </c>
      <c r="W173">
        <v>1.1171E-2</v>
      </c>
      <c r="X173">
        <v>3.4075000000000001E-2</v>
      </c>
      <c r="Y173">
        <v>3.9655999999999997E-2</v>
      </c>
      <c r="Z173">
        <v>5.5070000000000001E-2</v>
      </c>
      <c r="AA173">
        <v>5.7387000000000001E-2</v>
      </c>
      <c r="AB173">
        <v>1.8983E-2</v>
      </c>
    </row>
    <row r="174" spans="1:28" x14ac:dyDescent="0.2">
      <c r="A174">
        <v>19460531</v>
      </c>
      <c r="B174">
        <v>1946</v>
      </c>
      <c r="C174">
        <v>5</v>
      </c>
      <c r="D174">
        <v>9.2714000000000005E-2</v>
      </c>
      <c r="E174">
        <v>7.5371999999999995E-2</v>
      </c>
      <c r="F174">
        <v>4.6797999999999999E-2</v>
      </c>
      <c r="G174">
        <v>2.0608000000000001E-2</v>
      </c>
      <c r="H174">
        <v>6.4519999999999994E-2</v>
      </c>
      <c r="I174">
        <v>6.1949999999999998E-2</v>
      </c>
      <c r="J174">
        <v>5.0473999999999998E-2</v>
      </c>
      <c r="K174">
        <v>6.0665999999999998E-2</v>
      </c>
      <c r="L174">
        <v>4.0780999999999998E-2</v>
      </c>
      <c r="M174">
        <v>8.8830000000000006E-2</v>
      </c>
      <c r="N174">
        <v>5.0317000000000001E-2</v>
      </c>
      <c r="O174">
        <v>8.1899E-2</v>
      </c>
      <c r="P174">
        <v>7.5396000000000005E-2</v>
      </c>
      <c r="Q174">
        <v>5.7563999999999997E-2</v>
      </c>
      <c r="R174">
        <v>4.4803999999999997E-2</v>
      </c>
      <c r="S174">
        <v>5.1397999999999999E-2</v>
      </c>
      <c r="T174">
        <v>4.2803000000000001E-2</v>
      </c>
      <c r="U174">
        <v>5.1211E-2</v>
      </c>
      <c r="V174">
        <v>7.1721999999999994E-2</v>
      </c>
      <c r="W174">
        <v>0.113244</v>
      </c>
      <c r="X174">
        <v>2.5551999999999998E-2</v>
      </c>
      <c r="Y174">
        <v>4.0196000000000003E-2</v>
      </c>
      <c r="Z174">
        <v>1.8971999999999999E-2</v>
      </c>
      <c r="AA174">
        <v>5.6856999999999998E-2</v>
      </c>
      <c r="AB174">
        <v>5.6883999999999997E-2</v>
      </c>
    </row>
    <row r="175" spans="1:28" x14ac:dyDescent="0.2">
      <c r="A175">
        <v>19460628</v>
      </c>
      <c r="B175">
        <v>1946</v>
      </c>
      <c r="C175">
        <v>6</v>
      </c>
      <c r="D175">
        <v>-6.3368999999999995E-2</v>
      </c>
      <c r="E175">
        <v>-3.8712000000000003E-2</v>
      </c>
      <c r="F175">
        <v>-5.5328000000000002E-2</v>
      </c>
      <c r="G175">
        <v>-4.5470999999999998E-2</v>
      </c>
      <c r="H175">
        <v>-6.0781000000000002E-2</v>
      </c>
      <c r="I175">
        <v>-4.1642999999999999E-2</v>
      </c>
      <c r="J175">
        <v>-5.7547000000000001E-2</v>
      </c>
      <c r="K175">
        <v>-5.2794000000000001E-2</v>
      </c>
      <c r="L175">
        <v>-5.4951E-2</v>
      </c>
      <c r="M175">
        <v>-5.9265999999999999E-2</v>
      </c>
      <c r="N175">
        <v>-4.9924999999999997E-2</v>
      </c>
      <c r="O175">
        <v>-5.9743999999999998E-2</v>
      </c>
      <c r="P175">
        <v>-4.6514E-2</v>
      </c>
      <c r="Q175">
        <v>-6.3361000000000001E-2</v>
      </c>
      <c r="R175">
        <v>-4.7647000000000002E-2</v>
      </c>
      <c r="S175">
        <v>-5.4327E-2</v>
      </c>
      <c r="T175">
        <v>-6.2349000000000002E-2</v>
      </c>
      <c r="U175">
        <v>-5.4732999999999997E-2</v>
      </c>
      <c r="V175">
        <v>-6.1148000000000001E-2</v>
      </c>
      <c r="W175">
        <v>-5.3864000000000002E-2</v>
      </c>
      <c r="X175">
        <v>-4.3054000000000002E-2</v>
      </c>
      <c r="Y175">
        <v>-2.5121000000000001E-2</v>
      </c>
      <c r="Z175">
        <v>-9.6520000000000009E-3</v>
      </c>
      <c r="AA175">
        <v>-5.6177999999999999E-2</v>
      </c>
      <c r="AB175">
        <v>-2.7736E-2</v>
      </c>
    </row>
    <row r="176" spans="1:28" x14ac:dyDescent="0.2">
      <c r="A176">
        <v>19460731</v>
      </c>
      <c r="B176">
        <v>1946</v>
      </c>
      <c r="C176">
        <v>7</v>
      </c>
      <c r="D176">
        <v>-6.5409999999999996E-2</v>
      </c>
      <c r="E176">
        <v>-6.7544000000000007E-2</v>
      </c>
      <c r="F176">
        <v>-4.2535999999999997E-2</v>
      </c>
      <c r="G176">
        <v>-3.2959000000000002E-2</v>
      </c>
      <c r="H176">
        <v>-6.5250000000000002E-2</v>
      </c>
      <c r="I176">
        <v>-4.1666000000000002E-2</v>
      </c>
      <c r="J176">
        <v>-5.0617000000000002E-2</v>
      </c>
      <c r="K176">
        <v>-3.6000999999999998E-2</v>
      </c>
      <c r="L176">
        <v>-4.1689999999999998E-2</v>
      </c>
      <c r="M176">
        <v>-4.7188000000000001E-2</v>
      </c>
      <c r="N176">
        <v>-5.4171999999999998E-2</v>
      </c>
      <c r="O176">
        <v>-2.3869999999999999E-2</v>
      </c>
      <c r="P176">
        <v>-4.5286E-2</v>
      </c>
      <c r="Q176">
        <v>-3.2989999999999998E-2</v>
      </c>
      <c r="R176">
        <v>-4.5879999999999997E-2</v>
      </c>
      <c r="S176">
        <v>-3.5126999999999999E-2</v>
      </c>
      <c r="T176">
        <v>-2.5444999999999999E-2</v>
      </c>
      <c r="U176">
        <v>-4.1739999999999999E-2</v>
      </c>
      <c r="V176">
        <v>-3.7831999999999998E-2</v>
      </c>
      <c r="W176">
        <v>-6.2546000000000004E-2</v>
      </c>
      <c r="X176">
        <v>-2.1115999999999999E-2</v>
      </c>
      <c r="Y176">
        <v>-4.2581000000000001E-2</v>
      </c>
      <c r="Z176">
        <v>-1.6570999999999999E-2</v>
      </c>
      <c r="AA176">
        <v>-1.2160000000000001E-2</v>
      </c>
      <c r="AB176">
        <v>-2.5024999999999999E-2</v>
      </c>
    </row>
    <row r="177" spans="1:28" x14ac:dyDescent="0.2">
      <c r="A177">
        <v>19460830</v>
      </c>
      <c r="B177">
        <v>1946</v>
      </c>
      <c r="C177">
        <v>8</v>
      </c>
      <c r="D177">
        <v>-9.5196000000000003E-2</v>
      </c>
      <c r="E177">
        <v>-8.7292999999999996E-2</v>
      </c>
      <c r="F177">
        <v>-9.4730999999999996E-2</v>
      </c>
      <c r="G177">
        <v>-7.6864000000000002E-2</v>
      </c>
      <c r="H177">
        <v>-9.1386999999999996E-2</v>
      </c>
      <c r="I177">
        <v>-6.8623000000000003E-2</v>
      </c>
      <c r="J177">
        <v>-7.8011999999999998E-2</v>
      </c>
      <c r="K177">
        <v>-8.5097999999999993E-2</v>
      </c>
      <c r="L177">
        <v>-8.3405000000000007E-2</v>
      </c>
      <c r="M177">
        <v>-7.9518000000000005E-2</v>
      </c>
      <c r="N177">
        <v>-9.2077999999999993E-2</v>
      </c>
      <c r="O177">
        <v>-8.0512E-2</v>
      </c>
      <c r="P177">
        <v>-7.1774000000000004E-2</v>
      </c>
      <c r="Q177">
        <v>-6.5170000000000006E-2</v>
      </c>
      <c r="R177">
        <v>-8.4589999999999999E-2</v>
      </c>
      <c r="S177">
        <v>-6.7386000000000001E-2</v>
      </c>
      <c r="T177">
        <v>-6.1294000000000001E-2</v>
      </c>
      <c r="U177">
        <v>-6.6158999999999996E-2</v>
      </c>
      <c r="V177">
        <v>-5.4571000000000001E-2</v>
      </c>
      <c r="W177">
        <v>-9.1800000000000007E-2</v>
      </c>
      <c r="X177">
        <v>-5.9584999999999999E-2</v>
      </c>
      <c r="Y177">
        <v>-6.6677E-2</v>
      </c>
      <c r="Z177">
        <v>-6.6397999999999999E-2</v>
      </c>
      <c r="AA177">
        <v>-5.0268E-2</v>
      </c>
      <c r="AB177">
        <v>-6.7107E-2</v>
      </c>
    </row>
    <row r="178" spans="1:28" x14ac:dyDescent="0.2">
      <c r="A178">
        <v>19460930</v>
      </c>
      <c r="B178">
        <v>1946</v>
      </c>
      <c r="C178">
        <v>9</v>
      </c>
      <c r="D178">
        <v>-0.1598</v>
      </c>
      <c r="E178">
        <v>-0.18306900000000001</v>
      </c>
      <c r="F178">
        <v>-0.151062</v>
      </c>
      <c r="G178">
        <v>-0.15149799999999999</v>
      </c>
      <c r="H178">
        <v>-0.183059</v>
      </c>
      <c r="I178">
        <v>-0.139983</v>
      </c>
      <c r="J178">
        <v>-0.13506499999999999</v>
      </c>
      <c r="K178">
        <v>-0.13757800000000001</v>
      </c>
      <c r="L178">
        <v>-0.13095899999999999</v>
      </c>
      <c r="M178">
        <v>-0.16364400000000001</v>
      </c>
      <c r="N178">
        <v>-0.13806499999999999</v>
      </c>
      <c r="O178">
        <v>-0.118575</v>
      </c>
      <c r="P178">
        <v>-0.12911600000000001</v>
      </c>
      <c r="Q178">
        <v>-0.119051</v>
      </c>
      <c r="R178">
        <v>-0.14768700000000001</v>
      </c>
      <c r="S178">
        <v>-0.11020099999999999</v>
      </c>
      <c r="T178">
        <v>-0.101769</v>
      </c>
      <c r="U178">
        <v>-0.14193</v>
      </c>
      <c r="V178">
        <v>-8.4904999999999994E-2</v>
      </c>
      <c r="W178">
        <v>-0.16326199999999999</v>
      </c>
      <c r="X178">
        <v>-9.8047999999999996E-2</v>
      </c>
      <c r="Y178">
        <v>-8.8075000000000001E-2</v>
      </c>
      <c r="Z178">
        <v>-6.3969999999999999E-2</v>
      </c>
      <c r="AA178">
        <v>-8.3500000000000005E-2</v>
      </c>
      <c r="AB178">
        <v>-0.13086100000000001</v>
      </c>
    </row>
    <row r="179" spans="1:28" x14ac:dyDescent="0.2">
      <c r="A179">
        <v>19461031</v>
      </c>
      <c r="B179">
        <v>1946</v>
      </c>
      <c r="C179">
        <v>10</v>
      </c>
      <c r="D179">
        <v>-4.1431000000000003E-2</v>
      </c>
      <c r="E179">
        <v>-3.6252E-2</v>
      </c>
      <c r="F179">
        <v>1.5945000000000001E-2</v>
      </c>
      <c r="G179">
        <v>-1.5394E-2</v>
      </c>
      <c r="H179">
        <v>2.542E-3</v>
      </c>
      <c r="I179">
        <v>-4.6593000000000002E-2</v>
      </c>
      <c r="J179">
        <v>-2.6103000000000001E-2</v>
      </c>
      <c r="K179">
        <v>-1.0363000000000001E-2</v>
      </c>
      <c r="L179">
        <v>-8.2909999999999998E-3</v>
      </c>
      <c r="M179">
        <v>-7.1910000000000003E-3</v>
      </c>
      <c r="N179">
        <v>-1.3572000000000001E-2</v>
      </c>
      <c r="O179">
        <v>-2.5176E-2</v>
      </c>
      <c r="P179">
        <v>-3.0338E-2</v>
      </c>
      <c r="Q179">
        <v>-3.7079999999999999E-3</v>
      </c>
      <c r="R179">
        <v>8.5979999999999997E-3</v>
      </c>
      <c r="S179">
        <v>-3.5936000000000003E-2</v>
      </c>
      <c r="T179">
        <v>-8.4550000000000007E-3</v>
      </c>
      <c r="U179">
        <v>-2.1555000000000001E-2</v>
      </c>
      <c r="V179">
        <v>-9.6290000000000004E-3</v>
      </c>
      <c r="W179">
        <v>2.9259E-2</v>
      </c>
      <c r="X179">
        <v>-2.3751999999999999E-2</v>
      </c>
      <c r="Y179">
        <v>-2.6238000000000001E-2</v>
      </c>
      <c r="Z179">
        <v>-3.4096000000000001E-2</v>
      </c>
      <c r="AA179">
        <v>1.5740000000000001E-3</v>
      </c>
      <c r="AB179">
        <v>9.7719999999999994E-3</v>
      </c>
    </row>
    <row r="180" spans="1:28" x14ac:dyDescent="0.2">
      <c r="A180">
        <v>19461130</v>
      </c>
      <c r="B180">
        <v>1946</v>
      </c>
      <c r="C180">
        <v>11</v>
      </c>
      <c r="D180">
        <v>-2.8895000000000001E-2</v>
      </c>
      <c r="E180">
        <v>9.6319999999999999E-3</v>
      </c>
      <c r="F180">
        <v>-2.7098000000000001E-2</v>
      </c>
      <c r="G180">
        <v>-1.9120999999999999E-2</v>
      </c>
      <c r="H180">
        <v>3.594E-3</v>
      </c>
      <c r="I180">
        <v>-4.4528999999999999E-2</v>
      </c>
      <c r="J180">
        <v>1.083E-3</v>
      </c>
      <c r="K180">
        <v>-3.4970000000000001E-3</v>
      </c>
      <c r="L180">
        <v>-6.9589999999999999E-3</v>
      </c>
      <c r="M180">
        <v>1.9286999999999999E-2</v>
      </c>
      <c r="N180">
        <v>4.5500000000000002E-3</v>
      </c>
      <c r="O180">
        <v>5.3689999999999996E-3</v>
      </c>
      <c r="P180">
        <v>1.4142E-2</v>
      </c>
      <c r="Q180">
        <v>-7.7879999999999998E-3</v>
      </c>
      <c r="R180">
        <v>2.2388000000000002E-2</v>
      </c>
      <c r="S180">
        <v>1.7815000000000001E-2</v>
      </c>
      <c r="T180">
        <v>8.8000000000000003E-4</v>
      </c>
      <c r="U180">
        <v>1.1736E-2</v>
      </c>
      <c r="V180">
        <v>-7.8460000000000005E-3</v>
      </c>
      <c r="W180">
        <v>8.567E-3</v>
      </c>
      <c r="X180">
        <v>-2.5049999999999998E-3</v>
      </c>
      <c r="Y180">
        <v>-1.3569999999999999E-3</v>
      </c>
      <c r="Z180">
        <v>3.032E-3</v>
      </c>
      <c r="AA180">
        <v>8.7659999999999995E-3</v>
      </c>
      <c r="AB180">
        <v>-7.0959999999999999E-3</v>
      </c>
    </row>
    <row r="181" spans="1:28" x14ac:dyDescent="0.2">
      <c r="A181">
        <v>19461231</v>
      </c>
      <c r="B181">
        <v>1946</v>
      </c>
      <c r="C181">
        <v>12</v>
      </c>
      <c r="D181">
        <v>1.6961E-2</v>
      </c>
      <c r="E181">
        <v>8.4525000000000003E-2</v>
      </c>
      <c r="F181">
        <v>3.5098999999999998E-2</v>
      </c>
      <c r="G181">
        <v>3.2897000000000003E-2</v>
      </c>
      <c r="H181">
        <v>3.0842999999999999E-2</v>
      </c>
      <c r="I181">
        <v>4.5531000000000002E-2</v>
      </c>
      <c r="J181">
        <v>7.4313000000000004E-2</v>
      </c>
      <c r="K181">
        <v>3.4396000000000003E-2</v>
      </c>
      <c r="L181">
        <v>4.7508000000000002E-2</v>
      </c>
      <c r="M181">
        <v>4.2175999999999998E-2</v>
      </c>
      <c r="N181">
        <v>5.3376E-2</v>
      </c>
      <c r="O181">
        <v>4.462E-2</v>
      </c>
      <c r="P181">
        <v>6.0754000000000002E-2</v>
      </c>
      <c r="Q181">
        <v>7.0827000000000001E-2</v>
      </c>
      <c r="R181">
        <v>3.3029000000000003E-2</v>
      </c>
      <c r="S181">
        <v>7.2875999999999996E-2</v>
      </c>
      <c r="T181">
        <v>5.7638000000000002E-2</v>
      </c>
      <c r="U181">
        <v>8.2831000000000002E-2</v>
      </c>
      <c r="V181">
        <v>2.6418000000000001E-2</v>
      </c>
      <c r="W181">
        <v>4.3077999999999998E-2</v>
      </c>
      <c r="X181">
        <v>5.2998999999999998E-2</v>
      </c>
      <c r="Y181">
        <v>6.2626000000000001E-2</v>
      </c>
      <c r="Z181">
        <v>4.018E-2</v>
      </c>
      <c r="AA181">
        <v>4.4396999999999999E-2</v>
      </c>
      <c r="AB181">
        <v>3.6553000000000002E-2</v>
      </c>
    </row>
    <row r="182" spans="1:28" x14ac:dyDescent="0.2">
      <c r="A182">
        <v>19470131</v>
      </c>
      <c r="B182">
        <v>1947</v>
      </c>
      <c r="C182">
        <v>1</v>
      </c>
      <c r="D182">
        <v>5.7335999999999998E-2</v>
      </c>
      <c r="E182">
        <v>5.8196999999999999E-2</v>
      </c>
      <c r="F182">
        <v>3.0498000000000001E-2</v>
      </c>
      <c r="G182">
        <v>5.0174000000000003E-2</v>
      </c>
      <c r="H182">
        <v>5.1358000000000001E-2</v>
      </c>
      <c r="I182">
        <v>6.4056000000000002E-2</v>
      </c>
      <c r="J182">
        <v>2.5166000000000001E-2</v>
      </c>
      <c r="K182">
        <v>3.0032E-2</v>
      </c>
      <c r="L182">
        <v>1.9404000000000001E-2</v>
      </c>
      <c r="M182">
        <v>4.4276000000000003E-2</v>
      </c>
      <c r="N182">
        <v>1.2239999999999999E-2</v>
      </c>
      <c r="O182">
        <v>2.7387000000000002E-2</v>
      </c>
      <c r="P182">
        <v>2.3130000000000001E-2</v>
      </c>
      <c r="Q182">
        <v>3.7230000000000002E-3</v>
      </c>
      <c r="R182">
        <v>4.5317000000000003E-2</v>
      </c>
      <c r="S182">
        <v>-1.487E-2</v>
      </c>
      <c r="T182">
        <v>5.3090000000000004E-3</v>
      </c>
      <c r="U182">
        <v>1.5844E-2</v>
      </c>
      <c r="V182">
        <v>3.3522999999999997E-2</v>
      </c>
      <c r="W182">
        <v>1.8998999999999999E-2</v>
      </c>
      <c r="X182">
        <v>2.3791E-2</v>
      </c>
      <c r="Y182">
        <v>-1.498E-3</v>
      </c>
      <c r="Z182">
        <v>1.3249E-2</v>
      </c>
      <c r="AA182">
        <v>-5.4669999999999996E-3</v>
      </c>
      <c r="AB182">
        <v>1.3864E-2</v>
      </c>
    </row>
    <row r="183" spans="1:28" x14ac:dyDescent="0.2">
      <c r="A183">
        <v>19470228</v>
      </c>
      <c r="B183">
        <v>1947</v>
      </c>
      <c r="C183">
        <v>2</v>
      </c>
      <c r="D183">
        <v>1.0465E-2</v>
      </c>
      <c r="E183">
        <v>-2.0308E-2</v>
      </c>
      <c r="F183">
        <v>-9.6340000000000002E-3</v>
      </c>
      <c r="G183">
        <v>9.6340000000000002E-3</v>
      </c>
      <c r="H183">
        <v>2.9499999999999999E-3</v>
      </c>
      <c r="I183">
        <v>-2.3234000000000001E-2</v>
      </c>
      <c r="J183">
        <v>2.797E-3</v>
      </c>
      <c r="K183">
        <v>1.3723000000000001E-2</v>
      </c>
      <c r="L183">
        <v>-1.2193000000000001E-2</v>
      </c>
      <c r="M183">
        <v>9.9010000000000001E-3</v>
      </c>
      <c r="N183">
        <v>-1.719E-2</v>
      </c>
      <c r="O183">
        <v>-1.4567999999999999E-2</v>
      </c>
      <c r="P183">
        <v>-1.363E-2</v>
      </c>
      <c r="Q183">
        <v>-7.9620000000000003E-3</v>
      </c>
      <c r="R183">
        <v>7.9699999999999997E-3</v>
      </c>
      <c r="S183">
        <v>-1.8550000000000001E-2</v>
      </c>
      <c r="T183">
        <v>-9.6659999999999992E-3</v>
      </c>
      <c r="U183">
        <v>-2.0604999999999998E-2</v>
      </c>
      <c r="V183">
        <v>-1.8363000000000001E-2</v>
      </c>
      <c r="W183">
        <v>1.825E-3</v>
      </c>
      <c r="X183">
        <v>6.9940000000000002E-3</v>
      </c>
      <c r="Y183">
        <v>-4.7080000000000004E-3</v>
      </c>
      <c r="Z183">
        <v>-1.5480000000000001E-2</v>
      </c>
      <c r="AA183">
        <v>-1.6102000000000002E-2</v>
      </c>
      <c r="AB183">
        <v>-2.4915E-2</v>
      </c>
    </row>
    <row r="184" spans="1:28" x14ac:dyDescent="0.2">
      <c r="A184">
        <v>19470331</v>
      </c>
      <c r="B184">
        <v>1947</v>
      </c>
      <c r="C184">
        <v>3</v>
      </c>
      <c r="D184">
        <v>-5.2422000000000003E-2</v>
      </c>
      <c r="E184">
        <v>-4.4706000000000003E-2</v>
      </c>
      <c r="F184">
        <v>-5.0587E-2</v>
      </c>
      <c r="G184">
        <v>-4.6178999999999998E-2</v>
      </c>
      <c r="H184">
        <v>-1.7482000000000001E-2</v>
      </c>
      <c r="I184">
        <v>-4.3206000000000001E-2</v>
      </c>
      <c r="J184">
        <v>-4.2592999999999999E-2</v>
      </c>
      <c r="K184">
        <v>-3.4903000000000003E-2</v>
      </c>
      <c r="L184">
        <v>-2.5581E-2</v>
      </c>
      <c r="M184">
        <v>-3.0044000000000001E-2</v>
      </c>
      <c r="N184">
        <v>-2.3148999999999999E-2</v>
      </c>
      <c r="O184">
        <v>-2.7407999999999998E-2</v>
      </c>
      <c r="P184">
        <v>-2.7188E-2</v>
      </c>
      <c r="Q184">
        <v>-1.2567E-2</v>
      </c>
      <c r="R184">
        <v>-2.4666E-2</v>
      </c>
      <c r="S184">
        <v>-3.833E-3</v>
      </c>
      <c r="T184">
        <v>-1.4940999999999999E-2</v>
      </c>
      <c r="U184">
        <v>-2.6823E-2</v>
      </c>
      <c r="V184">
        <v>-7.3239999999999998E-3</v>
      </c>
      <c r="W184">
        <v>-2.6731999999999999E-2</v>
      </c>
      <c r="X184">
        <v>-1.7298000000000001E-2</v>
      </c>
      <c r="Y184">
        <v>-2.1434000000000002E-2</v>
      </c>
      <c r="Z184">
        <v>-2.0691999999999999E-2</v>
      </c>
      <c r="AA184">
        <v>6.496E-3</v>
      </c>
      <c r="AB184">
        <v>-2.1531999999999999E-2</v>
      </c>
    </row>
    <row r="185" spans="1:28" x14ac:dyDescent="0.2">
      <c r="A185">
        <v>19470430</v>
      </c>
      <c r="B185">
        <v>1947</v>
      </c>
      <c r="C185">
        <v>4</v>
      </c>
      <c r="D185">
        <v>-0.11400100000000001</v>
      </c>
      <c r="E185">
        <v>-9.7145999999999996E-2</v>
      </c>
      <c r="F185">
        <v>-9.8502999999999993E-2</v>
      </c>
      <c r="G185">
        <v>-9.2323000000000002E-2</v>
      </c>
      <c r="H185">
        <v>-9.3417E-2</v>
      </c>
      <c r="I185">
        <v>-9.1217999999999994E-2</v>
      </c>
      <c r="J185">
        <v>-6.25E-2</v>
      </c>
      <c r="K185">
        <v>-8.2355999999999999E-2</v>
      </c>
      <c r="L185">
        <v>-9.4135999999999997E-2</v>
      </c>
      <c r="M185">
        <v>-8.9615E-2</v>
      </c>
      <c r="N185">
        <v>-9.3694E-2</v>
      </c>
      <c r="O185">
        <v>-8.5364999999999996E-2</v>
      </c>
      <c r="P185">
        <v>-7.6576000000000005E-2</v>
      </c>
      <c r="Q185">
        <v>-6.5438999999999997E-2</v>
      </c>
      <c r="R185">
        <v>-6.5508999999999998E-2</v>
      </c>
      <c r="S185">
        <v>-6.7357E-2</v>
      </c>
      <c r="T185">
        <v>-6.3728999999999994E-2</v>
      </c>
      <c r="U185">
        <v>-7.4537000000000006E-2</v>
      </c>
      <c r="V185">
        <v>-8.5339999999999999E-2</v>
      </c>
      <c r="W185">
        <v>-8.0751000000000003E-2</v>
      </c>
      <c r="X185">
        <v>-4.7240999999999998E-2</v>
      </c>
      <c r="Y185">
        <v>-5.2982000000000001E-2</v>
      </c>
      <c r="Z185">
        <v>-2.3966000000000001E-2</v>
      </c>
      <c r="AA185">
        <v>-2.7480999999999998E-2</v>
      </c>
      <c r="AB185">
        <v>-3.8912000000000002E-2</v>
      </c>
    </row>
    <row r="186" spans="1:28" x14ac:dyDescent="0.2">
      <c r="A186">
        <v>19470529</v>
      </c>
      <c r="B186">
        <v>1947</v>
      </c>
      <c r="C186">
        <v>5</v>
      </c>
      <c r="D186">
        <v>-6.2370000000000002E-2</v>
      </c>
      <c r="E186">
        <v>-7.0371000000000003E-2</v>
      </c>
      <c r="F186">
        <v>-7.2636999999999993E-2</v>
      </c>
      <c r="G186">
        <v>-5.1159999999999997E-2</v>
      </c>
      <c r="H186">
        <v>-5.6548000000000001E-2</v>
      </c>
      <c r="I186">
        <v>-7.1027000000000007E-2</v>
      </c>
      <c r="J186">
        <v>-4.6295999999999997E-2</v>
      </c>
      <c r="K186">
        <v>-3.9648000000000003E-2</v>
      </c>
      <c r="L186">
        <v>-3.3822999999999999E-2</v>
      </c>
      <c r="M186">
        <v>-1.8662000000000002E-2</v>
      </c>
      <c r="N186">
        <v>-4.6101999999999997E-2</v>
      </c>
      <c r="O186">
        <v>-3.0026000000000001E-2</v>
      </c>
      <c r="P186">
        <v>-4.4381999999999998E-2</v>
      </c>
      <c r="Q186">
        <v>-2.5006E-2</v>
      </c>
      <c r="R186">
        <v>-3.7822000000000001E-2</v>
      </c>
      <c r="S186">
        <v>-3.1234000000000001E-2</v>
      </c>
      <c r="T186">
        <v>-3.7164000000000003E-2</v>
      </c>
      <c r="U186">
        <v>-1.2158E-2</v>
      </c>
      <c r="V186">
        <v>-4.4395999999999998E-2</v>
      </c>
      <c r="W186">
        <v>-2.5895999999999999E-2</v>
      </c>
      <c r="X186">
        <v>-8.5170000000000003E-3</v>
      </c>
      <c r="Y186">
        <v>5.6099999999999998E-4</v>
      </c>
      <c r="Z186">
        <v>-1.2118E-2</v>
      </c>
      <c r="AA186">
        <v>1.865E-2</v>
      </c>
      <c r="AB186">
        <v>-2.1204000000000001E-2</v>
      </c>
    </row>
    <row r="187" spans="1:28" x14ac:dyDescent="0.2">
      <c r="A187">
        <v>19470630</v>
      </c>
      <c r="B187">
        <v>1947</v>
      </c>
      <c r="C187">
        <v>6</v>
      </c>
      <c r="D187">
        <v>6.8417000000000006E-2</v>
      </c>
      <c r="E187">
        <v>3.2011999999999999E-2</v>
      </c>
      <c r="F187">
        <v>7.7984999999999999E-2</v>
      </c>
      <c r="G187">
        <v>2.8754999999999999E-2</v>
      </c>
      <c r="H187">
        <v>6.3072000000000003E-2</v>
      </c>
      <c r="I187">
        <v>4.8066999999999999E-2</v>
      </c>
      <c r="J187">
        <v>4.5430999999999999E-2</v>
      </c>
      <c r="K187">
        <v>6.2021E-2</v>
      </c>
      <c r="L187">
        <v>6.0727999999999997E-2</v>
      </c>
      <c r="M187">
        <v>4.6420999999999997E-2</v>
      </c>
      <c r="N187">
        <v>3.3570000000000003E-2</v>
      </c>
      <c r="O187">
        <v>5.5648000000000003E-2</v>
      </c>
      <c r="P187">
        <v>5.9345000000000002E-2</v>
      </c>
      <c r="Q187">
        <v>6.0436999999999998E-2</v>
      </c>
      <c r="R187">
        <v>5.5190999999999997E-2</v>
      </c>
      <c r="S187">
        <v>7.1476999999999999E-2</v>
      </c>
      <c r="T187">
        <v>6.3668000000000002E-2</v>
      </c>
      <c r="U187">
        <v>5.3129000000000003E-2</v>
      </c>
      <c r="V187">
        <v>5.0900000000000001E-2</v>
      </c>
      <c r="W187">
        <v>6.0849E-2</v>
      </c>
      <c r="X187">
        <v>6.1342000000000001E-2</v>
      </c>
      <c r="Y187">
        <v>7.3053999999999994E-2</v>
      </c>
      <c r="Z187">
        <v>7.4609999999999998E-3</v>
      </c>
      <c r="AA187">
        <v>6.0399000000000001E-2</v>
      </c>
      <c r="AB187">
        <v>4.3784999999999998E-2</v>
      </c>
    </row>
    <row r="188" spans="1:28" x14ac:dyDescent="0.2">
      <c r="A188">
        <v>19470731</v>
      </c>
      <c r="B188">
        <v>1947</v>
      </c>
      <c r="C188">
        <v>7</v>
      </c>
      <c r="D188">
        <v>0.10172</v>
      </c>
      <c r="E188">
        <v>7.9814999999999997E-2</v>
      </c>
      <c r="F188">
        <v>7.9089999999999994E-2</v>
      </c>
      <c r="G188">
        <v>5.1505000000000002E-2</v>
      </c>
      <c r="H188">
        <v>9.0041999999999997E-2</v>
      </c>
      <c r="I188">
        <v>4.7010999999999997E-2</v>
      </c>
      <c r="J188">
        <v>6.7416000000000004E-2</v>
      </c>
      <c r="K188">
        <v>5.7605999999999997E-2</v>
      </c>
      <c r="L188">
        <v>6.3556000000000001E-2</v>
      </c>
      <c r="M188">
        <v>8.2041000000000003E-2</v>
      </c>
      <c r="N188">
        <v>6.3173000000000007E-2</v>
      </c>
      <c r="O188">
        <v>3.9820000000000001E-2</v>
      </c>
      <c r="P188">
        <v>8.2471000000000003E-2</v>
      </c>
      <c r="Q188">
        <v>7.0233000000000004E-2</v>
      </c>
      <c r="R188">
        <v>7.0474999999999996E-2</v>
      </c>
      <c r="S188">
        <v>3.8544000000000002E-2</v>
      </c>
      <c r="T188">
        <v>3.9593999999999997E-2</v>
      </c>
      <c r="U188">
        <v>8.0315999999999999E-2</v>
      </c>
      <c r="V188">
        <v>4.7550000000000002E-2</v>
      </c>
      <c r="W188">
        <v>9.9724999999999994E-2</v>
      </c>
      <c r="X188">
        <v>3.3850999999999999E-2</v>
      </c>
      <c r="Y188">
        <v>3.7331999999999997E-2</v>
      </c>
      <c r="Z188">
        <v>2.6415000000000001E-2</v>
      </c>
      <c r="AA188">
        <v>3.5064999999999999E-2</v>
      </c>
      <c r="AB188">
        <v>7.2486999999999996E-2</v>
      </c>
    </row>
    <row r="189" spans="1:28" x14ac:dyDescent="0.2">
      <c r="A189">
        <v>19470829</v>
      </c>
      <c r="B189">
        <v>1947</v>
      </c>
      <c r="C189">
        <v>8</v>
      </c>
      <c r="D189">
        <v>-2.5052999999999999E-2</v>
      </c>
      <c r="E189">
        <v>-3.1823999999999998E-2</v>
      </c>
      <c r="F189">
        <v>-3.4217999999999998E-2</v>
      </c>
      <c r="G189">
        <v>-1.3391E-2</v>
      </c>
      <c r="H189">
        <v>-2.4382999999999998E-2</v>
      </c>
      <c r="I189">
        <v>-2.3896000000000001E-2</v>
      </c>
      <c r="J189">
        <v>-1.1785E-2</v>
      </c>
      <c r="K189">
        <v>-1.8429000000000001E-2</v>
      </c>
      <c r="L189">
        <v>-6.3769999999999999E-3</v>
      </c>
      <c r="M189">
        <v>-1.5516E-2</v>
      </c>
      <c r="N189">
        <v>3.333E-3</v>
      </c>
      <c r="O189">
        <v>-1.5006E-2</v>
      </c>
      <c r="P189">
        <v>-1.7985999999999999E-2</v>
      </c>
      <c r="Q189">
        <v>-1.5547E-2</v>
      </c>
      <c r="R189">
        <v>-9.0089999999999996E-3</v>
      </c>
      <c r="S189">
        <v>-1.4312999999999999E-2</v>
      </c>
      <c r="T189">
        <v>-1.2147E-2</v>
      </c>
      <c r="U189">
        <v>-3.0079000000000002E-2</v>
      </c>
      <c r="V189">
        <v>-1.8884999999999999E-2</v>
      </c>
      <c r="W189">
        <v>-1.9193999999999999E-2</v>
      </c>
      <c r="X189">
        <v>-1.7635000000000001E-2</v>
      </c>
      <c r="Y189">
        <v>-1.78E-2</v>
      </c>
      <c r="Z189">
        <v>-1.4499E-2</v>
      </c>
      <c r="AA189">
        <v>-9.9520000000000008E-3</v>
      </c>
      <c r="AB189">
        <v>-2.9697999999999999E-2</v>
      </c>
    </row>
    <row r="190" spans="1:28" x14ac:dyDescent="0.2">
      <c r="A190">
        <v>19470930</v>
      </c>
      <c r="B190">
        <v>1947</v>
      </c>
      <c r="C190">
        <v>9</v>
      </c>
      <c r="D190">
        <v>1.1831E-2</v>
      </c>
      <c r="E190">
        <v>5.2729999999999999E-3</v>
      </c>
      <c r="F190">
        <v>-6.9589999999999999E-3</v>
      </c>
      <c r="G190">
        <v>-1.8209999999999999E-3</v>
      </c>
      <c r="H190">
        <v>2.8413999999999998E-2</v>
      </c>
      <c r="I190">
        <v>-7.6670000000000002E-3</v>
      </c>
      <c r="J190">
        <v>1.8544000000000001E-2</v>
      </c>
      <c r="K190">
        <v>7.901E-3</v>
      </c>
      <c r="L190">
        <v>8.4010000000000005E-3</v>
      </c>
      <c r="M190">
        <v>3.2507000000000001E-2</v>
      </c>
      <c r="N190">
        <v>8.3180000000000007E-3</v>
      </c>
      <c r="O190">
        <v>-1.3880999999999999E-2</v>
      </c>
      <c r="P190">
        <v>8.0829999999999999E-3</v>
      </c>
      <c r="Q190">
        <v>1.3835E-2</v>
      </c>
      <c r="R190">
        <v>2.0227999999999999E-2</v>
      </c>
      <c r="S190">
        <v>-7.8589999999999997E-3</v>
      </c>
      <c r="T190">
        <v>-7.9489999999999995E-3</v>
      </c>
      <c r="U190">
        <v>2.5239999999999999E-2</v>
      </c>
      <c r="V190">
        <v>2.2641000000000001E-2</v>
      </c>
      <c r="W190">
        <v>8.9910000000000007E-3</v>
      </c>
      <c r="X190">
        <v>-5.6849999999999999E-3</v>
      </c>
      <c r="Y190">
        <v>-8.0079999999999995E-3</v>
      </c>
      <c r="Z190">
        <v>-1.3779E-2</v>
      </c>
      <c r="AA190">
        <v>-3.4629999999999999E-3</v>
      </c>
      <c r="AB190">
        <v>-5.7470000000000004E-3</v>
      </c>
    </row>
    <row r="191" spans="1:28" x14ac:dyDescent="0.2">
      <c r="A191">
        <v>19471031</v>
      </c>
      <c r="B191">
        <v>1947</v>
      </c>
      <c r="C191">
        <v>10</v>
      </c>
      <c r="D191">
        <v>2.4823000000000001E-2</v>
      </c>
      <c r="E191">
        <v>5.6887E-2</v>
      </c>
      <c r="F191">
        <v>7.9052999999999998E-2</v>
      </c>
      <c r="G191">
        <v>4.2627999999999999E-2</v>
      </c>
      <c r="H191">
        <v>2.5423999999999999E-2</v>
      </c>
      <c r="I191">
        <v>3.1628999999999997E-2</v>
      </c>
      <c r="J191">
        <v>3.2375000000000001E-2</v>
      </c>
      <c r="K191">
        <v>2.8569000000000001E-2</v>
      </c>
      <c r="L191">
        <v>4.385E-2</v>
      </c>
      <c r="M191">
        <v>3.1104E-2</v>
      </c>
      <c r="N191">
        <v>5.1518000000000001E-2</v>
      </c>
      <c r="O191">
        <v>3.2501000000000002E-2</v>
      </c>
      <c r="P191">
        <v>3.6762999999999997E-2</v>
      </c>
      <c r="Q191">
        <v>4.4968000000000001E-2</v>
      </c>
      <c r="R191">
        <v>8.5620000000000002E-3</v>
      </c>
      <c r="S191">
        <v>3.4631000000000002E-2</v>
      </c>
      <c r="T191">
        <v>2.7028E-2</v>
      </c>
      <c r="U191">
        <v>4.1813999999999997E-2</v>
      </c>
      <c r="V191">
        <v>1.6208E-2</v>
      </c>
      <c r="W191">
        <v>-8.2299999999999995E-4</v>
      </c>
      <c r="X191">
        <v>1.7815000000000001E-2</v>
      </c>
      <c r="Y191">
        <v>4.2620999999999999E-2</v>
      </c>
      <c r="Z191">
        <v>2.4239E-2</v>
      </c>
      <c r="AA191">
        <v>2.5916000000000002E-2</v>
      </c>
      <c r="AB191">
        <v>3.5963000000000002E-2</v>
      </c>
    </row>
    <row r="192" spans="1:28" x14ac:dyDescent="0.2">
      <c r="A192">
        <v>19471129</v>
      </c>
      <c r="B192">
        <v>1947</v>
      </c>
      <c r="C192">
        <v>11</v>
      </c>
      <c r="D192">
        <v>-4.7699999999999999E-2</v>
      </c>
      <c r="E192">
        <v>-5.9517E-2</v>
      </c>
      <c r="F192">
        <v>-3.7439E-2</v>
      </c>
      <c r="G192">
        <v>-2.0511000000000001E-2</v>
      </c>
      <c r="H192">
        <v>-2.2935000000000001E-2</v>
      </c>
      <c r="I192">
        <v>-5.1402999999999997E-2</v>
      </c>
      <c r="J192">
        <v>-3.3607999999999999E-2</v>
      </c>
      <c r="K192">
        <v>-2.6213E-2</v>
      </c>
      <c r="L192">
        <v>-3.9404000000000002E-2</v>
      </c>
      <c r="M192">
        <v>-2.8877E-2</v>
      </c>
      <c r="N192">
        <v>-2.5572000000000001E-2</v>
      </c>
      <c r="O192">
        <v>-3.7135000000000001E-2</v>
      </c>
      <c r="P192">
        <v>-2.8305E-2</v>
      </c>
      <c r="Q192">
        <v>-2.9225000000000001E-2</v>
      </c>
      <c r="R192">
        <v>-1.9269000000000001E-2</v>
      </c>
      <c r="S192">
        <v>-2.8811E-2</v>
      </c>
      <c r="T192">
        <v>-2.5012E-2</v>
      </c>
      <c r="U192">
        <v>-1.9088000000000001E-2</v>
      </c>
      <c r="V192">
        <v>-1.8537000000000001E-2</v>
      </c>
      <c r="W192">
        <v>-3.9363000000000002E-2</v>
      </c>
      <c r="X192">
        <v>-1.7221E-2</v>
      </c>
      <c r="Y192">
        <v>-1.6754000000000002E-2</v>
      </c>
      <c r="Z192">
        <v>-1.3705999999999999E-2</v>
      </c>
      <c r="AA192">
        <v>-2.2433999999999999E-2</v>
      </c>
      <c r="AB192">
        <v>-1.4663000000000001E-2</v>
      </c>
    </row>
    <row r="193" spans="1:28" x14ac:dyDescent="0.2">
      <c r="A193">
        <v>19471231</v>
      </c>
      <c r="B193">
        <v>1947</v>
      </c>
      <c r="C193">
        <v>12</v>
      </c>
      <c r="D193">
        <v>-3.4810000000000001E-2</v>
      </c>
      <c r="E193">
        <v>3.823E-2</v>
      </c>
      <c r="F193">
        <v>-1.7510999999999999E-2</v>
      </c>
      <c r="G193">
        <v>6.4899999999999995E-4</v>
      </c>
      <c r="H193">
        <v>4.4914000000000003E-2</v>
      </c>
      <c r="I193">
        <v>-1.2038E-2</v>
      </c>
      <c r="J193">
        <v>1.4529E-2</v>
      </c>
      <c r="K193">
        <v>1.4696000000000001E-2</v>
      </c>
      <c r="L193">
        <v>-5.45E-3</v>
      </c>
      <c r="M193">
        <v>6.6680000000000003E-2</v>
      </c>
      <c r="N193">
        <v>1.9488999999999999E-2</v>
      </c>
      <c r="O193">
        <v>4.1432999999999998E-2</v>
      </c>
      <c r="P193">
        <v>3.3300000000000001E-3</v>
      </c>
      <c r="Q193">
        <v>2.4487999999999999E-2</v>
      </c>
      <c r="R193">
        <v>2.9656999999999999E-2</v>
      </c>
      <c r="S193">
        <v>4.4944999999999999E-2</v>
      </c>
      <c r="T193">
        <v>2.9989999999999999E-2</v>
      </c>
      <c r="U193">
        <v>1.1217E-2</v>
      </c>
      <c r="V193">
        <v>6.1000000000000004E-3</v>
      </c>
      <c r="W193">
        <v>3.5456000000000001E-2</v>
      </c>
      <c r="X193">
        <v>1.6615000000000001E-2</v>
      </c>
      <c r="Y193">
        <v>3.6142000000000001E-2</v>
      </c>
      <c r="Z193">
        <v>3.6971999999999998E-2</v>
      </c>
      <c r="AA193">
        <v>4.6858999999999998E-2</v>
      </c>
      <c r="AB193">
        <v>7.4973999999999999E-2</v>
      </c>
    </row>
    <row r="194" spans="1:28" x14ac:dyDescent="0.2">
      <c r="A194">
        <v>19480131</v>
      </c>
      <c r="B194">
        <v>1948</v>
      </c>
      <c r="C194">
        <v>1</v>
      </c>
      <c r="D194">
        <v>2.4166E-2</v>
      </c>
      <c r="E194">
        <v>-1.1871E-2</v>
      </c>
      <c r="F194">
        <v>-2.4254999999999999E-2</v>
      </c>
      <c r="G194">
        <v>-1.1913999999999999E-2</v>
      </c>
      <c r="H194">
        <v>1.2146000000000001E-2</v>
      </c>
      <c r="I194">
        <v>-3.2770000000000001E-2</v>
      </c>
      <c r="J194">
        <v>-1.8200000000000001E-2</v>
      </c>
      <c r="K194">
        <v>-3.2245999999999997E-2</v>
      </c>
      <c r="L194">
        <v>-1.1851E-2</v>
      </c>
      <c r="M194">
        <v>-1.0169999999999999E-3</v>
      </c>
      <c r="N194">
        <v>-3.9128000000000003E-2</v>
      </c>
      <c r="O194">
        <v>-3.7574000000000003E-2</v>
      </c>
      <c r="P194">
        <v>-2.1918E-2</v>
      </c>
      <c r="Q194">
        <v>-3.8768999999999998E-2</v>
      </c>
      <c r="R194">
        <v>-1.5740000000000001E-3</v>
      </c>
      <c r="S194">
        <v>-3.1784E-2</v>
      </c>
      <c r="T194">
        <v>-3.7891000000000001E-2</v>
      </c>
      <c r="U194">
        <v>-3.3745999999999998E-2</v>
      </c>
      <c r="V194">
        <v>6.2469999999999999E-3</v>
      </c>
      <c r="W194">
        <v>2.6570000000000001E-3</v>
      </c>
      <c r="X194">
        <v>-4.8956E-2</v>
      </c>
      <c r="Y194">
        <v>-4.3452999999999999E-2</v>
      </c>
      <c r="Z194">
        <v>-4.3027000000000003E-2</v>
      </c>
      <c r="AA194">
        <v>-3.3531999999999999E-2</v>
      </c>
      <c r="AB194">
        <v>-4.2190999999999999E-2</v>
      </c>
    </row>
    <row r="195" spans="1:28" x14ac:dyDescent="0.2">
      <c r="A195">
        <v>19480228</v>
      </c>
      <c r="B195">
        <v>1948</v>
      </c>
      <c r="C195">
        <v>2</v>
      </c>
      <c r="D195">
        <v>-8.7490999999999999E-2</v>
      </c>
      <c r="E195">
        <v>-6.9237000000000007E-2</v>
      </c>
      <c r="F195">
        <v>-7.8765000000000002E-2</v>
      </c>
      <c r="G195">
        <v>-6.9335999999999995E-2</v>
      </c>
      <c r="H195">
        <v>-6.4180000000000001E-2</v>
      </c>
      <c r="I195">
        <v>-7.1318000000000006E-2</v>
      </c>
      <c r="J195">
        <v>-6.0142000000000001E-2</v>
      </c>
      <c r="K195">
        <v>-7.0624000000000006E-2</v>
      </c>
      <c r="L195">
        <v>-5.5425000000000002E-2</v>
      </c>
      <c r="M195">
        <v>-7.1702000000000002E-2</v>
      </c>
      <c r="N195">
        <v>-4.8766999999999998E-2</v>
      </c>
      <c r="O195">
        <v>-7.6788999999999996E-2</v>
      </c>
      <c r="P195">
        <v>-6.3121999999999998E-2</v>
      </c>
      <c r="Q195">
        <v>-6.7487000000000005E-2</v>
      </c>
      <c r="R195">
        <v>-5.0034000000000002E-2</v>
      </c>
      <c r="S195">
        <v>-5.3761999999999997E-2</v>
      </c>
      <c r="T195">
        <v>-5.4884000000000002E-2</v>
      </c>
      <c r="U195">
        <v>-2.9033E-2</v>
      </c>
      <c r="V195">
        <v>-6.7229999999999998E-2</v>
      </c>
      <c r="W195">
        <v>-6.6564999999999999E-2</v>
      </c>
      <c r="X195">
        <v>-4.5961000000000002E-2</v>
      </c>
      <c r="Y195">
        <v>-4.7793000000000002E-2</v>
      </c>
      <c r="Z195">
        <v>-2.7899E-2</v>
      </c>
      <c r="AA195">
        <v>-4.1307000000000003E-2</v>
      </c>
      <c r="AB195">
        <v>-3.8116999999999998E-2</v>
      </c>
    </row>
    <row r="196" spans="1:28" x14ac:dyDescent="0.2">
      <c r="A196">
        <v>19480331</v>
      </c>
      <c r="B196">
        <v>1948</v>
      </c>
      <c r="C196">
        <v>3</v>
      </c>
      <c r="D196">
        <v>0.14419399999999999</v>
      </c>
      <c r="E196">
        <v>8.1050999999999998E-2</v>
      </c>
      <c r="F196">
        <v>0.100796</v>
      </c>
      <c r="G196">
        <v>9.9548999999999999E-2</v>
      </c>
      <c r="H196">
        <v>0.10856300000000001</v>
      </c>
      <c r="I196">
        <v>5.3770999999999999E-2</v>
      </c>
      <c r="J196">
        <v>6.5976000000000007E-2</v>
      </c>
      <c r="K196">
        <v>8.8609999999999994E-2</v>
      </c>
      <c r="L196">
        <v>0.101342</v>
      </c>
      <c r="M196">
        <v>0.13036900000000001</v>
      </c>
      <c r="N196">
        <v>6.6586999999999993E-2</v>
      </c>
      <c r="O196">
        <v>6.9833999999999993E-2</v>
      </c>
      <c r="P196">
        <v>0.112787</v>
      </c>
      <c r="Q196">
        <v>0.11266900000000001</v>
      </c>
      <c r="R196">
        <v>0.117289</v>
      </c>
      <c r="S196">
        <v>9.0230000000000005E-2</v>
      </c>
      <c r="T196">
        <v>8.233E-2</v>
      </c>
      <c r="U196">
        <v>8.3193000000000003E-2</v>
      </c>
      <c r="V196">
        <v>0.108096</v>
      </c>
      <c r="W196">
        <v>0.13222400000000001</v>
      </c>
      <c r="X196">
        <v>7.3011999999999994E-2</v>
      </c>
      <c r="Y196">
        <v>0.10588500000000001</v>
      </c>
      <c r="Z196">
        <v>6.2190000000000002E-2</v>
      </c>
      <c r="AA196">
        <v>8.6599999999999996E-2</v>
      </c>
      <c r="AB196">
        <v>0.105421</v>
      </c>
    </row>
    <row r="197" spans="1:28" x14ac:dyDescent="0.2">
      <c r="A197">
        <v>19480430</v>
      </c>
      <c r="B197">
        <v>1948</v>
      </c>
      <c r="C197">
        <v>4</v>
      </c>
      <c r="D197">
        <v>-3.8830000000000002E-3</v>
      </c>
      <c r="E197">
        <v>5.6883999999999997E-2</v>
      </c>
      <c r="F197">
        <v>1.5523E-2</v>
      </c>
      <c r="G197">
        <v>5.1455000000000001E-2</v>
      </c>
      <c r="H197">
        <v>5.4767000000000003E-2</v>
      </c>
      <c r="I197">
        <v>4.4824999999999997E-2</v>
      </c>
      <c r="J197">
        <v>1.5382E-2</v>
      </c>
      <c r="K197">
        <v>7.6899999999999998E-3</v>
      </c>
      <c r="L197">
        <v>5.3060999999999997E-2</v>
      </c>
      <c r="M197">
        <v>5.3897E-2</v>
      </c>
      <c r="N197">
        <v>2.3710999999999999E-2</v>
      </c>
      <c r="O197">
        <v>2.4277E-2</v>
      </c>
      <c r="P197">
        <v>2.4111E-2</v>
      </c>
      <c r="Q197">
        <v>2.8537E-2</v>
      </c>
      <c r="R197">
        <v>3.8352999999999998E-2</v>
      </c>
      <c r="S197">
        <v>5.1074000000000001E-2</v>
      </c>
      <c r="T197">
        <v>3.7118999999999999E-2</v>
      </c>
      <c r="U197">
        <v>6.9728999999999999E-2</v>
      </c>
      <c r="V197">
        <v>1.5095000000000001E-2</v>
      </c>
      <c r="W197">
        <v>7.0953000000000002E-2</v>
      </c>
      <c r="X197">
        <v>1.9796000000000001E-2</v>
      </c>
      <c r="Y197">
        <v>2.9276E-2</v>
      </c>
      <c r="Z197">
        <v>4.8224000000000003E-2</v>
      </c>
      <c r="AA197">
        <v>3.9121999999999997E-2</v>
      </c>
      <c r="AB197">
        <v>7.7927999999999997E-2</v>
      </c>
    </row>
    <row r="198" spans="1:28" x14ac:dyDescent="0.2">
      <c r="A198">
        <v>19480528</v>
      </c>
      <c r="B198">
        <v>1948</v>
      </c>
      <c r="C198">
        <v>5</v>
      </c>
      <c r="D198">
        <v>0.13172700000000001</v>
      </c>
      <c r="E198">
        <v>0.11378199999999999</v>
      </c>
      <c r="F198">
        <v>0.13483000000000001</v>
      </c>
      <c r="G198">
        <v>5.9737999999999999E-2</v>
      </c>
      <c r="H198">
        <v>8.5741999999999999E-2</v>
      </c>
      <c r="I198">
        <v>8.3408999999999997E-2</v>
      </c>
      <c r="J198">
        <v>9.1803999999999997E-2</v>
      </c>
      <c r="K198">
        <v>0.10266</v>
      </c>
      <c r="L198">
        <v>8.3001000000000005E-2</v>
      </c>
      <c r="M198">
        <v>7.7016000000000001E-2</v>
      </c>
      <c r="N198">
        <v>8.0213999999999994E-2</v>
      </c>
      <c r="O198">
        <v>8.3376000000000006E-2</v>
      </c>
      <c r="P198">
        <v>0.101989</v>
      </c>
      <c r="Q198">
        <v>0.105046</v>
      </c>
      <c r="R198">
        <v>7.0085999999999996E-2</v>
      </c>
      <c r="S198">
        <v>5.7293999999999998E-2</v>
      </c>
      <c r="T198">
        <v>7.9721E-2</v>
      </c>
      <c r="U198">
        <v>8.3793999999999993E-2</v>
      </c>
      <c r="V198">
        <v>6.9665000000000005E-2</v>
      </c>
      <c r="W198">
        <v>8.6179000000000006E-2</v>
      </c>
      <c r="X198">
        <v>8.6766999999999997E-2</v>
      </c>
      <c r="Y198">
        <v>9.4087000000000004E-2</v>
      </c>
      <c r="Z198">
        <v>5.1048999999999997E-2</v>
      </c>
      <c r="AA198">
        <v>6.0427000000000002E-2</v>
      </c>
      <c r="AB198">
        <v>7.6605000000000006E-2</v>
      </c>
    </row>
    <row r="199" spans="1:28" x14ac:dyDescent="0.2">
      <c r="A199">
        <v>19480630</v>
      </c>
      <c r="B199">
        <v>1948</v>
      </c>
      <c r="C199">
        <v>6</v>
      </c>
      <c r="D199">
        <v>-4.6273000000000002E-2</v>
      </c>
      <c r="E199">
        <v>1.0036E-2</v>
      </c>
      <c r="F199">
        <v>-2.1961000000000001E-2</v>
      </c>
      <c r="G199">
        <v>-2.5479999999999999E-3</v>
      </c>
      <c r="H199">
        <v>-1.06E-3</v>
      </c>
      <c r="I199">
        <v>-4.1787999999999999E-2</v>
      </c>
      <c r="J199">
        <v>-1.7551000000000001E-2</v>
      </c>
      <c r="K199">
        <v>-2.0192000000000002E-2</v>
      </c>
      <c r="L199">
        <v>-1.6674000000000001E-2</v>
      </c>
      <c r="M199">
        <v>4.0176999999999997E-2</v>
      </c>
      <c r="N199">
        <v>-1.1235E-2</v>
      </c>
      <c r="O199">
        <v>-1.1768000000000001E-2</v>
      </c>
      <c r="P199">
        <v>-4.1596000000000001E-2</v>
      </c>
      <c r="Q199">
        <v>-2.2526999999999998E-2</v>
      </c>
      <c r="R199">
        <v>-6.1499999999999999E-4</v>
      </c>
      <c r="S199">
        <v>-1.2605999999999999E-2</v>
      </c>
      <c r="T199">
        <v>-3.1870000000000002E-3</v>
      </c>
      <c r="U199">
        <v>-1.8994E-2</v>
      </c>
      <c r="V199">
        <v>-3.0346999999999999E-2</v>
      </c>
      <c r="W199">
        <v>-4.431E-3</v>
      </c>
      <c r="X199">
        <v>-4.5120000000000004E-3</v>
      </c>
      <c r="Y199">
        <v>-7.8770000000000003E-3</v>
      </c>
      <c r="Z199">
        <v>1.3939E-2</v>
      </c>
      <c r="AA199">
        <v>1.449E-3</v>
      </c>
      <c r="AB199">
        <v>2.8745E-2</v>
      </c>
    </row>
    <row r="200" spans="1:28" x14ac:dyDescent="0.2">
      <c r="A200">
        <v>19480730</v>
      </c>
      <c r="B200">
        <v>1948</v>
      </c>
      <c r="C200">
        <v>7</v>
      </c>
      <c r="D200">
        <v>-6.3547000000000006E-2</v>
      </c>
      <c r="E200">
        <v>-5.1508999999999999E-2</v>
      </c>
      <c r="F200">
        <v>-7.6035000000000005E-2</v>
      </c>
      <c r="G200">
        <v>-5.8500999999999997E-2</v>
      </c>
      <c r="H200">
        <v>-4.8126000000000002E-2</v>
      </c>
      <c r="I200">
        <v>-5.6673000000000001E-2</v>
      </c>
      <c r="J200">
        <v>-4.0429E-2</v>
      </c>
      <c r="K200">
        <v>-4.6625E-2</v>
      </c>
      <c r="L200">
        <v>-4.7641999999999997E-2</v>
      </c>
      <c r="M200">
        <v>-3.6650000000000002E-2</v>
      </c>
      <c r="N200">
        <v>-4.2097000000000002E-2</v>
      </c>
      <c r="O200">
        <v>-4.9106999999999998E-2</v>
      </c>
      <c r="P200">
        <v>-5.3457999999999999E-2</v>
      </c>
      <c r="Q200">
        <v>-6.1753000000000002E-2</v>
      </c>
      <c r="R200">
        <v>-6.3891000000000003E-2</v>
      </c>
      <c r="S200">
        <v>-5.9022999999999999E-2</v>
      </c>
      <c r="T200">
        <v>-4.6922999999999999E-2</v>
      </c>
      <c r="U200">
        <v>-5.1742000000000003E-2</v>
      </c>
      <c r="V200">
        <v>-5.1352000000000002E-2</v>
      </c>
      <c r="W200">
        <v>-2.6388999999999999E-2</v>
      </c>
      <c r="X200">
        <v>-5.1498000000000002E-2</v>
      </c>
      <c r="Y200">
        <v>-6.2711000000000003E-2</v>
      </c>
      <c r="Z200">
        <v>-3.7268000000000003E-2</v>
      </c>
      <c r="AA200">
        <v>-4.7370000000000002E-2</v>
      </c>
      <c r="AB200">
        <v>-5.3408999999999998E-2</v>
      </c>
    </row>
    <row r="201" spans="1:28" x14ac:dyDescent="0.2">
      <c r="A201">
        <v>19480831</v>
      </c>
      <c r="B201">
        <v>1948</v>
      </c>
      <c r="C201">
        <v>8</v>
      </c>
      <c r="D201">
        <v>-4.7892999999999998E-2</v>
      </c>
      <c r="E201">
        <v>-2.283E-2</v>
      </c>
      <c r="F201">
        <v>-8.9680000000000003E-3</v>
      </c>
      <c r="G201">
        <v>-2.0188999999999999E-2</v>
      </c>
      <c r="H201">
        <v>-7.9710000000000007E-3</v>
      </c>
      <c r="I201">
        <v>-9.1249999999999994E-3</v>
      </c>
      <c r="J201">
        <v>-8.9730000000000001E-3</v>
      </c>
      <c r="K201">
        <v>1.7669999999999999E-3</v>
      </c>
      <c r="L201">
        <v>-4.7749999999999997E-3</v>
      </c>
      <c r="M201">
        <v>-1.325E-3</v>
      </c>
      <c r="N201">
        <v>-1.112E-2</v>
      </c>
      <c r="O201">
        <v>1.6E-2</v>
      </c>
      <c r="P201">
        <v>6.3839999999999999E-3</v>
      </c>
      <c r="Q201">
        <v>2.9E-5</v>
      </c>
      <c r="R201">
        <v>7.0489999999999997E-3</v>
      </c>
      <c r="S201">
        <v>-3.5500000000000001E-4</v>
      </c>
      <c r="T201">
        <v>-1.8220000000000001E-3</v>
      </c>
      <c r="U201">
        <v>1.3169E-2</v>
      </c>
      <c r="V201">
        <v>6.2789999999999999E-3</v>
      </c>
      <c r="W201">
        <v>-5.4850000000000003E-3</v>
      </c>
      <c r="X201">
        <v>1.1105E-2</v>
      </c>
      <c r="Y201">
        <v>-3.4229999999999998E-3</v>
      </c>
      <c r="Z201">
        <v>-1.023E-3</v>
      </c>
      <c r="AA201">
        <v>-6.4260000000000003E-3</v>
      </c>
      <c r="AB201">
        <v>1.3294E-2</v>
      </c>
    </row>
    <row r="202" spans="1:28" x14ac:dyDescent="0.2">
      <c r="A202">
        <v>19480930</v>
      </c>
      <c r="B202">
        <v>1948</v>
      </c>
      <c r="C202">
        <v>9</v>
      </c>
      <c r="D202">
        <v>-2.9857999999999999E-2</v>
      </c>
      <c r="E202">
        <v>-6.1751E-2</v>
      </c>
      <c r="F202">
        <v>-3.3891999999999999E-2</v>
      </c>
      <c r="G202">
        <v>-5.7447999999999999E-2</v>
      </c>
      <c r="H202">
        <v>-5.7333000000000002E-2</v>
      </c>
      <c r="I202">
        <v>-1.2319E-2</v>
      </c>
      <c r="J202">
        <v>-2.5505E-2</v>
      </c>
      <c r="K202">
        <v>-3.8364000000000002E-2</v>
      </c>
      <c r="L202">
        <v>-3.8940000000000002E-2</v>
      </c>
      <c r="M202">
        <v>-5.6836999999999999E-2</v>
      </c>
      <c r="N202">
        <v>-3.4846000000000002E-2</v>
      </c>
      <c r="O202">
        <v>-4.9314999999999998E-2</v>
      </c>
      <c r="P202">
        <v>-4.1822999999999999E-2</v>
      </c>
      <c r="Q202">
        <v>-3.7366000000000003E-2</v>
      </c>
      <c r="R202">
        <v>-5.6009999999999997E-2</v>
      </c>
      <c r="S202">
        <v>-4.3437999999999997E-2</v>
      </c>
      <c r="T202">
        <v>-2.7144999999999999E-2</v>
      </c>
      <c r="U202">
        <v>-3.9390000000000001E-2</v>
      </c>
      <c r="V202">
        <v>-5.1358000000000001E-2</v>
      </c>
      <c r="W202">
        <v>-5.5606999999999997E-2</v>
      </c>
      <c r="X202">
        <v>-2.4419E-2</v>
      </c>
      <c r="Y202">
        <v>-3.5722999999999998E-2</v>
      </c>
      <c r="Z202">
        <v>-8.9929999999999993E-3</v>
      </c>
      <c r="AA202">
        <v>-4.0059999999999998E-2</v>
      </c>
      <c r="AB202">
        <v>-2.8240000000000001E-2</v>
      </c>
    </row>
    <row r="203" spans="1:28" x14ac:dyDescent="0.2">
      <c r="A203">
        <v>19481030</v>
      </c>
      <c r="B203">
        <v>1948</v>
      </c>
      <c r="C203">
        <v>10</v>
      </c>
      <c r="D203">
        <v>1.4544E-2</v>
      </c>
      <c r="E203">
        <v>3.5569000000000003E-2</v>
      </c>
      <c r="F203">
        <v>5.6780999999999998E-2</v>
      </c>
      <c r="G203">
        <v>5.0410000000000003E-2</v>
      </c>
      <c r="H203">
        <v>5.4045999999999997E-2</v>
      </c>
      <c r="I203">
        <v>2.5488E-2</v>
      </c>
      <c r="J203">
        <v>4.3215999999999997E-2</v>
      </c>
      <c r="K203">
        <v>5.4058000000000002E-2</v>
      </c>
      <c r="L203">
        <v>4.3935000000000002E-2</v>
      </c>
      <c r="M203">
        <v>7.4487999999999999E-2</v>
      </c>
      <c r="N203">
        <v>3.8727999999999999E-2</v>
      </c>
      <c r="O203">
        <v>5.5344999999999998E-2</v>
      </c>
      <c r="P203">
        <v>5.4349000000000001E-2</v>
      </c>
      <c r="Q203">
        <v>3.9837999999999998E-2</v>
      </c>
      <c r="R203">
        <v>4.3545E-2</v>
      </c>
      <c r="S203">
        <v>5.2637999999999997E-2</v>
      </c>
      <c r="T203">
        <v>5.1820999999999999E-2</v>
      </c>
      <c r="U203">
        <v>6.1476000000000003E-2</v>
      </c>
      <c r="V203">
        <v>6.6017999999999993E-2</v>
      </c>
      <c r="W203">
        <v>6.2671000000000004E-2</v>
      </c>
      <c r="X203">
        <v>6.4173999999999995E-2</v>
      </c>
      <c r="Y203">
        <v>8.3917000000000005E-2</v>
      </c>
      <c r="Z203">
        <v>4.2172000000000001E-2</v>
      </c>
      <c r="AA203">
        <v>6.0916999999999999E-2</v>
      </c>
      <c r="AB203">
        <v>6.5098000000000003E-2</v>
      </c>
    </row>
    <row r="204" spans="1:28" x14ac:dyDescent="0.2">
      <c r="A204">
        <v>19481130</v>
      </c>
      <c r="B204">
        <v>1948</v>
      </c>
      <c r="C204">
        <v>11</v>
      </c>
      <c r="D204">
        <v>-0.13289999999999999</v>
      </c>
      <c r="E204">
        <v>-0.10625</v>
      </c>
      <c r="F204">
        <v>-0.12631000000000001</v>
      </c>
      <c r="G204">
        <v>-0.12002400000000001</v>
      </c>
      <c r="H204">
        <v>-0.118604</v>
      </c>
      <c r="I204">
        <v>-9.1309000000000001E-2</v>
      </c>
      <c r="J204">
        <v>-9.4132999999999994E-2</v>
      </c>
      <c r="K204">
        <v>-9.1181999999999999E-2</v>
      </c>
      <c r="L204">
        <v>-0.112761</v>
      </c>
      <c r="M204">
        <v>-0.12989999999999999</v>
      </c>
      <c r="N204">
        <v>-9.6231999999999998E-2</v>
      </c>
      <c r="O204">
        <v>-8.9804999999999996E-2</v>
      </c>
      <c r="P204">
        <v>-7.8731999999999996E-2</v>
      </c>
      <c r="Q204">
        <v>-0.104772</v>
      </c>
      <c r="R204">
        <v>-0.14083200000000001</v>
      </c>
      <c r="S204">
        <v>-8.8315000000000005E-2</v>
      </c>
      <c r="T204">
        <v>-8.3506999999999998E-2</v>
      </c>
      <c r="U204">
        <v>-9.1253000000000001E-2</v>
      </c>
      <c r="V204">
        <v>-0.122016</v>
      </c>
      <c r="W204">
        <v>-0.147538</v>
      </c>
      <c r="X204">
        <v>-8.2861000000000004E-2</v>
      </c>
      <c r="Y204">
        <v>-9.6916000000000002E-2</v>
      </c>
      <c r="Z204">
        <v>-6.8937999999999999E-2</v>
      </c>
      <c r="AA204">
        <v>-0.123094</v>
      </c>
      <c r="AB204">
        <v>-0.14069200000000001</v>
      </c>
    </row>
    <row r="205" spans="1:28" x14ac:dyDescent="0.2">
      <c r="A205">
        <v>19481231</v>
      </c>
      <c r="B205">
        <v>1948</v>
      </c>
      <c r="C205">
        <v>12</v>
      </c>
      <c r="D205">
        <v>6.5798999999999996E-2</v>
      </c>
      <c r="E205">
        <v>-3.8533999999999999E-2</v>
      </c>
      <c r="F205">
        <v>-2.1901E-2</v>
      </c>
      <c r="G205">
        <v>-2.9803E-2</v>
      </c>
      <c r="H205">
        <v>8.4060000000000003E-3</v>
      </c>
      <c r="I205">
        <v>6.5240000000000003E-3</v>
      </c>
      <c r="J205">
        <v>8.1650000000000004E-3</v>
      </c>
      <c r="K205">
        <v>4.4720000000000003E-3</v>
      </c>
      <c r="L205">
        <v>2.1540000000000001E-3</v>
      </c>
      <c r="M205">
        <v>4.4549999999999998E-3</v>
      </c>
      <c r="N205">
        <v>3.0841E-2</v>
      </c>
      <c r="O205">
        <v>2.8724E-2</v>
      </c>
      <c r="P205">
        <v>8.7559999999999999E-3</v>
      </c>
      <c r="Q205">
        <v>4.346E-3</v>
      </c>
      <c r="R205">
        <v>2.0067000000000002E-2</v>
      </c>
      <c r="S205">
        <v>4.1043000000000003E-2</v>
      </c>
      <c r="T205">
        <v>2.861E-2</v>
      </c>
      <c r="U205">
        <v>6.5199999999999998E-3</v>
      </c>
      <c r="V205">
        <v>2.7911999999999999E-2</v>
      </c>
      <c r="W205">
        <v>1.669E-2</v>
      </c>
      <c r="X205">
        <v>5.2845000000000003E-2</v>
      </c>
      <c r="Y205">
        <v>3.5699000000000002E-2</v>
      </c>
      <c r="Z205">
        <v>3.0098E-2</v>
      </c>
      <c r="AA205">
        <v>2.4774999999999998E-2</v>
      </c>
      <c r="AB205">
        <v>2.2692E-2</v>
      </c>
    </row>
    <row r="206" spans="1:28" x14ac:dyDescent="0.2">
      <c r="A206">
        <v>19490131</v>
      </c>
      <c r="B206">
        <v>1949</v>
      </c>
      <c r="C206">
        <v>1</v>
      </c>
      <c r="D206">
        <v>-7.1199999999999996E-3</v>
      </c>
      <c r="E206">
        <v>5.3984999999999998E-2</v>
      </c>
      <c r="F206">
        <v>5.3385000000000002E-2</v>
      </c>
      <c r="G206">
        <v>2.8503000000000001E-2</v>
      </c>
      <c r="H206">
        <v>4.3450000000000003E-2</v>
      </c>
      <c r="I206">
        <v>1.5679999999999999E-2</v>
      </c>
      <c r="J206">
        <v>1.0793000000000001E-2</v>
      </c>
      <c r="K206">
        <v>4.895E-3</v>
      </c>
      <c r="L206">
        <v>2.7722E-2</v>
      </c>
      <c r="M206">
        <v>2.4632000000000001E-2</v>
      </c>
      <c r="N206">
        <v>9.3179999999999999E-3</v>
      </c>
      <c r="O206">
        <v>-6.5250000000000004E-3</v>
      </c>
      <c r="P206">
        <v>1.1842E-2</v>
      </c>
      <c r="Q206">
        <v>5.8149999999999999E-3</v>
      </c>
      <c r="R206">
        <v>1.5740000000000001E-3</v>
      </c>
      <c r="S206">
        <v>1.2565E-2</v>
      </c>
      <c r="T206">
        <v>1.4874999999999999E-2</v>
      </c>
      <c r="U206">
        <v>3.3306000000000002E-2</v>
      </c>
      <c r="V206">
        <v>8.6600000000000002E-4</v>
      </c>
      <c r="W206">
        <v>2.3657999999999998E-2</v>
      </c>
      <c r="X206">
        <v>7.646E-3</v>
      </c>
      <c r="Y206">
        <v>-1.907E-2</v>
      </c>
      <c r="Z206">
        <v>-1.5384E-2</v>
      </c>
      <c r="AA206">
        <v>1.1409000000000001E-2</v>
      </c>
      <c r="AB206">
        <v>1.7704999999999999E-2</v>
      </c>
    </row>
    <row r="207" spans="1:28" x14ac:dyDescent="0.2">
      <c r="A207">
        <v>19490228</v>
      </c>
      <c r="B207">
        <v>1949</v>
      </c>
      <c r="C207">
        <v>2</v>
      </c>
      <c r="D207">
        <v>-5.7953999999999999E-2</v>
      </c>
      <c r="E207">
        <v>-3.7834E-2</v>
      </c>
      <c r="F207">
        <v>-4.6778E-2</v>
      </c>
      <c r="G207">
        <v>-5.6308999999999998E-2</v>
      </c>
      <c r="H207">
        <v>-3.5631000000000003E-2</v>
      </c>
      <c r="I207">
        <v>-7.9462000000000005E-2</v>
      </c>
      <c r="J207">
        <v>-3.7752000000000001E-2</v>
      </c>
      <c r="K207">
        <v>-4.6989999999999997E-2</v>
      </c>
      <c r="L207">
        <v>-4.8300999999999997E-2</v>
      </c>
      <c r="M207">
        <v>-6.5353999999999995E-2</v>
      </c>
      <c r="N207">
        <v>-2.4181999999999999E-2</v>
      </c>
      <c r="O207">
        <v>-4.6880999999999999E-2</v>
      </c>
      <c r="P207">
        <v>-2.3022999999999998E-2</v>
      </c>
      <c r="Q207">
        <v>-2.9722999999999999E-2</v>
      </c>
      <c r="R207">
        <v>-6.1081999999999997E-2</v>
      </c>
      <c r="S207">
        <v>-1.1113E-2</v>
      </c>
      <c r="T207">
        <v>-2.2761E-2</v>
      </c>
      <c r="U207">
        <v>-2.2922000000000001E-2</v>
      </c>
      <c r="V207">
        <v>-3.7738000000000001E-2</v>
      </c>
      <c r="W207">
        <v>-3.2696000000000003E-2</v>
      </c>
      <c r="X207">
        <v>-2.5912999999999999E-2</v>
      </c>
      <c r="Y207">
        <v>-3.7026000000000003E-2</v>
      </c>
      <c r="Z207">
        <v>-1.8758E-2</v>
      </c>
      <c r="AA207">
        <v>-1.7868999999999999E-2</v>
      </c>
      <c r="AB207">
        <v>-5.6209000000000002E-2</v>
      </c>
    </row>
    <row r="208" spans="1:28" x14ac:dyDescent="0.2">
      <c r="A208">
        <v>19490331</v>
      </c>
      <c r="B208">
        <v>1949</v>
      </c>
      <c r="C208">
        <v>3</v>
      </c>
      <c r="D208">
        <v>6.2016000000000002E-2</v>
      </c>
      <c r="E208">
        <v>7.1923000000000001E-2</v>
      </c>
      <c r="F208">
        <v>8.0231999999999998E-2</v>
      </c>
      <c r="G208">
        <v>5.7814999999999998E-2</v>
      </c>
      <c r="H208">
        <v>6.7261000000000001E-2</v>
      </c>
      <c r="I208">
        <v>5.9316000000000001E-2</v>
      </c>
      <c r="J208">
        <v>7.6680999999999999E-2</v>
      </c>
      <c r="K208">
        <v>5.083E-2</v>
      </c>
      <c r="L208">
        <v>5.3211000000000001E-2</v>
      </c>
      <c r="M208">
        <v>7.5685000000000002E-2</v>
      </c>
      <c r="N208">
        <v>5.8296000000000001E-2</v>
      </c>
      <c r="O208">
        <v>5.2009E-2</v>
      </c>
      <c r="P208">
        <v>5.0327999999999998E-2</v>
      </c>
      <c r="Q208">
        <v>7.6746999999999996E-2</v>
      </c>
      <c r="R208">
        <v>7.6132000000000005E-2</v>
      </c>
      <c r="S208">
        <v>4.1917999999999997E-2</v>
      </c>
      <c r="T208">
        <v>4.1120999999999998E-2</v>
      </c>
      <c r="U208">
        <v>3.7037E-2</v>
      </c>
      <c r="V208">
        <v>4.5626E-2</v>
      </c>
      <c r="W208">
        <v>7.7136999999999997E-2</v>
      </c>
      <c r="X208">
        <v>4.3291000000000003E-2</v>
      </c>
      <c r="Y208">
        <v>3.5761000000000001E-2</v>
      </c>
      <c r="Z208">
        <v>2.6008E-2</v>
      </c>
      <c r="AA208">
        <v>5.7225999999999999E-2</v>
      </c>
      <c r="AB208">
        <v>4.0629999999999999E-2</v>
      </c>
    </row>
    <row r="209" spans="1:28" x14ac:dyDescent="0.2">
      <c r="A209">
        <v>19490430</v>
      </c>
      <c r="B209">
        <v>1949</v>
      </c>
      <c r="C209">
        <v>4</v>
      </c>
      <c r="D209">
        <v>-3.4684E-2</v>
      </c>
      <c r="E209">
        <v>-3.1588999999999999E-2</v>
      </c>
      <c r="F209">
        <v>-1.6067000000000001E-2</v>
      </c>
      <c r="G209">
        <v>-3.2141999999999997E-2</v>
      </c>
      <c r="H209">
        <v>-2.9819999999999999E-2</v>
      </c>
      <c r="I209">
        <v>-3.6736999999999999E-2</v>
      </c>
      <c r="J209">
        <v>-2.1684999999999999E-2</v>
      </c>
      <c r="K209">
        <v>-3.8292E-2</v>
      </c>
      <c r="L209">
        <v>-3.5746E-2</v>
      </c>
      <c r="M209">
        <v>-3.4435E-2</v>
      </c>
      <c r="N209">
        <v>-2.0490999999999999E-2</v>
      </c>
      <c r="O209">
        <v>-2.4244000000000002E-2</v>
      </c>
      <c r="P209">
        <v>-3.5680999999999997E-2</v>
      </c>
      <c r="Q209">
        <v>-5.0638000000000002E-2</v>
      </c>
      <c r="R209">
        <v>-4.3064999999999999E-2</v>
      </c>
      <c r="S209">
        <v>-2.2613999999999999E-2</v>
      </c>
      <c r="T209">
        <v>-2.4098000000000001E-2</v>
      </c>
      <c r="U209">
        <v>-2.5752000000000001E-2</v>
      </c>
      <c r="V209">
        <v>-4.3607E-2</v>
      </c>
      <c r="W209">
        <v>-4.3278999999999998E-2</v>
      </c>
      <c r="X209">
        <v>-1.9567000000000001E-2</v>
      </c>
      <c r="Y209">
        <v>-3.973E-3</v>
      </c>
      <c r="Z209">
        <v>-8.5660000000000007E-3</v>
      </c>
      <c r="AA209">
        <v>-3.6640000000000002E-3</v>
      </c>
      <c r="AB209">
        <v>-2.0919E-2</v>
      </c>
    </row>
    <row r="210" spans="1:28" x14ac:dyDescent="0.2">
      <c r="A210">
        <v>19490531</v>
      </c>
      <c r="B210">
        <v>1949</v>
      </c>
      <c r="C210">
        <v>5</v>
      </c>
      <c r="D210">
        <v>-0.11246399999999999</v>
      </c>
      <c r="E210">
        <v>-6.9189000000000001E-2</v>
      </c>
      <c r="F210">
        <v>-7.2535000000000002E-2</v>
      </c>
      <c r="G210">
        <v>-6.4222000000000001E-2</v>
      </c>
      <c r="H210">
        <v>-5.9505000000000002E-2</v>
      </c>
      <c r="I210">
        <v>-3.32E-2</v>
      </c>
      <c r="J210">
        <v>-4.8454999999999998E-2</v>
      </c>
      <c r="K210">
        <v>-2.1291000000000001E-2</v>
      </c>
      <c r="L210">
        <v>-4.1980000000000003E-2</v>
      </c>
      <c r="M210">
        <v>-6.7068000000000003E-2</v>
      </c>
      <c r="N210">
        <v>-3.4237999999999998E-2</v>
      </c>
      <c r="O210">
        <v>-2.4993000000000001E-2</v>
      </c>
      <c r="P210">
        <v>-1.9784E-2</v>
      </c>
      <c r="Q210">
        <v>-3.7088000000000003E-2</v>
      </c>
      <c r="R210">
        <v>-6.3599000000000003E-2</v>
      </c>
      <c r="S210">
        <v>-1.7368999999999999E-2</v>
      </c>
      <c r="T210">
        <v>-2.3674000000000001E-2</v>
      </c>
      <c r="U210">
        <v>-1.3204E-2</v>
      </c>
      <c r="V210">
        <v>-2.9777999999999999E-2</v>
      </c>
      <c r="W210">
        <v>-4.6441000000000003E-2</v>
      </c>
      <c r="X210">
        <v>-1.9026999999999999E-2</v>
      </c>
      <c r="Y210">
        <v>-3.0863000000000002E-2</v>
      </c>
      <c r="Z210">
        <v>-2.3674000000000001E-2</v>
      </c>
      <c r="AA210">
        <v>-5.5697999999999998E-2</v>
      </c>
      <c r="AB210">
        <v>-5.7929000000000001E-2</v>
      </c>
    </row>
    <row r="211" spans="1:28" x14ac:dyDescent="0.2">
      <c r="A211">
        <v>19490630</v>
      </c>
      <c r="B211">
        <v>1949</v>
      </c>
      <c r="C211">
        <v>6</v>
      </c>
      <c r="D211">
        <v>-9.4669999999999997E-3</v>
      </c>
      <c r="E211">
        <v>-3.0407E-2</v>
      </c>
      <c r="F211">
        <v>-1.4995E-2</v>
      </c>
      <c r="G211">
        <v>-1.7329999999999999E-3</v>
      </c>
      <c r="H211">
        <v>-4.1929999999999997E-3</v>
      </c>
      <c r="I211">
        <v>-3.0682999999999998E-2</v>
      </c>
      <c r="J211">
        <v>-1.9890000000000001E-2</v>
      </c>
      <c r="K211">
        <v>-7.5839999999999996E-3</v>
      </c>
      <c r="L211">
        <v>1.42E-3</v>
      </c>
      <c r="M211">
        <v>-1.8471000000000001E-2</v>
      </c>
      <c r="N211">
        <v>1.4056000000000001E-2</v>
      </c>
      <c r="O211">
        <v>-2.6780000000000002E-2</v>
      </c>
      <c r="P211">
        <v>-1.7410999999999999E-2</v>
      </c>
      <c r="Q211">
        <v>-8.8769999999999995E-3</v>
      </c>
      <c r="R211">
        <v>-3.9026999999999999E-2</v>
      </c>
      <c r="S211">
        <v>6.0540000000000004E-3</v>
      </c>
      <c r="T211">
        <v>-3.6020000000000002E-3</v>
      </c>
      <c r="U211">
        <v>4.6690000000000004E-3</v>
      </c>
      <c r="V211">
        <v>-1.0135999999999999E-2</v>
      </c>
      <c r="W211">
        <v>-1.3972E-2</v>
      </c>
      <c r="X211">
        <v>1.1257E-2</v>
      </c>
      <c r="Y211">
        <v>1.5839999999999999E-3</v>
      </c>
      <c r="Z211">
        <v>8.2880000000000002E-3</v>
      </c>
      <c r="AA211">
        <v>-6.6299999999999996E-4</v>
      </c>
      <c r="AB211">
        <v>-3.1748999999999999E-2</v>
      </c>
    </row>
    <row r="212" spans="1:28" x14ac:dyDescent="0.2">
      <c r="A212">
        <v>19490729</v>
      </c>
      <c r="B212">
        <v>1949</v>
      </c>
      <c r="C212">
        <v>7</v>
      </c>
      <c r="D212">
        <v>0.12733</v>
      </c>
      <c r="E212">
        <v>5.8237999999999998E-2</v>
      </c>
      <c r="F212">
        <v>5.4398000000000002E-2</v>
      </c>
      <c r="G212">
        <v>5.8278999999999997E-2</v>
      </c>
      <c r="H212">
        <v>5.1748000000000002E-2</v>
      </c>
      <c r="I212">
        <v>4.4389999999999999E-2</v>
      </c>
      <c r="J212">
        <v>7.2539000000000006E-2</v>
      </c>
      <c r="K212">
        <v>6.9249000000000005E-2</v>
      </c>
      <c r="L212">
        <v>8.0195000000000002E-2</v>
      </c>
      <c r="M212">
        <v>4.9204999999999999E-2</v>
      </c>
      <c r="N212">
        <v>7.1691000000000005E-2</v>
      </c>
      <c r="O212">
        <v>7.0413000000000003E-2</v>
      </c>
      <c r="P212">
        <v>6.4055000000000001E-2</v>
      </c>
      <c r="Q212">
        <v>7.1845999999999993E-2</v>
      </c>
      <c r="R212">
        <v>6.1449999999999998E-2</v>
      </c>
      <c r="S212">
        <v>6.9074999999999998E-2</v>
      </c>
      <c r="T212">
        <v>5.6552999999999999E-2</v>
      </c>
      <c r="U212">
        <v>7.3817999999999995E-2</v>
      </c>
      <c r="V212">
        <v>4.3055000000000003E-2</v>
      </c>
      <c r="W212">
        <v>6.6792000000000004E-2</v>
      </c>
      <c r="X212">
        <v>5.5791E-2</v>
      </c>
      <c r="Y212">
        <v>4.7652E-2</v>
      </c>
      <c r="Z212">
        <v>5.1612999999999999E-2</v>
      </c>
      <c r="AA212">
        <v>5.9538000000000001E-2</v>
      </c>
      <c r="AB212">
        <v>7.2056999999999996E-2</v>
      </c>
    </row>
    <row r="213" spans="1:28" x14ac:dyDescent="0.2">
      <c r="A213">
        <v>19490831</v>
      </c>
      <c r="B213">
        <v>1949</v>
      </c>
      <c r="C213">
        <v>8</v>
      </c>
      <c r="D213">
        <v>2.9547E-2</v>
      </c>
      <c r="E213">
        <v>3.4012000000000001E-2</v>
      </c>
      <c r="F213">
        <v>1.9532000000000001E-2</v>
      </c>
      <c r="G213">
        <v>3.0667E-2</v>
      </c>
      <c r="H213">
        <v>1.7537000000000001E-2</v>
      </c>
      <c r="I213">
        <v>1.094E-2</v>
      </c>
      <c r="J213">
        <v>3.3071000000000003E-2</v>
      </c>
      <c r="K213">
        <v>2.8778000000000001E-2</v>
      </c>
      <c r="L213">
        <v>2.3916E-2</v>
      </c>
      <c r="M213">
        <v>1.24E-2</v>
      </c>
      <c r="N213">
        <v>3.9627999999999997E-2</v>
      </c>
      <c r="O213">
        <v>1.4599000000000001E-2</v>
      </c>
      <c r="P213">
        <v>4.0420999999999999E-2</v>
      </c>
      <c r="Q213">
        <v>1.3693E-2</v>
      </c>
      <c r="R213">
        <v>3.1641000000000002E-2</v>
      </c>
      <c r="S213">
        <v>2.3101E-2</v>
      </c>
      <c r="T213">
        <v>2.5013000000000001E-2</v>
      </c>
      <c r="U213">
        <v>2.5604999999999999E-2</v>
      </c>
      <c r="V213">
        <v>2.0639999999999999E-3</v>
      </c>
      <c r="W213">
        <v>4.7211999999999997E-2</v>
      </c>
      <c r="X213">
        <v>2.8674999999999999E-2</v>
      </c>
      <c r="Y213">
        <v>2.69E-2</v>
      </c>
      <c r="Z213">
        <v>3.5725E-2</v>
      </c>
      <c r="AA213">
        <v>2.6128999999999999E-2</v>
      </c>
      <c r="AB213">
        <v>2.0008000000000001E-2</v>
      </c>
    </row>
    <row r="214" spans="1:28" x14ac:dyDescent="0.2">
      <c r="A214">
        <v>19490930</v>
      </c>
      <c r="B214">
        <v>1949</v>
      </c>
      <c r="C214">
        <v>9</v>
      </c>
      <c r="D214">
        <v>0.102191</v>
      </c>
      <c r="E214">
        <v>1.3011E-2</v>
      </c>
      <c r="F214">
        <v>5.0319000000000003E-2</v>
      </c>
      <c r="G214">
        <v>3.5022999999999999E-2</v>
      </c>
      <c r="H214">
        <v>3.6561999999999997E-2</v>
      </c>
      <c r="I214">
        <v>4.4847999999999999E-2</v>
      </c>
      <c r="J214">
        <v>4.2980999999999998E-2</v>
      </c>
      <c r="K214">
        <v>4.3364E-2</v>
      </c>
      <c r="L214">
        <v>5.4212999999999997E-2</v>
      </c>
      <c r="M214">
        <v>5.3599000000000001E-2</v>
      </c>
      <c r="N214">
        <v>4.6657999999999998E-2</v>
      </c>
      <c r="O214">
        <v>4.9260999999999999E-2</v>
      </c>
      <c r="P214">
        <v>3.5886000000000001E-2</v>
      </c>
      <c r="Q214">
        <v>4.2157E-2</v>
      </c>
      <c r="R214">
        <v>4.1621999999999999E-2</v>
      </c>
      <c r="S214">
        <v>4.3507999999999998E-2</v>
      </c>
      <c r="T214">
        <v>4.4054000000000003E-2</v>
      </c>
      <c r="U214">
        <v>3.1294000000000002E-2</v>
      </c>
      <c r="V214">
        <v>4.0141000000000003E-2</v>
      </c>
      <c r="W214">
        <v>6.1563E-2</v>
      </c>
      <c r="X214">
        <v>2.8225E-2</v>
      </c>
      <c r="Y214">
        <v>2.1611999999999999E-2</v>
      </c>
      <c r="Z214">
        <v>3.9801999999999997E-2</v>
      </c>
      <c r="AA214">
        <v>3.7634000000000001E-2</v>
      </c>
      <c r="AB214">
        <v>4.2442000000000001E-2</v>
      </c>
    </row>
    <row r="215" spans="1:28" x14ac:dyDescent="0.2">
      <c r="A215">
        <v>19491031</v>
      </c>
      <c r="B215">
        <v>1949</v>
      </c>
      <c r="C215">
        <v>10</v>
      </c>
      <c r="D215">
        <v>9.0836E-2</v>
      </c>
      <c r="E215">
        <v>3.8399999999999997E-2</v>
      </c>
      <c r="F215">
        <v>6.4667000000000002E-2</v>
      </c>
      <c r="G215">
        <v>6.4768999999999993E-2</v>
      </c>
      <c r="H215">
        <v>4.5199000000000003E-2</v>
      </c>
      <c r="I215">
        <v>6.1405000000000001E-2</v>
      </c>
      <c r="J215">
        <v>4.8277E-2</v>
      </c>
      <c r="K215">
        <v>2.3820999999999998E-2</v>
      </c>
      <c r="L215">
        <v>4.6824999999999999E-2</v>
      </c>
      <c r="M215">
        <v>2.2013000000000001E-2</v>
      </c>
      <c r="N215">
        <v>3.4167000000000003E-2</v>
      </c>
      <c r="O215">
        <v>4.0098000000000002E-2</v>
      </c>
      <c r="P215">
        <v>2.1368000000000002E-2</v>
      </c>
      <c r="Q215">
        <v>3.8685999999999998E-2</v>
      </c>
      <c r="R215">
        <v>5.3793000000000001E-2</v>
      </c>
      <c r="S215">
        <v>2.8722000000000001E-2</v>
      </c>
      <c r="T215">
        <v>2.1094000000000002E-2</v>
      </c>
      <c r="U215">
        <v>4.1383999999999997E-2</v>
      </c>
      <c r="V215">
        <v>4.522E-3</v>
      </c>
      <c r="W215">
        <v>1.9289000000000001E-2</v>
      </c>
      <c r="X215">
        <v>3.6554999999999997E-2</v>
      </c>
      <c r="Y215">
        <v>3.0263000000000002E-2</v>
      </c>
      <c r="Z215">
        <v>2.6557000000000001E-2</v>
      </c>
      <c r="AA215">
        <v>3.3634999999999998E-2</v>
      </c>
      <c r="AB215">
        <v>2.0617E-2</v>
      </c>
    </row>
    <row r="216" spans="1:28" x14ac:dyDescent="0.2">
      <c r="A216">
        <v>19491130</v>
      </c>
      <c r="B216">
        <v>1949</v>
      </c>
      <c r="C216">
        <v>11</v>
      </c>
      <c r="D216">
        <v>-8.6066000000000004E-2</v>
      </c>
      <c r="E216">
        <v>1.6629000000000001E-2</v>
      </c>
      <c r="F216">
        <v>-3.1655999999999997E-2</v>
      </c>
      <c r="G216">
        <v>-5.0099999999999997E-3</v>
      </c>
      <c r="H216">
        <v>4.4200000000000001E-4</v>
      </c>
      <c r="I216">
        <v>-2.1786E-2</v>
      </c>
      <c r="J216">
        <v>1.9951E-2</v>
      </c>
      <c r="K216">
        <v>1.1317000000000001E-2</v>
      </c>
      <c r="L216">
        <v>2.9550000000000002E-3</v>
      </c>
      <c r="M216">
        <v>1.0396000000000001E-2</v>
      </c>
      <c r="N216">
        <v>2.2738999999999999E-2</v>
      </c>
      <c r="O216">
        <v>2.104E-2</v>
      </c>
      <c r="P216">
        <v>1.2491E-2</v>
      </c>
      <c r="Q216">
        <v>3.0279999999999999E-3</v>
      </c>
      <c r="R216">
        <v>5.5880000000000001E-3</v>
      </c>
      <c r="S216">
        <v>1.4435E-2</v>
      </c>
      <c r="T216">
        <v>1.9678999999999999E-2</v>
      </c>
      <c r="U216">
        <v>2.3127999999999999E-2</v>
      </c>
      <c r="V216">
        <v>4.7999999999999996E-3</v>
      </c>
      <c r="W216">
        <v>3.5949000000000002E-2</v>
      </c>
      <c r="X216">
        <v>3.3359E-2</v>
      </c>
      <c r="Y216">
        <v>1.0737E-2</v>
      </c>
      <c r="Z216">
        <v>-1.101E-3</v>
      </c>
      <c r="AA216">
        <v>8.2889999999999995E-3</v>
      </c>
      <c r="AB216">
        <v>2.1295000000000001E-2</v>
      </c>
    </row>
    <row r="217" spans="1:28" x14ac:dyDescent="0.2">
      <c r="A217">
        <v>19491231</v>
      </c>
      <c r="B217">
        <v>1949</v>
      </c>
      <c r="C217">
        <v>12</v>
      </c>
      <c r="D217">
        <v>7.3439000000000004E-2</v>
      </c>
      <c r="E217">
        <v>8.6559999999999998E-2</v>
      </c>
      <c r="F217">
        <v>7.1153999999999995E-2</v>
      </c>
      <c r="G217">
        <v>7.3788999999999993E-2</v>
      </c>
      <c r="H217">
        <v>8.4647E-2</v>
      </c>
      <c r="I217">
        <v>5.1034000000000003E-2</v>
      </c>
      <c r="J217">
        <v>6.1273000000000001E-2</v>
      </c>
      <c r="K217">
        <v>7.102E-2</v>
      </c>
      <c r="L217">
        <v>6.9746000000000002E-2</v>
      </c>
      <c r="M217">
        <v>8.7761000000000006E-2</v>
      </c>
      <c r="N217">
        <v>6.8362000000000006E-2</v>
      </c>
      <c r="O217">
        <v>7.3090000000000002E-2</v>
      </c>
      <c r="P217">
        <v>6.0789000000000003E-2</v>
      </c>
      <c r="Q217">
        <v>8.1909999999999997E-2</v>
      </c>
      <c r="R217">
        <v>0.12617200000000001</v>
      </c>
      <c r="S217">
        <v>5.4197000000000002E-2</v>
      </c>
      <c r="T217">
        <v>5.3238000000000001E-2</v>
      </c>
      <c r="U217">
        <v>6.7694000000000004E-2</v>
      </c>
      <c r="V217">
        <v>6.9462999999999997E-2</v>
      </c>
      <c r="W217">
        <v>7.8768000000000005E-2</v>
      </c>
      <c r="X217">
        <v>5.8786999999999999E-2</v>
      </c>
      <c r="Y217">
        <v>3.2786999999999997E-2</v>
      </c>
      <c r="Z217">
        <v>2.8712999999999999E-2</v>
      </c>
      <c r="AA217">
        <v>4.7976999999999999E-2</v>
      </c>
      <c r="AB217">
        <v>7.3646000000000003E-2</v>
      </c>
    </row>
    <row r="218" spans="1:28" x14ac:dyDescent="0.2">
      <c r="A218">
        <v>19500131</v>
      </c>
      <c r="B218">
        <v>1950</v>
      </c>
      <c r="C218">
        <v>1</v>
      </c>
      <c r="D218">
        <v>0.141486</v>
      </c>
      <c r="E218">
        <v>3.1075999999999999E-2</v>
      </c>
      <c r="F218">
        <v>7.3311000000000001E-2</v>
      </c>
      <c r="G218">
        <v>4.1915000000000001E-2</v>
      </c>
      <c r="H218">
        <v>6.6040000000000001E-2</v>
      </c>
      <c r="I218">
        <v>0.10212300000000001</v>
      </c>
      <c r="J218">
        <v>5.4497999999999998E-2</v>
      </c>
      <c r="K218">
        <v>4.2368999999999997E-2</v>
      </c>
      <c r="L218">
        <v>2.4014000000000001E-2</v>
      </c>
      <c r="M218">
        <v>4.7489999999999997E-2</v>
      </c>
      <c r="N218">
        <v>3.7477999999999997E-2</v>
      </c>
      <c r="O218">
        <v>5.5336999999999997E-2</v>
      </c>
      <c r="P218">
        <v>3.6126999999999999E-2</v>
      </c>
      <c r="Q218">
        <v>2.2207000000000001E-2</v>
      </c>
      <c r="R218">
        <v>5.8485000000000002E-2</v>
      </c>
      <c r="S218">
        <v>3.2460000000000002E-3</v>
      </c>
      <c r="T218">
        <v>2.1854999999999999E-2</v>
      </c>
      <c r="U218">
        <v>2.7636000000000001E-2</v>
      </c>
      <c r="V218">
        <v>2.7886999999999999E-2</v>
      </c>
      <c r="W218">
        <v>8.4343000000000001E-2</v>
      </c>
      <c r="X218">
        <v>9.1479999999999999E-3</v>
      </c>
      <c r="Y218">
        <v>7.528E-3</v>
      </c>
      <c r="Z218">
        <v>2.3247E-2</v>
      </c>
      <c r="AA218">
        <v>1.4479000000000001E-2</v>
      </c>
      <c r="AB218">
        <v>5.6445000000000002E-2</v>
      </c>
    </row>
    <row r="219" spans="1:28" x14ac:dyDescent="0.2">
      <c r="A219">
        <v>19500228</v>
      </c>
      <c r="B219">
        <v>1950</v>
      </c>
      <c r="C219">
        <v>2</v>
      </c>
      <c r="D219">
        <v>4.3395999999999997E-2</v>
      </c>
      <c r="E219">
        <v>5.8164E-2</v>
      </c>
      <c r="F219">
        <v>3.6581000000000002E-2</v>
      </c>
      <c r="G219">
        <v>3.8154E-2</v>
      </c>
      <c r="H219">
        <v>3.2460000000000002E-3</v>
      </c>
      <c r="I219">
        <v>2.8173E-2</v>
      </c>
      <c r="J219">
        <v>2.1316999999999999E-2</v>
      </c>
      <c r="K219">
        <v>2.8215E-2</v>
      </c>
      <c r="L219">
        <v>2.4714E-2</v>
      </c>
      <c r="M219">
        <v>5.7889999999999999E-3</v>
      </c>
      <c r="N219">
        <v>1.6354E-2</v>
      </c>
      <c r="O219">
        <v>1.0118E-2</v>
      </c>
      <c r="P219">
        <v>1.1768000000000001E-2</v>
      </c>
      <c r="Q219">
        <v>9.8519999999999996E-3</v>
      </c>
      <c r="R219">
        <v>-2.7829999999999999E-3</v>
      </c>
      <c r="S219">
        <v>1.1022000000000001E-2</v>
      </c>
      <c r="T219">
        <v>2.2633E-2</v>
      </c>
      <c r="U219">
        <v>1.7465000000000001E-2</v>
      </c>
      <c r="V219">
        <v>5.8710000000000004E-3</v>
      </c>
      <c r="W219">
        <v>2.2852999999999998E-2</v>
      </c>
      <c r="X219">
        <v>2.0084000000000001E-2</v>
      </c>
      <c r="Y219">
        <v>7.7819999999999999E-3</v>
      </c>
      <c r="Z219">
        <v>1.2749999999999999E-2</v>
      </c>
      <c r="AA219">
        <v>1.1932E-2</v>
      </c>
      <c r="AB219">
        <v>1.3857E-2</v>
      </c>
    </row>
    <row r="220" spans="1:28" x14ac:dyDescent="0.2">
      <c r="A220">
        <v>19500331</v>
      </c>
      <c r="B220">
        <v>1950</v>
      </c>
      <c r="C220">
        <v>3</v>
      </c>
      <c r="D220">
        <v>-2.0948000000000001E-2</v>
      </c>
      <c r="E220">
        <v>-1.2E-5</v>
      </c>
      <c r="F220">
        <v>3.9612000000000001E-2</v>
      </c>
      <c r="G220">
        <v>-2.2967999999999999E-2</v>
      </c>
      <c r="H220">
        <v>3.738E-3</v>
      </c>
      <c r="I220">
        <v>-9.9069999999999991E-3</v>
      </c>
      <c r="J220">
        <v>2.4111E-2</v>
      </c>
      <c r="K220">
        <v>-9.3679999999999996E-3</v>
      </c>
      <c r="L220">
        <v>-9.9480000000000002E-3</v>
      </c>
      <c r="M220">
        <v>-1.3207999999999999E-2</v>
      </c>
      <c r="N220">
        <v>1.0737999999999999E-2</v>
      </c>
      <c r="O220">
        <v>9.0749999999999997E-3</v>
      </c>
      <c r="P220">
        <v>-9.1399999999999999E-4</v>
      </c>
      <c r="Q220">
        <v>-2.2176000000000001E-2</v>
      </c>
      <c r="R220">
        <v>-1.8648999999999999E-2</v>
      </c>
      <c r="S220">
        <v>2.5798000000000001E-2</v>
      </c>
      <c r="T220">
        <v>7.4850000000000003E-3</v>
      </c>
      <c r="U220">
        <v>-2.905E-3</v>
      </c>
      <c r="V220">
        <v>-1.3424E-2</v>
      </c>
      <c r="W220">
        <v>-1.1508000000000001E-2</v>
      </c>
      <c r="X220">
        <v>1.9653E-2</v>
      </c>
      <c r="Y220">
        <v>1.6076E-2</v>
      </c>
      <c r="Z220">
        <v>1.5647000000000001E-2</v>
      </c>
      <c r="AA220">
        <v>1.7318E-2</v>
      </c>
      <c r="AB220">
        <v>-2.297E-3</v>
      </c>
    </row>
    <row r="221" spans="1:28" x14ac:dyDescent="0.2">
      <c r="A221">
        <v>19500429</v>
      </c>
      <c r="B221">
        <v>1950</v>
      </c>
      <c r="C221">
        <v>4</v>
      </c>
      <c r="D221">
        <v>0.10524600000000001</v>
      </c>
      <c r="E221">
        <v>3.5487999999999999E-2</v>
      </c>
      <c r="F221">
        <v>8.0682000000000004E-2</v>
      </c>
      <c r="G221">
        <v>5.5834000000000002E-2</v>
      </c>
      <c r="H221">
        <v>7.3769000000000001E-2</v>
      </c>
      <c r="I221">
        <v>8.0140000000000003E-2</v>
      </c>
      <c r="J221">
        <v>5.8777000000000003E-2</v>
      </c>
      <c r="K221">
        <v>5.7586999999999999E-2</v>
      </c>
      <c r="L221">
        <v>4.5476999999999997E-2</v>
      </c>
      <c r="M221">
        <v>7.4117000000000002E-2</v>
      </c>
      <c r="N221">
        <v>3.5930999999999998E-2</v>
      </c>
      <c r="O221">
        <v>4.0570000000000002E-2</v>
      </c>
      <c r="P221">
        <v>5.6308999999999998E-2</v>
      </c>
      <c r="Q221">
        <v>6.5101000000000006E-2</v>
      </c>
      <c r="R221">
        <v>9.9379999999999996E-2</v>
      </c>
      <c r="S221">
        <v>3.7723E-2</v>
      </c>
      <c r="T221">
        <v>1.6041E-2</v>
      </c>
      <c r="U221">
        <v>4.4678000000000002E-2</v>
      </c>
      <c r="V221">
        <v>4.5171999999999997E-2</v>
      </c>
      <c r="W221">
        <v>3.6249999999999998E-2</v>
      </c>
      <c r="X221">
        <v>5.3265E-2</v>
      </c>
      <c r="Y221">
        <v>2.3918999999999999E-2</v>
      </c>
      <c r="Z221">
        <v>3.1948999999999998E-2</v>
      </c>
      <c r="AA221">
        <v>3.7268999999999997E-2</v>
      </c>
      <c r="AB221">
        <v>4.3013999999999997E-2</v>
      </c>
    </row>
    <row r="222" spans="1:28" x14ac:dyDescent="0.2">
      <c r="A222">
        <v>19500531</v>
      </c>
      <c r="B222">
        <v>1950</v>
      </c>
      <c r="C222">
        <v>5</v>
      </c>
      <c r="D222">
        <v>-2.4187E-2</v>
      </c>
      <c r="E222">
        <v>2.3220999999999999E-2</v>
      </c>
      <c r="F222">
        <v>-5.0159999999999996E-3</v>
      </c>
      <c r="G222">
        <v>3.2437000000000001E-2</v>
      </c>
      <c r="H222">
        <v>3.2169000000000003E-2</v>
      </c>
      <c r="I222">
        <v>1.5956999999999999E-2</v>
      </c>
      <c r="J222">
        <v>2.3425999999999999E-2</v>
      </c>
      <c r="K222">
        <v>3.6540000000000003E-2</v>
      </c>
      <c r="L222">
        <v>3.7505999999999998E-2</v>
      </c>
      <c r="M222">
        <v>2.8705000000000001E-2</v>
      </c>
      <c r="N222">
        <v>1.4885000000000001E-2</v>
      </c>
      <c r="O222">
        <v>1.1374E-2</v>
      </c>
      <c r="P222">
        <v>3.2534E-2</v>
      </c>
      <c r="Q222">
        <v>4.7563000000000001E-2</v>
      </c>
      <c r="R222">
        <v>1.9168000000000001E-2</v>
      </c>
      <c r="S222">
        <v>4.6037000000000002E-2</v>
      </c>
      <c r="T222">
        <v>2.4022999999999999E-2</v>
      </c>
      <c r="U222">
        <v>4.0584000000000002E-2</v>
      </c>
      <c r="V222">
        <v>3.1302000000000003E-2</v>
      </c>
      <c r="W222">
        <v>1.9050000000000001E-2</v>
      </c>
      <c r="X222">
        <v>4.9076000000000002E-2</v>
      </c>
      <c r="Y222">
        <v>5.2152999999999998E-2</v>
      </c>
      <c r="Z222">
        <v>5.0286999999999998E-2</v>
      </c>
      <c r="AA222">
        <v>5.5116999999999999E-2</v>
      </c>
      <c r="AB222">
        <v>2.1600000000000001E-2</v>
      </c>
    </row>
    <row r="223" spans="1:28" x14ac:dyDescent="0.2">
      <c r="A223">
        <v>19500630</v>
      </c>
      <c r="B223">
        <v>1950</v>
      </c>
      <c r="C223">
        <v>6</v>
      </c>
      <c r="D223">
        <v>-0.141763</v>
      </c>
      <c r="E223">
        <v>-9.9913000000000002E-2</v>
      </c>
      <c r="F223">
        <v>-0.108013</v>
      </c>
      <c r="G223">
        <v>-8.5943000000000006E-2</v>
      </c>
      <c r="H223">
        <v>-0.103398</v>
      </c>
      <c r="I223">
        <v>-6.8058999999999995E-2</v>
      </c>
      <c r="J223">
        <v>-6.9535E-2</v>
      </c>
      <c r="K223">
        <v>-7.2463E-2</v>
      </c>
      <c r="L223">
        <v>-9.3342999999999995E-2</v>
      </c>
      <c r="M223">
        <v>-9.5549999999999996E-2</v>
      </c>
      <c r="N223">
        <v>-6.5212000000000006E-2</v>
      </c>
      <c r="O223">
        <v>-7.9236000000000001E-2</v>
      </c>
      <c r="P223">
        <v>-5.7834000000000003E-2</v>
      </c>
      <c r="Q223">
        <v>-7.7825000000000005E-2</v>
      </c>
      <c r="R223">
        <v>-8.3130999999999997E-2</v>
      </c>
      <c r="S223">
        <v>-6.9717000000000001E-2</v>
      </c>
      <c r="T223">
        <v>-8.2968E-2</v>
      </c>
      <c r="U223">
        <v>-7.5980000000000006E-2</v>
      </c>
      <c r="V223">
        <v>-5.5953000000000003E-2</v>
      </c>
      <c r="W223">
        <v>-8.4293000000000007E-2</v>
      </c>
      <c r="X223">
        <v>-5.5821999999999997E-2</v>
      </c>
      <c r="Y223">
        <v>-4.9230000000000003E-2</v>
      </c>
      <c r="Z223">
        <v>-5.9804999999999997E-2</v>
      </c>
      <c r="AA223">
        <v>-3.5312999999999997E-2</v>
      </c>
      <c r="AB223">
        <v>-7.1951000000000001E-2</v>
      </c>
    </row>
    <row r="224" spans="1:28" x14ac:dyDescent="0.2">
      <c r="A224">
        <v>19500731</v>
      </c>
      <c r="B224">
        <v>1950</v>
      </c>
      <c r="C224">
        <v>7</v>
      </c>
      <c r="D224">
        <v>5.6249E-2</v>
      </c>
      <c r="E224">
        <v>2.3805E-2</v>
      </c>
      <c r="F224">
        <v>5.7704999999999999E-2</v>
      </c>
      <c r="G224">
        <v>8.6927000000000004E-2</v>
      </c>
      <c r="H224">
        <v>0.127027</v>
      </c>
      <c r="I224">
        <v>6.7149999999999996E-3</v>
      </c>
      <c r="J224">
        <v>1.5937E-2</v>
      </c>
      <c r="K224">
        <v>4.5592000000000001E-2</v>
      </c>
      <c r="L224">
        <v>6.2505000000000005E-2</v>
      </c>
      <c r="M224">
        <v>0.14308000000000001</v>
      </c>
      <c r="N224">
        <v>-1.8690999999999999E-2</v>
      </c>
      <c r="O224">
        <v>-3.0078000000000001E-2</v>
      </c>
      <c r="P224">
        <v>2.6891999999999999E-2</v>
      </c>
      <c r="Q224">
        <v>7.3497000000000007E-2</v>
      </c>
      <c r="R224">
        <v>0.17124300000000001</v>
      </c>
      <c r="S224">
        <v>-1.6601999999999999E-2</v>
      </c>
      <c r="T224">
        <v>5.3569999999999998E-3</v>
      </c>
      <c r="U224">
        <v>5.3711000000000002E-2</v>
      </c>
      <c r="V224">
        <v>8.2891000000000006E-2</v>
      </c>
      <c r="W224">
        <v>0.16153000000000001</v>
      </c>
      <c r="X224">
        <v>-3.9018999999999998E-2</v>
      </c>
      <c r="Y224">
        <v>-6.9030000000000003E-3</v>
      </c>
      <c r="Z224">
        <v>6.6050999999999999E-2</v>
      </c>
      <c r="AA224">
        <v>0.12542400000000001</v>
      </c>
      <c r="AB224">
        <v>0.12834699999999999</v>
      </c>
    </row>
    <row r="225" spans="1:28" x14ac:dyDescent="0.2">
      <c r="A225">
        <v>19500831</v>
      </c>
      <c r="B225">
        <v>1950</v>
      </c>
      <c r="C225">
        <v>8</v>
      </c>
      <c r="D225">
        <v>1.8630000000000001E-3</v>
      </c>
      <c r="E225">
        <v>6.2795000000000004E-2</v>
      </c>
      <c r="F225">
        <v>4.5400000000000003E-2</v>
      </c>
      <c r="G225">
        <v>3.2384000000000003E-2</v>
      </c>
      <c r="H225">
        <v>5.7768E-2</v>
      </c>
      <c r="I225">
        <v>5.7940999999999999E-2</v>
      </c>
      <c r="J225">
        <v>3.7373999999999998E-2</v>
      </c>
      <c r="K225">
        <v>5.7494999999999997E-2</v>
      </c>
      <c r="L225">
        <v>5.9611999999999998E-2</v>
      </c>
      <c r="M225">
        <v>2.1121999999999998E-2</v>
      </c>
      <c r="N225">
        <v>5.0731999999999999E-2</v>
      </c>
      <c r="O225">
        <v>5.5058000000000003E-2</v>
      </c>
      <c r="P225">
        <v>5.5392999999999998E-2</v>
      </c>
      <c r="Q225">
        <v>5.9970000000000002E-2</v>
      </c>
      <c r="R225">
        <v>4.4315E-2</v>
      </c>
      <c r="S225">
        <v>4.7495000000000002E-2</v>
      </c>
      <c r="T225">
        <v>4.2736000000000003E-2</v>
      </c>
      <c r="U225">
        <v>4.2617000000000002E-2</v>
      </c>
      <c r="V225">
        <v>3.1495000000000002E-2</v>
      </c>
      <c r="W225">
        <v>3.9177999999999998E-2</v>
      </c>
      <c r="X225">
        <v>6.6911999999999999E-2</v>
      </c>
      <c r="Y225">
        <v>3.7388999999999999E-2</v>
      </c>
      <c r="Z225">
        <v>4.9054E-2</v>
      </c>
      <c r="AA225">
        <v>2.4718E-2</v>
      </c>
      <c r="AB225">
        <v>2.8198999999999998E-2</v>
      </c>
    </row>
    <row r="226" spans="1:28" x14ac:dyDescent="0.2">
      <c r="A226">
        <v>19500929</v>
      </c>
      <c r="B226">
        <v>1950</v>
      </c>
      <c r="C226">
        <v>9</v>
      </c>
      <c r="D226">
        <v>5.6500000000000002E-2</v>
      </c>
      <c r="E226">
        <v>5.7793999999999998E-2</v>
      </c>
      <c r="F226">
        <v>2.7775999999999999E-2</v>
      </c>
      <c r="G226">
        <v>4.3041000000000003E-2</v>
      </c>
      <c r="H226">
        <v>3.3225999999999999E-2</v>
      </c>
      <c r="I226">
        <v>5.7955E-2</v>
      </c>
      <c r="J226">
        <v>5.8028999999999997E-2</v>
      </c>
      <c r="K226">
        <v>4.5665999999999998E-2</v>
      </c>
      <c r="L226">
        <v>6.0264999999999999E-2</v>
      </c>
      <c r="M226">
        <v>6.2099000000000001E-2</v>
      </c>
      <c r="N226">
        <v>5.6538999999999999E-2</v>
      </c>
      <c r="O226">
        <v>6.5280000000000005E-2</v>
      </c>
      <c r="P226">
        <v>6.5473000000000003E-2</v>
      </c>
      <c r="Q226">
        <v>5.1660999999999999E-2</v>
      </c>
      <c r="R226">
        <v>5.7618999999999997E-2</v>
      </c>
      <c r="S226">
        <v>6.3058000000000003E-2</v>
      </c>
      <c r="T226">
        <v>6.3972000000000001E-2</v>
      </c>
      <c r="U226">
        <v>5.7620999999999999E-2</v>
      </c>
      <c r="V226">
        <v>4.2840999999999997E-2</v>
      </c>
      <c r="W226">
        <v>9.0642E-2</v>
      </c>
      <c r="X226">
        <v>5.3068999999999998E-2</v>
      </c>
      <c r="Y226">
        <v>4.2346000000000002E-2</v>
      </c>
      <c r="Z226">
        <v>4.3277000000000003E-2</v>
      </c>
      <c r="AA226">
        <v>4.0044000000000003E-2</v>
      </c>
      <c r="AB226">
        <v>3.1557000000000002E-2</v>
      </c>
    </row>
    <row r="227" spans="1:28" x14ac:dyDescent="0.2">
      <c r="A227">
        <v>19501031</v>
      </c>
      <c r="B227">
        <v>1950</v>
      </c>
      <c r="C227">
        <v>10</v>
      </c>
      <c r="D227">
        <v>-4.1951000000000002E-2</v>
      </c>
      <c r="E227">
        <v>-3.1271E-2</v>
      </c>
      <c r="F227">
        <v>1.3802999999999999E-2</v>
      </c>
      <c r="G227">
        <v>-1.0746E-2</v>
      </c>
      <c r="H227">
        <v>-2.1229999999999999E-3</v>
      </c>
      <c r="I227">
        <v>2.5950000000000001E-2</v>
      </c>
      <c r="J227">
        <v>4.0359999999999997E-3</v>
      </c>
      <c r="K227">
        <v>4.8000000000000001E-5</v>
      </c>
      <c r="L227">
        <v>-1.04E-2</v>
      </c>
      <c r="M227">
        <v>1.1481999999999999E-2</v>
      </c>
      <c r="N227">
        <v>2.0760000000000002E-3</v>
      </c>
      <c r="O227">
        <v>-1.7628999999999999E-2</v>
      </c>
      <c r="P227">
        <v>-5.607E-3</v>
      </c>
      <c r="Q227">
        <v>4.1599999999999997E-4</v>
      </c>
      <c r="R227">
        <v>1.6490000000000001E-3</v>
      </c>
      <c r="S227">
        <v>-1.2031E-2</v>
      </c>
      <c r="T227">
        <v>-1.0819E-2</v>
      </c>
      <c r="U227">
        <v>-1.9272000000000001E-2</v>
      </c>
      <c r="V227">
        <v>5.6880000000000003E-3</v>
      </c>
      <c r="W227">
        <v>-3.2830999999999999E-2</v>
      </c>
      <c r="X227">
        <v>1.3159999999999999E-3</v>
      </c>
      <c r="Y227">
        <v>-2.2569999999999999E-3</v>
      </c>
      <c r="Z227">
        <v>-8.4220000000000007E-3</v>
      </c>
      <c r="AA227">
        <v>-7.9439999999999997E-3</v>
      </c>
      <c r="AB227">
        <v>4.6212000000000003E-2</v>
      </c>
    </row>
    <row r="228" spans="1:28" x14ac:dyDescent="0.2">
      <c r="A228">
        <v>19501130</v>
      </c>
      <c r="B228">
        <v>1950</v>
      </c>
      <c r="C228">
        <v>11</v>
      </c>
      <c r="D228">
        <v>-1.0465E-2</v>
      </c>
      <c r="E228">
        <v>2.1919999999999999E-2</v>
      </c>
      <c r="F228">
        <v>1.3475000000000001E-2</v>
      </c>
      <c r="G228">
        <v>1.8585999999999998E-2</v>
      </c>
      <c r="H228">
        <v>5.2656000000000001E-2</v>
      </c>
      <c r="I228">
        <v>1.554E-3</v>
      </c>
      <c r="J228">
        <v>7.9100000000000004E-3</v>
      </c>
      <c r="K228">
        <v>2.0344999999999999E-2</v>
      </c>
      <c r="L228">
        <v>2.7045E-2</v>
      </c>
      <c r="M228">
        <v>8.3205000000000001E-2</v>
      </c>
      <c r="N228">
        <v>9.4739999999999998E-3</v>
      </c>
      <c r="O228">
        <v>1.5355000000000001E-2</v>
      </c>
      <c r="P228">
        <v>2.4299000000000001E-2</v>
      </c>
      <c r="Q228">
        <v>2.9405000000000001E-2</v>
      </c>
      <c r="R228">
        <v>7.7528E-2</v>
      </c>
      <c r="S228">
        <v>2.8930000000000001E-2</v>
      </c>
      <c r="T228">
        <v>3.2258000000000002E-2</v>
      </c>
      <c r="U228">
        <v>2.9184999999999999E-2</v>
      </c>
      <c r="V228">
        <v>5.6330999999999999E-2</v>
      </c>
      <c r="W228">
        <v>8.3122000000000001E-2</v>
      </c>
      <c r="X228">
        <v>2.7038E-2</v>
      </c>
      <c r="Y228">
        <v>1.8008E-2</v>
      </c>
      <c r="Z228">
        <v>4.0465000000000001E-2</v>
      </c>
      <c r="AA228">
        <v>4.5727999999999998E-2</v>
      </c>
      <c r="AB228">
        <v>2.4539999999999999E-2</v>
      </c>
    </row>
    <row r="229" spans="1:28" x14ac:dyDescent="0.2">
      <c r="A229">
        <v>19501230</v>
      </c>
      <c r="B229">
        <v>1950</v>
      </c>
      <c r="C229">
        <v>12</v>
      </c>
      <c r="D229">
        <v>8.4945000000000007E-2</v>
      </c>
      <c r="E229">
        <v>7.5895000000000004E-2</v>
      </c>
      <c r="F229">
        <v>0.11339399999999999</v>
      </c>
      <c r="G229">
        <v>0.12604299999999999</v>
      </c>
      <c r="H229">
        <v>0.14392099999999999</v>
      </c>
      <c r="I229">
        <v>9.3866000000000005E-2</v>
      </c>
      <c r="J229">
        <v>5.8746E-2</v>
      </c>
      <c r="K229">
        <v>0.104326</v>
      </c>
      <c r="L229">
        <v>8.7248999999999993E-2</v>
      </c>
      <c r="M229">
        <v>0.14405699999999999</v>
      </c>
      <c r="N229">
        <v>3.0755000000000001E-2</v>
      </c>
      <c r="O229">
        <v>3.3908000000000001E-2</v>
      </c>
      <c r="P229">
        <v>6.1844000000000003E-2</v>
      </c>
      <c r="Q229">
        <v>8.2847000000000004E-2</v>
      </c>
      <c r="R229">
        <v>0.15423000000000001</v>
      </c>
      <c r="S229">
        <v>4.7301000000000003E-2</v>
      </c>
      <c r="T229">
        <v>3.8510000000000003E-2</v>
      </c>
      <c r="U229">
        <v>8.9052000000000006E-2</v>
      </c>
      <c r="V229">
        <v>0.10657700000000001</v>
      </c>
      <c r="W229">
        <v>0.12753300000000001</v>
      </c>
      <c r="X229">
        <v>3.1073E-2</v>
      </c>
      <c r="Y229">
        <v>5.0632999999999997E-2</v>
      </c>
      <c r="Z229">
        <v>5.8774E-2</v>
      </c>
      <c r="AA229">
        <v>9.3621999999999997E-2</v>
      </c>
      <c r="AB229">
        <v>0.10423</v>
      </c>
    </row>
    <row r="230" spans="1:28" x14ac:dyDescent="0.2">
      <c r="A230">
        <v>19510131</v>
      </c>
      <c r="B230">
        <v>1951</v>
      </c>
      <c r="C230">
        <v>1</v>
      </c>
      <c r="D230">
        <v>8.8104000000000002E-2</v>
      </c>
      <c r="E230">
        <v>9.0664999999999996E-2</v>
      </c>
      <c r="F230">
        <v>8.6945999999999996E-2</v>
      </c>
      <c r="G230">
        <v>6.9339999999999999E-2</v>
      </c>
      <c r="H230">
        <v>0.11271</v>
      </c>
      <c r="I230">
        <v>5.1790000000000003E-2</v>
      </c>
      <c r="J230">
        <v>8.5214999999999999E-2</v>
      </c>
      <c r="K230">
        <v>5.8881000000000003E-2</v>
      </c>
      <c r="L230">
        <v>8.3747000000000002E-2</v>
      </c>
      <c r="M230">
        <v>9.8084000000000005E-2</v>
      </c>
      <c r="N230">
        <v>6.9722000000000006E-2</v>
      </c>
      <c r="O230">
        <v>7.5467999999999993E-2</v>
      </c>
      <c r="P230">
        <v>6.5321000000000004E-2</v>
      </c>
      <c r="Q230">
        <v>9.6299999999999997E-2</v>
      </c>
      <c r="R230">
        <v>9.3134999999999996E-2</v>
      </c>
      <c r="S230">
        <v>6.5185000000000007E-2</v>
      </c>
      <c r="T230">
        <v>7.7742000000000006E-2</v>
      </c>
      <c r="U230">
        <v>6.7428000000000002E-2</v>
      </c>
      <c r="V230">
        <v>6.055E-2</v>
      </c>
      <c r="W230">
        <v>9.2661999999999994E-2</v>
      </c>
      <c r="X230">
        <v>4.7303999999999999E-2</v>
      </c>
      <c r="Y230">
        <v>3.8589999999999999E-2</v>
      </c>
      <c r="Z230">
        <v>7.1015999999999996E-2</v>
      </c>
      <c r="AA230">
        <v>5.3906000000000003E-2</v>
      </c>
      <c r="AB230">
        <v>0.102315</v>
      </c>
    </row>
    <row r="231" spans="1:28" x14ac:dyDescent="0.2">
      <c r="A231">
        <v>19510228</v>
      </c>
      <c r="B231">
        <v>1951</v>
      </c>
      <c r="C231">
        <v>2</v>
      </c>
      <c r="D231">
        <v>1.1488E-2</v>
      </c>
      <c r="E231">
        <v>2.0860000000000002E-3</v>
      </c>
      <c r="F231">
        <v>-5.4070000000000003E-3</v>
      </c>
      <c r="G231">
        <v>9.3720000000000001E-3</v>
      </c>
      <c r="H231">
        <v>1.279E-3</v>
      </c>
      <c r="I231">
        <v>1.7817E-2</v>
      </c>
      <c r="J231">
        <v>7.868E-3</v>
      </c>
      <c r="K231">
        <v>2.2813E-2</v>
      </c>
      <c r="L231">
        <v>-7.3300000000000004E-4</v>
      </c>
      <c r="M231">
        <v>8.1550000000000008E-3</v>
      </c>
      <c r="N231">
        <v>1.9646E-2</v>
      </c>
      <c r="O231">
        <v>2.0989000000000001E-2</v>
      </c>
      <c r="P231">
        <v>2.3567000000000001E-2</v>
      </c>
      <c r="Q231">
        <v>-6.7580000000000001E-3</v>
      </c>
      <c r="R231">
        <v>-4.2929999999999999E-3</v>
      </c>
      <c r="S231">
        <v>1.3268E-2</v>
      </c>
      <c r="T231">
        <v>1.072E-2</v>
      </c>
      <c r="U231">
        <v>2.7399E-2</v>
      </c>
      <c r="V231">
        <v>1.3754000000000001E-2</v>
      </c>
      <c r="W231">
        <v>1.5591000000000001E-2</v>
      </c>
      <c r="X231">
        <v>2.5229999999999999E-2</v>
      </c>
      <c r="Y231">
        <v>1.7489999999999999E-2</v>
      </c>
      <c r="Z231">
        <v>2.2356000000000001E-2</v>
      </c>
      <c r="AA231" s="1">
        <v>6.0000000000000002E-6</v>
      </c>
      <c r="AB231">
        <v>-2.7345999999999999E-2</v>
      </c>
    </row>
    <row r="232" spans="1:28" x14ac:dyDescent="0.2">
      <c r="A232">
        <v>19510331</v>
      </c>
      <c r="B232">
        <v>1951</v>
      </c>
      <c r="C232">
        <v>3</v>
      </c>
      <c r="D232">
        <v>1.3261E-2</v>
      </c>
      <c r="E232">
        <v>-4.7958000000000001E-2</v>
      </c>
      <c r="F232">
        <v>-4.6164999999999998E-2</v>
      </c>
      <c r="G232">
        <v>-4.897E-2</v>
      </c>
      <c r="H232">
        <v>-6.7455000000000001E-2</v>
      </c>
      <c r="I232">
        <v>-1.9878E-2</v>
      </c>
      <c r="J232">
        <v>-1.4053E-2</v>
      </c>
      <c r="K232">
        <v>-3.2888000000000001E-2</v>
      </c>
      <c r="L232">
        <v>-5.6035000000000001E-2</v>
      </c>
      <c r="M232">
        <v>-5.1334999999999999E-2</v>
      </c>
      <c r="N232">
        <v>-1.5207E-2</v>
      </c>
      <c r="O232">
        <v>-6.1830000000000001E-3</v>
      </c>
      <c r="P232">
        <v>-4.7431000000000001E-2</v>
      </c>
      <c r="Q232">
        <v>-4.7774999999999998E-2</v>
      </c>
      <c r="R232">
        <v>-5.9012000000000002E-2</v>
      </c>
      <c r="S232">
        <v>-1.5944E-2</v>
      </c>
      <c r="T232">
        <v>-1.8933999999999999E-2</v>
      </c>
      <c r="U232">
        <v>-3.8391000000000002E-2</v>
      </c>
      <c r="V232">
        <v>-6.1496000000000002E-2</v>
      </c>
      <c r="W232">
        <v>-5.6597000000000001E-2</v>
      </c>
      <c r="X232">
        <v>-5.2960000000000004E-3</v>
      </c>
      <c r="Y232">
        <v>-1.3179E-2</v>
      </c>
      <c r="Z232">
        <v>-2.9725000000000001E-2</v>
      </c>
      <c r="AA232">
        <v>-3.4731999999999999E-2</v>
      </c>
      <c r="AB232">
        <v>-4.8707E-2</v>
      </c>
    </row>
    <row r="233" spans="1:28" x14ac:dyDescent="0.2">
      <c r="A233">
        <v>19510430</v>
      </c>
      <c r="B233">
        <v>1951</v>
      </c>
      <c r="C233">
        <v>4</v>
      </c>
      <c r="D233">
        <v>1.7877000000000001E-2</v>
      </c>
      <c r="E233">
        <v>3.2226999999999999E-2</v>
      </c>
      <c r="F233">
        <v>5.0795E-2</v>
      </c>
      <c r="G233">
        <v>3.3782E-2</v>
      </c>
      <c r="H233">
        <v>5.0597999999999997E-2</v>
      </c>
      <c r="I233">
        <v>3.1858999999999998E-2</v>
      </c>
      <c r="J233">
        <v>3.3173000000000001E-2</v>
      </c>
      <c r="K233">
        <v>3.6561000000000003E-2</v>
      </c>
      <c r="L233">
        <v>5.7652000000000002E-2</v>
      </c>
      <c r="M233">
        <v>5.0802E-2</v>
      </c>
      <c r="N233">
        <v>6.7140000000000003E-3</v>
      </c>
      <c r="O233">
        <v>3.3558999999999999E-2</v>
      </c>
      <c r="P233">
        <v>4.0500000000000001E-2</v>
      </c>
      <c r="Q233">
        <v>5.6637E-2</v>
      </c>
      <c r="R233">
        <v>7.3181999999999997E-2</v>
      </c>
      <c r="S233">
        <v>4.6489999999999997E-2</v>
      </c>
      <c r="T233">
        <v>4.5956999999999998E-2</v>
      </c>
      <c r="U233">
        <v>3.8753999999999997E-2</v>
      </c>
      <c r="V233">
        <v>5.4017999999999997E-2</v>
      </c>
      <c r="W233">
        <v>5.3268000000000003E-2</v>
      </c>
      <c r="X233">
        <v>4.6592000000000001E-2</v>
      </c>
      <c r="Y233">
        <v>2.9588E-2</v>
      </c>
      <c r="Z233">
        <v>8.8526999999999995E-2</v>
      </c>
      <c r="AA233">
        <v>6.4907999999999993E-2</v>
      </c>
      <c r="AB233">
        <v>7.8190999999999997E-2</v>
      </c>
    </row>
    <row r="234" spans="1:28" x14ac:dyDescent="0.2">
      <c r="A234">
        <v>19510531</v>
      </c>
      <c r="B234">
        <v>1951</v>
      </c>
      <c r="C234">
        <v>5</v>
      </c>
      <c r="D234">
        <v>-4.4812999999999999E-2</v>
      </c>
      <c r="E234">
        <v>-2.6308000000000002E-2</v>
      </c>
      <c r="F234">
        <v>-3.6996000000000001E-2</v>
      </c>
      <c r="G234">
        <v>-4.4165000000000003E-2</v>
      </c>
      <c r="H234">
        <v>-4.0164999999999999E-2</v>
      </c>
      <c r="I234">
        <v>-2.2751E-2</v>
      </c>
      <c r="J234">
        <v>-2.5076000000000001E-2</v>
      </c>
      <c r="K234">
        <v>-1.8748999999999998E-2</v>
      </c>
      <c r="L234">
        <v>-3.0120000000000001E-2</v>
      </c>
      <c r="M234">
        <v>-4.6668000000000001E-2</v>
      </c>
      <c r="N234">
        <v>-2.3538E-2</v>
      </c>
      <c r="O234">
        <v>-1.9907000000000001E-2</v>
      </c>
      <c r="P234">
        <v>-2.4938999999999999E-2</v>
      </c>
      <c r="Q234">
        <v>-2.8920999999999999E-2</v>
      </c>
      <c r="R234">
        <v>-1.3280999999999999E-2</v>
      </c>
      <c r="S234">
        <v>-1.9751000000000001E-2</v>
      </c>
      <c r="T234">
        <v>-2.0346E-2</v>
      </c>
      <c r="U234">
        <v>-1.4311000000000001E-2</v>
      </c>
      <c r="V234">
        <v>-2.7328999999999999E-2</v>
      </c>
      <c r="W234">
        <v>-3.6659999999999998E-2</v>
      </c>
      <c r="X234">
        <v>-2.2637000000000001E-2</v>
      </c>
      <c r="Y234">
        <v>-1.6736000000000001E-2</v>
      </c>
      <c r="Z234">
        <v>-2.2349999999999998E-2</v>
      </c>
      <c r="AA234">
        <v>-1.9727999999999999E-2</v>
      </c>
      <c r="AB234">
        <v>-4.7383000000000002E-2</v>
      </c>
    </row>
    <row r="235" spans="1:28" x14ac:dyDescent="0.2">
      <c r="A235">
        <v>19510629</v>
      </c>
      <c r="B235">
        <v>1951</v>
      </c>
      <c r="C235">
        <v>6</v>
      </c>
      <c r="D235">
        <v>-3.9466000000000001E-2</v>
      </c>
      <c r="E235">
        <v>-7.2732000000000005E-2</v>
      </c>
      <c r="F235">
        <v>-6.8385000000000001E-2</v>
      </c>
      <c r="G235">
        <v>-4.6987000000000001E-2</v>
      </c>
      <c r="H235">
        <v>-7.1568000000000007E-2</v>
      </c>
      <c r="I235">
        <v>-4.2437999999999997E-2</v>
      </c>
      <c r="J235">
        <v>-4.0196000000000003E-2</v>
      </c>
      <c r="K235">
        <v>-5.6388000000000001E-2</v>
      </c>
      <c r="L235">
        <v>-5.7939999999999998E-2</v>
      </c>
      <c r="M235">
        <v>-7.2554999999999994E-2</v>
      </c>
      <c r="N235">
        <v>-4.4228999999999997E-2</v>
      </c>
      <c r="O235">
        <v>-3.7366000000000003E-2</v>
      </c>
      <c r="P235">
        <v>-4.5036E-2</v>
      </c>
      <c r="Q235">
        <v>-6.3584000000000002E-2</v>
      </c>
      <c r="R235">
        <v>-0.107349</v>
      </c>
      <c r="S235">
        <v>-2.7862000000000001E-2</v>
      </c>
      <c r="T235">
        <v>-2.5408E-2</v>
      </c>
      <c r="U235">
        <v>-4.4614000000000001E-2</v>
      </c>
      <c r="V235">
        <v>-5.1596000000000003E-2</v>
      </c>
      <c r="W235">
        <v>-7.9800999999999997E-2</v>
      </c>
      <c r="X235">
        <v>-2.0059E-2</v>
      </c>
      <c r="Y235">
        <v>-2.0213999999999999E-2</v>
      </c>
      <c r="Z235">
        <v>2.0412E-2</v>
      </c>
      <c r="AA235">
        <v>-3.7700999999999998E-2</v>
      </c>
      <c r="AB235">
        <v>-6.6559999999999994E-2</v>
      </c>
    </row>
    <row r="236" spans="1:28" x14ac:dyDescent="0.2">
      <c r="A236">
        <v>19510731</v>
      </c>
      <c r="B236">
        <v>1951</v>
      </c>
      <c r="C236">
        <v>7</v>
      </c>
      <c r="D236">
        <v>3.3041000000000001E-2</v>
      </c>
      <c r="E236">
        <v>3.8193999999999999E-2</v>
      </c>
      <c r="F236">
        <v>3.6452999999999999E-2</v>
      </c>
      <c r="G236">
        <v>4.3713000000000002E-2</v>
      </c>
      <c r="H236">
        <v>4.2865E-2</v>
      </c>
      <c r="I236">
        <v>5.2614000000000001E-2</v>
      </c>
      <c r="J236">
        <v>6.0238E-2</v>
      </c>
      <c r="K236">
        <v>5.6059999999999999E-2</v>
      </c>
      <c r="L236">
        <v>6.9399000000000002E-2</v>
      </c>
      <c r="M236">
        <v>7.3449E-2</v>
      </c>
      <c r="N236">
        <v>4.0578999999999997E-2</v>
      </c>
      <c r="O236">
        <v>6.7338999999999996E-2</v>
      </c>
      <c r="P236">
        <v>5.0525E-2</v>
      </c>
      <c r="Q236">
        <v>7.2009000000000004E-2</v>
      </c>
      <c r="R236">
        <v>6.7831000000000002E-2</v>
      </c>
      <c r="S236">
        <v>8.5835999999999996E-2</v>
      </c>
      <c r="T236">
        <v>5.8073E-2</v>
      </c>
      <c r="U236">
        <v>6.3020000000000007E-2</v>
      </c>
      <c r="V236">
        <v>8.3973000000000006E-2</v>
      </c>
      <c r="W236">
        <v>0.108969</v>
      </c>
      <c r="X236">
        <v>7.0261000000000004E-2</v>
      </c>
      <c r="Y236">
        <v>5.6808999999999998E-2</v>
      </c>
      <c r="Z236">
        <v>6.6875000000000004E-2</v>
      </c>
      <c r="AA236">
        <v>9.4749E-2</v>
      </c>
      <c r="AB236">
        <v>0.108361</v>
      </c>
    </row>
    <row r="237" spans="1:28" x14ac:dyDescent="0.2">
      <c r="A237">
        <v>19510831</v>
      </c>
      <c r="B237">
        <v>1951</v>
      </c>
      <c r="C237">
        <v>8</v>
      </c>
      <c r="D237">
        <v>0.11052099999999999</v>
      </c>
      <c r="E237">
        <v>0.12554899999999999</v>
      </c>
      <c r="F237">
        <v>4.5759000000000001E-2</v>
      </c>
      <c r="G237">
        <v>6.0639999999999999E-2</v>
      </c>
      <c r="H237">
        <v>5.1587000000000001E-2</v>
      </c>
      <c r="I237">
        <v>4.0335999999999997E-2</v>
      </c>
      <c r="J237">
        <v>5.4406999999999997E-2</v>
      </c>
      <c r="K237">
        <v>3.4745999999999999E-2</v>
      </c>
      <c r="L237">
        <v>6.8167000000000005E-2</v>
      </c>
      <c r="M237">
        <v>3.8041999999999999E-2</v>
      </c>
      <c r="N237">
        <v>4.6047999999999999E-2</v>
      </c>
      <c r="O237">
        <v>5.9667999999999999E-2</v>
      </c>
      <c r="P237">
        <v>5.1498000000000002E-2</v>
      </c>
      <c r="Q237">
        <v>4.2999000000000002E-2</v>
      </c>
      <c r="R237">
        <v>4.9217999999999998E-2</v>
      </c>
      <c r="S237">
        <v>3.2077000000000001E-2</v>
      </c>
      <c r="T237">
        <v>4.6764E-2</v>
      </c>
      <c r="U237">
        <v>4.2323E-2</v>
      </c>
      <c r="V237">
        <v>4.1765999999999998E-2</v>
      </c>
      <c r="W237">
        <v>1.6631E-2</v>
      </c>
      <c r="X237">
        <v>3.7270999999999999E-2</v>
      </c>
      <c r="Y237">
        <v>5.6854000000000002E-2</v>
      </c>
      <c r="Z237">
        <v>4.5135000000000002E-2</v>
      </c>
      <c r="AA237">
        <v>5.1353999999999997E-2</v>
      </c>
      <c r="AB237">
        <v>4.7391000000000003E-2</v>
      </c>
    </row>
    <row r="238" spans="1:28" x14ac:dyDescent="0.2">
      <c r="A238">
        <v>19510928</v>
      </c>
      <c r="B238">
        <v>1951</v>
      </c>
      <c r="C238">
        <v>9</v>
      </c>
      <c r="D238">
        <v>3.7489000000000001E-2</v>
      </c>
      <c r="E238">
        <v>1.6628E-2</v>
      </c>
      <c r="F238">
        <v>2.7372E-2</v>
      </c>
      <c r="G238">
        <v>2.2360999999999999E-2</v>
      </c>
      <c r="H238">
        <v>1.9557999999999999E-2</v>
      </c>
      <c r="I238">
        <v>2.9234E-2</v>
      </c>
      <c r="J238">
        <v>4.0145E-2</v>
      </c>
      <c r="K238">
        <v>3.0412999999999999E-2</v>
      </c>
      <c r="L238">
        <v>1.864E-2</v>
      </c>
      <c r="M238">
        <v>4.4879000000000002E-2</v>
      </c>
      <c r="N238">
        <v>4.4720000000000003E-3</v>
      </c>
      <c r="O238">
        <v>1.9219E-2</v>
      </c>
      <c r="P238">
        <v>1.7156999999999999E-2</v>
      </c>
      <c r="Q238">
        <v>2.7496E-2</v>
      </c>
      <c r="R238">
        <v>3.6527999999999998E-2</v>
      </c>
      <c r="S238">
        <v>1.1575999999999999E-2</v>
      </c>
      <c r="T238">
        <v>2.1454000000000001E-2</v>
      </c>
      <c r="U238">
        <v>2.7338999999999999E-2</v>
      </c>
      <c r="V238">
        <v>3.4117000000000001E-2</v>
      </c>
      <c r="W238">
        <v>4.0474999999999997E-2</v>
      </c>
      <c r="X238">
        <v>4.7580000000000001E-3</v>
      </c>
      <c r="Y238">
        <v>5.8079999999999998E-3</v>
      </c>
      <c r="Z238">
        <v>-3.9760000000000004E-3</v>
      </c>
      <c r="AA238">
        <v>1.5870000000000001E-3</v>
      </c>
      <c r="AB238">
        <v>1.8588E-2</v>
      </c>
    </row>
    <row r="239" spans="1:28" x14ac:dyDescent="0.2">
      <c r="A239">
        <v>19511031</v>
      </c>
      <c r="B239">
        <v>1951</v>
      </c>
      <c r="C239">
        <v>10</v>
      </c>
      <c r="D239">
        <v>-4.6432000000000001E-2</v>
      </c>
      <c r="E239">
        <v>-4.5849999999999997E-3</v>
      </c>
      <c r="F239">
        <v>-3.0540000000000001E-2</v>
      </c>
      <c r="G239">
        <v>-3.0204000000000002E-2</v>
      </c>
      <c r="H239">
        <v>-1.6590000000000001E-2</v>
      </c>
      <c r="I239">
        <v>-2.3948000000000001E-2</v>
      </c>
      <c r="J239">
        <v>-2.5406999999999999E-2</v>
      </c>
      <c r="K239">
        <v>-2.1092E-2</v>
      </c>
      <c r="L239">
        <v>-3.2704999999999998E-2</v>
      </c>
      <c r="M239">
        <v>-4.3052E-2</v>
      </c>
      <c r="N239">
        <v>-1.4755000000000001E-2</v>
      </c>
      <c r="O239">
        <v>-1.5983000000000001E-2</v>
      </c>
      <c r="P239">
        <v>-1.822E-2</v>
      </c>
      <c r="Q239">
        <v>-2.2089000000000001E-2</v>
      </c>
      <c r="R239">
        <v>-4.2464000000000002E-2</v>
      </c>
      <c r="S239">
        <v>-2.7597E-2</v>
      </c>
      <c r="T239">
        <v>-2.3542E-2</v>
      </c>
      <c r="U239">
        <v>-2.7621E-2</v>
      </c>
      <c r="V239">
        <v>-1.2030000000000001E-2</v>
      </c>
      <c r="W239">
        <v>-4.3711E-2</v>
      </c>
      <c r="X239">
        <v>-4.2633999999999998E-2</v>
      </c>
      <c r="Y239">
        <v>-2.5673999999999999E-2</v>
      </c>
      <c r="Z239">
        <v>4.8989999999999997E-3</v>
      </c>
      <c r="AA239">
        <v>-1.5610000000000001E-3</v>
      </c>
      <c r="AB239">
        <v>-3.4180000000000002E-2</v>
      </c>
    </row>
    <row r="240" spans="1:28" x14ac:dyDescent="0.2">
      <c r="A240">
        <v>19511130</v>
      </c>
      <c r="B240">
        <v>1951</v>
      </c>
      <c r="C240">
        <v>11</v>
      </c>
      <c r="D240">
        <v>-3.114E-3</v>
      </c>
      <c r="E240">
        <v>-8.4510000000000002E-3</v>
      </c>
      <c r="F240">
        <v>-5.9220000000000002E-3</v>
      </c>
      <c r="G240">
        <v>-2.2100000000000002E-3</v>
      </c>
      <c r="H240">
        <v>-1.2199E-2</v>
      </c>
      <c r="I240">
        <v>3.8990000000000001E-3</v>
      </c>
      <c r="J240">
        <v>-7.4359999999999999E-3</v>
      </c>
      <c r="K240">
        <v>6.3099999999999996E-3</v>
      </c>
      <c r="L240">
        <v>4.5970000000000004E-3</v>
      </c>
      <c r="M240">
        <v>1.3200999999999999E-2</v>
      </c>
      <c r="N240">
        <v>1.0128E-2</v>
      </c>
      <c r="O240">
        <v>1.9789000000000001E-2</v>
      </c>
      <c r="P240">
        <v>1.6192999999999999E-2</v>
      </c>
      <c r="Q240">
        <v>9.3120000000000008E-3</v>
      </c>
      <c r="R240">
        <v>3.9849999999999998E-3</v>
      </c>
      <c r="S240">
        <v>7.378E-3</v>
      </c>
      <c r="T240">
        <v>2.6157E-2</v>
      </c>
      <c r="U240">
        <v>1.9050000000000001E-2</v>
      </c>
      <c r="V240">
        <v>1.6974E-2</v>
      </c>
      <c r="W240">
        <v>1.3965E-2</v>
      </c>
      <c r="X240">
        <v>7.1890000000000001E-3</v>
      </c>
      <c r="Y240">
        <v>1.1950000000000001E-2</v>
      </c>
      <c r="Z240">
        <v>-6.6000000000000005E-5</v>
      </c>
      <c r="AA240">
        <v>-1.5499999999999999E-3</v>
      </c>
      <c r="AB240">
        <v>1.6494999999999999E-2</v>
      </c>
    </row>
    <row r="241" spans="1:28" x14ac:dyDescent="0.2">
      <c r="A241">
        <v>19511231</v>
      </c>
      <c r="B241">
        <v>1951</v>
      </c>
      <c r="C241">
        <v>12</v>
      </c>
      <c r="D241">
        <v>-8.6429999999999996E-3</v>
      </c>
      <c r="E241">
        <v>-7.4250000000000002E-3</v>
      </c>
      <c r="F241">
        <v>1.2871E-2</v>
      </c>
      <c r="G241">
        <v>8.1989999999999997E-3</v>
      </c>
      <c r="H241">
        <v>2.0639999999999999E-3</v>
      </c>
      <c r="I241">
        <v>2.6306E-2</v>
      </c>
      <c r="J241">
        <v>-4.3100000000000001E-4</v>
      </c>
      <c r="K241">
        <v>1.6539000000000002E-2</v>
      </c>
      <c r="L241">
        <v>8.5190000000000005E-3</v>
      </c>
      <c r="M241">
        <v>7.391E-3</v>
      </c>
      <c r="N241">
        <v>1.1826E-2</v>
      </c>
      <c r="O241">
        <v>6.2760000000000003E-3</v>
      </c>
      <c r="P241">
        <v>1.4341E-2</v>
      </c>
      <c r="Q241">
        <v>-1.364E-3</v>
      </c>
      <c r="R241">
        <v>5.862E-3</v>
      </c>
      <c r="S241">
        <v>2.75E-2</v>
      </c>
      <c r="T241">
        <v>2.8132999999999998E-2</v>
      </c>
      <c r="U241">
        <v>1.7144E-2</v>
      </c>
      <c r="V241">
        <v>1.2200000000000001E-2</v>
      </c>
      <c r="W241">
        <v>1.529E-2</v>
      </c>
      <c r="X241">
        <v>4.9876999999999998E-2</v>
      </c>
      <c r="Y241">
        <v>2.9198000000000002E-2</v>
      </c>
      <c r="Z241">
        <v>4.1925999999999998E-2</v>
      </c>
      <c r="AA241">
        <v>2.6187999999999999E-2</v>
      </c>
      <c r="AB241">
        <v>1.474E-2</v>
      </c>
    </row>
    <row r="242" spans="1:28" x14ac:dyDescent="0.2">
      <c r="A242">
        <v>19520131</v>
      </c>
      <c r="B242">
        <v>1952</v>
      </c>
      <c r="C242">
        <v>1</v>
      </c>
      <c r="D242">
        <v>1.1493E-2</v>
      </c>
      <c r="E242">
        <v>2.3560000000000001E-2</v>
      </c>
      <c r="F242">
        <v>1.2966999999999999E-2</v>
      </c>
      <c r="G242">
        <v>1.3742000000000001E-2</v>
      </c>
      <c r="H242">
        <v>2.0910999999999999E-2</v>
      </c>
      <c r="I242">
        <v>2.0367E-2</v>
      </c>
      <c r="J242">
        <v>2.0452999999999999E-2</v>
      </c>
      <c r="K242">
        <v>1.2201999999999999E-2</v>
      </c>
      <c r="L242">
        <v>2.4011000000000001E-2</v>
      </c>
      <c r="M242">
        <v>1.11E-2</v>
      </c>
      <c r="N242">
        <v>2.0715000000000001E-2</v>
      </c>
      <c r="O242">
        <v>1.8783000000000001E-2</v>
      </c>
      <c r="P242">
        <v>8.3199999999999993E-3</v>
      </c>
      <c r="Q242">
        <v>1.1344999999999999E-2</v>
      </c>
      <c r="R242">
        <v>2.0908E-2</v>
      </c>
      <c r="S242">
        <v>1.9945999999999998E-2</v>
      </c>
      <c r="T242">
        <v>1.5121000000000001E-2</v>
      </c>
      <c r="U242">
        <v>1.3135000000000001E-2</v>
      </c>
      <c r="V242">
        <v>2.3380999999999999E-2</v>
      </c>
      <c r="W242">
        <v>1.3729E-2</v>
      </c>
      <c r="X242">
        <v>-2.3059999999999999E-3</v>
      </c>
      <c r="Y242">
        <v>2.0118E-2</v>
      </c>
      <c r="Z242">
        <v>2.8400000000000002E-2</v>
      </c>
      <c r="AA242">
        <v>4.8042000000000001E-2</v>
      </c>
      <c r="AB242">
        <v>3.5184E-2</v>
      </c>
    </row>
    <row r="243" spans="1:28" x14ac:dyDescent="0.2">
      <c r="A243">
        <v>19520229</v>
      </c>
      <c r="B243">
        <v>1952</v>
      </c>
      <c r="C243">
        <v>2</v>
      </c>
      <c r="D243">
        <v>-4.9141999999999998E-2</v>
      </c>
      <c r="E243">
        <v>-3.4695999999999998E-2</v>
      </c>
      <c r="F243">
        <v>-2.3934E-2</v>
      </c>
      <c r="G243">
        <v>-2.9523000000000001E-2</v>
      </c>
      <c r="H243">
        <v>-2.8483000000000001E-2</v>
      </c>
      <c r="I243">
        <v>-1.6212000000000001E-2</v>
      </c>
      <c r="J243">
        <v>-2.077E-2</v>
      </c>
      <c r="K243">
        <v>-2.9353000000000001E-2</v>
      </c>
      <c r="L243">
        <v>-1.7287E-2</v>
      </c>
      <c r="M243">
        <v>-1.8932999999999998E-2</v>
      </c>
      <c r="N243">
        <v>-1.5956999999999999E-2</v>
      </c>
      <c r="O243">
        <v>-7.3099999999999997E-3</v>
      </c>
      <c r="P243">
        <v>-2.3459000000000001E-2</v>
      </c>
      <c r="Q243">
        <v>-2.5387E-2</v>
      </c>
      <c r="R243">
        <v>-1.6884E-2</v>
      </c>
      <c r="S243">
        <v>-9.1120000000000003E-3</v>
      </c>
      <c r="T243">
        <v>-1.1273999999999999E-2</v>
      </c>
      <c r="U243">
        <v>-3.4044999999999999E-2</v>
      </c>
      <c r="V243">
        <v>-2.1663000000000002E-2</v>
      </c>
      <c r="W243">
        <v>-1.6407000000000001E-2</v>
      </c>
      <c r="X243">
        <v>-2.3192000000000001E-2</v>
      </c>
      <c r="Y243">
        <v>-2.5694999999999999E-2</v>
      </c>
      <c r="Z243">
        <v>-3.1544000000000003E-2</v>
      </c>
      <c r="AA243">
        <v>-3.1406000000000003E-2</v>
      </c>
      <c r="AB243">
        <v>-3.4793999999999999E-2</v>
      </c>
    </row>
    <row r="244" spans="1:28" x14ac:dyDescent="0.2">
      <c r="A244">
        <v>19520331</v>
      </c>
      <c r="B244">
        <v>1952</v>
      </c>
      <c r="C244">
        <v>3</v>
      </c>
      <c r="D244">
        <v>2.2953999999999999E-2</v>
      </c>
      <c r="E244">
        <v>1.3995E-2</v>
      </c>
      <c r="F244">
        <v>1.4697999999999999E-2</v>
      </c>
      <c r="G244">
        <v>2.4240999999999999E-2</v>
      </c>
      <c r="H244">
        <v>2.3904999999999999E-2</v>
      </c>
      <c r="I244">
        <v>9.4500000000000001E-3</v>
      </c>
      <c r="J244">
        <v>1.8682000000000001E-2</v>
      </c>
      <c r="K244">
        <v>2.0173E-2</v>
      </c>
      <c r="L244">
        <v>2.6648999999999999E-2</v>
      </c>
      <c r="M244">
        <v>4.8934999999999999E-2</v>
      </c>
      <c r="N244">
        <v>3.356E-2</v>
      </c>
      <c r="O244">
        <v>1.8106000000000001E-2</v>
      </c>
      <c r="P244">
        <v>2.5134E-2</v>
      </c>
      <c r="Q244">
        <v>2.3045E-2</v>
      </c>
      <c r="R244">
        <v>4.3110999999999997E-2</v>
      </c>
      <c r="S244">
        <v>2.6457999999999999E-2</v>
      </c>
      <c r="T244">
        <v>2.4102999999999999E-2</v>
      </c>
      <c r="U244">
        <v>3.0993E-2</v>
      </c>
      <c r="V244">
        <v>5.5374E-2</v>
      </c>
      <c r="W244">
        <v>7.3583999999999997E-2</v>
      </c>
      <c r="X244">
        <v>4.8272000000000002E-2</v>
      </c>
      <c r="Y244">
        <v>5.2368999999999999E-2</v>
      </c>
      <c r="Z244">
        <v>4.3175999999999999E-2</v>
      </c>
      <c r="AA244">
        <v>6.8473999999999993E-2</v>
      </c>
      <c r="AB244">
        <v>7.3275999999999994E-2</v>
      </c>
    </row>
    <row r="245" spans="1:28" x14ac:dyDescent="0.2">
      <c r="A245">
        <v>19520430</v>
      </c>
      <c r="B245">
        <v>1952</v>
      </c>
      <c r="C245">
        <v>4</v>
      </c>
      <c r="D245">
        <v>-4.7767999999999998E-2</v>
      </c>
      <c r="E245">
        <v>-6.2914999999999999E-2</v>
      </c>
      <c r="F245">
        <v>-4.4304000000000003E-2</v>
      </c>
      <c r="G245">
        <v>-3.8120000000000001E-2</v>
      </c>
      <c r="H245">
        <v>-4.9796E-2</v>
      </c>
      <c r="I245">
        <v>-4.9306000000000003E-2</v>
      </c>
      <c r="J245">
        <v>-5.0636E-2</v>
      </c>
      <c r="K245">
        <v>-4.1897999999999998E-2</v>
      </c>
      <c r="L245">
        <v>-5.4789999999999998E-2</v>
      </c>
      <c r="M245">
        <v>-3.9453000000000002E-2</v>
      </c>
      <c r="N245">
        <v>-3.9355000000000001E-2</v>
      </c>
      <c r="O245">
        <v>-5.5014E-2</v>
      </c>
      <c r="P245">
        <v>-3.7740999999999997E-2</v>
      </c>
      <c r="Q245">
        <v>-4.3529999999999999E-2</v>
      </c>
      <c r="R245">
        <v>-3.0474999999999999E-2</v>
      </c>
      <c r="S245">
        <v>-5.7498E-2</v>
      </c>
      <c r="T245">
        <v>-4.1945999999999997E-2</v>
      </c>
      <c r="U245">
        <v>-4.2731999999999999E-2</v>
      </c>
      <c r="V245">
        <v>-6.3929E-2</v>
      </c>
      <c r="W245">
        <v>-2.7831000000000002E-2</v>
      </c>
      <c r="X245">
        <v>-4.7169000000000003E-2</v>
      </c>
      <c r="Y245">
        <v>-4.3035999999999998E-2</v>
      </c>
      <c r="Z245">
        <v>-4.5699999999999998E-2</v>
      </c>
      <c r="AA245">
        <v>-7.1218000000000004E-2</v>
      </c>
      <c r="AB245">
        <v>-5.8802E-2</v>
      </c>
    </row>
    <row r="246" spans="1:28" x14ac:dyDescent="0.2">
      <c r="A246">
        <v>19520529</v>
      </c>
      <c r="B246">
        <v>1952</v>
      </c>
      <c r="C246">
        <v>5</v>
      </c>
      <c r="D246">
        <v>-7.5650999999999996E-2</v>
      </c>
      <c r="E246">
        <v>8.0789999999999994E-3</v>
      </c>
      <c r="F246">
        <v>2.4638E-2</v>
      </c>
      <c r="G246">
        <v>2.0777E-2</v>
      </c>
      <c r="H246">
        <v>1.4592000000000001E-2</v>
      </c>
      <c r="I246">
        <v>2.1294E-2</v>
      </c>
      <c r="J246">
        <v>2.3795E-2</v>
      </c>
      <c r="K246">
        <v>3.1053000000000001E-2</v>
      </c>
      <c r="L246">
        <v>1.9564999999999999E-2</v>
      </c>
      <c r="M246">
        <v>3.1005000000000001E-2</v>
      </c>
      <c r="N246">
        <v>2.6244E-2</v>
      </c>
      <c r="O246">
        <v>2.9017000000000001E-2</v>
      </c>
      <c r="P246">
        <v>1.4357E-2</v>
      </c>
      <c r="Q246">
        <v>2.3888E-2</v>
      </c>
      <c r="R246">
        <v>4.0134000000000003E-2</v>
      </c>
      <c r="S246">
        <v>3.2682000000000003E-2</v>
      </c>
      <c r="T246">
        <v>2.3501000000000001E-2</v>
      </c>
      <c r="U246">
        <v>3.3778000000000002E-2</v>
      </c>
      <c r="V246">
        <v>1.9879999999999998E-2</v>
      </c>
      <c r="W246">
        <v>3.1655999999999997E-2</v>
      </c>
      <c r="X246">
        <v>4.1362999999999997E-2</v>
      </c>
      <c r="Y246">
        <v>3.0245999999999999E-2</v>
      </c>
      <c r="Z246">
        <v>2.7422999999999999E-2</v>
      </c>
      <c r="AA246">
        <v>3.7367999999999998E-2</v>
      </c>
      <c r="AB246">
        <v>3.4373000000000001E-2</v>
      </c>
    </row>
    <row r="247" spans="1:28" x14ac:dyDescent="0.2">
      <c r="A247">
        <v>19520630</v>
      </c>
      <c r="B247">
        <v>1952</v>
      </c>
      <c r="C247">
        <v>6</v>
      </c>
      <c r="D247">
        <v>2.5905999999999998E-2</v>
      </c>
      <c r="E247">
        <v>5.9450999999999997E-2</v>
      </c>
      <c r="F247">
        <v>1.8325999999999999E-2</v>
      </c>
      <c r="G247">
        <v>2.3904999999999999E-2</v>
      </c>
      <c r="H247">
        <v>3.3744999999999997E-2</v>
      </c>
      <c r="I247">
        <v>2.9503999999999999E-2</v>
      </c>
      <c r="J247">
        <v>1.7592E-2</v>
      </c>
      <c r="K247">
        <v>2.1985000000000001E-2</v>
      </c>
      <c r="L247">
        <v>2.9225999999999999E-2</v>
      </c>
      <c r="M247">
        <v>4.0665E-2</v>
      </c>
      <c r="N247">
        <v>8.4939999999999998E-3</v>
      </c>
      <c r="O247">
        <v>2.9950999999999998E-2</v>
      </c>
      <c r="P247">
        <v>2.8842E-2</v>
      </c>
      <c r="Q247">
        <v>4.0711999999999998E-2</v>
      </c>
      <c r="R247">
        <v>3.6243999999999998E-2</v>
      </c>
      <c r="S247">
        <v>3.3300000000000003E-2</v>
      </c>
      <c r="T247">
        <v>4.0264000000000001E-2</v>
      </c>
      <c r="U247">
        <v>2.7569E-2</v>
      </c>
      <c r="V247">
        <v>3.5116000000000001E-2</v>
      </c>
      <c r="W247">
        <v>3.7913000000000002E-2</v>
      </c>
      <c r="X247">
        <v>4.0645000000000001E-2</v>
      </c>
      <c r="Y247">
        <v>4.2584999999999998E-2</v>
      </c>
      <c r="Z247">
        <v>4.3208000000000003E-2</v>
      </c>
      <c r="AA247">
        <v>3.2809999999999999E-2</v>
      </c>
      <c r="AB247">
        <v>7.0357000000000003E-2</v>
      </c>
    </row>
    <row r="248" spans="1:28" x14ac:dyDescent="0.2">
      <c r="A248">
        <v>19520731</v>
      </c>
      <c r="B248">
        <v>1952</v>
      </c>
      <c r="C248">
        <v>7</v>
      </c>
      <c r="D248">
        <v>1.9852999999999999E-2</v>
      </c>
      <c r="E248">
        <v>2.0659E-2</v>
      </c>
      <c r="F248">
        <v>2.3654999999999999E-2</v>
      </c>
      <c r="G248">
        <v>9.3069999999999993E-3</v>
      </c>
      <c r="H248">
        <v>4.5450000000000004E-3</v>
      </c>
      <c r="I248">
        <v>1.8513999999999999E-2</v>
      </c>
      <c r="J248">
        <v>-9.4200000000000002E-4</v>
      </c>
      <c r="K248">
        <v>1.5733E-2</v>
      </c>
      <c r="L248">
        <v>1.1858E-2</v>
      </c>
      <c r="M248">
        <v>-3.307E-3</v>
      </c>
      <c r="N248">
        <v>1.7555000000000001E-2</v>
      </c>
      <c r="O248">
        <v>8.9339999999999992E-3</v>
      </c>
      <c r="P248">
        <v>1.6806999999999999E-2</v>
      </c>
      <c r="Q248">
        <v>1.436E-2</v>
      </c>
      <c r="R248">
        <v>1.9380000000000001E-3</v>
      </c>
      <c r="S248">
        <v>9.8539999999999999E-3</v>
      </c>
      <c r="T248">
        <v>1.1838E-2</v>
      </c>
      <c r="U248">
        <v>1.5221E-2</v>
      </c>
      <c r="V248">
        <v>1.2559000000000001E-2</v>
      </c>
      <c r="W248">
        <v>1.7332E-2</v>
      </c>
      <c r="X248">
        <v>1.3153E-2</v>
      </c>
      <c r="Y248">
        <v>1.0704E-2</v>
      </c>
      <c r="Z248">
        <v>1.5939999999999999E-3</v>
      </c>
      <c r="AA248">
        <v>1.1859E-2</v>
      </c>
      <c r="AB248">
        <v>1.391E-2</v>
      </c>
    </row>
    <row r="249" spans="1:28" x14ac:dyDescent="0.2">
      <c r="A249">
        <v>19520829</v>
      </c>
      <c r="B249">
        <v>1952</v>
      </c>
      <c r="C249">
        <v>8</v>
      </c>
      <c r="D249">
        <v>-4.5692999999999998E-2</v>
      </c>
      <c r="E249">
        <v>2.5929999999999998E-3</v>
      </c>
      <c r="F249">
        <v>3.0130000000000001E-3</v>
      </c>
      <c r="G249">
        <v>3.7729999999999999E-3</v>
      </c>
      <c r="H249">
        <v>-1.5690000000000001E-3</v>
      </c>
      <c r="I249">
        <v>-4.17E-4</v>
      </c>
      <c r="J249">
        <v>-2.398E-3</v>
      </c>
      <c r="K249">
        <v>9.0760000000000007E-3</v>
      </c>
      <c r="L249">
        <v>1.6001999999999999E-2</v>
      </c>
      <c r="M249">
        <v>7.9299999999999998E-4</v>
      </c>
      <c r="N249">
        <v>4.1070000000000004E-3</v>
      </c>
      <c r="O249">
        <v>1.0272E-2</v>
      </c>
      <c r="P249">
        <v>1.8856000000000001E-2</v>
      </c>
      <c r="Q249">
        <v>-2.9550000000000002E-3</v>
      </c>
      <c r="R249">
        <v>-1.8873000000000001E-2</v>
      </c>
      <c r="S249">
        <v>-2.8270000000000001E-3</v>
      </c>
      <c r="T249">
        <v>1.0616E-2</v>
      </c>
      <c r="U249">
        <v>-4.6169999999999996E-3</v>
      </c>
      <c r="V249">
        <v>-1.101E-3</v>
      </c>
      <c r="W249">
        <v>-1.83E-4</v>
      </c>
      <c r="X249">
        <v>-7.6080000000000002E-3</v>
      </c>
      <c r="Y249">
        <v>-1.3481999999999999E-2</v>
      </c>
      <c r="Z249">
        <v>1.99E-3</v>
      </c>
      <c r="AA249">
        <v>-1.5273999999999999E-2</v>
      </c>
      <c r="AB249">
        <v>-1.3016E-2</v>
      </c>
    </row>
    <row r="250" spans="1:28" x14ac:dyDescent="0.2">
      <c r="A250">
        <v>19520930</v>
      </c>
      <c r="B250">
        <v>1952</v>
      </c>
      <c r="C250">
        <v>9</v>
      </c>
      <c r="D250">
        <v>-1.2498E-2</v>
      </c>
      <c r="E250">
        <v>2.1050000000000001E-3</v>
      </c>
      <c r="F250">
        <v>-5.2680000000000001E-3</v>
      </c>
      <c r="G250">
        <v>-1.8946999999999999E-2</v>
      </c>
      <c r="H250">
        <v>-1.0999E-2</v>
      </c>
      <c r="I250">
        <v>-1.6757000000000001E-2</v>
      </c>
      <c r="J250">
        <v>-2.0639999999999999E-2</v>
      </c>
      <c r="K250">
        <v>-9.0799999999999995E-4</v>
      </c>
      <c r="L250">
        <v>-2.0788000000000001E-2</v>
      </c>
      <c r="M250">
        <v>-1.7262E-2</v>
      </c>
      <c r="N250">
        <v>1.036E-3</v>
      </c>
      <c r="O250">
        <v>-1.1424E-2</v>
      </c>
      <c r="P250">
        <v>-6.6319999999999999E-3</v>
      </c>
      <c r="Q250">
        <v>-2.8268000000000001E-2</v>
      </c>
      <c r="R250">
        <v>-2.8077000000000001E-2</v>
      </c>
      <c r="S250">
        <v>-2.5142000000000001E-2</v>
      </c>
      <c r="T250">
        <v>-3.7929999999999999E-3</v>
      </c>
      <c r="U250">
        <v>-1.3599E-2</v>
      </c>
      <c r="V250">
        <v>-1.1075E-2</v>
      </c>
      <c r="W250">
        <v>-2.4205999999999998E-2</v>
      </c>
      <c r="X250">
        <v>-1.4999999999999999E-2</v>
      </c>
      <c r="Y250">
        <v>-2.2349000000000001E-2</v>
      </c>
      <c r="Z250">
        <v>-1.4080000000000001E-2</v>
      </c>
      <c r="AA250">
        <v>-4.7163999999999998E-2</v>
      </c>
      <c r="AB250">
        <v>-2.069E-2</v>
      </c>
    </row>
    <row r="251" spans="1:28" x14ac:dyDescent="0.2">
      <c r="A251">
        <v>19521031</v>
      </c>
      <c r="B251">
        <v>1952</v>
      </c>
      <c r="C251">
        <v>10</v>
      </c>
      <c r="D251">
        <v>-1.5789000000000001E-2</v>
      </c>
      <c r="E251">
        <v>-2.7414999999999998E-2</v>
      </c>
      <c r="F251">
        <v>2.287E-3</v>
      </c>
      <c r="G251">
        <v>-1.2633E-2</v>
      </c>
      <c r="H251">
        <v>-1.2848E-2</v>
      </c>
      <c r="I251">
        <v>-2.3441E-2</v>
      </c>
      <c r="J251">
        <v>-9.3930000000000003E-3</v>
      </c>
      <c r="K251">
        <v>-2.2020999999999999E-2</v>
      </c>
      <c r="L251">
        <v>-1.0691000000000001E-2</v>
      </c>
      <c r="M251">
        <v>-2.4652E-2</v>
      </c>
      <c r="N251">
        <v>-4.4970000000000001E-3</v>
      </c>
      <c r="O251">
        <v>-2.3470000000000001E-3</v>
      </c>
      <c r="P251">
        <v>-1.7045000000000001E-2</v>
      </c>
      <c r="Q251">
        <v>-1.3663E-2</v>
      </c>
      <c r="R251">
        <v>-7.9489999999999995E-3</v>
      </c>
      <c r="S251">
        <v>-1.1559999999999999E-3</v>
      </c>
      <c r="T251">
        <v>-1.4697E-2</v>
      </c>
      <c r="U251">
        <v>-1.7097999999999999E-2</v>
      </c>
      <c r="V251">
        <v>-1.7021000000000001E-2</v>
      </c>
      <c r="W251">
        <v>1.3107000000000001E-2</v>
      </c>
      <c r="X251">
        <v>-9.3030000000000005E-3</v>
      </c>
      <c r="Y251">
        <v>2.7299999999999998E-3</v>
      </c>
      <c r="Z251">
        <v>-2.4780000000000002E-3</v>
      </c>
      <c r="AA251">
        <v>9.3999999999999997E-4</v>
      </c>
      <c r="AB251">
        <v>-3.3649999999999999E-3</v>
      </c>
    </row>
    <row r="252" spans="1:28" x14ac:dyDescent="0.2">
      <c r="A252">
        <v>19521128</v>
      </c>
      <c r="B252">
        <v>1952</v>
      </c>
      <c r="C252">
        <v>11</v>
      </c>
      <c r="D252">
        <v>7.1710000000000003E-3</v>
      </c>
      <c r="E252">
        <v>8.4112999999999993E-2</v>
      </c>
      <c r="F252">
        <v>3.0248000000000001E-2</v>
      </c>
      <c r="G252">
        <v>4.1603000000000001E-2</v>
      </c>
      <c r="H252">
        <v>4.6682000000000001E-2</v>
      </c>
      <c r="I252">
        <v>6.5314999999999998E-2</v>
      </c>
      <c r="J252">
        <v>3.6410999999999999E-2</v>
      </c>
      <c r="K252">
        <v>5.3543E-2</v>
      </c>
      <c r="L252">
        <v>6.5981999999999999E-2</v>
      </c>
      <c r="M252">
        <v>5.8477000000000001E-2</v>
      </c>
      <c r="N252">
        <v>5.1549999999999999E-2</v>
      </c>
      <c r="O252">
        <v>6.5721000000000002E-2</v>
      </c>
      <c r="P252">
        <v>6.2364000000000003E-2</v>
      </c>
      <c r="Q252">
        <v>5.7863999999999999E-2</v>
      </c>
      <c r="R252">
        <v>6.2866000000000005E-2</v>
      </c>
      <c r="S252">
        <v>4.4313999999999999E-2</v>
      </c>
      <c r="T252">
        <v>5.7787999999999999E-2</v>
      </c>
      <c r="U252">
        <v>5.7714000000000001E-2</v>
      </c>
      <c r="V252">
        <v>6.1636999999999997E-2</v>
      </c>
      <c r="W252">
        <v>7.1609999999999993E-2</v>
      </c>
      <c r="X252">
        <v>7.3243000000000003E-2</v>
      </c>
      <c r="Y252">
        <v>4.9865E-2</v>
      </c>
      <c r="Z252">
        <v>4.4915999999999998E-2</v>
      </c>
      <c r="AA252">
        <v>6.5353999999999995E-2</v>
      </c>
      <c r="AB252">
        <v>8.2946000000000006E-2</v>
      </c>
    </row>
    <row r="253" spans="1:28" x14ac:dyDescent="0.2">
      <c r="A253">
        <v>19521231</v>
      </c>
      <c r="B253">
        <v>1952</v>
      </c>
      <c r="C253">
        <v>12</v>
      </c>
      <c r="D253">
        <v>1.3388000000000001E-2</v>
      </c>
      <c r="E253">
        <v>-1.6774000000000001E-2</v>
      </c>
      <c r="F253">
        <v>5.4920000000000004E-3</v>
      </c>
      <c r="G253">
        <v>5.7019999999999996E-3</v>
      </c>
      <c r="H253">
        <v>1.7592E-2</v>
      </c>
      <c r="I253">
        <v>2.0389999999999998E-2</v>
      </c>
      <c r="J253">
        <v>2.8840000000000001E-2</v>
      </c>
      <c r="K253">
        <v>4.0815999999999998E-2</v>
      </c>
      <c r="L253">
        <v>2.5152000000000001E-2</v>
      </c>
      <c r="M253">
        <v>2.5232999999999998E-2</v>
      </c>
      <c r="N253">
        <v>1.8218999999999999E-2</v>
      </c>
      <c r="O253">
        <v>2.0885000000000001E-2</v>
      </c>
      <c r="P253">
        <v>1.8291999999999999E-2</v>
      </c>
      <c r="Q253">
        <v>1.2661E-2</v>
      </c>
      <c r="R253">
        <v>2.8103E-2</v>
      </c>
      <c r="S253">
        <v>2.4376999999999999E-2</v>
      </c>
      <c r="T253">
        <v>2.1239999999999998E-2</v>
      </c>
      <c r="U253">
        <v>1.8498000000000001E-2</v>
      </c>
      <c r="V253">
        <v>2.6157E-2</v>
      </c>
      <c r="W253">
        <v>4.3605999999999999E-2</v>
      </c>
      <c r="X253">
        <v>3.1970999999999999E-2</v>
      </c>
      <c r="Y253">
        <v>3.3354000000000002E-2</v>
      </c>
      <c r="Z253">
        <v>2.6567E-2</v>
      </c>
      <c r="AA253">
        <v>4.2783000000000002E-2</v>
      </c>
      <c r="AB253">
        <v>4.7948999999999999E-2</v>
      </c>
    </row>
    <row r="254" spans="1:28" x14ac:dyDescent="0.2">
      <c r="A254">
        <v>19530130</v>
      </c>
      <c r="B254">
        <v>1953</v>
      </c>
      <c r="C254">
        <v>1</v>
      </c>
      <c r="D254">
        <v>3.0837E-2</v>
      </c>
      <c r="E254">
        <v>5.7637000000000001E-2</v>
      </c>
      <c r="F254">
        <v>3.8183000000000002E-2</v>
      </c>
      <c r="G254">
        <v>4.2255000000000001E-2</v>
      </c>
      <c r="H254">
        <v>4.0128999999999998E-2</v>
      </c>
      <c r="I254">
        <v>4.0726999999999999E-2</v>
      </c>
      <c r="J254">
        <v>3.0589999999999999E-2</v>
      </c>
      <c r="K254">
        <v>2.6615E-2</v>
      </c>
      <c r="L254">
        <v>3.6299999999999999E-2</v>
      </c>
      <c r="M254">
        <v>4.2437000000000002E-2</v>
      </c>
      <c r="N254">
        <v>2.6072000000000001E-2</v>
      </c>
      <c r="O254">
        <v>1.0078999999999999E-2</v>
      </c>
      <c r="P254">
        <v>3.2341000000000002E-2</v>
      </c>
      <c r="Q254">
        <v>3.4535999999999997E-2</v>
      </c>
      <c r="R254">
        <v>1.6542999999999999E-2</v>
      </c>
      <c r="S254">
        <v>-1.9000000000000001E-4</v>
      </c>
      <c r="T254">
        <v>8.763E-3</v>
      </c>
      <c r="U254">
        <v>3.6153999999999999E-2</v>
      </c>
      <c r="V254">
        <v>2.3161000000000001E-2</v>
      </c>
      <c r="W254">
        <v>1.9033000000000001E-2</v>
      </c>
      <c r="X254">
        <v>-9.809E-3</v>
      </c>
      <c r="Y254">
        <v>-1.2218E-2</v>
      </c>
      <c r="Z254">
        <v>-8.2799999999999996E-4</v>
      </c>
      <c r="AA254">
        <v>-9.1649999999999995E-3</v>
      </c>
      <c r="AB254">
        <v>1.2303E-2</v>
      </c>
    </row>
    <row r="255" spans="1:28" x14ac:dyDescent="0.2">
      <c r="A255">
        <v>19530227</v>
      </c>
      <c r="B255">
        <v>1953</v>
      </c>
      <c r="C255">
        <v>2</v>
      </c>
      <c r="D255">
        <v>8.8519E-2</v>
      </c>
      <c r="E255">
        <v>3.8935999999999998E-2</v>
      </c>
      <c r="F255">
        <v>4.9502999999999998E-2</v>
      </c>
      <c r="G255">
        <v>2.6745000000000001E-2</v>
      </c>
      <c r="H255">
        <v>2.264E-2</v>
      </c>
      <c r="I255">
        <v>1.8412999999999999E-2</v>
      </c>
      <c r="J255">
        <v>4.5600000000000003E-4</v>
      </c>
      <c r="K255">
        <v>1.6729000000000001E-2</v>
      </c>
      <c r="L255">
        <v>1.7350999999999998E-2</v>
      </c>
      <c r="M255">
        <v>1.3858000000000001E-2</v>
      </c>
      <c r="N255">
        <v>1.2286E-2</v>
      </c>
      <c r="O255">
        <v>1.686E-2</v>
      </c>
      <c r="P255">
        <v>9.1070000000000005E-3</v>
      </c>
      <c r="Q255">
        <v>1.3202999999999999E-2</v>
      </c>
      <c r="R255">
        <v>-3.0699999999999998E-4</v>
      </c>
      <c r="S255">
        <v>1.3299E-2</v>
      </c>
      <c r="T255">
        <v>5.1500000000000001E-3</v>
      </c>
      <c r="U255">
        <v>-4.8999999999999998E-5</v>
      </c>
      <c r="V255">
        <v>1.9501000000000001E-2</v>
      </c>
      <c r="W255">
        <v>-8.6300000000000005E-3</v>
      </c>
      <c r="X255">
        <v>-6.4780000000000003E-3</v>
      </c>
      <c r="Y255">
        <v>5.4699999999999996E-4</v>
      </c>
      <c r="Z255">
        <v>-3.5699999999999998E-3</v>
      </c>
      <c r="AA255">
        <v>-4.4130000000000003E-3</v>
      </c>
      <c r="AB255">
        <v>-1.221E-2</v>
      </c>
    </row>
    <row r="256" spans="1:28" x14ac:dyDescent="0.2">
      <c r="A256">
        <v>19530331</v>
      </c>
      <c r="B256">
        <v>1953</v>
      </c>
      <c r="C256">
        <v>3</v>
      </c>
      <c r="D256">
        <v>-0.119667</v>
      </c>
      <c r="E256">
        <v>-3.6589000000000003E-2</v>
      </c>
      <c r="F256">
        <v>-1.5623E-2</v>
      </c>
      <c r="G256">
        <v>-1.0465E-2</v>
      </c>
      <c r="H256">
        <v>-1.5103999999999999E-2</v>
      </c>
      <c r="I256">
        <v>-2.6987000000000001E-2</v>
      </c>
      <c r="J256">
        <v>-5.8269999999999997E-3</v>
      </c>
      <c r="K256">
        <v>-1.6161999999999999E-2</v>
      </c>
      <c r="L256">
        <v>-1.8474999999999998E-2</v>
      </c>
      <c r="M256">
        <v>-2.0154999999999999E-2</v>
      </c>
      <c r="N256">
        <v>6.9700000000000003E-4</v>
      </c>
      <c r="O256">
        <v>-3.5409999999999999E-3</v>
      </c>
      <c r="P256">
        <v>-1.6549000000000001E-2</v>
      </c>
      <c r="Q256">
        <v>-1.1665999999999999E-2</v>
      </c>
      <c r="R256">
        <v>-1.8391999999999999E-2</v>
      </c>
      <c r="S256">
        <v>-1.1413E-2</v>
      </c>
      <c r="T256">
        <v>-7.3590000000000001E-3</v>
      </c>
      <c r="U256">
        <v>-2.0383999999999999E-2</v>
      </c>
      <c r="V256">
        <v>-2.8105999999999999E-2</v>
      </c>
      <c r="W256">
        <v>-8.8559999999999993E-3</v>
      </c>
      <c r="X256">
        <v>-1.2867E-2</v>
      </c>
      <c r="Y256">
        <v>-1.469E-2</v>
      </c>
      <c r="Z256">
        <v>-8.1480000000000007E-3</v>
      </c>
      <c r="AA256">
        <v>-9.1529999999999997E-3</v>
      </c>
      <c r="AB256">
        <v>-2.9006000000000001E-2</v>
      </c>
    </row>
    <row r="257" spans="1:28" x14ac:dyDescent="0.2">
      <c r="A257">
        <v>19530430</v>
      </c>
      <c r="B257">
        <v>1953</v>
      </c>
      <c r="C257">
        <v>4</v>
      </c>
      <c r="D257">
        <v>3.3300000000000002E-4</v>
      </c>
      <c r="E257">
        <v>-4.8767999999999999E-2</v>
      </c>
      <c r="F257">
        <v>-1.3072E-2</v>
      </c>
      <c r="G257">
        <v>-1.8658000000000001E-2</v>
      </c>
      <c r="H257">
        <v>-1.7069000000000001E-2</v>
      </c>
      <c r="I257">
        <v>-3.1022000000000001E-2</v>
      </c>
      <c r="J257">
        <v>-3.2863000000000003E-2</v>
      </c>
      <c r="K257">
        <v>-1.383E-2</v>
      </c>
      <c r="L257">
        <v>-6.2379999999999996E-3</v>
      </c>
      <c r="M257">
        <v>-1.7788999999999999E-2</v>
      </c>
      <c r="N257">
        <v>-3.4223999999999997E-2</v>
      </c>
      <c r="O257">
        <v>-1.5748999999999999E-2</v>
      </c>
      <c r="P257">
        <v>-2.2279E-2</v>
      </c>
      <c r="Q257">
        <v>-1.4272999999999999E-2</v>
      </c>
      <c r="R257">
        <v>-1.9237000000000001E-2</v>
      </c>
      <c r="S257">
        <v>-1.7639999999999999E-2</v>
      </c>
      <c r="T257">
        <v>-3.3921E-2</v>
      </c>
      <c r="U257">
        <v>-1.5107000000000001E-2</v>
      </c>
      <c r="V257">
        <v>-2.0242E-2</v>
      </c>
      <c r="W257">
        <v>-2.2686999999999999E-2</v>
      </c>
      <c r="X257">
        <v>-2.7955000000000001E-2</v>
      </c>
      <c r="Y257">
        <v>-3.3772999999999997E-2</v>
      </c>
      <c r="Z257">
        <v>-2.3529000000000001E-2</v>
      </c>
      <c r="AA257">
        <v>-2.8784000000000001E-2</v>
      </c>
      <c r="AB257">
        <v>-1.6808E-2</v>
      </c>
    </row>
    <row r="258" spans="1:28" x14ac:dyDescent="0.2">
      <c r="A258">
        <v>19530529</v>
      </c>
      <c r="B258">
        <v>1953</v>
      </c>
      <c r="C258">
        <v>5</v>
      </c>
      <c r="D258">
        <v>4.8905999999999998E-2</v>
      </c>
      <c r="E258">
        <v>-1.1571E-2</v>
      </c>
      <c r="F258">
        <v>1.7526E-2</v>
      </c>
      <c r="G258">
        <v>3.0100000000000001E-3</v>
      </c>
      <c r="H258">
        <v>1.4581E-2</v>
      </c>
      <c r="I258">
        <v>1.0809999999999999E-3</v>
      </c>
      <c r="J258">
        <v>1.2978999999999999E-2</v>
      </c>
      <c r="K258">
        <v>1.5701E-2</v>
      </c>
      <c r="L258">
        <v>-5.5400000000000002E-4</v>
      </c>
      <c r="M258">
        <v>6.4510000000000001E-3</v>
      </c>
      <c r="N258">
        <v>1.1590000000000001E-3</v>
      </c>
      <c r="O258">
        <v>-2.8660000000000001E-3</v>
      </c>
      <c r="P258">
        <v>6.9849999999999999E-3</v>
      </c>
      <c r="Q258">
        <v>7.424E-3</v>
      </c>
      <c r="R258">
        <v>1.1070999999999999E-2</v>
      </c>
      <c r="S258">
        <v>-1.1429999999999999E-3</v>
      </c>
      <c r="T258">
        <v>-3.9800000000000002E-4</v>
      </c>
      <c r="U258">
        <v>5.0759999999999998E-3</v>
      </c>
      <c r="V258">
        <v>1.1677999999999999E-2</v>
      </c>
      <c r="W258">
        <v>4.2176999999999999E-2</v>
      </c>
      <c r="X258">
        <v>8.4759999999999992E-3</v>
      </c>
      <c r="Y258">
        <v>6.1219999999999998E-3</v>
      </c>
      <c r="Z258">
        <v>3.6410000000000001E-3</v>
      </c>
      <c r="AA258">
        <v>1.1259E-2</v>
      </c>
      <c r="AB258">
        <v>1.9612999999999998E-2</v>
      </c>
    </row>
    <row r="259" spans="1:28" x14ac:dyDescent="0.2">
      <c r="A259">
        <v>19530630</v>
      </c>
      <c r="B259">
        <v>1953</v>
      </c>
      <c r="C259">
        <v>6</v>
      </c>
      <c r="D259">
        <v>-6.5018000000000006E-2</v>
      </c>
      <c r="E259">
        <v>-5.6593999999999998E-2</v>
      </c>
      <c r="F259">
        <v>-5.0911999999999999E-2</v>
      </c>
      <c r="G259">
        <v>-3.4247E-2</v>
      </c>
      <c r="H259">
        <v>-4.6456999999999998E-2</v>
      </c>
      <c r="I259">
        <v>-3.1306E-2</v>
      </c>
      <c r="J259">
        <v>-3.9806000000000001E-2</v>
      </c>
      <c r="K259">
        <v>-2.4705999999999999E-2</v>
      </c>
      <c r="L259">
        <v>-3.3260999999999999E-2</v>
      </c>
      <c r="M259">
        <v>-4.9659000000000002E-2</v>
      </c>
      <c r="N259">
        <v>-2.5072000000000001E-2</v>
      </c>
      <c r="O259">
        <v>-3.1483999999999998E-2</v>
      </c>
      <c r="P259">
        <v>-2.6380000000000001E-2</v>
      </c>
      <c r="Q259">
        <v>-4.0828999999999997E-2</v>
      </c>
      <c r="R259">
        <v>-3.0313E-2</v>
      </c>
      <c r="S259">
        <v>-2.5569000000000001E-2</v>
      </c>
      <c r="T259">
        <v>-3.3700000000000001E-2</v>
      </c>
      <c r="U259">
        <v>-3.1694E-2</v>
      </c>
      <c r="V259">
        <v>-4.3749999999999997E-2</v>
      </c>
      <c r="W259">
        <v>-1.4442E-2</v>
      </c>
      <c r="X259">
        <v>-1.7375999999999999E-2</v>
      </c>
      <c r="Y259">
        <v>-1.2089000000000001E-2</v>
      </c>
      <c r="Z259">
        <v>-2.2529999999999998E-3</v>
      </c>
      <c r="AA259">
        <v>-1.6955999999999999E-2</v>
      </c>
      <c r="AB259">
        <v>-1.2403000000000001E-2</v>
      </c>
    </row>
    <row r="260" spans="1:28" x14ac:dyDescent="0.2">
      <c r="A260">
        <v>19530731</v>
      </c>
      <c r="B260">
        <v>1953</v>
      </c>
      <c r="C260">
        <v>7</v>
      </c>
      <c r="D260">
        <v>-2.539E-3</v>
      </c>
      <c r="E260">
        <v>-2.2260000000000001E-3</v>
      </c>
      <c r="F260">
        <v>2.1708999999999999E-2</v>
      </c>
      <c r="G260">
        <v>1.3416000000000001E-2</v>
      </c>
      <c r="H260">
        <v>2.4135E-2</v>
      </c>
      <c r="I260">
        <v>-5.8659999999999997E-3</v>
      </c>
      <c r="J260">
        <v>1.3988E-2</v>
      </c>
      <c r="K260">
        <v>1.7235E-2</v>
      </c>
      <c r="L260">
        <v>1.0893999999999999E-2</v>
      </c>
      <c r="M260">
        <v>1.3011999999999999E-2</v>
      </c>
      <c r="N260">
        <v>1.0489E-2</v>
      </c>
      <c r="O260">
        <v>1.8363999999999998E-2</v>
      </c>
      <c r="P260">
        <v>1.6854999999999998E-2</v>
      </c>
      <c r="Q260">
        <v>2.4109999999999999E-2</v>
      </c>
      <c r="R260">
        <v>2.0612999999999999E-2</v>
      </c>
      <c r="S260">
        <v>1.7847999999999999E-2</v>
      </c>
      <c r="T260">
        <v>1.5148E-2</v>
      </c>
      <c r="U260">
        <v>1.8568999999999999E-2</v>
      </c>
      <c r="V260">
        <v>5.5649999999999996E-3</v>
      </c>
      <c r="W260">
        <v>9.835E-3</v>
      </c>
      <c r="X260">
        <v>2.8233000000000001E-2</v>
      </c>
      <c r="Y260">
        <v>3.3902000000000002E-2</v>
      </c>
      <c r="Z260">
        <v>1.8176999999999999E-2</v>
      </c>
      <c r="AA260">
        <v>1.6805E-2</v>
      </c>
      <c r="AB260">
        <v>1.5287E-2</v>
      </c>
    </row>
    <row r="261" spans="1:28" x14ac:dyDescent="0.2">
      <c r="A261">
        <v>19530831</v>
      </c>
      <c r="B261">
        <v>1953</v>
      </c>
      <c r="C261">
        <v>8</v>
      </c>
      <c r="D261">
        <v>-8.8237999999999997E-2</v>
      </c>
      <c r="E261">
        <v>-6.5111000000000002E-2</v>
      </c>
      <c r="F261">
        <v>-7.1207999999999994E-2</v>
      </c>
      <c r="G261">
        <v>-5.8061000000000001E-2</v>
      </c>
      <c r="H261">
        <v>-5.2417999999999999E-2</v>
      </c>
      <c r="I261">
        <v>-3.3599999999999998E-2</v>
      </c>
      <c r="J261">
        <v>-3.6713999999999997E-2</v>
      </c>
      <c r="K261">
        <v>-5.2977999999999997E-2</v>
      </c>
      <c r="L261">
        <v>-6.0290999999999997E-2</v>
      </c>
      <c r="M261">
        <v>-6.7133999999999999E-2</v>
      </c>
      <c r="N261">
        <v>-3.6562999999999998E-2</v>
      </c>
      <c r="O261">
        <v>-2.0833000000000001E-2</v>
      </c>
      <c r="P261">
        <v>-5.5282999999999999E-2</v>
      </c>
      <c r="Q261">
        <v>-6.2781000000000003E-2</v>
      </c>
      <c r="R261">
        <v>-8.3274000000000001E-2</v>
      </c>
      <c r="S261">
        <v>-4.1125000000000002E-2</v>
      </c>
      <c r="T261">
        <v>-3.8303999999999998E-2</v>
      </c>
      <c r="U261">
        <v>-4.3128E-2</v>
      </c>
      <c r="V261">
        <v>-6.1067000000000003E-2</v>
      </c>
      <c r="W261">
        <v>-9.1828000000000007E-2</v>
      </c>
      <c r="X261">
        <v>-3.5504000000000001E-2</v>
      </c>
      <c r="Y261">
        <v>-4.0187E-2</v>
      </c>
      <c r="Z261">
        <v>-4.4734999999999997E-2</v>
      </c>
      <c r="AA261">
        <v>-6.2871999999999997E-2</v>
      </c>
      <c r="AB261">
        <v>-9.5824000000000006E-2</v>
      </c>
    </row>
    <row r="262" spans="1:28" x14ac:dyDescent="0.2">
      <c r="A262">
        <v>19530930</v>
      </c>
      <c r="B262">
        <v>1953</v>
      </c>
      <c r="C262">
        <v>9</v>
      </c>
      <c r="D262">
        <v>-1.9025E-2</v>
      </c>
      <c r="E262">
        <v>-4.3219E-2</v>
      </c>
      <c r="F262">
        <v>-1.1390000000000001E-2</v>
      </c>
      <c r="G262">
        <v>-1.7593999999999999E-2</v>
      </c>
      <c r="H262">
        <v>-3.4648999999999999E-2</v>
      </c>
      <c r="I262">
        <v>2.4645E-2</v>
      </c>
      <c r="J262">
        <v>-9.7610000000000006E-3</v>
      </c>
      <c r="K262">
        <v>-7.9279999999999993E-3</v>
      </c>
      <c r="L262">
        <v>-1.1617000000000001E-2</v>
      </c>
      <c r="M262">
        <v>-1.9807999999999999E-2</v>
      </c>
      <c r="N262">
        <v>1.0529E-2</v>
      </c>
      <c r="O262">
        <v>-9.1979999999999996E-3</v>
      </c>
      <c r="P262">
        <v>-4.0949999999999997E-3</v>
      </c>
      <c r="Q262">
        <v>-2.0112000000000001E-2</v>
      </c>
      <c r="R262">
        <v>-3.117E-2</v>
      </c>
      <c r="S262">
        <v>-2.1100000000000001E-4</v>
      </c>
      <c r="T262">
        <v>5.5849999999999997E-3</v>
      </c>
      <c r="U262">
        <v>-3.7299999999999998E-3</v>
      </c>
      <c r="V262">
        <v>-1.2087000000000001E-2</v>
      </c>
      <c r="W262">
        <v>-2.7623000000000002E-2</v>
      </c>
      <c r="X262">
        <v>1.2269E-2</v>
      </c>
      <c r="Y262">
        <v>8.0129999999999993E-3</v>
      </c>
      <c r="Z262">
        <v>-7.5599999999999999E-3</v>
      </c>
      <c r="AA262">
        <v>-1.3051E-2</v>
      </c>
      <c r="AB262">
        <v>-1.6234999999999999E-2</v>
      </c>
    </row>
    <row r="263" spans="1:28" x14ac:dyDescent="0.2">
      <c r="A263">
        <v>19531030</v>
      </c>
      <c r="B263">
        <v>1953</v>
      </c>
      <c r="C263">
        <v>10</v>
      </c>
      <c r="D263">
        <v>-4.1910000000000003E-3</v>
      </c>
      <c r="E263">
        <v>2.4296000000000002E-2</v>
      </c>
      <c r="F263">
        <v>3.5342999999999999E-2</v>
      </c>
      <c r="G263">
        <v>1.3568E-2</v>
      </c>
      <c r="H263">
        <v>2.4317999999999999E-2</v>
      </c>
      <c r="I263">
        <v>7.3889999999999997E-3</v>
      </c>
      <c r="J263">
        <v>3.5136000000000001E-2</v>
      </c>
      <c r="K263">
        <v>3.4074E-2</v>
      </c>
      <c r="L263">
        <v>2.9697000000000001E-2</v>
      </c>
      <c r="M263">
        <v>3.8357000000000002E-2</v>
      </c>
      <c r="N263">
        <v>3.4119999999999998E-2</v>
      </c>
      <c r="O263">
        <v>4.7846E-2</v>
      </c>
      <c r="P263">
        <v>3.7711000000000001E-2</v>
      </c>
      <c r="Q263">
        <v>5.9531000000000001E-2</v>
      </c>
      <c r="R263">
        <v>3.5062999999999997E-2</v>
      </c>
      <c r="S263">
        <v>4.3991000000000002E-2</v>
      </c>
      <c r="T263">
        <v>4.4616000000000003E-2</v>
      </c>
      <c r="U263">
        <v>4.9433999999999999E-2</v>
      </c>
      <c r="V263">
        <v>4.6084E-2</v>
      </c>
      <c r="W263">
        <v>3.3885999999999999E-2</v>
      </c>
      <c r="X263">
        <v>5.2949000000000003E-2</v>
      </c>
      <c r="Y263">
        <v>4.1813000000000003E-2</v>
      </c>
      <c r="Z263">
        <v>5.1415000000000002E-2</v>
      </c>
      <c r="AA263">
        <v>5.7785000000000003E-2</v>
      </c>
      <c r="AB263">
        <v>3.5617000000000003E-2</v>
      </c>
    </row>
    <row r="264" spans="1:28" x14ac:dyDescent="0.2">
      <c r="A264">
        <v>19531130</v>
      </c>
      <c r="B264">
        <v>1953</v>
      </c>
      <c r="C264">
        <v>11</v>
      </c>
      <c r="D264">
        <v>1.346E-3</v>
      </c>
      <c r="E264">
        <v>4.9456E-2</v>
      </c>
      <c r="F264">
        <v>1.9719E-2</v>
      </c>
      <c r="G264">
        <v>9.4350000000000007E-3</v>
      </c>
      <c r="H264">
        <v>1.8158000000000001E-2</v>
      </c>
      <c r="I264">
        <v>1.9042E-2</v>
      </c>
      <c r="J264">
        <v>2.6047000000000001E-2</v>
      </c>
      <c r="K264">
        <v>2.6117999999999999E-2</v>
      </c>
      <c r="L264">
        <v>4.6129999999999999E-3</v>
      </c>
      <c r="M264">
        <v>1.6934999999999999E-2</v>
      </c>
      <c r="N264">
        <v>2.8680000000000001E-2</v>
      </c>
      <c r="O264">
        <v>1.7194999999999998E-2</v>
      </c>
      <c r="P264">
        <v>1.508E-2</v>
      </c>
      <c r="Q264">
        <v>1.7191000000000001E-2</v>
      </c>
      <c r="R264">
        <v>1.8856000000000001E-2</v>
      </c>
      <c r="S264">
        <v>2.5222000000000001E-2</v>
      </c>
      <c r="T264">
        <v>2.8853E-2</v>
      </c>
      <c r="U264">
        <v>3.2974999999999997E-2</v>
      </c>
      <c r="V264">
        <v>3.4645000000000002E-2</v>
      </c>
      <c r="W264">
        <v>3.7906000000000002E-2</v>
      </c>
      <c r="X264">
        <v>3.8773000000000002E-2</v>
      </c>
      <c r="Y264">
        <v>2.3345000000000001E-2</v>
      </c>
      <c r="Z264">
        <v>1.5944E-2</v>
      </c>
      <c r="AA264">
        <v>2.8974E-2</v>
      </c>
      <c r="AB264">
        <v>2.4258999999999999E-2</v>
      </c>
    </row>
    <row r="265" spans="1:28" x14ac:dyDescent="0.2">
      <c r="A265">
        <v>19531231</v>
      </c>
      <c r="B265">
        <v>1953</v>
      </c>
      <c r="C265">
        <v>12</v>
      </c>
      <c r="D265">
        <v>-4.3005000000000002E-2</v>
      </c>
      <c r="E265">
        <v>-2.9051E-2</v>
      </c>
      <c r="F265">
        <v>-1.8506999999999999E-2</v>
      </c>
      <c r="G265">
        <v>-1.5295E-2</v>
      </c>
      <c r="H265">
        <v>-3.628E-2</v>
      </c>
      <c r="I265">
        <v>-1.0338999999999999E-2</v>
      </c>
      <c r="J265">
        <v>-9.221E-3</v>
      </c>
      <c r="K265">
        <v>-7.3350000000000004E-3</v>
      </c>
      <c r="L265">
        <v>-1.9230000000000001E-2</v>
      </c>
      <c r="M265">
        <v>-4.3816000000000001E-2</v>
      </c>
      <c r="N265">
        <v>6.2000000000000003E-5</v>
      </c>
      <c r="O265">
        <v>1.475E-3</v>
      </c>
      <c r="P265">
        <v>-1.5809E-2</v>
      </c>
      <c r="Q265">
        <v>-1.1953999999999999E-2</v>
      </c>
      <c r="R265">
        <v>-2.6572999999999999E-2</v>
      </c>
      <c r="S265">
        <v>6.3470000000000002E-3</v>
      </c>
      <c r="T265">
        <v>-1.2470000000000001E-3</v>
      </c>
      <c r="U265">
        <v>-6.0499999999999996E-4</v>
      </c>
      <c r="V265">
        <v>-1.4033E-2</v>
      </c>
      <c r="W265">
        <v>-4.4093E-2</v>
      </c>
      <c r="X265">
        <v>6.8180000000000003E-3</v>
      </c>
      <c r="Y265">
        <v>7.1980000000000004E-3</v>
      </c>
      <c r="Z265">
        <v>5.4879999999999998E-3</v>
      </c>
      <c r="AA265">
        <v>-8.2410000000000001E-3</v>
      </c>
      <c r="AB265">
        <v>-4.8460000000000003E-2</v>
      </c>
    </row>
    <row r="266" spans="1:28" x14ac:dyDescent="0.2">
      <c r="A266">
        <v>19540129</v>
      </c>
      <c r="B266">
        <v>1954</v>
      </c>
      <c r="C266">
        <v>1</v>
      </c>
      <c r="D266">
        <v>0.110763</v>
      </c>
      <c r="E266">
        <v>6.9209000000000007E-2</v>
      </c>
      <c r="F266">
        <v>4.5037000000000001E-2</v>
      </c>
      <c r="G266">
        <v>7.6441999999999996E-2</v>
      </c>
      <c r="H266">
        <v>8.7755E-2</v>
      </c>
      <c r="I266">
        <v>4.3827999999999999E-2</v>
      </c>
      <c r="J266">
        <v>5.2453E-2</v>
      </c>
      <c r="K266">
        <v>6.1358999999999997E-2</v>
      </c>
      <c r="L266">
        <v>6.6678000000000001E-2</v>
      </c>
      <c r="M266">
        <v>9.8487000000000005E-2</v>
      </c>
      <c r="N266">
        <v>5.9312999999999998E-2</v>
      </c>
      <c r="O266">
        <v>7.3236999999999997E-2</v>
      </c>
      <c r="P266">
        <v>6.8739999999999996E-2</v>
      </c>
      <c r="Q266">
        <v>6.9762000000000005E-2</v>
      </c>
      <c r="R266">
        <v>8.1147999999999998E-2</v>
      </c>
      <c r="S266">
        <v>5.0605999999999998E-2</v>
      </c>
      <c r="T266">
        <v>5.4644999999999999E-2</v>
      </c>
      <c r="U266">
        <v>7.0477999999999999E-2</v>
      </c>
      <c r="V266">
        <v>5.9200000000000003E-2</v>
      </c>
      <c r="W266">
        <v>8.1893999999999995E-2</v>
      </c>
      <c r="X266">
        <v>3.4445999999999997E-2</v>
      </c>
      <c r="Y266">
        <v>5.4292E-2</v>
      </c>
      <c r="Z266">
        <v>7.3858999999999994E-2</v>
      </c>
      <c r="AA266">
        <v>8.8059999999999999E-2</v>
      </c>
      <c r="AB266">
        <v>7.9751000000000002E-2</v>
      </c>
    </row>
    <row r="267" spans="1:28" x14ac:dyDescent="0.2">
      <c r="A267">
        <v>19540226</v>
      </c>
      <c r="B267">
        <v>1954</v>
      </c>
      <c r="C267">
        <v>2</v>
      </c>
      <c r="D267">
        <v>7.6800000000000002E-4</v>
      </c>
      <c r="E267">
        <v>2.8625999999999999E-2</v>
      </c>
      <c r="F267">
        <v>-1.0319999999999999E-3</v>
      </c>
      <c r="G267">
        <v>3.8370000000000001E-3</v>
      </c>
      <c r="H267">
        <v>6.6200000000000005E-4</v>
      </c>
      <c r="I267">
        <v>2.4528999999999999E-2</v>
      </c>
      <c r="J267">
        <v>-3.3279999999999998E-3</v>
      </c>
      <c r="K267">
        <v>2.8487999999999999E-2</v>
      </c>
      <c r="L267">
        <v>2.8051E-2</v>
      </c>
      <c r="M267">
        <v>-3.2829999999999999E-3</v>
      </c>
      <c r="N267">
        <v>1.6185000000000001E-2</v>
      </c>
      <c r="O267">
        <v>2.1038999999999999E-2</v>
      </c>
      <c r="P267">
        <v>1.8957000000000002E-2</v>
      </c>
      <c r="Q267">
        <v>2.3518000000000001E-2</v>
      </c>
      <c r="R267">
        <v>8.4729999999999996E-3</v>
      </c>
      <c r="S267">
        <v>2.3667000000000001E-2</v>
      </c>
      <c r="T267">
        <v>1.8501E-2</v>
      </c>
      <c r="U267">
        <v>2.8489E-2</v>
      </c>
      <c r="V267">
        <v>1.7774000000000002E-2</v>
      </c>
      <c r="W267">
        <v>6.0429999999999998E-3</v>
      </c>
      <c r="X267">
        <v>1.7541999999999999E-2</v>
      </c>
      <c r="Y267">
        <v>1.8075000000000001E-2</v>
      </c>
      <c r="Z267">
        <v>1.8710000000000001E-2</v>
      </c>
      <c r="AA267">
        <v>-1.645E-3</v>
      </c>
      <c r="AB267">
        <v>2.3592999999999999E-2</v>
      </c>
    </row>
    <row r="268" spans="1:28" x14ac:dyDescent="0.2">
      <c r="A268">
        <v>19540331</v>
      </c>
      <c r="B268">
        <v>1954</v>
      </c>
      <c r="C268">
        <v>3</v>
      </c>
      <c r="D268">
        <v>3.0342000000000001E-2</v>
      </c>
      <c r="E268">
        <v>3.4528999999999997E-2</v>
      </c>
      <c r="F268">
        <v>3.0720000000000001E-2</v>
      </c>
      <c r="G268">
        <v>3.0861E-2</v>
      </c>
      <c r="H268">
        <v>2.3133999999999998E-2</v>
      </c>
      <c r="I268">
        <v>2.8191000000000001E-2</v>
      </c>
      <c r="J268">
        <v>2.7151000000000002E-2</v>
      </c>
      <c r="K268">
        <v>2.9763999999999999E-2</v>
      </c>
      <c r="L268">
        <v>2.9678E-2</v>
      </c>
      <c r="M268">
        <v>2.2564000000000001E-2</v>
      </c>
      <c r="N268">
        <v>4.2666999999999997E-2</v>
      </c>
      <c r="O268">
        <v>1.6608999999999999E-2</v>
      </c>
      <c r="P268">
        <v>3.8276999999999999E-2</v>
      </c>
      <c r="Q268">
        <v>3.0859999999999999E-2</v>
      </c>
      <c r="R268">
        <v>4.7489999999999997E-3</v>
      </c>
      <c r="S268">
        <v>4.582E-2</v>
      </c>
      <c r="T268">
        <v>3.1652E-2</v>
      </c>
      <c r="U268">
        <v>5.0538E-2</v>
      </c>
      <c r="V268">
        <v>3.6183E-2</v>
      </c>
      <c r="W268">
        <v>2.1321E-2</v>
      </c>
      <c r="X268">
        <v>4.4689E-2</v>
      </c>
      <c r="Y268">
        <v>3.7936999999999999E-2</v>
      </c>
      <c r="Z268">
        <v>2.8570000000000002E-2</v>
      </c>
      <c r="AA268">
        <v>2.2405999999999999E-2</v>
      </c>
      <c r="AB268">
        <v>6.8129999999999996E-3</v>
      </c>
    </row>
    <row r="269" spans="1:28" x14ac:dyDescent="0.2">
      <c r="A269">
        <v>19540430</v>
      </c>
      <c r="B269">
        <v>1954</v>
      </c>
      <c r="C269">
        <v>4</v>
      </c>
      <c r="D269">
        <v>-5.2561999999999998E-2</v>
      </c>
      <c r="E269">
        <v>2.7494999999999999E-2</v>
      </c>
      <c r="F269">
        <v>2.9662999999999998E-2</v>
      </c>
      <c r="G269">
        <v>1.2874999999999999E-2</v>
      </c>
      <c r="H269">
        <v>-3.7390000000000001E-3</v>
      </c>
      <c r="I269">
        <v>-1.4716E-2</v>
      </c>
      <c r="J269">
        <v>-1.9610000000000001E-3</v>
      </c>
      <c r="K269">
        <v>2.5777999999999999E-2</v>
      </c>
      <c r="L269">
        <v>3.2039999999999998E-3</v>
      </c>
      <c r="M269">
        <v>7.6199999999999998E-4</v>
      </c>
      <c r="N269">
        <v>1.8973E-2</v>
      </c>
      <c r="O269">
        <v>2.8462000000000001E-2</v>
      </c>
      <c r="P269">
        <v>3.3080999999999999E-2</v>
      </c>
      <c r="Q269">
        <v>2.4829E-2</v>
      </c>
      <c r="R269">
        <v>-6.1409999999999998E-3</v>
      </c>
      <c r="S269">
        <v>1.5252E-2</v>
      </c>
      <c r="T269">
        <v>3.3963E-2</v>
      </c>
      <c r="U269">
        <v>2.3911999999999999E-2</v>
      </c>
      <c r="V269">
        <v>-8.012E-3</v>
      </c>
      <c r="W269">
        <v>5.3940000000000004E-3</v>
      </c>
      <c r="X269">
        <v>5.5862000000000002E-2</v>
      </c>
      <c r="Y269">
        <v>4.5654E-2</v>
      </c>
      <c r="Z269">
        <v>5.2784999999999999E-2</v>
      </c>
      <c r="AA269">
        <v>5.7227E-2</v>
      </c>
      <c r="AB269">
        <v>1.3778E-2</v>
      </c>
    </row>
    <row r="270" spans="1:28" x14ac:dyDescent="0.2">
      <c r="A270">
        <v>19540528</v>
      </c>
      <c r="B270">
        <v>1954</v>
      </c>
      <c r="C270">
        <v>5</v>
      </c>
      <c r="D270">
        <v>2.4849999999999998E-3</v>
      </c>
      <c r="E270">
        <v>6.4718999999999999E-2</v>
      </c>
      <c r="F270">
        <v>4.5308000000000001E-2</v>
      </c>
      <c r="G270">
        <v>4.5511000000000003E-2</v>
      </c>
      <c r="H270">
        <v>4.3228999999999997E-2</v>
      </c>
      <c r="I270">
        <v>2.6738999999999999E-2</v>
      </c>
      <c r="J270">
        <v>3.9602999999999999E-2</v>
      </c>
      <c r="K270">
        <v>4.4304000000000003E-2</v>
      </c>
      <c r="L270">
        <v>4.6107000000000002E-2</v>
      </c>
      <c r="M270">
        <v>4.1982999999999999E-2</v>
      </c>
      <c r="N270">
        <v>2.8874E-2</v>
      </c>
      <c r="O270">
        <v>3.0412999999999999E-2</v>
      </c>
      <c r="P270">
        <v>2.5142999999999999E-2</v>
      </c>
      <c r="Q270">
        <v>4.3797999999999997E-2</v>
      </c>
      <c r="R270">
        <v>6.8540000000000004E-2</v>
      </c>
      <c r="S270">
        <v>3.7234999999999997E-2</v>
      </c>
      <c r="T270">
        <v>3.0861E-2</v>
      </c>
      <c r="U270">
        <v>4.6658999999999999E-2</v>
      </c>
      <c r="V270">
        <v>6.2419000000000002E-2</v>
      </c>
      <c r="W270">
        <v>6.9500999999999993E-2</v>
      </c>
      <c r="X270">
        <v>2.8049000000000001E-2</v>
      </c>
      <c r="Y270">
        <v>2.1655000000000001E-2</v>
      </c>
      <c r="Z270">
        <v>2.3146E-2</v>
      </c>
      <c r="AA270">
        <v>6.8676000000000001E-2</v>
      </c>
      <c r="AB270">
        <v>7.4443999999999996E-2</v>
      </c>
    </row>
    <row r="271" spans="1:28" x14ac:dyDescent="0.2">
      <c r="A271">
        <v>19540630</v>
      </c>
      <c r="B271">
        <v>1954</v>
      </c>
      <c r="C271">
        <v>6</v>
      </c>
      <c r="D271">
        <v>-4.2571999999999999E-2</v>
      </c>
      <c r="E271">
        <v>9.6509999999999999E-3</v>
      </c>
      <c r="F271">
        <v>8.1689999999999992E-3</v>
      </c>
      <c r="G271">
        <v>8.2649999999999998E-3</v>
      </c>
      <c r="H271">
        <v>2.2176999999999999E-2</v>
      </c>
      <c r="I271">
        <v>1.1903E-2</v>
      </c>
      <c r="J271">
        <v>-6.2859999999999999E-3</v>
      </c>
      <c r="K271">
        <v>2.8464E-2</v>
      </c>
      <c r="L271">
        <v>1.1976000000000001E-2</v>
      </c>
      <c r="M271">
        <v>2.6002999999999998E-2</v>
      </c>
      <c r="N271">
        <v>1.7402000000000001E-2</v>
      </c>
      <c r="O271">
        <v>1.0737E-2</v>
      </c>
      <c r="P271">
        <v>2.1208000000000001E-2</v>
      </c>
      <c r="Q271">
        <v>2.2261E-2</v>
      </c>
      <c r="R271">
        <v>1.5092E-2</v>
      </c>
      <c r="S271">
        <v>8.3350000000000004E-3</v>
      </c>
      <c r="T271">
        <v>2.6703999999999999E-2</v>
      </c>
      <c r="U271">
        <v>3.0391999999999999E-2</v>
      </c>
      <c r="V271">
        <v>1.7367E-2</v>
      </c>
      <c r="W271">
        <v>-1.6280000000000001E-3</v>
      </c>
      <c r="X271">
        <v>3.1681000000000001E-2</v>
      </c>
      <c r="Y271">
        <v>-1.1349E-2</v>
      </c>
      <c r="Z271">
        <v>-1.7169E-2</v>
      </c>
      <c r="AA271">
        <v>9.0930000000000004E-3</v>
      </c>
      <c r="AB271">
        <v>-7.4840000000000002E-3</v>
      </c>
    </row>
    <row r="272" spans="1:28" x14ac:dyDescent="0.2">
      <c r="A272">
        <v>19540730</v>
      </c>
      <c r="B272">
        <v>1954</v>
      </c>
      <c r="C272">
        <v>7</v>
      </c>
      <c r="D272">
        <v>2.9617000000000001E-2</v>
      </c>
      <c r="E272">
        <v>7.9874000000000001E-2</v>
      </c>
      <c r="F272">
        <v>4.0861000000000001E-2</v>
      </c>
      <c r="G272">
        <v>9.4309000000000004E-2</v>
      </c>
      <c r="H272">
        <v>0.149676</v>
      </c>
      <c r="I272">
        <v>3.5607E-2</v>
      </c>
      <c r="J272">
        <v>6.7851999999999996E-2</v>
      </c>
      <c r="K272">
        <v>7.0834999999999995E-2</v>
      </c>
      <c r="L272">
        <v>7.1286000000000002E-2</v>
      </c>
      <c r="M272">
        <v>7.9562999999999995E-2</v>
      </c>
      <c r="N272">
        <v>5.0375000000000003E-2</v>
      </c>
      <c r="O272">
        <v>7.1801000000000004E-2</v>
      </c>
      <c r="P272">
        <v>6.6178000000000001E-2</v>
      </c>
      <c r="Q272">
        <v>7.1263999999999994E-2</v>
      </c>
      <c r="R272">
        <v>6.5263000000000002E-2</v>
      </c>
      <c r="S272">
        <v>5.6035000000000001E-2</v>
      </c>
      <c r="T272">
        <v>6.6456000000000001E-2</v>
      </c>
      <c r="U272">
        <v>7.7057E-2</v>
      </c>
      <c r="V272">
        <v>5.9493999999999998E-2</v>
      </c>
      <c r="W272">
        <v>7.6158000000000003E-2</v>
      </c>
      <c r="X272">
        <v>3.7740999999999997E-2</v>
      </c>
      <c r="Y272">
        <v>4.9998000000000001E-2</v>
      </c>
      <c r="Z272">
        <v>4.8848999999999997E-2</v>
      </c>
      <c r="AA272">
        <v>7.2455000000000006E-2</v>
      </c>
      <c r="AB272">
        <v>8.7895000000000001E-2</v>
      </c>
    </row>
    <row r="273" spans="1:28" x14ac:dyDescent="0.2">
      <c r="A273">
        <v>19540831</v>
      </c>
      <c r="B273">
        <v>1954</v>
      </c>
      <c r="C273">
        <v>8</v>
      </c>
      <c r="D273">
        <v>1.7575E-2</v>
      </c>
      <c r="E273">
        <v>-2.7255999999999999E-2</v>
      </c>
      <c r="F273">
        <v>-2.2680000000000001E-3</v>
      </c>
      <c r="G273">
        <v>-2.5999999999999999E-3</v>
      </c>
      <c r="H273">
        <v>-4.28E-4</v>
      </c>
      <c r="I273">
        <v>-1.8540999999999998E-2</v>
      </c>
      <c r="J273">
        <v>1.5806000000000001E-2</v>
      </c>
      <c r="K273">
        <v>1.2451E-2</v>
      </c>
      <c r="L273">
        <v>6.0689999999999997E-3</v>
      </c>
      <c r="M273">
        <v>-6.6709999999999998E-3</v>
      </c>
      <c r="N273">
        <v>4.4010000000000004E-3</v>
      </c>
      <c r="O273">
        <v>-1.7590999999999999E-2</v>
      </c>
      <c r="P273">
        <v>-1.2678999999999999E-2</v>
      </c>
      <c r="Q273">
        <v>-1.4961E-2</v>
      </c>
      <c r="R273">
        <v>-1.4115000000000001E-2</v>
      </c>
      <c r="S273">
        <v>-1.6840999999999998E-2</v>
      </c>
      <c r="T273">
        <v>-1.7349E-2</v>
      </c>
      <c r="U273">
        <v>-1.1573E-2</v>
      </c>
      <c r="V273">
        <v>-1.3594E-2</v>
      </c>
      <c r="W273">
        <v>-2.6089999999999999E-2</v>
      </c>
      <c r="X273">
        <v>-3.4465000000000003E-2</v>
      </c>
      <c r="Y273">
        <v>-1.1587999999999999E-2</v>
      </c>
      <c r="Z273">
        <v>-1.4163E-2</v>
      </c>
      <c r="AA273">
        <v>-4.5526999999999998E-2</v>
      </c>
      <c r="AB273">
        <v>-5.0368999999999997E-2</v>
      </c>
    </row>
    <row r="274" spans="1:28" x14ac:dyDescent="0.2">
      <c r="A274">
        <v>19540930</v>
      </c>
      <c r="B274">
        <v>1954</v>
      </c>
      <c r="C274">
        <v>9</v>
      </c>
      <c r="D274">
        <v>1.977E-3</v>
      </c>
      <c r="E274">
        <v>5.6438000000000002E-2</v>
      </c>
      <c r="F274">
        <v>2.9753000000000002E-2</v>
      </c>
      <c r="G274">
        <v>4.3943000000000003E-2</v>
      </c>
      <c r="H274">
        <v>3.8009000000000001E-2</v>
      </c>
      <c r="I274">
        <v>4.5933000000000002E-2</v>
      </c>
      <c r="J274">
        <v>4.0060999999999999E-2</v>
      </c>
      <c r="K274">
        <v>4.5876E-2</v>
      </c>
      <c r="L274">
        <v>4.5998999999999998E-2</v>
      </c>
      <c r="M274">
        <v>4.9970000000000001E-2</v>
      </c>
      <c r="N274">
        <v>1.4312999999999999E-2</v>
      </c>
      <c r="O274">
        <v>2.7012000000000001E-2</v>
      </c>
      <c r="P274">
        <v>6.4238000000000003E-2</v>
      </c>
      <c r="Q274">
        <v>4.1058999999999998E-2</v>
      </c>
      <c r="R274">
        <v>5.1563999999999999E-2</v>
      </c>
      <c r="S274">
        <v>4.0079999999999998E-2</v>
      </c>
      <c r="T274">
        <v>4.5996000000000002E-2</v>
      </c>
      <c r="U274">
        <v>6.6444000000000003E-2</v>
      </c>
      <c r="V274">
        <v>6.2536999999999995E-2</v>
      </c>
      <c r="W274">
        <v>3.8207999999999999E-2</v>
      </c>
      <c r="X274">
        <v>7.4981999999999993E-2</v>
      </c>
      <c r="Y274">
        <v>6.1399000000000002E-2</v>
      </c>
      <c r="Z274">
        <v>9.3895000000000006E-2</v>
      </c>
      <c r="AA274">
        <v>7.2194999999999995E-2</v>
      </c>
      <c r="AB274">
        <v>3.4923999999999997E-2</v>
      </c>
    </row>
    <row r="275" spans="1:28" x14ac:dyDescent="0.2">
      <c r="A275">
        <v>19541029</v>
      </c>
      <c r="B275">
        <v>1954</v>
      </c>
      <c r="C275">
        <v>10</v>
      </c>
      <c r="D275">
        <v>-1.9189999999999999E-2</v>
      </c>
      <c r="E275">
        <v>-2.7564000000000002E-2</v>
      </c>
      <c r="F275">
        <v>-7.5199999999999996E-4</v>
      </c>
      <c r="G275">
        <v>3.0630000000000002E-3</v>
      </c>
      <c r="H275">
        <v>2.5920000000000001E-3</v>
      </c>
      <c r="I275">
        <v>-3.6842E-2</v>
      </c>
      <c r="J275">
        <v>-2.4979999999999998E-3</v>
      </c>
      <c r="K275">
        <v>-8.0500000000000005E-4</v>
      </c>
      <c r="L275">
        <v>-4.4619999999999998E-3</v>
      </c>
      <c r="M275">
        <v>-2.8957E-2</v>
      </c>
      <c r="N275">
        <v>1.8506999999999999E-2</v>
      </c>
      <c r="O275">
        <v>-1.0939999999999999E-3</v>
      </c>
      <c r="P275">
        <v>-5.8989999999999997E-3</v>
      </c>
      <c r="Q275">
        <v>-2.3159999999999999E-3</v>
      </c>
      <c r="R275">
        <v>-2.1350999999999998E-2</v>
      </c>
      <c r="S275">
        <v>-1.1671000000000001E-2</v>
      </c>
      <c r="T275">
        <v>-8.6920000000000001E-3</v>
      </c>
      <c r="U275">
        <v>1.6515999999999999E-2</v>
      </c>
      <c r="V275">
        <v>-1.5754000000000001E-2</v>
      </c>
      <c r="W275">
        <v>1.7536E-2</v>
      </c>
      <c r="X275">
        <v>-2.4289999999999999E-2</v>
      </c>
      <c r="Y275">
        <v>-1.6871000000000001E-2</v>
      </c>
      <c r="Z275">
        <v>-1.9172000000000002E-2</v>
      </c>
      <c r="AA275">
        <v>2.787E-3</v>
      </c>
      <c r="AB275">
        <v>4.6649999999999999E-3</v>
      </c>
    </row>
    <row r="276" spans="1:28" x14ac:dyDescent="0.2">
      <c r="A276">
        <v>19541130</v>
      </c>
      <c r="B276">
        <v>1954</v>
      </c>
      <c r="C276">
        <v>11</v>
      </c>
      <c r="D276">
        <v>5.8699000000000001E-2</v>
      </c>
      <c r="E276">
        <v>9.5591999999999996E-2</v>
      </c>
      <c r="F276">
        <v>8.9206999999999995E-2</v>
      </c>
      <c r="G276">
        <v>7.4468000000000006E-2</v>
      </c>
      <c r="H276">
        <v>7.1753999999999998E-2</v>
      </c>
      <c r="I276">
        <v>9.1866000000000003E-2</v>
      </c>
      <c r="J276">
        <v>5.3026999999999998E-2</v>
      </c>
      <c r="K276">
        <v>7.4081999999999995E-2</v>
      </c>
      <c r="L276">
        <v>0.105882</v>
      </c>
      <c r="M276">
        <v>9.1381000000000004E-2</v>
      </c>
      <c r="N276">
        <v>7.5018000000000001E-2</v>
      </c>
      <c r="O276">
        <v>9.5891000000000004E-2</v>
      </c>
      <c r="P276">
        <v>9.1181999999999999E-2</v>
      </c>
      <c r="Q276">
        <v>0.13184399999999999</v>
      </c>
      <c r="R276">
        <v>0.10542</v>
      </c>
      <c r="S276">
        <v>7.1342000000000003E-2</v>
      </c>
      <c r="T276">
        <v>8.9781E-2</v>
      </c>
      <c r="U276">
        <v>0.12448099999999999</v>
      </c>
      <c r="V276">
        <v>0.120961</v>
      </c>
      <c r="W276">
        <v>0.13403899999999999</v>
      </c>
      <c r="X276">
        <v>0.103657</v>
      </c>
      <c r="Y276">
        <v>7.2219000000000005E-2</v>
      </c>
      <c r="Z276">
        <v>8.6735999999999994E-2</v>
      </c>
      <c r="AA276">
        <v>0.13554099999999999</v>
      </c>
      <c r="AB276">
        <v>0.155168</v>
      </c>
    </row>
    <row r="277" spans="1:28" x14ac:dyDescent="0.2">
      <c r="A277">
        <v>19541231</v>
      </c>
      <c r="B277">
        <v>1954</v>
      </c>
      <c r="C277">
        <v>12</v>
      </c>
      <c r="D277">
        <v>0.14293400000000001</v>
      </c>
      <c r="E277">
        <v>9.3619999999999995E-2</v>
      </c>
      <c r="F277">
        <v>8.3487000000000006E-2</v>
      </c>
      <c r="G277">
        <v>0.12787100000000001</v>
      </c>
      <c r="H277">
        <v>0.12642500000000001</v>
      </c>
      <c r="I277">
        <v>7.7346999999999999E-2</v>
      </c>
      <c r="J277">
        <v>0.109942</v>
      </c>
      <c r="K277">
        <v>9.6084000000000003E-2</v>
      </c>
      <c r="L277">
        <v>8.5920999999999997E-2</v>
      </c>
      <c r="M277">
        <v>0.112132</v>
      </c>
      <c r="N277">
        <v>4.3373000000000002E-2</v>
      </c>
      <c r="O277">
        <v>7.102E-2</v>
      </c>
      <c r="P277">
        <v>8.1047999999999995E-2</v>
      </c>
      <c r="Q277">
        <v>0.109579</v>
      </c>
      <c r="R277">
        <v>0.12779699999999999</v>
      </c>
      <c r="S277">
        <v>4.5421999999999997E-2</v>
      </c>
      <c r="T277">
        <v>4.5404E-2</v>
      </c>
      <c r="U277">
        <v>5.1746E-2</v>
      </c>
      <c r="V277">
        <v>8.7085999999999997E-2</v>
      </c>
      <c r="W277">
        <v>0.14539299999999999</v>
      </c>
      <c r="X277">
        <v>3.9365999999999998E-2</v>
      </c>
      <c r="Y277">
        <v>4.3908999999999997E-2</v>
      </c>
      <c r="Z277">
        <v>7.9700999999999994E-2</v>
      </c>
      <c r="AA277">
        <v>9.6952999999999998E-2</v>
      </c>
      <c r="AB277">
        <v>0.15573500000000001</v>
      </c>
    </row>
    <row r="278" spans="1:28" x14ac:dyDescent="0.2">
      <c r="A278">
        <v>19550131</v>
      </c>
      <c r="B278">
        <v>1955</v>
      </c>
      <c r="C278">
        <v>1</v>
      </c>
      <c r="D278">
        <v>-5.3062999999999999E-2</v>
      </c>
      <c r="E278">
        <v>5.9434000000000001E-2</v>
      </c>
      <c r="F278">
        <v>2.4767999999999998E-2</v>
      </c>
      <c r="G278">
        <v>3.7405000000000001E-2</v>
      </c>
      <c r="H278">
        <v>4.6789999999999998E-2</v>
      </c>
      <c r="I278">
        <v>-2.4464E-2</v>
      </c>
      <c r="J278">
        <v>1.5758000000000001E-2</v>
      </c>
      <c r="K278">
        <v>9.0749999999999997E-3</v>
      </c>
      <c r="L278">
        <v>1.4082000000000001E-2</v>
      </c>
      <c r="M278">
        <v>1.5564E-2</v>
      </c>
      <c r="N278">
        <v>3.0544999999999999E-2</v>
      </c>
      <c r="O278">
        <v>1.4487999999999999E-2</v>
      </c>
      <c r="P278">
        <v>3.4911999999999999E-2</v>
      </c>
      <c r="Q278">
        <v>1.6621E-2</v>
      </c>
      <c r="R278">
        <v>2.5416999999999999E-2</v>
      </c>
      <c r="S278">
        <v>-1.3569999999999999E-3</v>
      </c>
      <c r="T278">
        <v>1.1547E-2</v>
      </c>
      <c r="U278">
        <v>1.3580999999999999E-2</v>
      </c>
      <c r="V278">
        <v>4.5979999999999997E-3</v>
      </c>
      <c r="W278">
        <v>-1.94E-4</v>
      </c>
      <c r="X278">
        <v>-1.771E-3</v>
      </c>
      <c r="Y278">
        <v>1.5533999999999999E-2</v>
      </c>
      <c r="Z278">
        <v>-1.5318E-2</v>
      </c>
      <c r="AA278">
        <v>2.8154999999999999E-2</v>
      </c>
      <c r="AB278">
        <v>1.8377000000000001E-2</v>
      </c>
    </row>
    <row r="279" spans="1:28" x14ac:dyDescent="0.2">
      <c r="A279">
        <v>19550228</v>
      </c>
      <c r="B279">
        <v>1955</v>
      </c>
      <c r="C279">
        <v>2</v>
      </c>
      <c r="D279">
        <v>4.3719000000000001E-2</v>
      </c>
      <c r="E279">
        <v>9.4575000000000006E-2</v>
      </c>
      <c r="F279">
        <v>5.0500999999999997E-2</v>
      </c>
      <c r="G279">
        <v>5.4453000000000001E-2</v>
      </c>
      <c r="H279">
        <v>5.7908000000000001E-2</v>
      </c>
      <c r="I279">
        <v>3.3950000000000001E-2</v>
      </c>
      <c r="J279">
        <v>3.9965000000000001E-2</v>
      </c>
      <c r="K279">
        <v>3.6339000000000003E-2</v>
      </c>
      <c r="L279">
        <v>3.7659999999999999E-2</v>
      </c>
      <c r="M279">
        <v>4.9195000000000003E-2</v>
      </c>
      <c r="N279">
        <v>5.5517999999999998E-2</v>
      </c>
      <c r="O279">
        <v>4.9331E-2</v>
      </c>
      <c r="P279">
        <v>5.0243999999999997E-2</v>
      </c>
      <c r="Q279">
        <v>5.8451999999999997E-2</v>
      </c>
      <c r="R279">
        <v>4.3649E-2</v>
      </c>
      <c r="S279">
        <v>3.4651000000000001E-2</v>
      </c>
      <c r="T279">
        <v>3.2168000000000002E-2</v>
      </c>
      <c r="U279">
        <v>4.3687999999999998E-2</v>
      </c>
      <c r="V279">
        <v>3.9350000000000003E-2</v>
      </c>
      <c r="W279">
        <v>3.2506E-2</v>
      </c>
      <c r="X279">
        <v>2.8936E-2</v>
      </c>
      <c r="Y279">
        <v>2.5857000000000002E-2</v>
      </c>
      <c r="Z279">
        <v>2.8822E-2</v>
      </c>
      <c r="AA279">
        <v>2.4677000000000001E-2</v>
      </c>
      <c r="AB279">
        <v>5.1597999999999998E-2</v>
      </c>
    </row>
    <row r="280" spans="1:28" x14ac:dyDescent="0.2">
      <c r="A280">
        <v>19550331</v>
      </c>
      <c r="B280">
        <v>1955</v>
      </c>
      <c r="C280">
        <v>3</v>
      </c>
      <c r="D280">
        <v>-1.0839E-2</v>
      </c>
      <c r="E280">
        <v>-6.8209999999999998E-3</v>
      </c>
      <c r="F280">
        <v>-2.8549999999999999E-3</v>
      </c>
      <c r="G280">
        <v>-8.2780000000000006E-3</v>
      </c>
      <c r="H280">
        <v>1.341E-3</v>
      </c>
      <c r="I280">
        <v>-3.3300000000000001E-3</v>
      </c>
      <c r="J280">
        <v>1.0870000000000001E-3</v>
      </c>
      <c r="K280">
        <v>-7.77E-3</v>
      </c>
      <c r="L280">
        <v>1.245E-3</v>
      </c>
      <c r="M280">
        <v>1.8683000000000002E-2</v>
      </c>
      <c r="N280">
        <v>-3.2140000000000002E-2</v>
      </c>
      <c r="O280">
        <v>-9.5139999999999999E-3</v>
      </c>
      <c r="P280">
        <v>-5.8100000000000001E-3</v>
      </c>
      <c r="Q280">
        <v>8.7069999999999995E-3</v>
      </c>
      <c r="R280">
        <v>5.4892000000000003E-2</v>
      </c>
      <c r="S280">
        <v>-3.6870000000000002E-3</v>
      </c>
      <c r="T280">
        <v>-1.5762999999999999E-2</v>
      </c>
      <c r="U280">
        <v>-1.7139999999999999E-2</v>
      </c>
      <c r="V280">
        <v>-1.8343999999999999E-2</v>
      </c>
      <c r="W280">
        <v>2.3435999999999998E-2</v>
      </c>
      <c r="X280">
        <v>-6.2500000000000001E-4</v>
      </c>
      <c r="Y280">
        <v>-3.1749999999999999E-3</v>
      </c>
      <c r="Z280">
        <v>1.4530000000000001E-3</v>
      </c>
      <c r="AA280">
        <v>1.503E-2</v>
      </c>
      <c r="AB280">
        <v>6.816E-3</v>
      </c>
    </row>
    <row r="281" spans="1:28" x14ac:dyDescent="0.2">
      <c r="A281">
        <v>19550429</v>
      </c>
      <c r="B281">
        <v>1955</v>
      </c>
      <c r="C281">
        <v>4</v>
      </c>
      <c r="D281">
        <v>3.4872E-2</v>
      </c>
      <c r="E281">
        <v>-1.278E-2</v>
      </c>
      <c r="F281">
        <v>2.5717E-2</v>
      </c>
      <c r="G281">
        <v>2.7337E-2</v>
      </c>
      <c r="H281">
        <v>1.7940999999999999E-2</v>
      </c>
      <c r="I281">
        <v>6.7159999999999997E-3</v>
      </c>
      <c r="J281">
        <v>1.4733E-2</v>
      </c>
      <c r="K281">
        <v>1.4645999999999999E-2</v>
      </c>
      <c r="L281">
        <v>2.5871999999999999E-2</v>
      </c>
      <c r="M281">
        <v>2.4782999999999999E-2</v>
      </c>
      <c r="N281">
        <v>2.9902999999999999E-2</v>
      </c>
      <c r="O281">
        <v>3.4033000000000001E-2</v>
      </c>
      <c r="P281">
        <v>2.1137E-2</v>
      </c>
      <c r="Q281">
        <v>1.7062999999999998E-2</v>
      </c>
      <c r="R281">
        <v>1.926E-3</v>
      </c>
      <c r="S281">
        <v>3.7159999999999999E-2</v>
      </c>
      <c r="T281">
        <v>1.3934E-2</v>
      </c>
      <c r="U281">
        <v>2.7236E-2</v>
      </c>
      <c r="V281">
        <v>8.9449999999999998E-3</v>
      </c>
      <c r="W281">
        <v>1.4246999999999999E-2</v>
      </c>
      <c r="X281">
        <v>4.7003000000000003E-2</v>
      </c>
      <c r="Y281">
        <v>1.9380000000000001E-2</v>
      </c>
      <c r="Z281">
        <v>2.1701999999999999E-2</v>
      </c>
      <c r="AA281">
        <v>5.5400999999999999E-2</v>
      </c>
      <c r="AB281">
        <v>4.6863000000000002E-2</v>
      </c>
    </row>
    <row r="282" spans="1:28" x14ac:dyDescent="0.2">
      <c r="A282">
        <v>19550531</v>
      </c>
      <c r="B282">
        <v>1955</v>
      </c>
      <c r="C282">
        <v>5</v>
      </c>
      <c r="D282">
        <v>-2.1374000000000001E-2</v>
      </c>
      <c r="E282">
        <v>2.3129E-2</v>
      </c>
      <c r="F282">
        <v>-2.4989999999999999E-3</v>
      </c>
      <c r="G282">
        <v>9.5250000000000005E-3</v>
      </c>
      <c r="H282">
        <v>4.1279999999999997E-3</v>
      </c>
      <c r="I282">
        <v>-1.1490999999999999E-2</v>
      </c>
      <c r="J282">
        <v>2.0955000000000001E-2</v>
      </c>
      <c r="K282">
        <v>-2.235E-3</v>
      </c>
      <c r="L282">
        <v>-6.4380000000000001E-3</v>
      </c>
      <c r="M282">
        <v>7.4279999999999997E-3</v>
      </c>
      <c r="N282">
        <v>1.3129E-2</v>
      </c>
      <c r="O282">
        <v>-3.5100000000000001E-3</v>
      </c>
      <c r="P282">
        <v>8.5979999999999997E-3</v>
      </c>
      <c r="Q282">
        <v>5.2040000000000003E-3</v>
      </c>
      <c r="R282">
        <v>8.0859999999999994E-3</v>
      </c>
      <c r="S282">
        <v>1.2671999999999999E-2</v>
      </c>
      <c r="T282">
        <v>1.4626E-2</v>
      </c>
      <c r="U282">
        <v>7.3169999999999997E-3</v>
      </c>
      <c r="V282">
        <v>2.4296000000000002E-2</v>
      </c>
      <c r="W282">
        <v>2.284E-3</v>
      </c>
      <c r="X282">
        <v>2.4961000000000001E-2</v>
      </c>
      <c r="Y282">
        <v>-9.8499999999999998E-4</v>
      </c>
      <c r="Z282">
        <v>4.777E-3</v>
      </c>
      <c r="AA282">
        <v>-8.5620000000000002E-3</v>
      </c>
      <c r="AB282">
        <v>1.4179000000000001E-2</v>
      </c>
    </row>
    <row r="283" spans="1:28" x14ac:dyDescent="0.2">
      <c r="A283">
        <v>19550630</v>
      </c>
      <c r="B283">
        <v>1955</v>
      </c>
      <c r="C283">
        <v>6</v>
      </c>
      <c r="D283">
        <v>3.3791000000000002E-2</v>
      </c>
      <c r="E283">
        <v>4.6828000000000002E-2</v>
      </c>
      <c r="F283">
        <v>1.8134999999999998E-2</v>
      </c>
      <c r="G283">
        <v>4.8135999999999998E-2</v>
      </c>
      <c r="H283">
        <v>4.3610999999999997E-2</v>
      </c>
      <c r="I283">
        <v>1.9272000000000001E-2</v>
      </c>
      <c r="J283">
        <v>1.379E-2</v>
      </c>
      <c r="K283">
        <v>3.4026000000000001E-2</v>
      </c>
      <c r="L283">
        <v>4.0946000000000003E-2</v>
      </c>
      <c r="M283">
        <v>2.0844000000000001E-2</v>
      </c>
      <c r="N283">
        <v>2.8684000000000001E-2</v>
      </c>
      <c r="O283">
        <v>1.2525E-2</v>
      </c>
      <c r="P283">
        <v>3.1827000000000001E-2</v>
      </c>
      <c r="Q283">
        <v>4.2437999999999997E-2</v>
      </c>
      <c r="R283">
        <v>1.354E-2</v>
      </c>
      <c r="S283">
        <v>3.3873E-2</v>
      </c>
      <c r="T283">
        <v>5.6260999999999999E-2</v>
      </c>
      <c r="U283">
        <v>5.5923E-2</v>
      </c>
      <c r="V283">
        <v>5.6834999999999997E-2</v>
      </c>
      <c r="W283">
        <v>3.6419999999999998E-3</v>
      </c>
      <c r="X283">
        <v>7.4867000000000003E-2</v>
      </c>
      <c r="Y283">
        <v>6.0054999999999997E-2</v>
      </c>
      <c r="Z283">
        <v>0.111086</v>
      </c>
      <c r="AA283">
        <v>0.116495</v>
      </c>
      <c r="AB283">
        <v>5.0158000000000001E-2</v>
      </c>
    </row>
    <row r="284" spans="1:28" x14ac:dyDescent="0.2">
      <c r="A284">
        <v>19550729</v>
      </c>
      <c r="B284">
        <v>1955</v>
      </c>
      <c r="C284">
        <v>7</v>
      </c>
      <c r="D284">
        <v>9.3524999999999997E-2</v>
      </c>
      <c r="E284">
        <v>3.6046000000000002E-2</v>
      </c>
      <c r="F284">
        <v>1.9220000000000001E-3</v>
      </c>
      <c r="G284">
        <v>1.8186999999999998E-2</v>
      </c>
      <c r="H284">
        <v>6.8409999999999999E-3</v>
      </c>
      <c r="I284">
        <v>-4.5464999999999998E-2</v>
      </c>
      <c r="J284">
        <v>3.2039999999999998E-3</v>
      </c>
      <c r="K284">
        <v>2.1822000000000001E-2</v>
      </c>
      <c r="L284">
        <v>1.0234E-2</v>
      </c>
      <c r="M284">
        <v>1.9800000000000002E-2</v>
      </c>
      <c r="N284">
        <v>7.4460000000000004E-3</v>
      </c>
      <c r="O284">
        <v>-6.8900000000000005E-4</v>
      </c>
      <c r="P284">
        <v>-5.8110000000000002E-3</v>
      </c>
      <c r="Q284">
        <v>5.0000000000000001E-3</v>
      </c>
      <c r="R284">
        <v>1.0012999999999999E-2</v>
      </c>
      <c r="S284">
        <v>-3.0959999999999998E-3</v>
      </c>
      <c r="T284">
        <v>7.9209999999999992E-3</v>
      </c>
      <c r="U284">
        <v>-2.1679999999999998E-3</v>
      </c>
      <c r="V284">
        <v>-2.2799999999999999E-3</v>
      </c>
      <c r="W284">
        <v>2.3625E-2</v>
      </c>
      <c r="X284">
        <v>2.3535E-2</v>
      </c>
      <c r="Y284">
        <v>4.2411999999999998E-2</v>
      </c>
      <c r="Z284">
        <v>1.6836E-2</v>
      </c>
      <c r="AA284">
        <v>-5.9280000000000001E-3</v>
      </c>
      <c r="AB284">
        <v>2.0730000000000002E-3</v>
      </c>
    </row>
    <row r="285" spans="1:28" x14ac:dyDescent="0.2">
      <c r="A285">
        <v>19550831</v>
      </c>
      <c r="B285">
        <v>1955</v>
      </c>
      <c r="C285">
        <v>8</v>
      </c>
      <c r="D285">
        <v>1.9646E-2</v>
      </c>
      <c r="E285">
        <v>-1.6473999999999999E-2</v>
      </c>
      <c r="F285">
        <v>1.0495000000000001E-2</v>
      </c>
      <c r="G285">
        <v>-4.7990000000000003E-3</v>
      </c>
      <c r="H285">
        <v>-4.5539999999999999E-3</v>
      </c>
      <c r="I285">
        <v>1.4153000000000001E-2</v>
      </c>
      <c r="J285">
        <v>1.5112E-2</v>
      </c>
      <c r="K285">
        <v>-2.5230000000000001E-3</v>
      </c>
      <c r="L285">
        <v>-1.5435000000000001E-2</v>
      </c>
      <c r="M285">
        <v>7.7070000000000003E-3</v>
      </c>
      <c r="N285">
        <v>2.8139999999999998E-2</v>
      </c>
      <c r="O285">
        <v>8.2970000000000006E-3</v>
      </c>
      <c r="P285">
        <v>1.0541999999999999E-2</v>
      </c>
      <c r="Q285">
        <v>1.0545000000000001E-2</v>
      </c>
      <c r="R285">
        <v>5.0330000000000001E-3</v>
      </c>
      <c r="S285">
        <v>1.5656E-2</v>
      </c>
      <c r="T285">
        <v>7.6290000000000004E-3</v>
      </c>
      <c r="U285">
        <v>7.9740000000000002E-3</v>
      </c>
      <c r="V285">
        <v>1.3910000000000001E-3</v>
      </c>
      <c r="W285">
        <v>-6.5040000000000002E-3</v>
      </c>
      <c r="X285">
        <v>7.5940000000000001E-3</v>
      </c>
      <c r="Y285">
        <v>-8.9029999999999995E-3</v>
      </c>
      <c r="Z285">
        <v>-7.5370000000000003E-3</v>
      </c>
      <c r="AA285">
        <v>2.9843999999999999E-2</v>
      </c>
      <c r="AB285">
        <v>2.0875000000000001E-2</v>
      </c>
    </row>
    <row r="286" spans="1:28" x14ac:dyDescent="0.2">
      <c r="A286">
        <v>19550930</v>
      </c>
      <c r="B286">
        <v>1955</v>
      </c>
      <c r="C286">
        <v>9</v>
      </c>
      <c r="D286">
        <v>1.9216E-2</v>
      </c>
      <c r="E286">
        <v>-3.9029999999999998E-3</v>
      </c>
      <c r="F286">
        <v>1.6757999999999999E-2</v>
      </c>
      <c r="G286">
        <v>-8.7840000000000001E-3</v>
      </c>
      <c r="H286">
        <v>1.7991E-2</v>
      </c>
      <c r="I286">
        <v>-2.3667000000000001E-2</v>
      </c>
      <c r="J286">
        <v>-1.951E-2</v>
      </c>
      <c r="K286">
        <v>-2.418E-3</v>
      </c>
      <c r="L286">
        <v>-1.3756000000000001E-2</v>
      </c>
      <c r="M286">
        <v>-5.071E-3</v>
      </c>
      <c r="N286">
        <v>-1.6025999999999999E-2</v>
      </c>
      <c r="O286">
        <v>-1.6979000000000001E-2</v>
      </c>
      <c r="P286">
        <v>-6.4570000000000001E-3</v>
      </c>
      <c r="Q286">
        <v>6.3309999999999998E-3</v>
      </c>
      <c r="R286">
        <v>-1.2839E-2</v>
      </c>
      <c r="S286">
        <v>-1.516E-2</v>
      </c>
      <c r="T286">
        <v>-1.5155E-2</v>
      </c>
      <c r="U286">
        <v>-8.7139999999999995E-3</v>
      </c>
      <c r="V286">
        <v>-1.8041999999999999E-2</v>
      </c>
      <c r="W286">
        <v>-1.7232000000000001E-2</v>
      </c>
      <c r="X286">
        <v>3.59E-4</v>
      </c>
      <c r="Y286">
        <v>2.0560000000000001E-3</v>
      </c>
      <c r="Z286">
        <v>5.1260000000000003E-3</v>
      </c>
      <c r="AA286">
        <v>1.4170000000000001E-3</v>
      </c>
      <c r="AB286">
        <v>-3.6795000000000001E-2</v>
      </c>
    </row>
    <row r="287" spans="1:28" x14ac:dyDescent="0.2">
      <c r="A287">
        <v>19551031</v>
      </c>
      <c r="B287">
        <v>1955</v>
      </c>
      <c r="C287">
        <v>10</v>
      </c>
      <c r="D287">
        <v>-4.768E-2</v>
      </c>
      <c r="E287">
        <v>-3.5526000000000002E-2</v>
      </c>
      <c r="F287">
        <v>-3.3819000000000002E-2</v>
      </c>
      <c r="G287">
        <v>-7.7689999999999999E-3</v>
      </c>
      <c r="H287">
        <v>-6.9750000000000003E-3</v>
      </c>
      <c r="I287">
        <v>-3.7511000000000003E-2</v>
      </c>
      <c r="J287">
        <v>-1.0694E-2</v>
      </c>
      <c r="K287">
        <v>-1.1698999999999999E-2</v>
      </c>
      <c r="L287">
        <v>-1.0074E-2</v>
      </c>
      <c r="M287">
        <v>-2.212E-3</v>
      </c>
      <c r="N287">
        <v>-1.0437E-2</v>
      </c>
      <c r="O287">
        <v>-2.4340000000000001E-2</v>
      </c>
      <c r="P287">
        <v>-1.5993E-2</v>
      </c>
      <c r="Q287">
        <v>1.3875999999999999E-2</v>
      </c>
      <c r="R287">
        <v>-2.3019999999999999E-2</v>
      </c>
      <c r="S287">
        <v>-1.9803999999999999E-2</v>
      </c>
      <c r="T287">
        <v>-1.6459999999999999E-2</v>
      </c>
      <c r="U287">
        <v>-1.4766E-2</v>
      </c>
      <c r="V287">
        <v>-2.2960999999999999E-2</v>
      </c>
      <c r="W287">
        <v>-4.1280999999999998E-2</v>
      </c>
      <c r="X287">
        <v>-3.5480999999999999E-2</v>
      </c>
      <c r="Y287">
        <v>-1.3937E-2</v>
      </c>
      <c r="Z287">
        <v>-1.2574999999999999E-2</v>
      </c>
      <c r="AA287">
        <v>-3.7940000000000002E-2</v>
      </c>
      <c r="AB287">
        <v>-3.8406000000000003E-2</v>
      </c>
    </row>
    <row r="288" spans="1:28" x14ac:dyDescent="0.2">
      <c r="A288">
        <v>19551130</v>
      </c>
      <c r="B288">
        <v>1955</v>
      </c>
      <c r="C288">
        <v>11</v>
      </c>
      <c r="D288">
        <v>-2.1838E-2</v>
      </c>
      <c r="E288">
        <v>6.8802000000000002E-2</v>
      </c>
      <c r="F288">
        <v>3.2872999999999999E-2</v>
      </c>
      <c r="G288">
        <v>3.8110999999999999E-2</v>
      </c>
      <c r="H288">
        <v>3.4941E-2</v>
      </c>
      <c r="I288">
        <v>6.1362E-2</v>
      </c>
      <c r="J288">
        <v>6.3562999999999995E-2</v>
      </c>
      <c r="K288">
        <v>5.3156000000000002E-2</v>
      </c>
      <c r="L288">
        <v>3.3609E-2</v>
      </c>
      <c r="M288">
        <v>5.7142999999999999E-2</v>
      </c>
      <c r="N288">
        <v>6.9209999999999994E-2</v>
      </c>
      <c r="O288">
        <v>6.2840999999999994E-2</v>
      </c>
      <c r="P288">
        <v>5.8474999999999999E-2</v>
      </c>
      <c r="Q288">
        <v>4.5705999999999997E-2</v>
      </c>
      <c r="R288">
        <v>7.5065999999999994E-2</v>
      </c>
      <c r="S288">
        <v>7.0759000000000002E-2</v>
      </c>
      <c r="T288">
        <v>6.2910999999999995E-2</v>
      </c>
      <c r="U288">
        <v>5.9500999999999998E-2</v>
      </c>
      <c r="V288">
        <v>5.9742000000000003E-2</v>
      </c>
      <c r="W288">
        <v>7.1809999999999999E-2</v>
      </c>
      <c r="X288">
        <v>8.3680000000000004E-2</v>
      </c>
      <c r="Y288">
        <v>7.8216999999999995E-2</v>
      </c>
      <c r="Z288">
        <v>3.7724000000000001E-2</v>
      </c>
      <c r="AA288">
        <v>7.8481999999999996E-2</v>
      </c>
      <c r="AB288">
        <v>0.115269</v>
      </c>
    </row>
    <row r="289" spans="1:28" x14ac:dyDescent="0.2">
      <c r="A289">
        <v>19551230</v>
      </c>
      <c r="B289">
        <v>1955</v>
      </c>
      <c r="C289">
        <v>12</v>
      </c>
      <c r="D289">
        <v>2.2967999999999999E-2</v>
      </c>
      <c r="E289">
        <v>2.8989000000000001E-2</v>
      </c>
      <c r="F289">
        <v>6.9690000000000004E-3</v>
      </c>
      <c r="G289">
        <v>3.8384000000000001E-2</v>
      </c>
      <c r="H289">
        <v>2.4704E-2</v>
      </c>
      <c r="I289">
        <v>7.6169999999999996E-3</v>
      </c>
      <c r="J289">
        <v>1.0864E-2</v>
      </c>
      <c r="K289">
        <v>2.4979000000000001E-2</v>
      </c>
      <c r="L289">
        <v>2.0589E-2</v>
      </c>
      <c r="M289">
        <v>2.0042000000000001E-2</v>
      </c>
      <c r="N289">
        <v>5.5579000000000003E-2</v>
      </c>
      <c r="O289">
        <v>2.4438000000000001E-2</v>
      </c>
      <c r="P289">
        <v>3.9153E-2</v>
      </c>
      <c r="Q289">
        <v>1.0607999999999999E-2</v>
      </c>
      <c r="R289">
        <v>1.7403999999999999E-2</v>
      </c>
      <c r="S289">
        <v>2.1395000000000001E-2</v>
      </c>
      <c r="T289">
        <v>2.4254000000000001E-2</v>
      </c>
      <c r="U289">
        <v>2.4254000000000001E-2</v>
      </c>
      <c r="V289">
        <v>1.4617E-2</v>
      </c>
      <c r="W289">
        <v>-6.8149999999999999E-3</v>
      </c>
      <c r="X289">
        <v>1.6633999999999999E-2</v>
      </c>
      <c r="Y289">
        <v>2.0195999999999999E-2</v>
      </c>
      <c r="Z289">
        <v>2.1628000000000001E-2</v>
      </c>
      <c r="AA289">
        <v>-3.784E-3</v>
      </c>
      <c r="AB289">
        <v>-2.1117E-2</v>
      </c>
    </row>
    <row r="290" spans="1:28" x14ac:dyDescent="0.2">
      <c r="A290">
        <v>19560131</v>
      </c>
      <c r="B290">
        <v>1956</v>
      </c>
      <c r="C290">
        <v>1</v>
      </c>
      <c r="D290">
        <v>3.3595E-2</v>
      </c>
      <c r="E290">
        <v>-7.1479999999999998E-3</v>
      </c>
      <c r="F290">
        <v>3.68E-4</v>
      </c>
      <c r="G290">
        <v>-1.0605E-2</v>
      </c>
      <c r="H290">
        <v>-1.6951999999999998E-2</v>
      </c>
      <c r="I290">
        <v>-1.7283E-2</v>
      </c>
      <c r="J290">
        <v>-2.4316000000000001E-2</v>
      </c>
      <c r="K290">
        <v>-1.5459000000000001E-2</v>
      </c>
      <c r="L290">
        <v>-2.5427999999999999E-2</v>
      </c>
      <c r="M290">
        <v>-1.2338999999999999E-2</v>
      </c>
      <c r="N290">
        <v>-4.8121999999999998E-2</v>
      </c>
      <c r="O290">
        <v>-2.4979999999999999E-2</v>
      </c>
      <c r="P290">
        <v>-3.8880999999999999E-2</v>
      </c>
      <c r="Q290">
        <v>-7.5709999999999996E-3</v>
      </c>
      <c r="R290">
        <v>-3.6590999999999999E-2</v>
      </c>
      <c r="S290">
        <v>-2.9049999999999999E-2</v>
      </c>
      <c r="T290">
        <v>-2.8459000000000002E-2</v>
      </c>
      <c r="U290">
        <v>-3.0962E-2</v>
      </c>
      <c r="V290">
        <v>-4.0030999999999997E-2</v>
      </c>
      <c r="W290">
        <v>-4.1258000000000003E-2</v>
      </c>
      <c r="X290">
        <v>-4.4717E-2</v>
      </c>
      <c r="Y290">
        <v>-1.2175E-2</v>
      </c>
      <c r="Z290">
        <v>-4.7149999999999996E-3</v>
      </c>
      <c r="AA290">
        <v>-1.5748000000000002E-2</v>
      </c>
      <c r="AB290">
        <v>-2.9388999999999998E-2</v>
      </c>
    </row>
    <row r="291" spans="1:28" x14ac:dyDescent="0.2">
      <c r="A291">
        <v>19560229</v>
      </c>
      <c r="B291">
        <v>1956</v>
      </c>
      <c r="C291">
        <v>2</v>
      </c>
      <c r="D291">
        <v>7.1787000000000004E-2</v>
      </c>
      <c r="E291">
        <v>1.4711E-2</v>
      </c>
      <c r="F291">
        <v>1.4227E-2</v>
      </c>
      <c r="G291">
        <v>3.015E-2</v>
      </c>
      <c r="H291">
        <v>3.1542000000000001E-2</v>
      </c>
      <c r="I291">
        <v>2.7352000000000001E-2</v>
      </c>
      <c r="J291">
        <v>3.0349000000000001E-2</v>
      </c>
      <c r="K291">
        <v>5.4225000000000002E-2</v>
      </c>
      <c r="L291">
        <v>3.0006000000000001E-2</v>
      </c>
      <c r="M291">
        <v>2.6047000000000001E-2</v>
      </c>
      <c r="N291">
        <v>3.8960000000000002E-2</v>
      </c>
      <c r="O291">
        <v>2.4846E-2</v>
      </c>
      <c r="P291">
        <v>4.2113999999999999E-2</v>
      </c>
      <c r="Q291">
        <v>3.3216000000000002E-2</v>
      </c>
      <c r="R291">
        <v>2.6221999999999999E-2</v>
      </c>
      <c r="S291">
        <v>3.4320000000000003E-2</v>
      </c>
      <c r="T291">
        <v>4.1411000000000003E-2</v>
      </c>
      <c r="U291">
        <v>3.2050000000000002E-2</v>
      </c>
      <c r="V291">
        <v>4.2601E-2</v>
      </c>
      <c r="W291">
        <v>3.4540000000000001E-2</v>
      </c>
      <c r="X291">
        <v>5.3984999999999998E-2</v>
      </c>
      <c r="Y291">
        <v>3.1571000000000002E-2</v>
      </c>
      <c r="Z291">
        <v>2.2216E-2</v>
      </c>
      <c r="AA291">
        <v>3.8517999999999997E-2</v>
      </c>
      <c r="AB291">
        <v>3.3063000000000002E-2</v>
      </c>
    </row>
    <row r="292" spans="1:28" x14ac:dyDescent="0.2">
      <c r="A292">
        <v>19560329</v>
      </c>
      <c r="B292">
        <v>1956</v>
      </c>
      <c r="C292">
        <v>3</v>
      </c>
      <c r="D292">
        <v>6.2160000000000002E-3</v>
      </c>
      <c r="E292">
        <v>3.2904999999999997E-2</v>
      </c>
      <c r="F292">
        <v>1.0971E-2</v>
      </c>
      <c r="G292">
        <v>8.0333000000000002E-2</v>
      </c>
      <c r="H292">
        <v>4.8645000000000001E-2</v>
      </c>
      <c r="I292">
        <v>7.8059999999999996E-3</v>
      </c>
      <c r="J292">
        <v>4.6621999999999997E-2</v>
      </c>
      <c r="K292">
        <v>4.8897000000000003E-2</v>
      </c>
      <c r="L292">
        <v>3.6625999999999999E-2</v>
      </c>
      <c r="M292">
        <v>5.8078999999999999E-2</v>
      </c>
      <c r="N292">
        <v>7.7637999999999999E-2</v>
      </c>
      <c r="O292">
        <v>4.1749000000000001E-2</v>
      </c>
      <c r="P292">
        <v>5.7437000000000002E-2</v>
      </c>
      <c r="Q292">
        <v>5.8457000000000002E-2</v>
      </c>
      <c r="R292">
        <v>3.6332999999999997E-2</v>
      </c>
      <c r="S292">
        <v>5.8557999999999999E-2</v>
      </c>
      <c r="T292">
        <v>6.0595000000000003E-2</v>
      </c>
      <c r="U292">
        <v>6.5748000000000001E-2</v>
      </c>
      <c r="V292">
        <v>4.4615000000000002E-2</v>
      </c>
      <c r="W292">
        <v>2.7623000000000002E-2</v>
      </c>
      <c r="X292">
        <v>7.0053000000000004E-2</v>
      </c>
      <c r="Y292">
        <v>0.100415</v>
      </c>
      <c r="Z292">
        <v>5.0393E-2</v>
      </c>
      <c r="AA292">
        <v>5.8091999999999998E-2</v>
      </c>
      <c r="AB292">
        <v>8.8276999999999994E-2</v>
      </c>
    </row>
    <row r="293" spans="1:28" x14ac:dyDescent="0.2">
      <c r="A293">
        <v>19560430</v>
      </c>
      <c r="B293">
        <v>1956</v>
      </c>
      <c r="C293">
        <v>4</v>
      </c>
      <c r="D293">
        <v>8.2260000000000007E-3</v>
      </c>
      <c r="E293">
        <v>-9.5949999999999994E-3</v>
      </c>
      <c r="F293">
        <v>-7.927E-3</v>
      </c>
      <c r="G293">
        <v>4.3369999999999997E-3</v>
      </c>
      <c r="H293">
        <v>6.613E-3</v>
      </c>
      <c r="I293">
        <v>1.0111999999999999E-2</v>
      </c>
      <c r="J293">
        <v>2.1350000000000001E-2</v>
      </c>
      <c r="K293">
        <v>-6.7080000000000004E-3</v>
      </c>
      <c r="L293">
        <v>-3.5E-4</v>
      </c>
      <c r="M293">
        <v>4.6940000000000003E-3</v>
      </c>
      <c r="N293">
        <v>-1.9961E-2</v>
      </c>
      <c r="O293">
        <v>6.0720000000000001E-3</v>
      </c>
      <c r="P293">
        <v>1.111E-2</v>
      </c>
      <c r="Q293">
        <v>1.8713E-2</v>
      </c>
      <c r="R293">
        <v>1.8100000000000001E-4</v>
      </c>
      <c r="S293">
        <v>1.0880000000000001E-2</v>
      </c>
      <c r="T293">
        <v>-4.5800000000000002E-4</v>
      </c>
      <c r="U293">
        <v>1.1566E-2</v>
      </c>
      <c r="V293">
        <v>7.7840000000000001E-3</v>
      </c>
      <c r="W293">
        <v>1.1568E-2</v>
      </c>
      <c r="X293">
        <v>-7.8840000000000004E-3</v>
      </c>
      <c r="Y293">
        <v>1.6899999999999998E-2</v>
      </c>
      <c r="Z293">
        <v>2.1329999999999998E-2</v>
      </c>
      <c r="AA293">
        <v>1.2055E-2</v>
      </c>
      <c r="AB293">
        <v>6.5319999999999996E-3</v>
      </c>
    </row>
    <row r="294" spans="1:28" x14ac:dyDescent="0.2">
      <c r="A294">
        <v>19560531</v>
      </c>
      <c r="B294">
        <v>1956</v>
      </c>
      <c r="C294">
        <v>5</v>
      </c>
      <c r="D294">
        <v>-1.3783E-2</v>
      </c>
      <c r="E294">
        <v>-5.7063000000000003E-2</v>
      </c>
      <c r="F294">
        <v>-2.1725000000000001E-2</v>
      </c>
      <c r="G294">
        <v>-3.7906000000000002E-2</v>
      </c>
      <c r="H294">
        <v>-4.1596000000000001E-2</v>
      </c>
      <c r="I294">
        <v>-4.4345999999999997E-2</v>
      </c>
      <c r="J294">
        <v>-5.7332000000000001E-2</v>
      </c>
      <c r="K294">
        <v>-4.0641999999999998E-2</v>
      </c>
      <c r="L294">
        <v>-4.4313999999999999E-2</v>
      </c>
      <c r="M294">
        <v>-4.2976E-2</v>
      </c>
      <c r="N294">
        <v>-1.3415E-2</v>
      </c>
      <c r="O294">
        <v>-3.7642000000000002E-2</v>
      </c>
      <c r="P294">
        <v>-2.2671E-2</v>
      </c>
      <c r="Q294">
        <v>-4.6045999999999997E-2</v>
      </c>
      <c r="R294">
        <v>-5.0708000000000003E-2</v>
      </c>
      <c r="S294">
        <v>-2.8139999999999998E-2</v>
      </c>
      <c r="T294">
        <v>-3.0779999999999998E-2</v>
      </c>
      <c r="U294">
        <v>-4.9992000000000002E-2</v>
      </c>
      <c r="V294">
        <v>-5.0210999999999999E-2</v>
      </c>
      <c r="W294">
        <v>-5.1241000000000002E-2</v>
      </c>
      <c r="X294">
        <v>-4.9286000000000003E-2</v>
      </c>
      <c r="Y294">
        <v>-5.9181999999999998E-2</v>
      </c>
      <c r="Z294">
        <v>-4.6796999999999998E-2</v>
      </c>
      <c r="AA294">
        <v>-6.5045000000000006E-2</v>
      </c>
      <c r="AB294">
        <v>-8.6071999999999996E-2</v>
      </c>
    </row>
    <row r="295" spans="1:28" x14ac:dyDescent="0.2">
      <c r="A295">
        <v>19560629</v>
      </c>
      <c r="B295">
        <v>1956</v>
      </c>
      <c r="C295">
        <v>6</v>
      </c>
      <c r="D295">
        <v>-4.6901999999999999E-2</v>
      </c>
      <c r="E295">
        <v>5.8890000000000001E-3</v>
      </c>
      <c r="F295">
        <v>2.3567999999999999E-2</v>
      </c>
      <c r="G295">
        <v>6.3099999999999996E-3</v>
      </c>
      <c r="H295">
        <v>3.4E-5</v>
      </c>
      <c r="I295">
        <v>6.7070000000000003E-3</v>
      </c>
      <c r="J295">
        <v>2.6072000000000001E-2</v>
      </c>
      <c r="K295">
        <v>2.2384999999999999E-2</v>
      </c>
      <c r="L295">
        <v>1.6829E-2</v>
      </c>
      <c r="M295">
        <v>1.6966999999999999E-2</v>
      </c>
      <c r="N295">
        <v>4.3029999999999999E-2</v>
      </c>
      <c r="O295">
        <v>2.7038E-2</v>
      </c>
      <c r="P295">
        <v>3.8690000000000002E-2</v>
      </c>
      <c r="Q295">
        <v>3.6872000000000002E-2</v>
      </c>
      <c r="R295">
        <v>1.6011999999999998E-2</v>
      </c>
      <c r="S295">
        <v>3.7739000000000002E-2</v>
      </c>
      <c r="T295">
        <v>2.8249E-2</v>
      </c>
      <c r="U295">
        <v>2.2985999999999999E-2</v>
      </c>
      <c r="V295">
        <v>1.5664000000000001E-2</v>
      </c>
      <c r="W295">
        <v>1.0005E-2</v>
      </c>
      <c r="X295">
        <v>5.3948000000000003E-2</v>
      </c>
      <c r="Y295">
        <v>1.6067999999999999E-2</v>
      </c>
      <c r="Z295">
        <v>3.5381000000000003E-2</v>
      </c>
      <c r="AA295">
        <v>3.3563999999999997E-2</v>
      </c>
      <c r="AB295">
        <v>1.864E-2</v>
      </c>
    </row>
    <row r="296" spans="1:28" x14ac:dyDescent="0.2">
      <c r="A296">
        <v>19560731</v>
      </c>
      <c r="B296">
        <v>1956</v>
      </c>
      <c r="C296">
        <v>7</v>
      </c>
      <c r="D296">
        <v>1.0039999999999999E-3</v>
      </c>
      <c r="E296">
        <v>2.5398E-2</v>
      </c>
      <c r="F296">
        <v>1.034E-3</v>
      </c>
      <c r="G296">
        <v>4.0154000000000002E-2</v>
      </c>
      <c r="H296">
        <v>2.9262E-2</v>
      </c>
      <c r="I296">
        <v>1.6164999999999999E-2</v>
      </c>
      <c r="J296">
        <v>4.3819999999999998E-2</v>
      </c>
      <c r="K296">
        <v>2.3458E-2</v>
      </c>
      <c r="L296">
        <v>4.0749E-2</v>
      </c>
      <c r="M296">
        <v>3.8782999999999998E-2</v>
      </c>
      <c r="N296">
        <v>3.7317999999999997E-2</v>
      </c>
      <c r="O296">
        <v>4.0264000000000001E-2</v>
      </c>
      <c r="P296">
        <v>4.8113000000000003E-2</v>
      </c>
      <c r="Q296">
        <v>3.9842000000000002E-2</v>
      </c>
      <c r="R296">
        <v>3.5563999999999998E-2</v>
      </c>
      <c r="S296">
        <v>4.4069999999999998E-2</v>
      </c>
      <c r="T296">
        <v>5.4490999999999998E-2</v>
      </c>
      <c r="U296">
        <v>3.8621000000000003E-2</v>
      </c>
      <c r="V296">
        <v>5.1610000000000003E-2</v>
      </c>
      <c r="W296">
        <v>3.1292E-2</v>
      </c>
      <c r="X296">
        <v>4.6016000000000001E-2</v>
      </c>
      <c r="Y296">
        <v>7.7044000000000001E-2</v>
      </c>
      <c r="Z296">
        <v>5.3662000000000001E-2</v>
      </c>
      <c r="AA296">
        <v>4.9070000000000003E-2</v>
      </c>
      <c r="AB296">
        <v>3.0356999999999999E-2</v>
      </c>
    </row>
    <row r="297" spans="1:28" x14ac:dyDescent="0.2">
      <c r="A297">
        <v>19560831</v>
      </c>
      <c r="B297">
        <v>1956</v>
      </c>
      <c r="C297">
        <v>8</v>
      </c>
      <c r="D297">
        <v>-4.7581999999999999E-2</v>
      </c>
      <c r="E297">
        <v>-2.5187000000000001E-2</v>
      </c>
      <c r="F297">
        <v>1.2411E-2</v>
      </c>
      <c r="G297">
        <v>-1.1479E-2</v>
      </c>
      <c r="H297">
        <v>-1.0274999999999999E-2</v>
      </c>
      <c r="I297">
        <v>-1.5769999999999999E-2</v>
      </c>
      <c r="J297">
        <v>-2.4250000000000001E-3</v>
      </c>
      <c r="K297">
        <v>-1.6345999999999999E-2</v>
      </c>
      <c r="L297">
        <v>-1.3202E-2</v>
      </c>
      <c r="M297">
        <v>-2.1811000000000001E-2</v>
      </c>
      <c r="N297">
        <v>8.0619999999999997E-3</v>
      </c>
      <c r="O297">
        <v>-1.3339E-2</v>
      </c>
      <c r="P297">
        <v>-1.5469E-2</v>
      </c>
      <c r="Q297">
        <v>-1.4208999999999999E-2</v>
      </c>
      <c r="R297">
        <v>-3.4979999999999997E-2</v>
      </c>
      <c r="S297">
        <v>-3.0802E-2</v>
      </c>
      <c r="T297">
        <v>-2.8856E-2</v>
      </c>
      <c r="U297">
        <v>-2.0771999999999999E-2</v>
      </c>
      <c r="V297">
        <v>-2.8097E-2</v>
      </c>
      <c r="W297">
        <v>-2.7859999999999999E-2</v>
      </c>
      <c r="X297">
        <v>-3.1521E-2</v>
      </c>
      <c r="Y297">
        <v>-4.9917000000000003E-2</v>
      </c>
      <c r="Z297">
        <v>-1.8599999999999998E-2</v>
      </c>
      <c r="AA297">
        <v>-3.0355E-2</v>
      </c>
      <c r="AB297">
        <v>-4.6376000000000001E-2</v>
      </c>
    </row>
    <row r="298" spans="1:28" x14ac:dyDescent="0.2">
      <c r="A298">
        <v>19560928</v>
      </c>
      <c r="B298">
        <v>1956</v>
      </c>
      <c r="C298">
        <v>9</v>
      </c>
      <c r="D298">
        <v>-2.6610000000000002E-2</v>
      </c>
      <c r="E298">
        <v>-7.6936000000000004E-2</v>
      </c>
      <c r="F298">
        <v>-2.1531000000000002E-2</v>
      </c>
      <c r="G298">
        <v>-2.3452000000000001E-2</v>
      </c>
      <c r="H298">
        <v>-1.3273E-2</v>
      </c>
      <c r="I298">
        <v>-4.3137000000000002E-2</v>
      </c>
      <c r="J298">
        <v>-1.4045999999999999E-2</v>
      </c>
      <c r="K298">
        <v>-3.3036000000000003E-2</v>
      </c>
      <c r="L298">
        <v>-1.4555999999999999E-2</v>
      </c>
      <c r="M298">
        <v>-2.1526E-2</v>
      </c>
      <c r="N298">
        <v>-4.8105000000000002E-2</v>
      </c>
      <c r="O298">
        <v>-4.7382000000000001E-2</v>
      </c>
      <c r="P298">
        <v>-3.3895000000000002E-2</v>
      </c>
      <c r="Q298">
        <v>-2.6394999999999998E-2</v>
      </c>
      <c r="R298">
        <v>-1.8936999999999999E-2</v>
      </c>
      <c r="S298">
        <v>-4.6092000000000001E-2</v>
      </c>
      <c r="T298">
        <v>-4.2096000000000001E-2</v>
      </c>
      <c r="U298">
        <v>-3.6061999999999997E-2</v>
      </c>
      <c r="V298">
        <v>-3.4285999999999997E-2</v>
      </c>
      <c r="W298">
        <v>-2.7754000000000001E-2</v>
      </c>
      <c r="X298">
        <v>-6.2567999999999999E-2</v>
      </c>
      <c r="Y298">
        <v>-4.6321000000000001E-2</v>
      </c>
      <c r="Z298">
        <v>-2.9578E-2</v>
      </c>
      <c r="AA298">
        <v>-5.5480000000000002E-2</v>
      </c>
      <c r="AB298">
        <v>-2.98E-2</v>
      </c>
    </row>
    <row r="299" spans="1:28" x14ac:dyDescent="0.2">
      <c r="A299">
        <v>19561031</v>
      </c>
      <c r="B299">
        <v>1956</v>
      </c>
      <c r="C299">
        <v>10</v>
      </c>
      <c r="D299">
        <v>-4.8010999999999998E-2</v>
      </c>
      <c r="E299">
        <v>1.7554E-2</v>
      </c>
      <c r="F299">
        <v>-5.9369999999999996E-3</v>
      </c>
      <c r="G299">
        <v>3.8049999999999998E-3</v>
      </c>
      <c r="H299">
        <v>1.1115E-2</v>
      </c>
      <c r="I299">
        <v>-4.4299999999999999E-3</v>
      </c>
      <c r="J299">
        <v>1.9011E-2</v>
      </c>
      <c r="K299">
        <v>1.0364E-2</v>
      </c>
      <c r="L299">
        <v>2.2650000000000001E-3</v>
      </c>
      <c r="M299">
        <v>7.8299999999999995E-4</v>
      </c>
      <c r="N299">
        <v>5.2960000000000004E-3</v>
      </c>
      <c r="O299">
        <v>9.7050000000000001E-3</v>
      </c>
      <c r="P299">
        <v>-2.7620000000000001E-3</v>
      </c>
      <c r="Q299">
        <v>1.8714999999999999E-2</v>
      </c>
      <c r="R299">
        <v>9.0050000000000009E-3</v>
      </c>
      <c r="S299">
        <v>6.2699999999999995E-4</v>
      </c>
      <c r="T299">
        <v>6.2220000000000001E-3</v>
      </c>
      <c r="U299">
        <v>1.2285000000000001E-2</v>
      </c>
      <c r="V299">
        <v>1.3252E-2</v>
      </c>
      <c r="W299">
        <v>6.5440000000000003E-3</v>
      </c>
      <c r="X299">
        <v>7.3889999999999997E-3</v>
      </c>
      <c r="Y299">
        <v>8.0230000000000006E-3</v>
      </c>
      <c r="Z299">
        <v>7.1659999999999996E-3</v>
      </c>
      <c r="AA299">
        <v>7.9059999999999998E-3</v>
      </c>
      <c r="AB299">
        <v>1.7167000000000002E-2</v>
      </c>
    </row>
    <row r="300" spans="1:28" x14ac:dyDescent="0.2">
      <c r="A300">
        <v>19561130</v>
      </c>
      <c r="B300">
        <v>1956</v>
      </c>
      <c r="C300">
        <v>11</v>
      </c>
      <c r="D300">
        <v>-5.5326E-2</v>
      </c>
      <c r="E300">
        <v>1.7617000000000001E-2</v>
      </c>
      <c r="F300">
        <v>-1.1332999999999999E-2</v>
      </c>
      <c r="G300">
        <v>-3.0569999999999998E-3</v>
      </c>
      <c r="H300">
        <v>1.2579E-2</v>
      </c>
      <c r="I300">
        <v>3.65E-3</v>
      </c>
      <c r="J300">
        <v>-2.4008000000000002E-2</v>
      </c>
      <c r="K300">
        <v>1.0640000000000001E-3</v>
      </c>
      <c r="L300">
        <v>2.6787999999999999E-2</v>
      </c>
      <c r="M300">
        <v>2.7376999999999999E-2</v>
      </c>
      <c r="N300">
        <v>-1.1663E-2</v>
      </c>
      <c r="O300">
        <v>1.6451E-2</v>
      </c>
      <c r="P300">
        <v>1.1761000000000001E-2</v>
      </c>
      <c r="Q300">
        <v>2.1800000000000001E-3</v>
      </c>
      <c r="R300">
        <v>2.1437000000000001E-2</v>
      </c>
      <c r="S300">
        <v>1.4607E-2</v>
      </c>
      <c r="T300">
        <v>7.0210000000000003E-3</v>
      </c>
      <c r="U300">
        <v>-1.805E-3</v>
      </c>
      <c r="V300">
        <v>1.3759E-2</v>
      </c>
      <c r="W300">
        <v>-7.1919999999999996E-3</v>
      </c>
      <c r="X300">
        <v>-5.0350000000000004E-3</v>
      </c>
      <c r="Y300">
        <v>3.0079999999999998E-3</v>
      </c>
      <c r="Z300">
        <v>2.2987E-2</v>
      </c>
      <c r="AA300">
        <v>5.9609000000000002E-2</v>
      </c>
      <c r="AB300">
        <v>-2.4655E-2</v>
      </c>
    </row>
    <row r="301" spans="1:28" x14ac:dyDescent="0.2">
      <c r="A301">
        <v>19561231</v>
      </c>
      <c r="B301">
        <v>1956</v>
      </c>
      <c r="C301">
        <v>12</v>
      </c>
      <c r="D301">
        <v>6.0644000000000003E-2</v>
      </c>
      <c r="E301">
        <v>-2.9252E-2</v>
      </c>
      <c r="F301">
        <v>1.2390999999999999E-2</v>
      </c>
      <c r="G301">
        <v>1.4711999999999999E-2</v>
      </c>
      <c r="H301">
        <v>9.4750000000000008E-3</v>
      </c>
      <c r="I301">
        <v>2.767E-2</v>
      </c>
      <c r="J301">
        <v>4.9241E-2</v>
      </c>
      <c r="K301">
        <v>2.086E-2</v>
      </c>
      <c r="L301">
        <v>2.2692E-2</v>
      </c>
      <c r="M301">
        <v>3.4389999999999997E-2</v>
      </c>
      <c r="N301">
        <v>4.3062999999999997E-2</v>
      </c>
      <c r="O301">
        <v>3.1106999999999999E-2</v>
      </c>
      <c r="P301">
        <v>3.4936000000000002E-2</v>
      </c>
      <c r="Q301">
        <v>1.2664E-2</v>
      </c>
      <c r="R301">
        <v>2.9849999999999998E-3</v>
      </c>
      <c r="S301">
        <v>2.9536E-2</v>
      </c>
      <c r="T301">
        <v>2.3599999999999999E-2</v>
      </c>
      <c r="U301">
        <v>2.9505E-2</v>
      </c>
      <c r="V301">
        <v>3.8556E-2</v>
      </c>
      <c r="W301">
        <v>3.7045000000000002E-2</v>
      </c>
      <c r="X301">
        <v>3.474E-2</v>
      </c>
      <c r="Y301">
        <v>4.8862000000000003E-2</v>
      </c>
      <c r="Z301">
        <v>3.8824999999999998E-2</v>
      </c>
      <c r="AA301">
        <v>1.4567E-2</v>
      </c>
      <c r="AB301">
        <v>1.9916E-2</v>
      </c>
    </row>
    <row r="302" spans="1:28" x14ac:dyDescent="0.2">
      <c r="A302">
        <v>19570131</v>
      </c>
      <c r="B302">
        <v>1957</v>
      </c>
      <c r="C302">
        <v>1</v>
      </c>
      <c r="D302">
        <v>1.9699999999999999E-4</v>
      </c>
      <c r="E302">
        <v>1.4199E-2</v>
      </c>
      <c r="F302">
        <v>6.0910000000000001E-3</v>
      </c>
      <c r="G302">
        <v>2.6647000000000001E-2</v>
      </c>
      <c r="H302">
        <v>3.3361000000000002E-2</v>
      </c>
      <c r="I302">
        <v>2.0251000000000002E-2</v>
      </c>
      <c r="J302">
        <v>-7.0049999999999999E-3</v>
      </c>
      <c r="K302">
        <v>1.6735E-2</v>
      </c>
      <c r="L302">
        <v>6.8900000000000005E-4</v>
      </c>
      <c r="M302">
        <v>2.3411000000000001E-2</v>
      </c>
      <c r="N302">
        <v>8.9599999999999999E-4</v>
      </c>
      <c r="O302">
        <v>-4.6109999999999996E-3</v>
      </c>
      <c r="P302">
        <v>-1.1490999999999999E-2</v>
      </c>
      <c r="Q302">
        <v>-2.5539999999999998E-3</v>
      </c>
      <c r="R302">
        <v>1.6749E-2</v>
      </c>
      <c r="S302">
        <v>-1.4433E-2</v>
      </c>
      <c r="T302">
        <v>-1.0059E-2</v>
      </c>
      <c r="U302">
        <v>-9.4599999999999997E-3</v>
      </c>
      <c r="V302">
        <v>-1.9741999999999999E-2</v>
      </c>
      <c r="W302">
        <v>-1.6903000000000001E-2</v>
      </c>
      <c r="X302">
        <v>-4.8848999999999997E-2</v>
      </c>
      <c r="Y302">
        <v>-4.4684000000000001E-2</v>
      </c>
      <c r="Z302">
        <v>-2.0424999999999999E-2</v>
      </c>
      <c r="AA302">
        <v>-4.3472999999999998E-2</v>
      </c>
      <c r="AB302">
        <v>-6.8329999999999997E-3</v>
      </c>
    </row>
    <row r="303" spans="1:28" x14ac:dyDescent="0.2">
      <c r="A303">
        <v>19570228</v>
      </c>
      <c r="B303">
        <v>1957</v>
      </c>
      <c r="C303">
        <v>2</v>
      </c>
      <c r="D303">
        <v>3.1479E-2</v>
      </c>
      <c r="E303">
        <v>-2.444E-2</v>
      </c>
      <c r="F303">
        <v>-2.7546999999999999E-2</v>
      </c>
      <c r="G303">
        <v>-2.5368000000000002E-2</v>
      </c>
      <c r="H303">
        <v>-1.6827000000000002E-2</v>
      </c>
      <c r="I303">
        <v>-5.4927999999999998E-2</v>
      </c>
      <c r="J303">
        <v>-1.6277E-2</v>
      </c>
      <c r="K303">
        <v>-3.3799000000000003E-2</v>
      </c>
      <c r="L303">
        <v>-3.3808999999999999E-2</v>
      </c>
      <c r="M303">
        <v>-1.5831999999999999E-2</v>
      </c>
      <c r="N303">
        <v>-2.6481999999999999E-2</v>
      </c>
      <c r="O303">
        <v>-2.7247E-2</v>
      </c>
      <c r="P303">
        <v>-2.4909000000000001E-2</v>
      </c>
      <c r="Q303">
        <v>-2.5513000000000001E-2</v>
      </c>
      <c r="R303">
        <v>-3.6207000000000003E-2</v>
      </c>
      <c r="S303">
        <v>-8.0459999999999993E-3</v>
      </c>
      <c r="T303">
        <v>-1.1181999999999999E-2</v>
      </c>
      <c r="U303">
        <v>-2.2653E-2</v>
      </c>
      <c r="V303">
        <v>-3.6599E-2</v>
      </c>
      <c r="W303">
        <v>-2.6896E-2</v>
      </c>
      <c r="X303">
        <v>-1.6237000000000001E-2</v>
      </c>
      <c r="Y303">
        <v>-1.1601E-2</v>
      </c>
      <c r="Z303">
        <v>-1.7045000000000001E-2</v>
      </c>
      <c r="AA303">
        <v>-4.0598000000000002E-2</v>
      </c>
      <c r="AB303">
        <v>-4.0376000000000002E-2</v>
      </c>
    </row>
    <row r="304" spans="1:28" x14ac:dyDescent="0.2">
      <c r="A304">
        <v>19570329</v>
      </c>
      <c r="B304">
        <v>1957</v>
      </c>
      <c r="C304">
        <v>3</v>
      </c>
      <c r="D304">
        <v>-2.5274000000000001E-2</v>
      </c>
      <c r="E304">
        <v>6.9259999999999999E-3</v>
      </c>
      <c r="F304">
        <v>3.2613999999999997E-2</v>
      </c>
      <c r="G304">
        <v>2.7331999999999999E-2</v>
      </c>
      <c r="H304">
        <v>8.4600000000000005E-3</v>
      </c>
      <c r="I304">
        <v>2.5307E-2</v>
      </c>
      <c r="J304">
        <v>9.6170000000000005E-3</v>
      </c>
      <c r="K304">
        <v>1.8565999999999999E-2</v>
      </c>
      <c r="L304">
        <v>2.1632999999999999E-2</v>
      </c>
      <c r="M304">
        <v>3.0755999999999999E-2</v>
      </c>
      <c r="N304">
        <v>1.5820000000000001E-2</v>
      </c>
      <c r="O304">
        <v>3.4634999999999999E-2</v>
      </c>
      <c r="P304">
        <v>3.1199999999999999E-2</v>
      </c>
      <c r="Q304">
        <v>1.8704999999999999E-2</v>
      </c>
      <c r="R304">
        <v>1.8027000000000001E-2</v>
      </c>
      <c r="S304">
        <v>2.9437000000000001E-2</v>
      </c>
      <c r="T304">
        <v>1.4522E-2</v>
      </c>
      <c r="U304">
        <v>3.3487000000000003E-2</v>
      </c>
      <c r="V304">
        <v>2.2481999999999999E-2</v>
      </c>
      <c r="W304">
        <v>1.6785999999999999E-2</v>
      </c>
      <c r="X304">
        <v>2.6256999999999999E-2</v>
      </c>
      <c r="Y304">
        <v>2.2030999999999999E-2</v>
      </c>
      <c r="Z304">
        <v>2.2415000000000001E-2</v>
      </c>
      <c r="AA304">
        <v>1.0900999999999999E-2</v>
      </c>
      <c r="AB304">
        <v>2.2259000000000001E-2</v>
      </c>
    </row>
    <row r="305" spans="1:28" x14ac:dyDescent="0.2">
      <c r="A305">
        <v>19570430</v>
      </c>
      <c r="B305">
        <v>1957</v>
      </c>
      <c r="C305">
        <v>4</v>
      </c>
      <c r="D305">
        <v>3.026E-3</v>
      </c>
      <c r="E305">
        <v>9.6200000000000001E-3</v>
      </c>
      <c r="F305">
        <v>2.9100000000000001E-2</v>
      </c>
      <c r="G305">
        <v>2.0631E-2</v>
      </c>
      <c r="H305">
        <v>3.1392000000000003E-2</v>
      </c>
      <c r="I305">
        <v>2.4513E-2</v>
      </c>
      <c r="J305">
        <v>-7.7949999999999998E-3</v>
      </c>
      <c r="K305">
        <v>3.8602999999999998E-2</v>
      </c>
      <c r="L305">
        <v>1.0832E-2</v>
      </c>
      <c r="M305">
        <v>4.3499000000000003E-2</v>
      </c>
      <c r="N305">
        <v>3.1507E-2</v>
      </c>
      <c r="O305">
        <v>1.6174000000000001E-2</v>
      </c>
      <c r="P305">
        <v>3.5201999999999997E-2</v>
      </c>
      <c r="Q305">
        <v>1.6920999999999999E-2</v>
      </c>
      <c r="R305">
        <v>9.9559999999999996E-3</v>
      </c>
      <c r="S305">
        <v>4.5089999999999998E-2</v>
      </c>
      <c r="T305">
        <v>2.1149000000000001E-2</v>
      </c>
      <c r="U305">
        <v>2.7102000000000001E-2</v>
      </c>
      <c r="V305">
        <v>3.8398000000000002E-2</v>
      </c>
      <c r="W305">
        <v>4.0159999999999996E-3</v>
      </c>
      <c r="X305">
        <v>5.6240999999999999E-2</v>
      </c>
      <c r="Y305">
        <v>5.6708000000000001E-2</v>
      </c>
      <c r="Z305">
        <v>3.1431000000000001E-2</v>
      </c>
      <c r="AA305">
        <v>4.8520000000000001E-2</v>
      </c>
      <c r="AB305">
        <v>1.9004E-2</v>
      </c>
    </row>
    <row r="306" spans="1:28" x14ac:dyDescent="0.2">
      <c r="A306">
        <v>19570531</v>
      </c>
      <c r="B306">
        <v>1957</v>
      </c>
      <c r="C306">
        <v>5</v>
      </c>
      <c r="D306">
        <v>6.8315000000000001E-2</v>
      </c>
      <c r="E306">
        <v>-1.034E-3</v>
      </c>
      <c r="F306">
        <v>-1.745E-2</v>
      </c>
      <c r="G306">
        <v>9.5160000000000002E-3</v>
      </c>
      <c r="H306">
        <v>1.526E-3</v>
      </c>
      <c r="I306">
        <v>3.5569999999999997E-2</v>
      </c>
      <c r="J306">
        <v>4.3867000000000003E-2</v>
      </c>
      <c r="K306">
        <v>7.5839999999999996E-3</v>
      </c>
      <c r="L306">
        <v>8.3059999999999991E-3</v>
      </c>
      <c r="M306">
        <v>2.9981000000000001E-2</v>
      </c>
      <c r="N306">
        <v>3.0419999999999999E-2</v>
      </c>
      <c r="O306">
        <v>1.9155999999999999E-2</v>
      </c>
      <c r="P306">
        <v>3.2769E-2</v>
      </c>
      <c r="Q306">
        <v>1.7675E-2</v>
      </c>
      <c r="R306">
        <v>2.2512000000000001E-2</v>
      </c>
      <c r="S306">
        <v>3.0987000000000001E-2</v>
      </c>
      <c r="T306">
        <v>2.2398999999999999E-2</v>
      </c>
      <c r="U306">
        <v>7.0109999999999999E-3</v>
      </c>
      <c r="V306">
        <v>1.4633E-2</v>
      </c>
      <c r="W306">
        <v>3.9331999999999999E-2</v>
      </c>
      <c r="X306">
        <v>5.0906E-2</v>
      </c>
      <c r="Y306">
        <v>3.2549000000000002E-2</v>
      </c>
      <c r="Z306">
        <v>2.9853000000000001E-2</v>
      </c>
      <c r="AA306">
        <v>2.3373999999999999E-2</v>
      </c>
      <c r="AB306">
        <v>2.8379000000000001E-2</v>
      </c>
    </row>
    <row r="307" spans="1:28" x14ac:dyDescent="0.2">
      <c r="A307">
        <v>19570628</v>
      </c>
      <c r="B307">
        <v>1957</v>
      </c>
      <c r="C307">
        <v>6</v>
      </c>
      <c r="D307">
        <v>-2.6904000000000001E-2</v>
      </c>
      <c r="E307">
        <v>1.9495999999999999E-2</v>
      </c>
      <c r="F307">
        <v>-3.9179999999999996E-3</v>
      </c>
      <c r="G307">
        <v>1.2796999999999999E-2</v>
      </c>
      <c r="H307">
        <v>1.7465000000000001E-2</v>
      </c>
      <c r="I307">
        <v>-1.1590000000000001E-3</v>
      </c>
      <c r="J307">
        <v>-4.9059999999999998E-3</v>
      </c>
      <c r="K307">
        <v>-3.5249999999999999E-3</v>
      </c>
      <c r="L307">
        <v>-1.9977000000000002E-2</v>
      </c>
      <c r="M307">
        <v>1.6355000000000001E-2</v>
      </c>
      <c r="N307">
        <v>1.3781E-2</v>
      </c>
      <c r="O307">
        <v>-1.966E-2</v>
      </c>
      <c r="P307">
        <v>-2.0615999999999999E-2</v>
      </c>
      <c r="Q307">
        <v>-3.4780000000000002E-3</v>
      </c>
      <c r="R307">
        <v>-9.0589999999999993E-3</v>
      </c>
      <c r="S307">
        <v>-1.4061000000000001E-2</v>
      </c>
      <c r="T307">
        <v>-2.3800999999999999E-2</v>
      </c>
      <c r="U307">
        <v>-2.0138E-2</v>
      </c>
      <c r="V307">
        <v>-2.3827000000000001E-2</v>
      </c>
      <c r="W307">
        <v>2.8040000000000001E-3</v>
      </c>
      <c r="X307">
        <v>4.078E-3</v>
      </c>
      <c r="Y307">
        <v>-1.8075999999999998E-2</v>
      </c>
      <c r="Z307">
        <v>-4.6169999999999996E-3</v>
      </c>
      <c r="AA307">
        <v>-2.0629999999999999E-2</v>
      </c>
      <c r="AB307">
        <v>3.1250000000000002E-3</v>
      </c>
    </row>
    <row r="308" spans="1:28" x14ac:dyDescent="0.2">
      <c r="A308">
        <v>19570731</v>
      </c>
      <c r="B308">
        <v>1957</v>
      </c>
      <c r="C308">
        <v>7</v>
      </c>
      <c r="D308">
        <v>0.11123</v>
      </c>
      <c r="E308">
        <v>-2.9746999999999999E-2</v>
      </c>
      <c r="F308">
        <v>3.2139999999999998E-3</v>
      </c>
      <c r="G308">
        <v>2.6619999999999999E-3</v>
      </c>
      <c r="H308">
        <v>1.823E-3</v>
      </c>
      <c r="I308">
        <v>-1.5405E-2</v>
      </c>
      <c r="J308">
        <v>5.5409999999999999E-3</v>
      </c>
      <c r="K308">
        <v>6.0720000000000001E-3</v>
      </c>
      <c r="L308">
        <v>1.1313E-2</v>
      </c>
      <c r="M308">
        <v>7.0499999999999998E-3</v>
      </c>
      <c r="N308">
        <v>7.8670000000000007E-3</v>
      </c>
      <c r="O308">
        <v>-3.7529999999999998E-3</v>
      </c>
      <c r="P308">
        <v>-2.8600000000000001E-4</v>
      </c>
      <c r="Q308">
        <v>1.4964E-2</v>
      </c>
      <c r="R308">
        <v>1.1075E-2</v>
      </c>
      <c r="S308">
        <v>5.8200000000000005E-4</v>
      </c>
      <c r="T308">
        <v>5.0299999999999997E-4</v>
      </c>
      <c r="U308">
        <v>2.163E-3</v>
      </c>
      <c r="V308">
        <v>1.3004999999999999E-2</v>
      </c>
      <c r="W308">
        <v>1.3587999999999999E-2</v>
      </c>
      <c r="X308">
        <v>1.5408E-2</v>
      </c>
      <c r="Y308">
        <v>1.1084E-2</v>
      </c>
      <c r="Z308">
        <v>1E-3</v>
      </c>
      <c r="AA308">
        <v>1.0921999999999999E-2</v>
      </c>
      <c r="AB308">
        <v>1.2071E-2</v>
      </c>
    </row>
    <row r="309" spans="1:28" x14ac:dyDescent="0.2">
      <c r="A309">
        <v>19570830</v>
      </c>
      <c r="B309">
        <v>1957</v>
      </c>
      <c r="C309">
        <v>8</v>
      </c>
      <c r="D309">
        <v>-3.4916999999999997E-2</v>
      </c>
      <c r="E309">
        <v>-2.9751E-2</v>
      </c>
      <c r="F309">
        <v>-3.5485000000000003E-2</v>
      </c>
      <c r="G309">
        <v>-4.6872999999999998E-2</v>
      </c>
      <c r="H309">
        <v>-3.9514000000000001E-2</v>
      </c>
      <c r="I309">
        <v>-4.5240000000000002E-2</v>
      </c>
      <c r="J309">
        <v>-3.4477000000000001E-2</v>
      </c>
      <c r="K309">
        <v>-4.0221E-2</v>
      </c>
      <c r="L309">
        <v>-5.1242000000000003E-2</v>
      </c>
      <c r="M309">
        <v>-6.0241999999999997E-2</v>
      </c>
      <c r="N309">
        <v>-5.9805999999999998E-2</v>
      </c>
      <c r="O309">
        <v>-4.2155999999999999E-2</v>
      </c>
      <c r="P309">
        <v>-4.9577000000000003E-2</v>
      </c>
      <c r="Q309">
        <v>-5.5799000000000001E-2</v>
      </c>
      <c r="R309">
        <v>-5.9896999999999999E-2</v>
      </c>
      <c r="S309">
        <v>-7.4626999999999999E-2</v>
      </c>
      <c r="T309">
        <v>-5.5587999999999999E-2</v>
      </c>
      <c r="U309">
        <v>-4.0600999999999998E-2</v>
      </c>
      <c r="V309">
        <v>-5.6717999999999998E-2</v>
      </c>
      <c r="W309">
        <v>-5.5740999999999999E-2</v>
      </c>
      <c r="X309">
        <v>-5.4226000000000003E-2</v>
      </c>
      <c r="Y309">
        <v>-4.7261999999999998E-2</v>
      </c>
      <c r="Z309">
        <v>-2.2742999999999999E-2</v>
      </c>
      <c r="AA309">
        <v>-5.2349E-2</v>
      </c>
      <c r="AB309">
        <v>-4.9401E-2</v>
      </c>
    </row>
    <row r="310" spans="1:28" x14ac:dyDescent="0.2">
      <c r="A310">
        <v>19570930</v>
      </c>
      <c r="B310">
        <v>1957</v>
      </c>
      <c r="C310">
        <v>9</v>
      </c>
      <c r="D310">
        <v>-8.2397999999999999E-2</v>
      </c>
      <c r="E310">
        <v>-2.1405E-2</v>
      </c>
      <c r="F310">
        <v>-3.7796000000000003E-2</v>
      </c>
      <c r="G310">
        <v>-4.0378999999999998E-2</v>
      </c>
      <c r="H310">
        <v>-4.5143999999999997E-2</v>
      </c>
      <c r="I310">
        <v>-6.6146999999999997E-2</v>
      </c>
      <c r="J310">
        <v>-4.4324000000000002E-2</v>
      </c>
      <c r="K310">
        <v>-3.5477000000000002E-2</v>
      </c>
      <c r="L310">
        <v>-4.1362000000000003E-2</v>
      </c>
      <c r="M310">
        <v>-6.7985000000000004E-2</v>
      </c>
      <c r="N310">
        <v>-5.4954000000000003E-2</v>
      </c>
      <c r="O310">
        <v>-7.3988999999999999E-2</v>
      </c>
      <c r="P310">
        <v>-4.3830000000000001E-2</v>
      </c>
      <c r="Q310">
        <v>-5.1017E-2</v>
      </c>
      <c r="R310">
        <v>-4.2781E-2</v>
      </c>
      <c r="S310">
        <v>-4.9404999999999998E-2</v>
      </c>
      <c r="T310">
        <v>-5.0528000000000003E-2</v>
      </c>
      <c r="U310">
        <v>-3.1385000000000003E-2</v>
      </c>
      <c r="V310">
        <v>-6.8444000000000005E-2</v>
      </c>
      <c r="W310">
        <v>-8.4628999999999996E-2</v>
      </c>
      <c r="X310">
        <v>-6.8546999999999997E-2</v>
      </c>
      <c r="Y310">
        <v>-5.0355999999999998E-2</v>
      </c>
      <c r="Z310">
        <v>-4.0053999999999999E-2</v>
      </c>
      <c r="AA310">
        <v>-5.3703000000000001E-2</v>
      </c>
      <c r="AB310">
        <v>-8.4278000000000006E-2</v>
      </c>
    </row>
    <row r="311" spans="1:28" x14ac:dyDescent="0.2">
      <c r="A311">
        <v>19571031</v>
      </c>
      <c r="B311">
        <v>1957</v>
      </c>
      <c r="C311">
        <v>10</v>
      </c>
      <c r="D311">
        <v>-8.8440000000000005E-2</v>
      </c>
      <c r="E311">
        <v>-9.7889000000000004E-2</v>
      </c>
      <c r="F311">
        <v>-5.9816000000000001E-2</v>
      </c>
      <c r="G311">
        <v>-6.4398999999999998E-2</v>
      </c>
      <c r="H311">
        <v>-9.4924999999999995E-2</v>
      </c>
      <c r="I311">
        <v>-6.5978999999999996E-2</v>
      </c>
      <c r="J311">
        <v>-6.4264000000000002E-2</v>
      </c>
      <c r="K311">
        <v>-5.0992000000000003E-2</v>
      </c>
      <c r="L311">
        <v>-6.1707999999999999E-2</v>
      </c>
      <c r="M311">
        <v>-9.1512999999999997E-2</v>
      </c>
      <c r="N311">
        <v>-7.3783000000000001E-2</v>
      </c>
      <c r="O311">
        <v>-5.2415999999999997E-2</v>
      </c>
      <c r="P311">
        <v>-5.3828000000000001E-2</v>
      </c>
      <c r="Q311">
        <v>-6.0045000000000001E-2</v>
      </c>
      <c r="R311">
        <v>-7.2831000000000007E-2</v>
      </c>
      <c r="S311">
        <v>-6.0492999999999998E-2</v>
      </c>
      <c r="T311">
        <v>-2.3477000000000001E-2</v>
      </c>
      <c r="U311">
        <v>-3.0554000000000001E-2</v>
      </c>
      <c r="V311">
        <v>-6.9782999999999998E-2</v>
      </c>
      <c r="W311">
        <v>-0.103585</v>
      </c>
      <c r="X311">
        <v>-3.6326999999999998E-2</v>
      </c>
      <c r="Y311">
        <v>-3.4119999999999998E-2</v>
      </c>
      <c r="Z311">
        <v>-3.3465000000000002E-2</v>
      </c>
      <c r="AA311">
        <v>-5.5029000000000002E-2</v>
      </c>
      <c r="AB311">
        <v>-7.5273000000000007E-2</v>
      </c>
    </row>
    <row r="312" spans="1:28" x14ac:dyDescent="0.2">
      <c r="A312">
        <v>19571129</v>
      </c>
      <c r="B312">
        <v>1957</v>
      </c>
      <c r="C312">
        <v>11</v>
      </c>
      <c r="D312">
        <v>2.5831E-2</v>
      </c>
      <c r="E312">
        <v>-2.2286E-2</v>
      </c>
      <c r="F312">
        <v>9.9120000000000007E-3</v>
      </c>
      <c r="G312">
        <v>9.9209999999999993E-3</v>
      </c>
      <c r="H312">
        <v>1.4177E-2</v>
      </c>
      <c r="I312">
        <v>1.738E-2</v>
      </c>
      <c r="J312">
        <v>2.5314E-2</v>
      </c>
      <c r="K312">
        <v>1.3627999999999999E-2</v>
      </c>
      <c r="L312">
        <v>-1.3269E-2</v>
      </c>
      <c r="M312">
        <v>6.1339999999999997E-3</v>
      </c>
      <c r="N312">
        <v>4.1378999999999999E-2</v>
      </c>
      <c r="O312">
        <v>3.4275E-2</v>
      </c>
      <c r="P312">
        <v>2.2925999999999998E-2</v>
      </c>
      <c r="Q312">
        <v>2.0334999999999999E-2</v>
      </c>
      <c r="R312">
        <v>3.7039000000000002E-2</v>
      </c>
      <c r="S312">
        <v>4.1792000000000003E-2</v>
      </c>
      <c r="T312">
        <v>3.9177999999999998E-2</v>
      </c>
      <c r="U312">
        <v>1.8662000000000002E-2</v>
      </c>
      <c r="V312">
        <v>1.6015999999999999E-2</v>
      </c>
      <c r="W312">
        <v>-6.2599999999999999E-3</v>
      </c>
      <c r="X312">
        <v>2.8452000000000002E-2</v>
      </c>
      <c r="Y312">
        <v>3.0713000000000001E-2</v>
      </c>
      <c r="Z312">
        <v>1.7697000000000001E-2</v>
      </c>
      <c r="AA312">
        <v>2.0285000000000001E-2</v>
      </c>
      <c r="AB312">
        <v>-4.1556000000000003E-2</v>
      </c>
    </row>
    <row r="313" spans="1:28" x14ac:dyDescent="0.2">
      <c r="A313">
        <v>19571231</v>
      </c>
      <c r="B313">
        <v>1957</v>
      </c>
      <c r="C313">
        <v>12</v>
      </c>
      <c r="D313">
        <v>-0.105534</v>
      </c>
      <c r="E313">
        <v>-4.9627999999999999E-2</v>
      </c>
      <c r="F313">
        <v>-4.2164E-2</v>
      </c>
      <c r="G313">
        <v>-5.7609E-2</v>
      </c>
      <c r="H313">
        <v>-5.2492999999999998E-2</v>
      </c>
      <c r="I313">
        <v>-5.6668999999999997E-2</v>
      </c>
      <c r="J313">
        <v>-2.8879999999999999E-2</v>
      </c>
      <c r="K313">
        <v>-1.2907999999999999E-2</v>
      </c>
      <c r="L313">
        <v>-6.9917999999999994E-2</v>
      </c>
      <c r="M313">
        <v>-6.9897000000000001E-2</v>
      </c>
      <c r="N313">
        <v>-4.2866000000000001E-2</v>
      </c>
      <c r="O313">
        <v>-2.3796000000000001E-2</v>
      </c>
      <c r="P313">
        <v>-4.8563000000000002E-2</v>
      </c>
      <c r="Q313">
        <v>-6.8412000000000001E-2</v>
      </c>
      <c r="R313">
        <v>-3.9591000000000001E-2</v>
      </c>
      <c r="S313">
        <v>-3.4771999999999997E-2</v>
      </c>
      <c r="T313">
        <v>-2.6532E-2</v>
      </c>
      <c r="U313">
        <v>-6.3559999999999997E-3</v>
      </c>
      <c r="V313">
        <v>-7.1485999999999994E-2</v>
      </c>
      <c r="W313">
        <v>-5.6580999999999999E-2</v>
      </c>
      <c r="X313">
        <v>-3.6419E-2</v>
      </c>
      <c r="Y313">
        <v>-4.2686000000000002E-2</v>
      </c>
      <c r="Z313">
        <v>-1.52E-2</v>
      </c>
      <c r="AA313">
        <v>-7.1257000000000001E-2</v>
      </c>
      <c r="AB313">
        <v>-6.7648E-2</v>
      </c>
    </row>
    <row r="314" spans="1:28" x14ac:dyDescent="0.2">
      <c r="A314">
        <v>19580131</v>
      </c>
      <c r="B314">
        <v>1958</v>
      </c>
      <c r="C314">
        <v>1</v>
      </c>
      <c r="D314">
        <v>0.22935900000000001</v>
      </c>
      <c r="E314">
        <v>9.7604999999999997E-2</v>
      </c>
      <c r="F314">
        <v>9.5609E-2</v>
      </c>
      <c r="G314">
        <v>0.117608</v>
      </c>
      <c r="H314">
        <v>0.14462900000000001</v>
      </c>
      <c r="I314">
        <v>0.124822</v>
      </c>
      <c r="J314">
        <v>0.107395</v>
      </c>
      <c r="K314">
        <v>8.9682999999999999E-2</v>
      </c>
      <c r="L314">
        <v>0.11018</v>
      </c>
      <c r="M314">
        <v>0.13012599999999999</v>
      </c>
      <c r="N314">
        <v>8.1930000000000003E-2</v>
      </c>
      <c r="O314">
        <v>8.6986999999999995E-2</v>
      </c>
      <c r="P314">
        <v>0.10385900000000001</v>
      </c>
      <c r="Q314">
        <v>0.12922800000000001</v>
      </c>
      <c r="R314">
        <v>0.11189499999999999</v>
      </c>
      <c r="S314">
        <v>7.2302000000000005E-2</v>
      </c>
      <c r="T314">
        <v>8.2108E-2</v>
      </c>
      <c r="U314">
        <v>7.5889999999999999E-2</v>
      </c>
      <c r="V314">
        <v>0.13489000000000001</v>
      </c>
      <c r="W314">
        <v>0.13832900000000001</v>
      </c>
      <c r="X314">
        <v>2.9107999999999998E-2</v>
      </c>
      <c r="Y314">
        <v>3.7579000000000001E-2</v>
      </c>
      <c r="Z314">
        <v>5.2930999999999999E-2</v>
      </c>
      <c r="AA314">
        <v>7.2089E-2</v>
      </c>
      <c r="AB314">
        <v>0.11859699999999999</v>
      </c>
    </row>
    <row r="315" spans="1:28" x14ac:dyDescent="0.2">
      <c r="A315">
        <v>19580228</v>
      </c>
      <c r="B315">
        <v>1958</v>
      </c>
      <c r="C315">
        <v>2</v>
      </c>
      <c r="D315">
        <v>-7.9791000000000001E-2</v>
      </c>
      <c r="E315">
        <v>6.7920000000000003E-3</v>
      </c>
      <c r="F315">
        <v>-1.6163E-2</v>
      </c>
      <c r="G315">
        <v>-1.3108E-2</v>
      </c>
      <c r="H315">
        <v>-8.7430000000000008E-3</v>
      </c>
      <c r="I315">
        <v>6.7580000000000001E-3</v>
      </c>
      <c r="J315">
        <v>4.2099999999999999E-4</v>
      </c>
      <c r="K315">
        <v>-4.9649999999999998E-3</v>
      </c>
      <c r="L315">
        <v>-9.2999999999999997E-5</v>
      </c>
      <c r="M315">
        <v>4.2379999999999996E-3</v>
      </c>
      <c r="N315">
        <v>-3.797E-3</v>
      </c>
      <c r="O315">
        <v>-3.6499999999999998E-4</v>
      </c>
      <c r="P315">
        <v>-5.7679999999999997E-3</v>
      </c>
      <c r="Q315">
        <v>-6.4689999999999999E-3</v>
      </c>
      <c r="R315">
        <v>2.2190000000000001E-3</v>
      </c>
      <c r="S315">
        <v>-1.3309E-2</v>
      </c>
      <c r="T315">
        <v>-4.9189999999999998E-3</v>
      </c>
      <c r="U315">
        <v>9.0860000000000003E-3</v>
      </c>
      <c r="V315">
        <v>-1.7763000000000001E-2</v>
      </c>
      <c r="W315">
        <v>-2.4818E-2</v>
      </c>
      <c r="X315">
        <v>-1.9786000000000002E-2</v>
      </c>
      <c r="Y315">
        <v>-1.2182E-2</v>
      </c>
      <c r="Z315">
        <v>-7.1209999999999997E-3</v>
      </c>
      <c r="AA315">
        <v>-3.1558000000000003E-2</v>
      </c>
      <c r="AB315">
        <v>-3.2913999999999999E-2</v>
      </c>
    </row>
    <row r="316" spans="1:28" x14ac:dyDescent="0.2">
      <c r="A316">
        <v>19580331</v>
      </c>
      <c r="B316">
        <v>1958</v>
      </c>
      <c r="C316">
        <v>3</v>
      </c>
      <c r="D316">
        <v>1.0219999999999999E-3</v>
      </c>
      <c r="E316">
        <v>5.9276000000000002E-2</v>
      </c>
      <c r="F316">
        <v>4.2480999999999998E-2</v>
      </c>
      <c r="G316">
        <v>4.7321000000000002E-2</v>
      </c>
      <c r="H316">
        <v>2.8884E-2</v>
      </c>
      <c r="I316">
        <v>8.2101999999999994E-2</v>
      </c>
      <c r="J316">
        <v>2.4330999999999998E-2</v>
      </c>
      <c r="K316">
        <v>3.2483999999999999E-2</v>
      </c>
      <c r="L316">
        <v>2.8361999999999998E-2</v>
      </c>
      <c r="M316">
        <v>3.6510000000000001E-2</v>
      </c>
      <c r="N316">
        <v>3.2015000000000002E-2</v>
      </c>
      <c r="O316">
        <v>4.6699999999999998E-2</v>
      </c>
      <c r="P316">
        <v>3.1331999999999999E-2</v>
      </c>
      <c r="Q316">
        <v>3.3537999999999998E-2</v>
      </c>
      <c r="R316">
        <v>4.2196999999999998E-2</v>
      </c>
      <c r="S316">
        <v>5.8028000000000003E-2</v>
      </c>
      <c r="T316">
        <v>2.7965E-2</v>
      </c>
      <c r="U316">
        <v>3.3076000000000001E-2</v>
      </c>
      <c r="V316">
        <v>1.9480999999999998E-2</v>
      </c>
      <c r="W316">
        <v>3.1786000000000002E-2</v>
      </c>
      <c r="X316">
        <v>3.1962999999999998E-2</v>
      </c>
      <c r="Y316">
        <v>3.2528000000000001E-2</v>
      </c>
      <c r="Z316">
        <v>3.8026999999999998E-2</v>
      </c>
      <c r="AA316">
        <v>2.9954000000000001E-2</v>
      </c>
      <c r="AB316">
        <v>1.3388000000000001E-2</v>
      </c>
    </row>
    <row r="317" spans="1:28" x14ac:dyDescent="0.2">
      <c r="A317">
        <v>19580430</v>
      </c>
      <c r="B317">
        <v>1958</v>
      </c>
      <c r="C317">
        <v>4</v>
      </c>
      <c r="D317">
        <v>4.0672E-2</v>
      </c>
      <c r="E317">
        <v>5.7791000000000002E-2</v>
      </c>
      <c r="F317">
        <v>2.3989E-2</v>
      </c>
      <c r="G317">
        <v>3.4493000000000003E-2</v>
      </c>
      <c r="H317">
        <v>3.7631999999999999E-2</v>
      </c>
      <c r="I317">
        <v>4.9582000000000001E-2</v>
      </c>
      <c r="J317">
        <v>3.8901999999999999E-2</v>
      </c>
      <c r="K317">
        <v>2.826E-2</v>
      </c>
      <c r="L317">
        <v>2.2608E-2</v>
      </c>
      <c r="M317">
        <v>4.9140999999999997E-2</v>
      </c>
      <c r="N317">
        <v>2.8642000000000001E-2</v>
      </c>
      <c r="O317">
        <v>8.7799999999999996E-3</v>
      </c>
      <c r="P317">
        <v>1.8761E-2</v>
      </c>
      <c r="Q317">
        <v>9.2870000000000001E-3</v>
      </c>
      <c r="R317">
        <v>4.7864999999999998E-2</v>
      </c>
      <c r="S317">
        <v>3.8082999999999999E-2</v>
      </c>
      <c r="T317">
        <v>2.6599999999999999E-2</v>
      </c>
      <c r="U317">
        <v>2.1617000000000001E-2</v>
      </c>
      <c r="V317">
        <v>3.3685E-2</v>
      </c>
      <c r="W317">
        <v>6.1537000000000001E-2</v>
      </c>
      <c r="X317">
        <v>3.0388999999999999E-2</v>
      </c>
      <c r="Y317">
        <v>3.4716999999999998E-2</v>
      </c>
      <c r="Z317">
        <v>3.2073999999999998E-2</v>
      </c>
      <c r="AA317">
        <v>2.6505000000000001E-2</v>
      </c>
      <c r="AB317">
        <v>6.2848000000000001E-2</v>
      </c>
    </row>
    <row r="318" spans="1:28" x14ac:dyDescent="0.2">
      <c r="A318">
        <v>19580529</v>
      </c>
      <c r="B318">
        <v>1958</v>
      </c>
      <c r="C318">
        <v>5</v>
      </c>
      <c r="D318">
        <v>8.1295999999999993E-2</v>
      </c>
      <c r="E318">
        <v>4.8663999999999999E-2</v>
      </c>
      <c r="F318">
        <v>4.2972000000000003E-2</v>
      </c>
      <c r="G318">
        <v>3.9988999999999997E-2</v>
      </c>
      <c r="H318">
        <v>4.0136999999999999E-2</v>
      </c>
      <c r="I318">
        <v>4.3782000000000001E-2</v>
      </c>
      <c r="J318">
        <v>3.4386E-2</v>
      </c>
      <c r="K318">
        <v>2.8670000000000001E-2</v>
      </c>
      <c r="L318">
        <v>3.8056E-2</v>
      </c>
      <c r="M318">
        <v>5.8337E-2</v>
      </c>
      <c r="N318">
        <v>6.8392999999999995E-2</v>
      </c>
      <c r="O318">
        <v>4.8351999999999999E-2</v>
      </c>
      <c r="P318">
        <v>3.9627000000000002E-2</v>
      </c>
      <c r="Q318">
        <v>4.4644000000000003E-2</v>
      </c>
      <c r="R318">
        <v>4.5038000000000002E-2</v>
      </c>
      <c r="S318">
        <v>2.6466E-2</v>
      </c>
      <c r="T318">
        <v>2.4285000000000001E-2</v>
      </c>
      <c r="U318">
        <v>2.8792999999999999E-2</v>
      </c>
      <c r="V318">
        <v>3.1129E-2</v>
      </c>
      <c r="W318">
        <v>2.2182E-2</v>
      </c>
      <c r="X318">
        <v>1.8397E-2</v>
      </c>
      <c r="Y318">
        <v>2.7698E-2</v>
      </c>
      <c r="Z318">
        <v>1.9019999999999999E-2</v>
      </c>
      <c r="AA318">
        <v>3.5007999999999997E-2</v>
      </c>
      <c r="AB318">
        <v>4.0537999999999998E-2</v>
      </c>
    </row>
    <row r="319" spans="1:28" x14ac:dyDescent="0.2">
      <c r="A319">
        <v>19580630</v>
      </c>
      <c r="B319">
        <v>1958</v>
      </c>
      <c r="C319">
        <v>6</v>
      </c>
      <c r="D319">
        <v>2.8975999999999998E-2</v>
      </c>
      <c r="E319">
        <v>1.8346000000000001E-2</v>
      </c>
      <c r="F319">
        <v>1.2525E-2</v>
      </c>
      <c r="G319">
        <v>3.2550000000000003E-2</v>
      </c>
      <c r="H319">
        <v>3.2770000000000001E-2</v>
      </c>
      <c r="I319">
        <v>2.552E-3</v>
      </c>
      <c r="J319">
        <v>4.9799999999999997E-2</v>
      </c>
      <c r="K319">
        <v>2.3206999999999998E-2</v>
      </c>
      <c r="L319">
        <v>3.4365E-2</v>
      </c>
      <c r="M319">
        <v>3.0256000000000002E-2</v>
      </c>
      <c r="N319">
        <v>2.9302999999999999E-2</v>
      </c>
      <c r="O319">
        <v>2.4480999999999999E-2</v>
      </c>
      <c r="P319">
        <v>2.8635000000000001E-2</v>
      </c>
      <c r="Q319">
        <v>1.738E-2</v>
      </c>
      <c r="R319">
        <v>3.4603000000000002E-2</v>
      </c>
      <c r="S319">
        <v>3.3654999999999997E-2</v>
      </c>
      <c r="T319">
        <v>2.0181999999999999E-2</v>
      </c>
      <c r="U319">
        <v>2.8497000000000001E-2</v>
      </c>
      <c r="V319">
        <v>3.0811000000000002E-2</v>
      </c>
      <c r="W319">
        <v>4.793E-2</v>
      </c>
      <c r="X319">
        <v>2.9527000000000001E-2</v>
      </c>
      <c r="Y319">
        <v>3.2709000000000002E-2</v>
      </c>
      <c r="Z319">
        <v>2.9692E-2</v>
      </c>
      <c r="AA319">
        <v>2.7806999999999998E-2</v>
      </c>
      <c r="AB319">
        <v>3.2275999999999999E-2</v>
      </c>
    </row>
    <row r="320" spans="1:28" x14ac:dyDescent="0.2">
      <c r="A320">
        <v>19580731</v>
      </c>
      <c r="B320">
        <v>1958</v>
      </c>
      <c r="C320">
        <v>7</v>
      </c>
      <c r="D320">
        <v>9.8549999999999992E-3</v>
      </c>
      <c r="E320">
        <v>7.1592000000000003E-2</v>
      </c>
      <c r="F320">
        <v>7.3731000000000005E-2</v>
      </c>
      <c r="G320">
        <v>6.2792000000000001E-2</v>
      </c>
      <c r="H320">
        <v>5.6328000000000003E-2</v>
      </c>
      <c r="I320">
        <v>2.2159000000000002E-2</v>
      </c>
      <c r="J320">
        <v>2.8139999999999998E-2</v>
      </c>
      <c r="K320">
        <v>5.5608999999999999E-2</v>
      </c>
      <c r="L320">
        <v>5.1029999999999999E-2</v>
      </c>
      <c r="M320">
        <v>7.3875999999999997E-2</v>
      </c>
      <c r="N320">
        <v>2.6495000000000001E-2</v>
      </c>
      <c r="O320">
        <v>5.7593999999999999E-2</v>
      </c>
      <c r="P320">
        <v>6.8758E-2</v>
      </c>
      <c r="Q320">
        <v>7.2202000000000002E-2</v>
      </c>
      <c r="R320">
        <v>0.10127</v>
      </c>
      <c r="S320">
        <v>3.7966E-2</v>
      </c>
      <c r="T320">
        <v>3.9938000000000001E-2</v>
      </c>
      <c r="U320">
        <v>5.6927999999999999E-2</v>
      </c>
      <c r="V320">
        <v>5.3803999999999998E-2</v>
      </c>
      <c r="W320">
        <v>9.6070000000000003E-2</v>
      </c>
      <c r="X320">
        <v>5.1008999999999999E-2</v>
      </c>
      <c r="Y320">
        <v>2.1902999999999999E-2</v>
      </c>
      <c r="Z320">
        <v>3.7990000000000003E-2</v>
      </c>
      <c r="AA320">
        <v>5.5329999999999997E-2</v>
      </c>
      <c r="AB320">
        <v>7.8279000000000001E-2</v>
      </c>
    </row>
    <row r="321" spans="1:28" x14ac:dyDescent="0.2">
      <c r="A321">
        <v>19580829</v>
      </c>
      <c r="B321">
        <v>1958</v>
      </c>
      <c r="C321">
        <v>8</v>
      </c>
      <c r="D321">
        <v>3.6520999999999998E-2</v>
      </c>
      <c r="E321">
        <v>-4.1359999999999999E-3</v>
      </c>
      <c r="F321">
        <v>3.2170999999999998E-2</v>
      </c>
      <c r="G321">
        <v>2.9371999999999999E-2</v>
      </c>
      <c r="H321">
        <v>4.5924E-2</v>
      </c>
      <c r="I321">
        <v>3.9986000000000001E-2</v>
      </c>
      <c r="J321">
        <v>3.3328999999999998E-2</v>
      </c>
      <c r="K321">
        <v>2.0767999999999998E-2</v>
      </c>
      <c r="L321">
        <v>2.1534000000000001E-2</v>
      </c>
      <c r="M321">
        <v>4.6512999999999999E-2</v>
      </c>
      <c r="N321">
        <v>4.0955999999999999E-2</v>
      </c>
      <c r="O321">
        <v>3.4492000000000002E-2</v>
      </c>
      <c r="P321">
        <v>3.3661999999999997E-2</v>
      </c>
      <c r="Q321">
        <v>4.1551999999999999E-2</v>
      </c>
      <c r="R321">
        <v>1.8703999999999998E-2</v>
      </c>
      <c r="S321">
        <v>3.2530000000000003E-2</v>
      </c>
      <c r="T321">
        <v>1.8905000000000002E-2</v>
      </c>
      <c r="U321">
        <v>3.9341000000000001E-2</v>
      </c>
      <c r="V321">
        <v>1.9210999999999999E-2</v>
      </c>
      <c r="W321">
        <v>3.8637999999999999E-2</v>
      </c>
      <c r="X321">
        <v>1.8133E-2</v>
      </c>
      <c r="Y321">
        <v>7.3619999999999996E-3</v>
      </c>
      <c r="Z321">
        <v>2.1906999999999999E-2</v>
      </c>
      <c r="AA321">
        <v>1.8239999999999999E-2</v>
      </c>
      <c r="AB321">
        <v>2.0733000000000001E-2</v>
      </c>
    </row>
    <row r="322" spans="1:28" x14ac:dyDescent="0.2">
      <c r="A322">
        <v>19580930</v>
      </c>
      <c r="B322">
        <v>1958</v>
      </c>
      <c r="C322">
        <v>9</v>
      </c>
      <c r="D322">
        <v>2.9988000000000001E-2</v>
      </c>
      <c r="E322">
        <v>9.5368999999999995E-2</v>
      </c>
      <c r="F322">
        <v>5.1302E-2</v>
      </c>
      <c r="G322">
        <v>3.8436999999999999E-2</v>
      </c>
      <c r="H322">
        <v>7.4150999999999995E-2</v>
      </c>
      <c r="I322">
        <v>1.9654000000000001E-2</v>
      </c>
      <c r="J322">
        <v>4.0350999999999998E-2</v>
      </c>
      <c r="K322">
        <v>4.4781000000000001E-2</v>
      </c>
      <c r="L322">
        <v>7.6569999999999999E-2</v>
      </c>
      <c r="M322">
        <v>8.9750999999999997E-2</v>
      </c>
      <c r="N322">
        <v>3.8434000000000003E-2</v>
      </c>
      <c r="O322">
        <v>2.1420999999999999E-2</v>
      </c>
      <c r="P322">
        <v>4.0425000000000003E-2</v>
      </c>
      <c r="Q322">
        <v>6.0255000000000003E-2</v>
      </c>
      <c r="R322">
        <v>9.5647999999999997E-2</v>
      </c>
      <c r="S322">
        <v>3.8872999999999998E-2</v>
      </c>
      <c r="T322">
        <v>3.7834E-2</v>
      </c>
      <c r="U322">
        <v>4.5506999999999999E-2</v>
      </c>
      <c r="V322">
        <v>6.7133999999999999E-2</v>
      </c>
      <c r="W322">
        <v>0.116128</v>
      </c>
      <c r="X322">
        <v>4.8443E-2</v>
      </c>
      <c r="Y322">
        <v>4.4788000000000001E-2</v>
      </c>
      <c r="Z322">
        <v>4.8585000000000003E-2</v>
      </c>
      <c r="AA322">
        <v>4.1917999999999997E-2</v>
      </c>
      <c r="AB322">
        <v>8.6156999999999997E-2</v>
      </c>
    </row>
    <row r="323" spans="1:28" x14ac:dyDescent="0.2">
      <c r="A323">
        <v>19581031</v>
      </c>
      <c r="B323">
        <v>1958</v>
      </c>
      <c r="C323">
        <v>10</v>
      </c>
      <c r="D323">
        <v>7.9358999999999999E-2</v>
      </c>
      <c r="E323">
        <v>6.2966999999999995E-2</v>
      </c>
      <c r="F323">
        <v>2.0747000000000002E-2</v>
      </c>
      <c r="G323">
        <v>1.8832000000000002E-2</v>
      </c>
      <c r="H323">
        <v>2.7116999999999999E-2</v>
      </c>
      <c r="I323">
        <v>0.105224</v>
      </c>
      <c r="J323">
        <v>5.1838000000000002E-2</v>
      </c>
      <c r="K323">
        <v>2.0766E-2</v>
      </c>
      <c r="L323">
        <v>4.3499000000000003E-2</v>
      </c>
      <c r="M323">
        <v>4.6567999999999998E-2</v>
      </c>
      <c r="N323">
        <v>9.8449999999999996E-3</v>
      </c>
      <c r="O323">
        <v>5.3873999999999998E-2</v>
      </c>
      <c r="P323">
        <v>2.6459E-2</v>
      </c>
      <c r="Q323">
        <v>3.8759000000000002E-2</v>
      </c>
      <c r="R323">
        <v>5.1728000000000003E-2</v>
      </c>
      <c r="S323">
        <v>3.2092000000000002E-2</v>
      </c>
      <c r="T323">
        <v>3.4790000000000001E-2</v>
      </c>
      <c r="U323">
        <v>3.0491000000000001E-2</v>
      </c>
      <c r="V323">
        <v>2.2839999999999999E-2</v>
      </c>
      <c r="W323">
        <v>4.7877000000000003E-2</v>
      </c>
      <c r="X323">
        <v>2.3317000000000001E-2</v>
      </c>
      <c r="Y323">
        <v>3.1969999999999998E-2</v>
      </c>
      <c r="Z323">
        <v>2.6974000000000001E-2</v>
      </c>
      <c r="AA323">
        <v>2.1056999999999999E-2</v>
      </c>
      <c r="AB323">
        <v>3.5388999999999997E-2</v>
      </c>
    </row>
    <row r="324" spans="1:28" x14ac:dyDescent="0.2">
      <c r="A324">
        <v>19581128</v>
      </c>
      <c r="B324">
        <v>1958</v>
      </c>
      <c r="C324">
        <v>11</v>
      </c>
      <c r="D324">
        <v>0.123922</v>
      </c>
      <c r="E324">
        <v>0.119654</v>
      </c>
      <c r="F324">
        <v>9.1064000000000006E-2</v>
      </c>
      <c r="G324">
        <v>4.1341999999999997E-2</v>
      </c>
      <c r="H324">
        <v>3.1751000000000001E-2</v>
      </c>
      <c r="I324">
        <v>5.0723999999999998E-2</v>
      </c>
      <c r="J324">
        <v>7.2673000000000001E-2</v>
      </c>
      <c r="K324">
        <v>4.5393999999999997E-2</v>
      </c>
      <c r="L324">
        <v>4.9341000000000003E-2</v>
      </c>
      <c r="M324">
        <v>5.2927000000000002E-2</v>
      </c>
      <c r="N324">
        <v>6.1767000000000002E-2</v>
      </c>
      <c r="O324">
        <v>1.6222E-2</v>
      </c>
      <c r="P324">
        <v>2.7292E-2</v>
      </c>
      <c r="Q324">
        <v>3.8006999999999999E-2</v>
      </c>
      <c r="R324">
        <v>3.0200000000000001E-2</v>
      </c>
      <c r="S324">
        <v>4.7606000000000002E-2</v>
      </c>
      <c r="T324">
        <v>3.8932000000000001E-2</v>
      </c>
      <c r="U324">
        <v>5.9517E-2</v>
      </c>
      <c r="V324">
        <v>4.6868E-2</v>
      </c>
      <c r="W324">
        <v>4.9445000000000003E-2</v>
      </c>
      <c r="X324">
        <v>3.2786000000000003E-2</v>
      </c>
      <c r="Y324">
        <v>2.7531E-2</v>
      </c>
      <c r="Z324">
        <v>1.3308E-2</v>
      </c>
      <c r="AA324">
        <v>2.6568999999999999E-2</v>
      </c>
      <c r="AB324">
        <v>3.2542000000000001E-2</v>
      </c>
    </row>
    <row r="325" spans="1:28" x14ac:dyDescent="0.2">
      <c r="A325">
        <v>19581231</v>
      </c>
      <c r="B325">
        <v>1958</v>
      </c>
      <c r="C325">
        <v>12</v>
      </c>
      <c r="D325">
        <v>5.0845000000000001E-2</v>
      </c>
      <c r="E325">
        <v>-7.045E-3</v>
      </c>
      <c r="F325">
        <v>2.9672E-2</v>
      </c>
      <c r="G325">
        <v>4.1639000000000002E-2</v>
      </c>
      <c r="H325">
        <v>3.4882999999999997E-2</v>
      </c>
      <c r="I325">
        <v>5.8372E-2</v>
      </c>
      <c r="J325">
        <v>6.2475000000000003E-2</v>
      </c>
      <c r="K325">
        <v>2.7734999999999999E-2</v>
      </c>
      <c r="L325">
        <v>4.0534000000000001E-2</v>
      </c>
      <c r="M325">
        <v>3.6797999999999997E-2</v>
      </c>
      <c r="N325">
        <v>7.417E-3</v>
      </c>
      <c r="O325">
        <v>3.0557999999999998E-2</v>
      </c>
      <c r="P325">
        <v>2.2911999999999998E-2</v>
      </c>
      <c r="Q325">
        <v>3.7260000000000001E-2</v>
      </c>
      <c r="R325">
        <v>4.2705E-2</v>
      </c>
      <c r="S325">
        <v>3.4875000000000003E-2</v>
      </c>
      <c r="T325">
        <v>5.0618999999999997E-2</v>
      </c>
      <c r="U325">
        <v>5.4559999999999997E-2</v>
      </c>
      <c r="V325">
        <v>3.6797000000000003E-2</v>
      </c>
      <c r="W325">
        <v>2.1481E-2</v>
      </c>
      <c r="X325">
        <v>5.2811999999999998E-2</v>
      </c>
      <c r="Y325">
        <v>4.8113000000000003E-2</v>
      </c>
      <c r="Z325">
        <v>9.3675999999999995E-2</v>
      </c>
      <c r="AA325">
        <v>2.6724000000000001E-2</v>
      </c>
      <c r="AB325">
        <v>4.8259999999999997E-2</v>
      </c>
    </row>
    <row r="326" spans="1:28" x14ac:dyDescent="0.2">
      <c r="A326">
        <v>19590130</v>
      </c>
      <c r="B326">
        <v>1959</v>
      </c>
      <c r="C326">
        <v>1</v>
      </c>
      <c r="D326">
        <v>8.7049000000000001E-2</v>
      </c>
      <c r="E326">
        <v>1.7129999999999999E-2</v>
      </c>
      <c r="F326">
        <v>0.14943500000000001</v>
      </c>
      <c r="G326">
        <v>5.7910000000000003E-2</v>
      </c>
      <c r="H326">
        <v>7.2485999999999995E-2</v>
      </c>
      <c r="I326">
        <v>4.0008000000000002E-2</v>
      </c>
      <c r="J326">
        <v>3.1988000000000003E-2</v>
      </c>
      <c r="K326">
        <v>3.4304000000000001E-2</v>
      </c>
      <c r="L326">
        <v>7.1587999999999999E-2</v>
      </c>
      <c r="M326">
        <v>5.3936999999999999E-2</v>
      </c>
      <c r="N326">
        <v>3.483E-2</v>
      </c>
      <c r="O326">
        <v>1.4892000000000001E-2</v>
      </c>
      <c r="P326">
        <v>5.3192999999999997E-2</v>
      </c>
      <c r="Q326">
        <v>4.9792999999999997E-2</v>
      </c>
      <c r="R326">
        <v>4.0422E-2</v>
      </c>
      <c r="S326">
        <v>3.9230000000000003E-3</v>
      </c>
      <c r="T326">
        <v>2.0823999999999999E-2</v>
      </c>
      <c r="U326">
        <v>2.5479000000000002E-2</v>
      </c>
      <c r="V326">
        <v>5.7819000000000002E-2</v>
      </c>
      <c r="W326">
        <v>1.9646E-2</v>
      </c>
      <c r="X326">
        <v>-1.0936E-2</v>
      </c>
      <c r="Y326">
        <v>1.0717000000000001E-2</v>
      </c>
      <c r="Z326">
        <v>2.8888E-2</v>
      </c>
      <c r="AA326">
        <v>2.0046000000000001E-2</v>
      </c>
      <c r="AB326">
        <v>5.3692999999999998E-2</v>
      </c>
    </row>
    <row r="327" spans="1:28" x14ac:dyDescent="0.2">
      <c r="A327">
        <v>19590227</v>
      </c>
      <c r="B327">
        <v>1959</v>
      </c>
      <c r="C327">
        <v>2</v>
      </c>
      <c r="D327">
        <v>2.2959E-2</v>
      </c>
      <c r="E327">
        <v>4.8453999999999997E-2</v>
      </c>
      <c r="F327">
        <v>2.6033000000000001E-2</v>
      </c>
      <c r="G327">
        <v>4.6802000000000003E-2</v>
      </c>
      <c r="H327">
        <v>2.8316999999999998E-2</v>
      </c>
      <c r="I327">
        <v>5.6895000000000001E-2</v>
      </c>
      <c r="J327">
        <v>1.8260999999999999E-2</v>
      </c>
      <c r="K327">
        <v>3.7234000000000003E-2</v>
      </c>
      <c r="L327">
        <v>2.1755E-2</v>
      </c>
      <c r="M327">
        <v>3.2472000000000001E-2</v>
      </c>
      <c r="N327">
        <v>2.2053E-2</v>
      </c>
      <c r="O327">
        <v>4.3645999999999997E-2</v>
      </c>
      <c r="P327">
        <v>3.9022000000000001E-2</v>
      </c>
      <c r="Q327">
        <v>6.0415000000000003E-2</v>
      </c>
      <c r="R327">
        <v>-7.4720000000000003E-3</v>
      </c>
      <c r="S327">
        <v>3.5802E-2</v>
      </c>
      <c r="T327">
        <v>2.7546000000000001E-2</v>
      </c>
      <c r="U327">
        <v>3.1773000000000003E-2</v>
      </c>
      <c r="V327">
        <v>2.5679E-2</v>
      </c>
      <c r="W327">
        <v>1.2116E-2</v>
      </c>
      <c r="X327">
        <v>7.5659999999999998E-3</v>
      </c>
      <c r="Y327">
        <v>-3.8999999999999998E-3</v>
      </c>
      <c r="Z327">
        <v>6.8970000000000004E-3</v>
      </c>
      <c r="AA327">
        <v>1.2588E-2</v>
      </c>
      <c r="AB327">
        <v>2.1326999999999999E-2</v>
      </c>
    </row>
    <row r="328" spans="1:28" x14ac:dyDescent="0.2">
      <c r="A328">
        <v>19590331</v>
      </c>
      <c r="B328">
        <v>1959</v>
      </c>
      <c r="C328">
        <v>3</v>
      </c>
      <c r="D328">
        <v>1.6587999999999999E-2</v>
      </c>
      <c r="E328">
        <v>-3.4547000000000001E-2</v>
      </c>
      <c r="F328">
        <v>4.8299999999999998E-4</v>
      </c>
      <c r="G328">
        <v>1.5506000000000001E-2</v>
      </c>
      <c r="H328">
        <v>3.2627000000000003E-2</v>
      </c>
      <c r="I328">
        <v>2.7671999999999999E-2</v>
      </c>
      <c r="J328">
        <v>1.5328E-2</v>
      </c>
      <c r="K328">
        <v>2.0183E-2</v>
      </c>
      <c r="L328">
        <v>1.8338E-2</v>
      </c>
      <c r="M328">
        <v>3.2972000000000001E-2</v>
      </c>
      <c r="N328">
        <v>9.1999999999999998E-3</v>
      </c>
      <c r="O328">
        <v>2.1656999999999999E-2</v>
      </c>
      <c r="P328">
        <v>2.0598000000000002E-2</v>
      </c>
      <c r="Q328">
        <v>-1.2572E-2</v>
      </c>
      <c r="R328">
        <v>7.5760000000000003E-3</v>
      </c>
      <c r="S328">
        <v>9.1079999999999998E-3</v>
      </c>
      <c r="T328">
        <v>-3.2910000000000001E-3</v>
      </c>
      <c r="U328">
        <v>3.6590999999999999E-2</v>
      </c>
      <c r="V328">
        <v>1.0832E-2</v>
      </c>
      <c r="W328">
        <v>-1.5174999999999999E-2</v>
      </c>
      <c r="X328">
        <v>6.7299999999999999E-3</v>
      </c>
      <c r="Y328">
        <v>9.9120000000000007E-3</v>
      </c>
      <c r="Z328">
        <v>-1.4645E-2</v>
      </c>
      <c r="AA328">
        <v>1.6288E-2</v>
      </c>
      <c r="AB328">
        <v>-3.3990000000000001E-3</v>
      </c>
    </row>
    <row r="329" spans="1:28" x14ac:dyDescent="0.2">
      <c r="A329">
        <v>19590430</v>
      </c>
      <c r="B329">
        <v>1959</v>
      </c>
      <c r="C329">
        <v>4</v>
      </c>
      <c r="D329">
        <v>-1.2511E-2</v>
      </c>
      <c r="E329">
        <v>6.3885999999999998E-2</v>
      </c>
      <c r="F329">
        <v>-1.0521000000000001E-2</v>
      </c>
      <c r="G329">
        <v>1.9064000000000001E-2</v>
      </c>
      <c r="H329">
        <v>3.8619000000000001E-2</v>
      </c>
      <c r="I329">
        <v>3.8302999999999997E-2</v>
      </c>
      <c r="J329">
        <v>6.1731000000000001E-2</v>
      </c>
      <c r="K329">
        <v>2.8384E-2</v>
      </c>
      <c r="L329">
        <v>2.8478E-2</v>
      </c>
      <c r="M329">
        <v>1.6879000000000002E-2</v>
      </c>
      <c r="N329">
        <v>2.1585E-2</v>
      </c>
      <c r="O329">
        <v>4.9534000000000002E-2</v>
      </c>
      <c r="P329">
        <v>2.6547000000000001E-2</v>
      </c>
      <c r="Q329">
        <v>5.5154000000000002E-2</v>
      </c>
      <c r="R329">
        <v>2.7067000000000001E-2</v>
      </c>
      <c r="S329">
        <v>4.1582000000000001E-2</v>
      </c>
      <c r="T329">
        <v>2.6804999999999999E-2</v>
      </c>
      <c r="U329">
        <v>3.2370999999999997E-2</v>
      </c>
      <c r="V329">
        <v>4.3525000000000001E-2</v>
      </c>
      <c r="W329">
        <v>4.138E-2</v>
      </c>
      <c r="X329">
        <v>5.8088000000000001E-2</v>
      </c>
      <c r="Y329">
        <v>1.0109E-2</v>
      </c>
      <c r="Z329">
        <v>2.7370999999999999E-2</v>
      </c>
      <c r="AA329">
        <v>2.9610000000000001E-2</v>
      </c>
      <c r="AB329">
        <v>3.3422E-2</v>
      </c>
    </row>
    <row r="330" spans="1:28" x14ac:dyDescent="0.2">
      <c r="A330">
        <v>19590529</v>
      </c>
      <c r="B330">
        <v>1959</v>
      </c>
      <c r="C330">
        <v>5</v>
      </c>
      <c r="D330">
        <v>-4.9069999999999999E-3</v>
      </c>
      <c r="E330">
        <v>5.0439999999999999E-3</v>
      </c>
      <c r="F330">
        <v>3.2302999999999998E-2</v>
      </c>
      <c r="G330">
        <v>2.2422000000000001E-2</v>
      </c>
      <c r="H330">
        <v>1.7765E-2</v>
      </c>
      <c r="I330">
        <v>-7.9509999999999997E-3</v>
      </c>
      <c r="J330">
        <v>-5.3740000000000003E-3</v>
      </c>
      <c r="K330">
        <v>3.8180000000000002E-3</v>
      </c>
      <c r="L330">
        <v>-2.5846999999999998E-2</v>
      </c>
      <c r="M330">
        <v>1.4002000000000001E-2</v>
      </c>
      <c r="N330">
        <v>-9.01E-4</v>
      </c>
      <c r="O330">
        <v>3.192E-3</v>
      </c>
      <c r="P330">
        <v>-6.5970000000000004E-3</v>
      </c>
      <c r="Q330">
        <v>2.5765E-2</v>
      </c>
      <c r="R330">
        <v>4.0229000000000001E-2</v>
      </c>
      <c r="S330">
        <v>-5.1749999999999999E-3</v>
      </c>
      <c r="T330">
        <v>1.3811E-2</v>
      </c>
      <c r="U330">
        <v>2.7255999999999999E-2</v>
      </c>
      <c r="V330">
        <v>1.8308000000000001E-2</v>
      </c>
      <c r="W330">
        <v>1.3572000000000001E-2</v>
      </c>
      <c r="X330">
        <v>3.4056000000000003E-2</v>
      </c>
      <c r="Y330">
        <v>3.882E-3</v>
      </c>
      <c r="Z330">
        <v>1.3285999999999999E-2</v>
      </c>
      <c r="AA330">
        <v>1.0580000000000001E-2</v>
      </c>
      <c r="AB330">
        <v>4.7076E-2</v>
      </c>
    </row>
    <row r="331" spans="1:28" x14ac:dyDescent="0.2">
      <c r="A331">
        <v>19590630</v>
      </c>
      <c r="B331">
        <v>1959</v>
      </c>
      <c r="C331">
        <v>6</v>
      </c>
      <c r="D331">
        <v>-1.8608E-2</v>
      </c>
      <c r="E331">
        <v>1.1766E-2</v>
      </c>
      <c r="F331">
        <v>-9.1229999999999992E-3</v>
      </c>
      <c r="G331">
        <v>1.0834999999999999E-2</v>
      </c>
      <c r="H331">
        <v>1.056E-2</v>
      </c>
      <c r="I331">
        <v>5.3300000000000005E-4</v>
      </c>
      <c r="J331">
        <v>1.7271000000000002E-2</v>
      </c>
      <c r="K331">
        <v>3.9789999999999999E-3</v>
      </c>
      <c r="L331">
        <v>9.9579999999999998E-3</v>
      </c>
      <c r="M331">
        <v>4.5539999999999999E-3</v>
      </c>
      <c r="N331">
        <v>2.2787000000000002E-2</v>
      </c>
      <c r="O331">
        <v>7.4999999999999997E-3</v>
      </c>
      <c r="P331">
        <v>1.0155000000000001E-2</v>
      </c>
      <c r="Q331">
        <v>4.9890000000000004E-3</v>
      </c>
      <c r="R331">
        <v>4.3040000000000002E-2</v>
      </c>
      <c r="S331">
        <v>1.2459E-2</v>
      </c>
      <c r="T331">
        <v>1.1416000000000001E-2</v>
      </c>
      <c r="U331">
        <v>2.0976000000000002E-2</v>
      </c>
      <c r="V331">
        <v>-1.46E-4</v>
      </c>
      <c r="W331">
        <v>2.2239999999999999E-2</v>
      </c>
      <c r="X331">
        <v>-4.8339999999999998E-3</v>
      </c>
      <c r="Y331">
        <v>6.9300000000000004E-4</v>
      </c>
      <c r="Z331">
        <v>-2.5630000000000002E-3</v>
      </c>
      <c r="AA331">
        <v>2.52E-4</v>
      </c>
      <c r="AB331">
        <v>2.6185E-2</v>
      </c>
    </row>
    <row r="332" spans="1:28" x14ac:dyDescent="0.2">
      <c r="A332">
        <v>19590731</v>
      </c>
      <c r="B332">
        <v>1959</v>
      </c>
      <c r="C332">
        <v>7</v>
      </c>
      <c r="D332">
        <v>3.5499999999999997E-2</v>
      </c>
      <c r="E332">
        <v>-1.0111E-2</v>
      </c>
      <c r="F332">
        <v>4.2471000000000002E-2</v>
      </c>
      <c r="G332">
        <v>1.2309E-2</v>
      </c>
      <c r="H332">
        <v>3.5161999999999999E-2</v>
      </c>
      <c r="I332">
        <v>4.9903999999999997E-2</v>
      </c>
      <c r="J332">
        <v>1.7502E-2</v>
      </c>
      <c r="K332">
        <v>3.5681999999999998E-2</v>
      </c>
      <c r="L332">
        <v>3.4483E-2</v>
      </c>
      <c r="M332">
        <v>4.6165999999999999E-2</v>
      </c>
      <c r="N332">
        <v>2.3181E-2</v>
      </c>
      <c r="O332">
        <v>2.0607E-2</v>
      </c>
      <c r="P332">
        <v>4.3166999999999997E-2</v>
      </c>
      <c r="Q332">
        <v>3.6319999999999998E-2</v>
      </c>
      <c r="R332">
        <v>4.1731999999999998E-2</v>
      </c>
      <c r="S332">
        <v>2.6010999999999999E-2</v>
      </c>
      <c r="T332">
        <v>2.1673000000000001E-2</v>
      </c>
      <c r="U332">
        <v>1.2553999999999999E-2</v>
      </c>
      <c r="V332">
        <v>3.4917999999999998E-2</v>
      </c>
      <c r="W332">
        <v>3.1063E-2</v>
      </c>
      <c r="X332">
        <v>4.2776000000000002E-2</v>
      </c>
      <c r="Y332">
        <v>3.6052000000000001E-2</v>
      </c>
      <c r="Z332">
        <v>1.8016999999999998E-2</v>
      </c>
      <c r="AA332">
        <v>3.3117000000000001E-2</v>
      </c>
      <c r="AB332">
        <v>7.9039999999999996E-3</v>
      </c>
    </row>
    <row r="333" spans="1:28" x14ac:dyDescent="0.2">
      <c r="A333">
        <v>19590831</v>
      </c>
      <c r="B333">
        <v>1959</v>
      </c>
      <c r="C333">
        <v>8</v>
      </c>
      <c r="D333">
        <v>1.6655E-2</v>
      </c>
      <c r="E333">
        <v>5.8134999999999999E-2</v>
      </c>
      <c r="F333">
        <v>-1.4057999999999999E-2</v>
      </c>
      <c r="G333">
        <v>-1.4239999999999999E-3</v>
      </c>
      <c r="H333">
        <v>-1.6920000000000001E-2</v>
      </c>
      <c r="I333">
        <v>-2.9318E-2</v>
      </c>
      <c r="J333">
        <v>-1.7326999999999999E-2</v>
      </c>
      <c r="K333">
        <v>-4.176E-3</v>
      </c>
      <c r="L333">
        <v>-2.7802E-2</v>
      </c>
      <c r="M333">
        <v>-1.196E-2</v>
      </c>
      <c r="N333">
        <v>-1.3438E-2</v>
      </c>
      <c r="O333">
        <v>7.3480000000000004E-3</v>
      </c>
      <c r="P333">
        <v>-5.7629999999999999E-3</v>
      </c>
      <c r="Q333">
        <v>-1.1753E-2</v>
      </c>
      <c r="R333">
        <v>-2.9694999999999999E-2</v>
      </c>
      <c r="S333">
        <v>-2.4292999999999999E-2</v>
      </c>
      <c r="T333">
        <v>-6.0150000000000004E-3</v>
      </c>
      <c r="U333">
        <v>-2.5212999999999999E-2</v>
      </c>
      <c r="V333">
        <v>-2.6873999999999999E-2</v>
      </c>
      <c r="W333">
        <v>-1.6552999999999998E-2</v>
      </c>
      <c r="X333">
        <v>-1.3802999999999999E-2</v>
      </c>
      <c r="Y333">
        <v>-1.4142E-2</v>
      </c>
      <c r="Z333">
        <v>2.7039999999999998E-3</v>
      </c>
      <c r="AA333">
        <v>-2.9225999999999999E-2</v>
      </c>
      <c r="AB333">
        <v>2.5756999999999999E-2</v>
      </c>
    </row>
    <row r="334" spans="1:28" x14ac:dyDescent="0.2">
      <c r="A334">
        <v>19590930</v>
      </c>
      <c r="B334">
        <v>1959</v>
      </c>
      <c r="C334">
        <v>9</v>
      </c>
      <c r="D334">
        <v>-9.4141000000000002E-2</v>
      </c>
      <c r="E334">
        <v>-3.0835999999999999E-2</v>
      </c>
      <c r="F334">
        <v>-5.3220000000000003E-2</v>
      </c>
      <c r="G334">
        <v>-1.6022000000000002E-2</v>
      </c>
      <c r="H334">
        <v>-5.9403999999999998E-2</v>
      </c>
      <c r="I334">
        <v>-4.8166E-2</v>
      </c>
      <c r="J334">
        <v>-4.9424000000000003E-2</v>
      </c>
      <c r="K334">
        <v>-2.7161999999999999E-2</v>
      </c>
      <c r="L334">
        <v>-5.3338999999999998E-2</v>
      </c>
      <c r="M334">
        <v>-4.0181000000000001E-2</v>
      </c>
      <c r="N334">
        <v>-4.6509000000000002E-2</v>
      </c>
      <c r="O334">
        <v>-2.4169E-2</v>
      </c>
      <c r="P334">
        <v>-5.3912000000000002E-2</v>
      </c>
      <c r="Q334">
        <v>-5.1478000000000003E-2</v>
      </c>
      <c r="R334">
        <v>-2.4549999999999999E-2</v>
      </c>
      <c r="S334">
        <v>-5.9025000000000001E-2</v>
      </c>
      <c r="T334">
        <v>-4.7098000000000001E-2</v>
      </c>
      <c r="U334">
        <v>-5.0181000000000003E-2</v>
      </c>
      <c r="V334">
        <v>-3.8170999999999997E-2</v>
      </c>
      <c r="W334">
        <v>-3.8618E-2</v>
      </c>
      <c r="X334">
        <v>-4.6288000000000003E-2</v>
      </c>
      <c r="Y334">
        <v>-4.9586999999999999E-2</v>
      </c>
      <c r="Z334">
        <v>-2.4261000000000001E-2</v>
      </c>
      <c r="AA334">
        <v>-6.3652E-2</v>
      </c>
      <c r="AB334">
        <v>-5.6151E-2</v>
      </c>
    </row>
    <row r="335" spans="1:28" x14ac:dyDescent="0.2">
      <c r="A335">
        <v>19591030</v>
      </c>
      <c r="B335">
        <v>1959</v>
      </c>
      <c r="C335">
        <v>10</v>
      </c>
      <c r="D335">
        <v>1.6792999999999999E-2</v>
      </c>
      <c r="E335">
        <v>7.9136999999999999E-2</v>
      </c>
      <c r="F335">
        <v>6.3049999999999998E-3</v>
      </c>
      <c r="G335">
        <v>1.6219999999999998E-2</v>
      </c>
      <c r="H335">
        <v>1.0277E-2</v>
      </c>
      <c r="I335">
        <v>3.5305000000000003E-2</v>
      </c>
      <c r="J335">
        <v>2.6072999999999999E-2</v>
      </c>
      <c r="K335">
        <v>3.0745999999999999E-2</v>
      </c>
      <c r="L335">
        <v>2.1759000000000001E-2</v>
      </c>
      <c r="M335">
        <v>1.704E-2</v>
      </c>
      <c r="N335">
        <v>4.2902999999999997E-2</v>
      </c>
      <c r="O335">
        <v>5.2255000000000003E-2</v>
      </c>
      <c r="P335">
        <v>1.9886000000000001E-2</v>
      </c>
      <c r="Q335">
        <v>2.3519000000000002E-2</v>
      </c>
      <c r="R335">
        <v>-1.3169999999999999E-2</v>
      </c>
      <c r="S335">
        <v>3.4817000000000001E-2</v>
      </c>
      <c r="T335">
        <v>3.8734999999999999E-2</v>
      </c>
      <c r="U335">
        <v>2.4958999999999999E-2</v>
      </c>
      <c r="V335">
        <v>3.0107999999999999E-2</v>
      </c>
      <c r="W335">
        <v>-4.8640000000000003E-3</v>
      </c>
      <c r="X335">
        <v>1.1061E-2</v>
      </c>
      <c r="Y335">
        <v>1.5982E-2</v>
      </c>
      <c r="Z335">
        <v>1.3757E-2</v>
      </c>
      <c r="AA335">
        <v>-2.33E-4</v>
      </c>
      <c r="AB335">
        <v>-7.5399999999999998E-3</v>
      </c>
    </row>
    <row r="336" spans="1:28" x14ac:dyDescent="0.2">
      <c r="A336">
        <v>19591130</v>
      </c>
      <c r="B336">
        <v>1959</v>
      </c>
      <c r="C336">
        <v>11</v>
      </c>
      <c r="D336">
        <v>-1.6983000000000002E-2</v>
      </c>
      <c r="E336">
        <v>1.5180000000000001E-2</v>
      </c>
      <c r="F336">
        <v>-1.0192E-2</v>
      </c>
      <c r="G336">
        <v>1.7559000000000002E-2</v>
      </c>
      <c r="H336">
        <v>4.483E-3</v>
      </c>
      <c r="I336">
        <v>6.1003000000000002E-2</v>
      </c>
      <c r="J336">
        <v>-2.0740999999999999E-2</v>
      </c>
      <c r="K336">
        <v>1.7680999999999999E-2</v>
      </c>
      <c r="L336">
        <v>2.8308E-2</v>
      </c>
      <c r="M336">
        <v>1.8603999999999999E-2</v>
      </c>
      <c r="N336">
        <v>3.3030999999999998E-2</v>
      </c>
      <c r="O336">
        <v>6.3509999999999999E-3</v>
      </c>
      <c r="P336">
        <v>5.7540000000000004E-3</v>
      </c>
      <c r="Q336">
        <v>2.5146000000000002E-2</v>
      </c>
      <c r="R336">
        <v>-8.6949999999999996E-3</v>
      </c>
      <c r="S336">
        <v>3.6814E-2</v>
      </c>
      <c r="T336">
        <v>2.6556E-2</v>
      </c>
      <c r="U336">
        <v>3.1876000000000002E-2</v>
      </c>
      <c r="V336">
        <v>-7.1089999999999999E-3</v>
      </c>
      <c r="W336">
        <v>9.1229999999999992E-3</v>
      </c>
      <c r="X336">
        <v>4.1661999999999998E-2</v>
      </c>
      <c r="Y336">
        <v>-4.1729999999999996E-3</v>
      </c>
      <c r="Z336">
        <v>-7.0210000000000003E-3</v>
      </c>
      <c r="AA336">
        <v>-1.9241000000000001E-2</v>
      </c>
      <c r="AB336" s="1">
        <v>-3.9999999999999998E-6</v>
      </c>
    </row>
    <row r="337" spans="1:28" x14ac:dyDescent="0.2">
      <c r="A337">
        <v>19591231</v>
      </c>
      <c r="B337">
        <v>1959</v>
      </c>
      <c r="C337">
        <v>12</v>
      </c>
      <c r="D337">
        <v>5.2417999999999999E-2</v>
      </c>
      <c r="E337">
        <v>5.6784000000000001E-2</v>
      </c>
      <c r="F337">
        <v>2.06E-2</v>
      </c>
      <c r="G337">
        <v>3.0504E-2</v>
      </c>
      <c r="H337">
        <v>2.2282E-2</v>
      </c>
      <c r="I337">
        <v>8.4410000000000006E-3</v>
      </c>
      <c r="J337">
        <v>5.1839000000000003E-2</v>
      </c>
      <c r="K337">
        <v>1.4676E-2</v>
      </c>
      <c r="L337">
        <v>4.2381000000000002E-2</v>
      </c>
      <c r="M337">
        <v>9.3080000000000003E-3</v>
      </c>
      <c r="N337">
        <v>3.1677999999999998E-2</v>
      </c>
      <c r="O337">
        <v>9.639E-3</v>
      </c>
      <c r="P337">
        <v>2.3099000000000001E-2</v>
      </c>
      <c r="Q337">
        <v>2.5204000000000001E-2</v>
      </c>
      <c r="R337">
        <v>1.4354E-2</v>
      </c>
      <c r="S337">
        <v>1.0037000000000001E-2</v>
      </c>
      <c r="T337">
        <v>1.1566999999999999E-2</v>
      </c>
      <c r="U337">
        <v>-2.366E-3</v>
      </c>
      <c r="V337">
        <v>3.2286000000000002E-2</v>
      </c>
      <c r="W337">
        <v>2.1691999999999999E-2</v>
      </c>
      <c r="X337">
        <v>3.1474000000000002E-2</v>
      </c>
      <c r="Y337">
        <v>3.2100999999999998E-2</v>
      </c>
      <c r="Z337">
        <v>2.7463999999999999E-2</v>
      </c>
      <c r="AA337">
        <v>3.9924000000000001E-2</v>
      </c>
      <c r="AB337">
        <v>6.2723000000000001E-2</v>
      </c>
    </row>
    <row r="338" spans="1:28" x14ac:dyDescent="0.2">
      <c r="A338">
        <v>19600129</v>
      </c>
      <c r="B338">
        <v>1960</v>
      </c>
      <c r="C338">
        <v>1</v>
      </c>
      <c r="D338">
        <v>-6.0833999999999999E-2</v>
      </c>
      <c r="E338">
        <v>-5.9150000000000001E-2</v>
      </c>
      <c r="F338">
        <v>-1.0501999999999999E-2</v>
      </c>
      <c r="G338">
        <v>-1.4474000000000001E-2</v>
      </c>
      <c r="H338">
        <v>-7.4209999999999996E-3</v>
      </c>
      <c r="I338">
        <v>-4.8437000000000001E-2</v>
      </c>
      <c r="J338">
        <v>-5.9956000000000002E-2</v>
      </c>
      <c r="K338">
        <v>-2.3886999999999999E-2</v>
      </c>
      <c r="L338">
        <v>-3.4624000000000002E-2</v>
      </c>
      <c r="M338">
        <v>-4.3054000000000002E-2</v>
      </c>
      <c r="N338">
        <v>-6.5869999999999998E-2</v>
      </c>
      <c r="O338">
        <v>-4.0703999999999997E-2</v>
      </c>
      <c r="P338">
        <v>-6.0514999999999999E-2</v>
      </c>
      <c r="Q338">
        <v>-4.1903999999999997E-2</v>
      </c>
      <c r="R338">
        <v>-4.7403000000000001E-2</v>
      </c>
      <c r="S338">
        <v>-5.7646000000000003E-2</v>
      </c>
      <c r="T338">
        <v>-4.2736000000000003E-2</v>
      </c>
      <c r="U338">
        <v>-6.2824000000000005E-2</v>
      </c>
      <c r="V338">
        <v>-7.4441999999999994E-2</v>
      </c>
      <c r="W338">
        <v>-2.6081E-2</v>
      </c>
      <c r="X338">
        <v>-9.1122999999999996E-2</v>
      </c>
      <c r="Y338">
        <v>-6.9811999999999999E-2</v>
      </c>
      <c r="Z338">
        <v>-1.5977999999999999E-2</v>
      </c>
      <c r="AA338">
        <v>-5.8305999999999997E-2</v>
      </c>
      <c r="AB338">
        <v>-7.5426999999999994E-2</v>
      </c>
    </row>
    <row r="339" spans="1:28" x14ac:dyDescent="0.2">
      <c r="A339">
        <v>19600229</v>
      </c>
      <c r="B339">
        <v>1960</v>
      </c>
      <c r="C339">
        <v>2</v>
      </c>
      <c r="D339">
        <v>-1.941E-2</v>
      </c>
      <c r="E339">
        <v>3.9465E-2</v>
      </c>
      <c r="F339">
        <v>-7.5770000000000004E-3</v>
      </c>
      <c r="G339">
        <v>-8.9899999999999997E-3</v>
      </c>
      <c r="H339">
        <v>1.1535E-2</v>
      </c>
      <c r="I339">
        <v>1.7283E-2</v>
      </c>
      <c r="J339">
        <v>2.1735999999999998E-2</v>
      </c>
      <c r="K339">
        <v>1.4765E-2</v>
      </c>
      <c r="L339">
        <v>2.8875999999999999E-2</v>
      </c>
      <c r="M339">
        <v>5.1960000000000001E-3</v>
      </c>
      <c r="N339">
        <v>1.7912999999999998E-2</v>
      </c>
      <c r="O339">
        <v>1.302E-3</v>
      </c>
      <c r="P339">
        <v>7.3300000000000004E-4</v>
      </c>
      <c r="Q339">
        <v>9.4610000000000007E-3</v>
      </c>
      <c r="R339">
        <v>-9.58E-3</v>
      </c>
      <c r="S339">
        <v>2.0969000000000002E-2</v>
      </c>
      <c r="T339">
        <v>1.6882999999999999E-2</v>
      </c>
      <c r="U339">
        <v>2.2727000000000001E-2</v>
      </c>
      <c r="V339">
        <v>7.3660000000000002E-3</v>
      </c>
      <c r="W339">
        <v>1.6208E-2</v>
      </c>
      <c r="X339">
        <v>2.3182000000000001E-2</v>
      </c>
      <c r="Y339">
        <v>-1.4318000000000001E-2</v>
      </c>
      <c r="Z339">
        <v>5.0335999999999999E-2</v>
      </c>
      <c r="AA339">
        <v>-2.6727000000000001E-2</v>
      </c>
      <c r="AB339">
        <v>-3.9503999999999997E-2</v>
      </c>
    </row>
    <row r="340" spans="1:28" x14ac:dyDescent="0.2">
      <c r="A340">
        <v>19600331</v>
      </c>
      <c r="B340">
        <v>1960</v>
      </c>
      <c r="C340">
        <v>3</v>
      </c>
      <c r="D340">
        <v>-2.6009999999999998E-2</v>
      </c>
      <c r="E340">
        <v>-5.1421000000000001E-2</v>
      </c>
      <c r="F340">
        <v>-3.5748000000000002E-2</v>
      </c>
      <c r="G340">
        <v>-1.5347E-2</v>
      </c>
      <c r="H340">
        <v>-2.5957999999999998E-2</v>
      </c>
      <c r="I340">
        <v>-3.5928000000000002E-2</v>
      </c>
      <c r="J340">
        <v>-2.6085000000000001E-2</v>
      </c>
      <c r="K340">
        <v>-3.1350999999999997E-2</v>
      </c>
      <c r="L340">
        <v>-2.2183999999999999E-2</v>
      </c>
      <c r="M340">
        <v>-4.5144999999999998E-2</v>
      </c>
      <c r="N340">
        <v>-1.6999E-2</v>
      </c>
      <c r="O340">
        <v>-1.111E-3</v>
      </c>
      <c r="P340">
        <v>-2.8882999999999999E-2</v>
      </c>
      <c r="Q340">
        <v>-3.6894999999999997E-2</v>
      </c>
      <c r="R340">
        <v>-6.6775000000000001E-2</v>
      </c>
      <c r="S340">
        <v>-4.0980000000000001E-3</v>
      </c>
      <c r="T340">
        <v>-2.892E-3</v>
      </c>
      <c r="U340">
        <v>-4.0469999999999999E-2</v>
      </c>
      <c r="V340">
        <v>-3.7249999999999998E-2</v>
      </c>
      <c r="W340">
        <v>-6.7908999999999997E-2</v>
      </c>
      <c r="X340">
        <v>-4.052E-3</v>
      </c>
      <c r="Y340">
        <v>-1.7648E-2</v>
      </c>
      <c r="Z340">
        <v>-6.3109999999999998E-3</v>
      </c>
      <c r="AA340">
        <v>-3.2409E-2</v>
      </c>
      <c r="AB340">
        <v>-7.1592000000000003E-2</v>
      </c>
    </row>
    <row r="341" spans="1:28" x14ac:dyDescent="0.2">
      <c r="A341">
        <v>19600429</v>
      </c>
      <c r="B341">
        <v>1960</v>
      </c>
      <c r="C341">
        <v>4</v>
      </c>
      <c r="D341">
        <v>-5.0369999999999998E-2</v>
      </c>
      <c r="E341">
        <v>1.0141000000000001E-2</v>
      </c>
      <c r="F341">
        <v>-2.427E-2</v>
      </c>
      <c r="G341">
        <v>-2.6350999999999999E-2</v>
      </c>
      <c r="H341">
        <v>-2.4705999999999999E-2</v>
      </c>
      <c r="I341">
        <v>1.8599000000000001E-2</v>
      </c>
      <c r="J341">
        <v>-4.6003000000000002E-2</v>
      </c>
      <c r="K341">
        <v>-1.763E-2</v>
      </c>
      <c r="L341">
        <v>-1.4742999999999999E-2</v>
      </c>
      <c r="M341">
        <v>-2.8587999999999999E-2</v>
      </c>
      <c r="N341">
        <v>5.2579999999999997E-3</v>
      </c>
      <c r="O341">
        <v>-1.6906000000000001E-2</v>
      </c>
      <c r="P341">
        <v>-2.6072000000000001E-2</v>
      </c>
      <c r="Q341">
        <v>-2.7019999999999999E-2</v>
      </c>
      <c r="R341">
        <v>-5.3270999999999999E-2</v>
      </c>
      <c r="S341">
        <v>1.2E-5</v>
      </c>
      <c r="T341">
        <v>-4.8019999999999998E-3</v>
      </c>
      <c r="U341">
        <v>-2.3518000000000001E-2</v>
      </c>
      <c r="V341">
        <v>-2.7865000000000001E-2</v>
      </c>
      <c r="W341">
        <v>-2.3511000000000001E-2</v>
      </c>
      <c r="X341">
        <v>-1.072E-2</v>
      </c>
      <c r="Y341">
        <v>-2.7168000000000001E-2</v>
      </c>
      <c r="Z341">
        <v>-1.498E-2</v>
      </c>
      <c r="AA341">
        <v>-2.1734E-2</v>
      </c>
      <c r="AB341">
        <v>-3.7257999999999999E-2</v>
      </c>
    </row>
    <row r="342" spans="1:28" x14ac:dyDescent="0.2">
      <c r="A342">
        <v>19600531</v>
      </c>
      <c r="B342">
        <v>1960</v>
      </c>
      <c r="C342">
        <v>5</v>
      </c>
      <c r="D342">
        <v>-4.9479000000000002E-2</v>
      </c>
      <c r="E342">
        <v>-1.3653999999999999E-2</v>
      </c>
      <c r="F342">
        <v>-1.4970000000000001E-2</v>
      </c>
      <c r="G342">
        <v>1.7606E-2</v>
      </c>
      <c r="H342">
        <v>1.7791000000000001E-2</v>
      </c>
      <c r="I342">
        <v>2.1586000000000001E-2</v>
      </c>
      <c r="J342">
        <v>6.2274999999999997E-2</v>
      </c>
      <c r="K342">
        <v>1.7611000000000002E-2</v>
      </c>
      <c r="L342">
        <v>2.9191000000000002E-2</v>
      </c>
      <c r="M342">
        <v>6.1317000000000003E-2</v>
      </c>
      <c r="N342">
        <v>7.5443999999999997E-2</v>
      </c>
      <c r="O342">
        <v>1.2070000000000001E-2</v>
      </c>
      <c r="P342">
        <v>3.8285E-2</v>
      </c>
      <c r="Q342">
        <v>2.5340000000000001E-2</v>
      </c>
      <c r="R342">
        <v>-1.2520000000000001E-3</v>
      </c>
      <c r="S342">
        <v>4.1541000000000002E-2</v>
      </c>
      <c r="T342">
        <v>1.9265000000000001E-2</v>
      </c>
      <c r="U342">
        <v>6.1479999999999998E-3</v>
      </c>
      <c r="V342">
        <v>2.8118000000000001E-2</v>
      </c>
      <c r="W342">
        <v>4.9919999999999999E-3</v>
      </c>
      <c r="X342">
        <v>5.0460999999999999E-2</v>
      </c>
      <c r="Y342">
        <v>2.5489999999999999E-2</v>
      </c>
      <c r="Z342">
        <v>1.5869000000000001E-2</v>
      </c>
      <c r="AA342">
        <v>-2.0267E-2</v>
      </c>
      <c r="AB342">
        <v>-9.2919999999999999E-3</v>
      </c>
    </row>
    <row r="343" spans="1:28" x14ac:dyDescent="0.2">
      <c r="A343">
        <v>19600630</v>
      </c>
      <c r="B343">
        <v>1960</v>
      </c>
      <c r="C343">
        <v>6</v>
      </c>
      <c r="D343">
        <v>3.6579E-2</v>
      </c>
      <c r="E343">
        <v>-3.3257000000000002E-2</v>
      </c>
      <c r="F343">
        <v>5.8356999999999999E-2</v>
      </c>
      <c r="G343">
        <v>3.2620000000000003E-2</v>
      </c>
      <c r="H343">
        <v>1.9514E-2</v>
      </c>
      <c r="I343">
        <v>3.2913999999999999E-2</v>
      </c>
      <c r="J343">
        <v>2.7462E-2</v>
      </c>
      <c r="K343">
        <v>1.7860000000000001E-2</v>
      </c>
      <c r="L343">
        <v>2.6137000000000001E-2</v>
      </c>
      <c r="M343">
        <v>5.0600000000000005E-4</v>
      </c>
      <c r="N343">
        <v>4.7280000000000003E-2</v>
      </c>
      <c r="O343">
        <v>9.8069999999999997E-3</v>
      </c>
      <c r="P343">
        <v>2.2439000000000001E-2</v>
      </c>
      <c r="Q343">
        <v>3.7227000000000003E-2</v>
      </c>
      <c r="R343">
        <v>1.2992E-2</v>
      </c>
      <c r="S343">
        <v>2.5760000000000002E-2</v>
      </c>
      <c r="T343">
        <v>2.2973E-2</v>
      </c>
      <c r="U343">
        <v>2.5878000000000002E-2</v>
      </c>
      <c r="V343">
        <v>1.4029E-2</v>
      </c>
      <c r="W343">
        <v>2.8920000000000001E-2</v>
      </c>
      <c r="X343">
        <v>2.4107E-2</v>
      </c>
      <c r="Y343">
        <v>2.5753999999999999E-2</v>
      </c>
      <c r="Z343">
        <v>1.2678999999999999E-2</v>
      </c>
      <c r="AA343">
        <v>3.2418000000000002E-2</v>
      </c>
      <c r="AB343">
        <v>2.6907E-2</v>
      </c>
    </row>
    <row r="344" spans="1:28" x14ac:dyDescent="0.2">
      <c r="A344">
        <v>19600729</v>
      </c>
      <c r="B344">
        <v>1960</v>
      </c>
      <c r="C344">
        <v>7</v>
      </c>
      <c r="D344">
        <v>-5.4142000000000003E-2</v>
      </c>
      <c r="E344">
        <v>-3.9423E-2</v>
      </c>
      <c r="F344">
        <v>1.0267E-2</v>
      </c>
      <c r="G344">
        <v>-1.2090999999999999E-2</v>
      </c>
      <c r="H344">
        <v>-1.5716999999999998E-2</v>
      </c>
      <c r="I344">
        <v>-3.1985E-2</v>
      </c>
      <c r="J344">
        <v>-1.7786E-2</v>
      </c>
      <c r="K344">
        <v>-1.8321E-2</v>
      </c>
      <c r="L344">
        <v>-2.7292E-2</v>
      </c>
      <c r="M344">
        <v>-2.0129000000000001E-2</v>
      </c>
      <c r="N344">
        <v>-3.1329000000000003E-2</v>
      </c>
      <c r="O344">
        <v>-9.8480000000000009E-3</v>
      </c>
      <c r="P344">
        <v>-1.7989000000000002E-2</v>
      </c>
      <c r="Q344">
        <v>-1.1689E-2</v>
      </c>
      <c r="R344">
        <v>-1.9118E-2</v>
      </c>
      <c r="S344">
        <v>-3.4881000000000002E-2</v>
      </c>
      <c r="T344">
        <v>-5.7000000000000002E-3</v>
      </c>
      <c r="U344">
        <v>-4.9880000000000002E-3</v>
      </c>
      <c r="V344">
        <v>3.7439999999999999E-3</v>
      </c>
      <c r="W344">
        <v>-6.1182E-2</v>
      </c>
      <c r="X344">
        <v>-4.0862000000000002E-2</v>
      </c>
      <c r="Y344">
        <v>-1.8568000000000001E-2</v>
      </c>
      <c r="Z344">
        <v>4.0410000000000003E-3</v>
      </c>
      <c r="AA344">
        <v>-9.1629999999999993E-3</v>
      </c>
      <c r="AB344">
        <v>-8.1400000000000005E-4</v>
      </c>
    </row>
    <row r="345" spans="1:28" x14ac:dyDescent="0.2">
      <c r="A345">
        <v>19600831</v>
      </c>
      <c r="B345">
        <v>1960</v>
      </c>
      <c r="C345">
        <v>8</v>
      </c>
      <c r="D345">
        <v>0.22986599999999999</v>
      </c>
      <c r="E345">
        <v>9.2010999999999996E-2</v>
      </c>
      <c r="F345">
        <v>2.3843E-2</v>
      </c>
      <c r="G345">
        <v>4.6730000000000001E-2</v>
      </c>
      <c r="H345">
        <v>4.2671000000000001E-2</v>
      </c>
      <c r="I345">
        <v>1.3489999999999999E-3</v>
      </c>
      <c r="J345">
        <v>1.6650999999999999E-2</v>
      </c>
      <c r="K345">
        <v>4.2356999999999999E-2</v>
      </c>
      <c r="L345">
        <v>4.8933999999999998E-2</v>
      </c>
      <c r="M345">
        <v>4.2882999999999998E-2</v>
      </c>
      <c r="N345">
        <v>4.6970999999999999E-2</v>
      </c>
      <c r="O345">
        <v>5.9990000000000002E-2</v>
      </c>
      <c r="P345">
        <v>3.4868000000000003E-2</v>
      </c>
      <c r="Q345">
        <v>4.0571999999999997E-2</v>
      </c>
      <c r="R345">
        <v>1.3369000000000001E-2</v>
      </c>
      <c r="S345">
        <v>1.6390999999999999E-2</v>
      </c>
      <c r="T345">
        <v>3.6338000000000002E-2</v>
      </c>
      <c r="U345">
        <v>3.9199999999999999E-2</v>
      </c>
      <c r="V345">
        <v>4.0550000000000003E-2</v>
      </c>
      <c r="W345">
        <v>1.163E-2</v>
      </c>
      <c r="X345">
        <v>2.6585000000000001E-2</v>
      </c>
      <c r="Y345">
        <v>2.8513E-2</v>
      </c>
      <c r="Z345">
        <v>4.5272E-2</v>
      </c>
      <c r="AA345">
        <v>4.1329999999999999E-2</v>
      </c>
      <c r="AB345">
        <v>2.5059000000000001E-2</v>
      </c>
    </row>
    <row r="346" spans="1:28" x14ac:dyDescent="0.2">
      <c r="A346">
        <v>19600930</v>
      </c>
      <c r="B346">
        <v>1960</v>
      </c>
      <c r="C346">
        <v>9</v>
      </c>
      <c r="D346">
        <v>-0.15695400000000001</v>
      </c>
      <c r="E346">
        <v>-7.3875999999999997E-2</v>
      </c>
      <c r="F346">
        <v>-3.5436000000000002E-2</v>
      </c>
      <c r="G346">
        <v>-4.6303999999999998E-2</v>
      </c>
      <c r="H346">
        <v>-7.2236999999999996E-2</v>
      </c>
      <c r="I346">
        <v>-7.3729000000000003E-2</v>
      </c>
      <c r="J346">
        <v>-5.5267999999999998E-2</v>
      </c>
      <c r="K346">
        <v>-6.8020999999999998E-2</v>
      </c>
      <c r="L346">
        <v>-5.8188999999999998E-2</v>
      </c>
      <c r="M346">
        <v>-7.732E-2</v>
      </c>
      <c r="N346">
        <v>-7.7826000000000006E-2</v>
      </c>
      <c r="O346">
        <v>-5.2572000000000001E-2</v>
      </c>
      <c r="P346">
        <v>-4.6719999999999998E-2</v>
      </c>
      <c r="Q346">
        <v>-6.0891000000000001E-2</v>
      </c>
      <c r="R346">
        <v>-5.5517999999999998E-2</v>
      </c>
      <c r="S346">
        <v>-5.9250999999999998E-2</v>
      </c>
      <c r="T346">
        <v>-4.6591E-2</v>
      </c>
      <c r="U346">
        <v>-5.3111999999999999E-2</v>
      </c>
      <c r="V346">
        <v>-5.0629E-2</v>
      </c>
      <c r="W346">
        <v>-9.2456999999999998E-2</v>
      </c>
      <c r="X346">
        <v>-7.0995000000000003E-2</v>
      </c>
      <c r="Y346">
        <v>-5.5799000000000001E-2</v>
      </c>
      <c r="Z346">
        <v>-3.9627999999999997E-2</v>
      </c>
      <c r="AA346">
        <v>-4.9855999999999998E-2</v>
      </c>
      <c r="AB346">
        <v>-3.7524000000000002E-2</v>
      </c>
    </row>
    <row r="347" spans="1:28" x14ac:dyDescent="0.2">
      <c r="A347">
        <v>19601031</v>
      </c>
      <c r="B347">
        <v>1960</v>
      </c>
      <c r="C347">
        <v>10</v>
      </c>
      <c r="D347">
        <v>-8.7853000000000001E-2</v>
      </c>
      <c r="E347">
        <v>-3.4583999999999997E-2</v>
      </c>
      <c r="F347">
        <v>-2.9402000000000001E-2</v>
      </c>
      <c r="G347">
        <v>-1.2976E-2</v>
      </c>
      <c r="H347">
        <v>-2.7192999999999998E-2</v>
      </c>
      <c r="I347">
        <v>-7.0296999999999998E-2</v>
      </c>
      <c r="J347">
        <v>-2.4565E-2</v>
      </c>
      <c r="K347">
        <v>-2.4427999999999998E-2</v>
      </c>
      <c r="L347">
        <v>-3.8471999999999999E-2</v>
      </c>
      <c r="M347">
        <v>-1.1703E-2</v>
      </c>
      <c r="N347">
        <v>-3.2117E-2</v>
      </c>
      <c r="O347">
        <v>-2.681E-2</v>
      </c>
      <c r="P347">
        <v>-2.4468E-2</v>
      </c>
      <c r="Q347">
        <v>-2.5859E-2</v>
      </c>
      <c r="R347">
        <v>-3.6516E-2</v>
      </c>
      <c r="S347">
        <v>-2.0355000000000002E-2</v>
      </c>
      <c r="T347">
        <v>-1.8903E-2</v>
      </c>
      <c r="U347">
        <v>-1.5273E-2</v>
      </c>
      <c r="V347">
        <v>1.1838E-2</v>
      </c>
      <c r="W347">
        <v>-4.0349000000000003E-2</v>
      </c>
      <c r="X347">
        <v>-6.6649999999999999E-3</v>
      </c>
      <c r="Y347">
        <v>3.8070000000000001E-3</v>
      </c>
      <c r="Z347">
        <v>3.166E-3</v>
      </c>
      <c r="AA347">
        <v>6.9399999999999996E-4</v>
      </c>
      <c r="AB347">
        <v>2.2192E-2</v>
      </c>
    </row>
    <row r="348" spans="1:28" x14ac:dyDescent="0.2">
      <c r="A348">
        <v>19601130</v>
      </c>
      <c r="B348">
        <v>1960</v>
      </c>
      <c r="C348">
        <v>11</v>
      </c>
      <c r="D348">
        <v>-2.8618999999999999E-2</v>
      </c>
      <c r="E348">
        <v>-7.0699999999999995E-4</v>
      </c>
      <c r="F348">
        <v>-7.8169999999999993E-3</v>
      </c>
      <c r="G348">
        <v>2.4121E-2</v>
      </c>
      <c r="H348">
        <v>2.0362000000000002E-2</v>
      </c>
      <c r="I348">
        <v>6.5733E-2</v>
      </c>
      <c r="J348">
        <v>7.9655000000000004E-2</v>
      </c>
      <c r="K348">
        <v>4.6586000000000002E-2</v>
      </c>
      <c r="L348">
        <v>4.3874000000000003E-2</v>
      </c>
      <c r="M348">
        <v>1.8221000000000001E-2</v>
      </c>
      <c r="N348">
        <v>7.3065000000000005E-2</v>
      </c>
      <c r="O348">
        <v>5.3524000000000002E-2</v>
      </c>
      <c r="P348">
        <v>6.0654E-2</v>
      </c>
      <c r="Q348">
        <v>6.1952E-2</v>
      </c>
      <c r="R348">
        <v>4.0577000000000002E-2</v>
      </c>
      <c r="S348">
        <v>8.6643999999999999E-2</v>
      </c>
      <c r="T348">
        <v>4.5101000000000002E-2</v>
      </c>
      <c r="U348">
        <v>5.0015999999999998E-2</v>
      </c>
      <c r="V348">
        <v>4.6099000000000001E-2</v>
      </c>
      <c r="W348">
        <v>4.0072000000000003E-2</v>
      </c>
      <c r="X348">
        <v>5.2843000000000001E-2</v>
      </c>
      <c r="Y348">
        <v>5.3177000000000002E-2</v>
      </c>
      <c r="Z348">
        <v>2.9988000000000001E-2</v>
      </c>
      <c r="AA348">
        <v>4.0840000000000001E-2</v>
      </c>
      <c r="AB348">
        <v>4.5695E-2</v>
      </c>
    </row>
    <row r="349" spans="1:28" x14ac:dyDescent="0.2">
      <c r="A349">
        <v>19601230</v>
      </c>
      <c r="B349">
        <v>1960</v>
      </c>
      <c r="C349">
        <v>12</v>
      </c>
      <c r="D349">
        <v>7.7827999999999994E-2</v>
      </c>
      <c r="E349">
        <v>3.3729000000000002E-2</v>
      </c>
      <c r="F349">
        <v>2.8163000000000001E-2</v>
      </c>
      <c r="G349">
        <v>2.7820000000000001E-2</v>
      </c>
      <c r="H349">
        <v>1.2940999999999999E-2</v>
      </c>
      <c r="I349">
        <v>4.5456999999999997E-2</v>
      </c>
      <c r="J349">
        <v>2.6516999999999999E-2</v>
      </c>
      <c r="K349">
        <v>3.3302999999999999E-2</v>
      </c>
      <c r="L349">
        <v>3.7554999999999998E-2</v>
      </c>
      <c r="M349">
        <v>2.5096E-2</v>
      </c>
      <c r="N349">
        <v>2.64E-2</v>
      </c>
      <c r="O349">
        <v>4.4422999999999997E-2</v>
      </c>
      <c r="P349">
        <v>4.0242E-2</v>
      </c>
      <c r="Q349">
        <v>3.2913999999999999E-2</v>
      </c>
      <c r="R349">
        <v>1.8380000000000001E-2</v>
      </c>
      <c r="S349">
        <v>5.756E-2</v>
      </c>
      <c r="T349">
        <v>4.7861000000000001E-2</v>
      </c>
      <c r="U349">
        <v>5.4110999999999999E-2</v>
      </c>
      <c r="V349">
        <v>3.6917999999999999E-2</v>
      </c>
      <c r="W349">
        <v>2.6674E-2</v>
      </c>
      <c r="X349">
        <v>3.3239999999999999E-2</v>
      </c>
      <c r="Y349">
        <v>4.7101999999999998E-2</v>
      </c>
      <c r="Z349">
        <v>8.9491000000000001E-2</v>
      </c>
      <c r="AA349">
        <v>3.5902999999999997E-2</v>
      </c>
      <c r="AB349">
        <v>3.3537999999999998E-2</v>
      </c>
    </row>
    <row r="350" spans="1:28" x14ac:dyDescent="0.2">
      <c r="A350">
        <v>19610131</v>
      </c>
      <c r="B350">
        <v>1961</v>
      </c>
      <c r="C350">
        <v>1</v>
      </c>
      <c r="D350">
        <v>0.104794</v>
      </c>
      <c r="E350">
        <v>9.1341000000000006E-2</v>
      </c>
      <c r="F350">
        <v>8.4817000000000004E-2</v>
      </c>
      <c r="G350">
        <v>8.3809999999999996E-2</v>
      </c>
      <c r="H350">
        <v>8.4764999999999993E-2</v>
      </c>
      <c r="I350">
        <v>0.10386099999999999</v>
      </c>
      <c r="J350">
        <v>6.0630999999999997E-2</v>
      </c>
      <c r="K350">
        <v>6.9597999999999993E-2</v>
      </c>
      <c r="L350">
        <v>9.8722000000000004E-2</v>
      </c>
      <c r="M350">
        <v>9.4674999999999995E-2</v>
      </c>
      <c r="N350">
        <v>5.9586E-2</v>
      </c>
      <c r="O350">
        <v>6.6132999999999997E-2</v>
      </c>
      <c r="P350">
        <v>8.3354999999999999E-2</v>
      </c>
      <c r="Q350">
        <v>9.8871000000000001E-2</v>
      </c>
      <c r="R350">
        <v>0.128825</v>
      </c>
      <c r="S350">
        <v>6.8721000000000004E-2</v>
      </c>
      <c r="T350">
        <v>7.6783000000000004E-2</v>
      </c>
      <c r="U350">
        <v>7.6258000000000006E-2</v>
      </c>
      <c r="V350">
        <v>9.3299000000000007E-2</v>
      </c>
      <c r="W350">
        <v>0.130023</v>
      </c>
      <c r="X350">
        <v>4.2216999999999998E-2</v>
      </c>
      <c r="Y350">
        <v>6.7327999999999999E-2</v>
      </c>
      <c r="Z350">
        <v>7.9079999999999998E-2</v>
      </c>
      <c r="AA350">
        <v>7.8450000000000006E-2</v>
      </c>
      <c r="AB350">
        <v>9.9218000000000001E-2</v>
      </c>
    </row>
    <row r="351" spans="1:28" x14ac:dyDescent="0.2">
      <c r="A351">
        <v>19610228</v>
      </c>
      <c r="B351">
        <v>1961</v>
      </c>
      <c r="C351">
        <v>2</v>
      </c>
      <c r="D351">
        <v>5.4697000000000003E-2</v>
      </c>
      <c r="E351">
        <v>7.9511999999999999E-2</v>
      </c>
      <c r="F351">
        <v>5.8666999999999997E-2</v>
      </c>
      <c r="G351">
        <v>6.3756999999999994E-2</v>
      </c>
      <c r="H351">
        <v>6.6543000000000005E-2</v>
      </c>
      <c r="I351">
        <v>8.4081000000000003E-2</v>
      </c>
      <c r="J351">
        <v>9.1510999999999995E-2</v>
      </c>
      <c r="K351">
        <v>5.4928999999999999E-2</v>
      </c>
      <c r="L351">
        <v>9.2685000000000003E-2</v>
      </c>
      <c r="M351">
        <v>7.7144000000000004E-2</v>
      </c>
      <c r="N351">
        <v>7.1247000000000005E-2</v>
      </c>
      <c r="O351">
        <v>6.3749E-2</v>
      </c>
      <c r="P351">
        <v>5.4980000000000001E-2</v>
      </c>
      <c r="Q351">
        <v>5.5592000000000003E-2</v>
      </c>
      <c r="R351">
        <v>5.0372E-2</v>
      </c>
      <c r="S351">
        <v>6.0671999999999997E-2</v>
      </c>
      <c r="T351">
        <v>6.1228999999999999E-2</v>
      </c>
      <c r="U351">
        <v>5.0915000000000002E-2</v>
      </c>
      <c r="V351">
        <v>4.4216999999999999E-2</v>
      </c>
      <c r="W351">
        <v>4.2405999999999999E-2</v>
      </c>
      <c r="X351">
        <v>3.7025000000000002E-2</v>
      </c>
      <c r="Y351">
        <v>4.5399000000000002E-2</v>
      </c>
      <c r="Z351">
        <v>8.5850000000000006E-3</v>
      </c>
      <c r="AA351">
        <v>3.6895999999999998E-2</v>
      </c>
      <c r="AB351">
        <v>2.3186999999999999E-2</v>
      </c>
    </row>
    <row r="352" spans="1:28" x14ac:dyDescent="0.2">
      <c r="A352">
        <v>19610330</v>
      </c>
      <c r="B352">
        <v>1961</v>
      </c>
      <c r="C352">
        <v>3</v>
      </c>
      <c r="D352">
        <v>0.123865</v>
      </c>
      <c r="E352">
        <v>4.7333E-2</v>
      </c>
      <c r="F352">
        <v>7.442E-2</v>
      </c>
      <c r="G352">
        <v>5.3804999999999999E-2</v>
      </c>
      <c r="H352">
        <v>7.9193E-2</v>
      </c>
      <c r="I352">
        <v>0.108892</v>
      </c>
      <c r="J352">
        <v>9.1074000000000002E-2</v>
      </c>
      <c r="K352">
        <v>4.4929999999999998E-2</v>
      </c>
      <c r="L352">
        <v>5.6822999999999999E-2</v>
      </c>
      <c r="M352">
        <v>5.9547999999999997E-2</v>
      </c>
      <c r="N352">
        <v>6.6476999999999994E-2</v>
      </c>
      <c r="O352">
        <v>4.0871999999999999E-2</v>
      </c>
      <c r="P352">
        <v>3.8115999999999997E-2</v>
      </c>
      <c r="Q352">
        <v>4.5388999999999999E-2</v>
      </c>
      <c r="R352">
        <v>5.6537999999999998E-2</v>
      </c>
      <c r="S352">
        <v>5.9891E-2</v>
      </c>
      <c r="T352">
        <v>2.7078000000000001E-2</v>
      </c>
      <c r="U352">
        <v>4.3532000000000001E-2</v>
      </c>
      <c r="V352">
        <v>6.3614000000000004E-2</v>
      </c>
      <c r="W352">
        <v>3.5625999999999998E-2</v>
      </c>
      <c r="X352">
        <v>1.8964999999999999E-2</v>
      </c>
      <c r="Y352">
        <v>2.6367000000000002E-2</v>
      </c>
      <c r="Z352">
        <v>4.1992000000000002E-2</v>
      </c>
      <c r="AA352">
        <v>-5.2030000000000002E-3</v>
      </c>
      <c r="AB352">
        <v>1.5516E-2</v>
      </c>
    </row>
    <row r="353" spans="1:28" x14ac:dyDescent="0.2">
      <c r="A353">
        <v>19610428</v>
      </c>
      <c r="B353">
        <v>1961</v>
      </c>
      <c r="C353">
        <v>4</v>
      </c>
      <c r="D353">
        <v>1.2501999999999999E-2</v>
      </c>
      <c r="E353">
        <v>3.2995999999999998E-2</v>
      </c>
      <c r="F353">
        <v>1.3857E-2</v>
      </c>
      <c r="G353">
        <v>2.2748999999999998E-2</v>
      </c>
      <c r="H353">
        <v>5.4580000000000002E-3</v>
      </c>
      <c r="I353">
        <v>2.2266999999999999E-2</v>
      </c>
      <c r="J353">
        <v>2.9629999999999999E-3</v>
      </c>
      <c r="K353">
        <v>7.1250000000000003E-3</v>
      </c>
      <c r="L353">
        <v>3.3523999999999998E-2</v>
      </c>
      <c r="M353">
        <v>4.7730000000000002E-2</v>
      </c>
      <c r="N353">
        <v>-7.1549999999999999E-3</v>
      </c>
      <c r="O353">
        <v>1.0723999999999999E-2</v>
      </c>
      <c r="P353">
        <v>-2.1760000000000002E-2</v>
      </c>
      <c r="Q353">
        <v>8.3389999999999992E-3</v>
      </c>
      <c r="R353">
        <v>1.3468000000000001E-2</v>
      </c>
      <c r="S353">
        <v>-7.1720000000000004E-3</v>
      </c>
      <c r="T353">
        <v>1.0326E-2</v>
      </c>
      <c r="U353">
        <v>1.7028999999999999E-2</v>
      </c>
      <c r="V353">
        <v>-6.2100000000000002E-3</v>
      </c>
      <c r="W353">
        <v>-5.7467999999999998E-2</v>
      </c>
      <c r="X353">
        <v>-6.4349999999999997E-3</v>
      </c>
      <c r="Y353">
        <v>-1.936E-3</v>
      </c>
      <c r="Z353">
        <v>2.2534999999999999E-2</v>
      </c>
      <c r="AA353">
        <v>7.0299999999999998E-3</v>
      </c>
      <c r="AB353">
        <v>4.9732999999999999E-2</v>
      </c>
    </row>
    <row r="354" spans="1:28" x14ac:dyDescent="0.2">
      <c r="A354">
        <v>19610531</v>
      </c>
      <c r="B354">
        <v>1961</v>
      </c>
      <c r="C354">
        <v>5</v>
      </c>
      <c r="D354">
        <v>-6.8399999999999997E-3</v>
      </c>
      <c r="E354">
        <v>4.3708999999999998E-2</v>
      </c>
      <c r="F354">
        <v>2.2245000000000001E-2</v>
      </c>
      <c r="G354">
        <v>3.5318000000000002E-2</v>
      </c>
      <c r="H354">
        <v>5.5992E-2</v>
      </c>
      <c r="I354">
        <v>1.5088000000000001E-2</v>
      </c>
      <c r="J354">
        <v>6.5779999999999996E-3</v>
      </c>
      <c r="K354">
        <v>7.3993000000000003E-2</v>
      </c>
      <c r="L354">
        <v>2.8518999999999999E-2</v>
      </c>
      <c r="M354">
        <v>5.8015999999999998E-2</v>
      </c>
      <c r="N354">
        <v>3.6859000000000003E-2</v>
      </c>
      <c r="O354">
        <v>4.4308E-2</v>
      </c>
      <c r="P354">
        <v>3.5036999999999999E-2</v>
      </c>
      <c r="Q354">
        <v>7.0844000000000004E-2</v>
      </c>
      <c r="R354">
        <v>3.0311999999999999E-2</v>
      </c>
      <c r="S354">
        <v>3.5296000000000001E-2</v>
      </c>
      <c r="T354">
        <v>3.6821E-2</v>
      </c>
      <c r="U354">
        <v>3.3203000000000003E-2</v>
      </c>
      <c r="V354">
        <v>4.4691000000000002E-2</v>
      </c>
      <c r="W354">
        <v>6.9306000000000006E-2</v>
      </c>
      <c r="X354">
        <v>3.2487000000000002E-2</v>
      </c>
      <c r="Y354">
        <v>3.1029000000000001E-2</v>
      </c>
      <c r="Z354">
        <v>1.84E-4</v>
      </c>
      <c r="AA354">
        <v>2.5329000000000001E-2</v>
      </c>
      <c r="AB354">
        <v>1.4375000000000001E-2</v>
      </c>
    </row>
    <row r="355" spans="1:28" x14ac:dyDescent="0.2">
      <c r="A355">
        <v>19610630</v>
      </c>
      <c r="B355">
        <v>1961</v>
      </c>
      <c r="C355">
        <v>6</v>
      </c>
      <c r="D355">
        <v>-6.0810000000000003E-2</v>
      </c>
      <c r="E355">
        <v>-5.5461000000000003E-2</v>
      </c>
      <c r="F355">
        <v>-4.4051E-2</v>
      </c>
      <c r="G355">
        <v>-5.7694000000000002E-2</v>
      </c>
      <c r="H355">
        <v>-6.0180999999999998E-2</v>
      </c>
      <c r="I355">
        <v>-7.1509000000000003E-2</v>
      </c>
      <c r="J355">
        <v>-2.8753000000000001E-2</v>
      </c>
      <c r="K355">
        <v>-4.1639000000000002E-2</v>
      </c>
      <c r="L355">
        <v>-4.9609E-2</v>
      </c>
      <c r="M355">
        <v>-5.3665999999999998E-2</v>
      </c>
      <c r="N355">
        <v>-5.2024000000000001E-2</v>
      </c>
      <c r="O355">
        <v>-5.2205000000000001E-2</v>
      </c>
      <c r="P355">
        <v>-2.7355999999999998E-2</v>
      </c>
      <c r="Q355">
        <v>-5.4625E-2</v>
      </c>
      <c r="R355">
        <v>-4.351E-2</v>
      </c>
      <c r="S355">
        <v>-4.7032999999999998E-2</v>
      </c>
      <c r="T355">
        <v>-3.4831000000000001E-2</v>
      </c>
      <c r="U355">
        <v>-3.2002999999999997E-2</v>
      </c>
      <c r="V355">
        <v>-7.8169999999999993E-3</v>
      </c>
      <c r="W355">
        <v>-3.2815999999999998E-2</v>
      </c>
      <c r="X355">
        <v>-1.4309000000000001E-2</v>
      </c>
      <c r="Y355">
        <v>-4.0407999999999999E-2</v>
      </c>
      <c r="Z355">
        <v>-3.0891999999999999E-2</v>
      </c>
      <c r="AA355">
        <v>-4.1123E-2</v>
      </c>
      <c r="AB355">
        <v>-2.9860000000000001E-2</v>
      </c>
    </row>
    <row r="356" spans="1:28" x14ac:dyDescent="0.2">
      <c r="A356">
        <v>19610731</v>
      </c>
      <c r="B356">
        <v>1961</v>
      </c>
      <c r="C356">
        <v>7</v>
      </c>
      <c r="D356">
        <v>1.6885000000000001E-2</v>
      </c>
      <c r="E356">
        <v>-2.5999999999999998E-5</v>
      </c>
      <c r="F356">
        <v>-2.2671E-2</v>
      </c>
      <c r="G356">
        <v>2.4240999999999999E-2</v>
      </c>
      <c r="H356">
        <v>-6.8120000000000003E-3</v>
      </c>
      <c r="I356">
        <v>-2.4190000000000001E-3</v>
      </c>
      <c r="J356">
        <v>-1.0205000000000001E-2</v>
      </c>
      <c r="K356">
        <v>6.2610000000000001E-3</v>
      </c>
      <c r="L356">
        <v>6.7460000000000003E-3</v>
      </c>
      <c r="M356">
        <v>2.1309000000000002E-2</v>
      </c>
      <c r="N356">
        <v>-2.5799999999999998E-3</v>
      </c>
      <c r="O356">
        <v>1.3419E-2</v>
      </c>
      <c r="P356">
        <v>2.0722000000000001E-2</v>
      </c>
      <c r="Q356">
        <v>1.1854999999999999E-2</v>
      </c>
      <c r="R356">
        <v>1.6303000000000002E-2</v>
      </c>
      <c r="S356">
        <v>6.1619999999999999E-3</v>
      </c>
      <c r="T356">
        <v>2.7793000000000002E-2</v>
      </c>
      <c r="U356">
        <v>2.63E-2</v>
      </c>
      <c r="V356">
        <v>1.098E-2</v>
      </c>
      <c r="W356">
        <v>-8.4800000000000001E-4</v>
      </c>
      <c r="X356">
        <v>1.8724000000000001E-2</v>
      </c>
      <c r="Y356">
        <v>5.108E-2</v>
      </c>
      <c r="Z356">
        <v>4.0278000000000001E-2</v>
      </c>
      <c r="AA356">
        <v>1.0846E-2</v>
      </c>
      <c r="AB356">
        <v>2.9104000000000001E-2</v>
      </c>
    </row>
    <row r="357" spans="1:28" x14ac:dyDescent="0.2">
      <c r="A357">
        <v>19610831</v>
      </c>
      <c r="B357">
        <v>1961</v>
      </c>
      <c r="C357">
        <v>8</v>
      </c>
      <c r="D357">
        <v>3.6509E-2</v>
      </c>
      <c r="E357">
        <v>1.0338E-2</v>
      </c>
      <c r="F357">
        <v>6.5700000000000003E-4</v>
      </c>
      <c r="G357">
        <v>-5.7099999999999998E-3</v>
      </c>
      <c r="H357">
        <v>1.8273000000000001E-2</v>
      </c>
      <c r="I357">
        <v>3.2384999999999997E-2</v>
      </c>
      <c r="J357">
        <v>4.5240000000000002E-3</v>
      </c>
      <c r="K357">
        <v>1.1225000000000001E-2</v>
      </c>
      <c r="L357">
        <v>8.1510000000000003E-3</v>
      </c>
      <c r="M357">
        <v>1.7420000000000001E-2</v>
      </c>
      <c r="N357">
        <v>-2.709E-3</v>
      </c>
      <c r="O357">
        <v>1.6643999999999999E-2</v>
      </c>
      <c r="P357">
        <v>-2.0939999999999999E-3</v>
      </c>
      <c r="Q357">
        <v>2.1715999999999999E-2</v>
      </c>
      <c r="R357">
        <v>3.9659999999999999E-3</v>
      </c>
      <c r="S357">
        <v>5.0140999999999998E-2</v>
      </c>
      <c r="T357">
        <v>4.2197999999999999E-2</v>
      </c>
      <c r="U357">
        <v>3.9907999999999999E-2</v>
      </c>
      <c r="V357">
        <v>6.3819999999999997E-3</v>
      </c>
      <c r="W357">
        <v>2.8459999999999999E-2</v>
      </c>
      <c r="X357">
        <v>4.1855000000000003E-2</v>
      </c>
      <c r="Y357">
        <v>2.0145E-2</v>
      </c>
      <c r="Z357">
        <v>6.7629999999999999E-3</v>
      </c>
      <c r="AA357">
        <v>1.6875000000000001E-2</v>
      </c>
      <c r="AB357">
        <v>3.6875999999999999E-2</v>
      </c>
    </row>
    <row r="358" spans="1:28" x14ac:dyDescent="0.2">
      <c r="A358">
        <v>19610929</v>
      </c>
      <c r="B358">
        <v>1961</v>
      </c>
      <c r="C358">
        <v>9</v>
      </c>
      <c r="D358">
        <v>-5.5330999999999998E-2</v>
      </c>
      <c r="E358">
        <v>-6.0400000000000002E-2</v>
      </c>
      <c r="F358">
        <v>-2.6218999999999999E-2</v>
      </c>
      <c r="G358">
        <v>-2.6381999999999999E-2</v>
      </c>
      <c r="H358">
        <v>-4.2255000000000001E-2</v>
      </c>
      <c r="I358">
        <v>-4.7840000000000001E-2</v>
      </c>
      <c r="J358">
        <v>-5.3136999999999997E-2</v>
      </c>
      <c r="K358">
        <v>-3.1064000000000001E-2</v>
      </c>
      <c r="L358">
        <v>-3.7484000000000003E-2</v>
      </c>
      <c r="M358">
        <v>-1.4059E-2</v>
      </c>
      <c r="N358">
        <v>-3.7908999999999998E-2</v>
      </c>
      <c r="O358">
        <v>2.4099999999999998E-3</v>
      </c>
      <c r="P358">
        <v>-2.8875000000000001E-2</v>
      </c>
      <c r="Q358">
        <v>-2.7959000000000001E-2</v>
      </c>
      <c r="R358">
        <v>-4.777E-2</v>
      </c>
      <c r="S358">
        <v>-2.0233000000000001E-2</v>
      </c>
      <c r="T358">
        <v>-2.3401000000000002E-2</v>
      </c>
      <c r="U358">
        <v>-2.8872999999999999E-2</v>
      </c>
      <c r="V358">
        <v>-3.9365999999999998E-2</v>
      </c>
      <c r="W358">
        <v>-3.7208999999999999E-2</v>
      </c>
      <c r="X358">
        <v>-6.4590000000000003E-3</v>
      </c>
      <c r="Y358">
        <v>-1.8967000000000001E-2</v>
      </c>
      <c r="Z358">
        <v>-3.5791999999999997E-2</v>
      </c>
      <c r="AA358">
        <v>-4.7702000000000001E-2</v>
      </c>
      <c r="AB358">
        <v>-2.7190000000000001E-3</v>
      </c>
    </row>
    <row r="359" spans="1:28" x14ac:dyDescent="0.2">
      <c r="A359">
        <v>19611031</v>
      </c>
      <c r="B359">
        <v>1961</v>
      </c>
      <c r="C359">
        <v>10</v>
      </c>
      <c r="D359">
        <v>1.7408E-2</v>
      </c>
      <c r="E359">
        <v>6.6830000000000001E-2</v>
      </c>
      <c r="F359">
        <v>3.5013000000000002E-2</v>
      </c>
      <c r="G359">
        <v>1.9767E-2</v>
      </c>
      <c r="H359">
        <v>1.1801000000000001E-2</v>
      </c>
      <c r="I359">
        <v>-1.5564E-2</v>
      </c>
      <c r="J359">
        <v>2.1691999999999999E-2</v>
      </c>
      <c r="K359">
        <v>3.6829000000000001E-2</v>
      </c>
      <c r="L359">
        <v>8.6910000000000008E-3</v>
      </c>
      <c r="M359">
        <v>1.0276E-2</v>
      </c>
      <c r="N359">
        <v>2.0944000000000001E-2</v>
      </c>
      <c r="O359">
        <v>3.6958999999999999E-2</v>
      </c>
      <c r="P359">
        <v>1.6715000000000001E-2</v>
      </c>
      <c r="Q359">
        <v>2.5436E-2</v>
      </c>
      <c r="R359">
        <v>-1.0658000000000001E-2</v>
      </c>
      <c r="S359">
        <v>2.819E-2</v>
      </c>
      <c r="T359">
        <v>3.4141999999999999E-2</v>
      </c>
      <c r="U359">
        <v>5.0090000000000003E-2</v>
      </c>
      <c r="V359">
        <v>-1.6386000000000001E-2</v>
      </c>
      <c r="W359">
        <v>2.5239000000000001E-2</v>
      </c>
      <c r="X359">
        <v>3.5237999999999998E-2</v>
      </c>
      <c r="Y359">
        <v>1.2977000000000001E-2</v>
      </c>
      <c r="Z359">
        <v>3.8582999999999999E-2</v>
      </c>
      <c r="AA359">
        <v>5.7766999999999999E-2</v>
      </c>
      <c r="AB359">
        <v>7.6790000000000001E-3</v>
      </c>
    </row>
    <row r="360" spans="1:28" x14ac:dyDescent="0.2">
      <c r="A360">
        <v>19611130</v>
      </c>
      <c r="B360">
        <v>1961</v>
      </c>
      <c r="C360">
        <v>11</v>
      </c>
      <c r="D360">
        <v>6.5681000000000003E-2</v>
      </c>
      <c r="E360">
        <v>5.1225E-2</v>
      </c>
      <c r="F360">
        <v>5.9082999999999997E-2</v>
      </c>
      <c r="G360">
        <v>6.3219999999999998E-2</v>
      </c>
      <c r="H360">
        <v>4.7656999999999998E-2</v>
      </c>
      <c r="I360">
        <v>3.6936999999999998E-2</v>
      </c>
      <c r="J360">
        <v>7.6125999999999999E-2</v>
      </c>
      <c r="K360">
        <v>5.6148000000000003E-2</v>
      </c>
      <c r="L360">
        <v>5.9922000000000003E-2</v>
      </c>
      <c r="M360">
        <v>5.8618000000000003E-2</v>
      </c>
      <c r="N360">
        <v>8.3554000000000003E-2</v>
      </c>
      <c r="O360">
        <v>4.7058000000000003E-2</v>
      </c>
      <c r="P360">
        <v>4.1309999999999999E-2</v>
      </c>
      <c r="Q360">
        <v>4.7613999999999997E-2</v>
      </c>
      <c r="R360">
        <v>1.7203E-2</v>
      </c>
      <c r="S360">
        <v>4.6251E-2</v>
      </c>
      <c r="T360">
        <v>2.3713000000000001E-2</v>
      </c>
      <c r="U360">
        <v>5.4108999999999997E-2</v>
      </c>
      <c r="V360">
        <v>3.8571000000000001E-2</v>
      </c>
      <c r="W360">
        <v>3.6996000000000001E-2</v>
      </c>
      <c r="X360">
        <v>3.2945000000000002E-2</v>
      </c>
      <c r="Y360">
        <v>6.8065000000000001E-2</v>
      </c>
      <c r="Z360">
        <v>4.0467000000000003E-2</v>
      </c>
      <c r="AA360">
        <v>3.2516999999999997E-2</v>
      </c>
      <c r="AB360">
        <v>4.0618000000000001E-2</v>
      </c>
    </row>
    <row r="361" spans="1:28" x14ac:dyDescent="0.2">
      <c r="A361">
        <v>19611229</v>
      </c>
      <c r="B361">
        <v>1961</v>
      </c>
      <c r="C361">
        <v>12</v>
      </c>
      <c r="D361">
        <v>-3.6719000000000002E-2</v>
      </c>
      <c r="E361">
        <v>4.1191999999999999E-2</v>
      </c>
      <c r="F361">
        <v>-1.3986E-2</v>
      </c>
      <c r="G361">
        <v>1.3363999999999999E-2</v>
      </c>
      <c r="H361">
        <v>3.6700000000000001E-3</v>
      </c>
      <c r="I361">
        <v>-4.3250999999999998E-2</v>
      </c>
      <c r="J361">
        <v>1.8489999999999999E-3</v>
      </c>
      <c r="K361">
        <v>-7.7700000000000002E-4</v>
      </c>
      <c r="L361">
        <v>1.7895999999999999E-2</v>
      </c>
      <c r="M361">
        <v>-1.2985999999999999E-2</v>
      </c>
      <c r="N361">
        <v>-1.5789000000000001E-2</v>
      </c>
      <c r="O361">
        <v>-2.4915E-2</v>
      </c>
      <c r="P361">
        <v>5.0400000000000002E-3</v>
      </c>
      <c r="Q361">
        <v>1.5639E-2</v>
      </c>
      <c r="R361">
        <v>1.3504E-2</v>
      </c>
      <c r="S361">
        <v>-3.7079000000000001E-2</v>
      </c>
      <c r="T361">
        <v>-1.7757999999999999E-2</v>
      </c>
      <c r="U361">
        <v>-1.7100000000000001E-4</v>
      </c>
      <c r="V361">
        <v>1.5152000000000001E-2</v>
      </c>
      <c r="W361">
        <v>-1.2473E-2</v>
      </c>
      <c r="X361">
        <v>-1.5328E-2</v>
      </c>
      <c r="Y361">
        <v>1.1771E-2</v>
      </c>
      <c r="Z361">
        <v>2.5714000000000001E-2</v>
      </c>
      <c r="AA361">
        <v>2.7021E-2</v>
      </c>
      <c r="AB361">
        <v>2.7700000000000001E-4</v>
      </c>
    </row>
    <row r="362" spans="1:28" x14ac:dyDescent="0.2">
      <c r="A362">
        <v>19620131</v>
      </c>
      <c r="B362">
        <v>1962</v>
      </c>
      <c r="C362">
        <v>1</v>
      </c>
      <c r="D362">
        <v>6.2920000000000004E-2</v>
      </c>
      <c r="E362">
        <v>-3.5171000000000001E-2</v>
      </c>
      <c r="F362">
        <v>1.1188999999999999E-2</v>
      </c>
      <c r="G362">
        <v>1.7405E-2</v>
      </c>
      <c r="H362">
        <v>3.1844999999999998E-2</v>
      </c>
      <c r="I362">
        <v>-4.0578000000000003E-2</v>
      </c>
      <c r="J362">
        <v>-2.542E-3</v>
      </c>
      <c r="K362">
        <v>-4.8729999999999997E-3</v>
      </c>
      <c r="L362">
        <v>7.1209999999999997E-3</v>
      </c>
      <c r="M362">
        <v>2.6950999999999999E-2</v>
      </c>
      <c r="N362">
        <v>-4.5915999999999998E-2</v>
      </c>
      <c r="O362">
        <v>-1.9449000000000001E-2</v>
      </c>
      <c r="P362">
        <v>-2.1488E-2</v>
      </c>
      <c r="Q362">
        <v>-2.4577999999999999E-2</v>
      </c>
      <c r="R362">
        <v>1.7125000000000001E-2</v>
      </c>
      <c r="S362">
        <v>-5.3103999999999998E-2</v>
      </c>
      <c r="T362">
        <v>-2.1878999999999999E-2</v>
      </c>
      <c r="U362">
        <v>-2.5760000000000002E-2</v>
      </c>
      <c r="V362">
        <v>1.7852E-2</v>
      </c>
      <c r="W362">
        <v>3.6316000000000001E-2</v>
      </c>
      <c r="X362">
        <v>-5.8630000000000002E-2</v>
      </c>
      <c r="Y362">
        <v>-3.9252000000000002E-2</v>
      </c>
      <c r="Z362">
        <v>-1.2645999999999999E-2</v>
      </c>
      <c r="AA362">
        <v>-3.2490000000000002E-3</v>
      </c>
      <c r="AB362">
        <v>5.2800000000000004E-4</v>
      </c>
    </row>
    <row r="363" spans="1:28" x14ac:dyDescent="0.2">
      <c r="A363">
        <v>19620228</v>
      </c>
      <c r="B363">
        <v>1962</v>
      </c>
      <c r="C363">
        <v>2</v>
      </c>
      <c r="D363">
        <v>3.189E-3</v>
      </c>
      <c r="E363">
        <v>-1.1847999999999999E-2</v>
      </c>
      <c r="F363">
        <v>2.1080000000000002E-2</v>
      </c>
      <c r="G363">
        <v>1.7559999999999999E-2</v>
      </c>
      <c r="H363">
        <v>1.9130000000000001E-2</v>
      </c>
      <c r="I363">
        <v>1.1557E-2</v>
      </c>
      <c r="J363">
        <v>1.298E-2</v>
      </c>
      <c r="K363">
        <v>-2.2799999999999999E-3</v>
      </c>
      <c r="L363">
        <v>2.3577000000000001E-2</v>
      </c>
      <c r="M363">
        <v>1.4711999999999999E-2</v>
      </c>
      <c r="N363">
        <v>3.2666000000000001E-2</v>
      </c>
      <c r="O363">
        <v>-2.003E-3</v>
      </c>
      <c r="P363">
        <v>6.7019999999999996E-3</v>
      </c>
      <c r="Q363">
        <v>1.8179000000000001E-2</v>
      </c>
      <c r="R363">
        <v>1.5389999999999999E-2</v>
      </c>
      <c r="S363">
        <v>1.4246E-2</v>
      </c>
      <c r="T363">
        <v>1.3323E-2</v>
      </c>
      <c r="U363">
        <v>2.6027000000000002E-2</v>
      </c>
      <c r="V363">
        <v>7.9240000000000005E-3</v>
      </c>
      <c r="W363">
        <v>9.6889999999999997E-3</v>
      </c>
      <c r="X363">
        <v>1.6837000000000001E-2</v>
      </c>
      <c r="Y363">
        <v>2.1512E-2</v>
      </c>
      <c r="Z363">
        <v>2.9638999999999999E-2</v>
      </c>
      <c r="AA363">
        <v>3.1442999999999999E-2</v>
      </c>
      <c r="AB363">
        <v>1.7654E-2</v>
      </c>
    </row>
    <row r="364" spans="1:28" x14ac:dyDescent="0.2">
      <c r="A364">
        <v>19620330</v>
      </c>
      <c r="B364">
        <v>1962</v>
      </c>
      <c r="C364">
        <v>3</v>
      </c>
      <c r="D364">
        <v>-1.6943E-2</v>
      </c>
      <c r="E364">
        <v>1.6768999999999999E-2</v>
      </c>
      <c r="F364">
        <v>1.3384E-2</v>
      </c>
      <c r="G364">
        <v>1.0777999999999999E-2</v>
      </c>
      <c r="H364">
        <v>-4.9100000000000001E-4</v>
      </c>
      <c r="I364">
        <v>-5.1800000000000001E-4</v>
      </c>
      <c r="J364">
        <v>9.9279999999999993E-3</v>
      </c>
      <c r="K364">
        <v>-1.0324E-2</v>
      </c>
      <c r="L364">
        <v>-1.3592999999999999E-2</v>
      </c>
      <c r="M364">
        <v>-9.5110000000000004E-3</v>
      </c>
      <c r="N364">
        <v>2.588E-3</v>
      </c>
      <c r="O364">
        <v>8.2380000000000005E-3</v>
      </c>
      <c r="P364">
        <v>-4.2589999999999998E-3</v>
      </c>
      <c r="Q364">
        <v>-1.9727999999999999E-2</v>
      </c>
      <c r="R364">
        <v>-8.7609999999999997E-3</v>
      </c>
      <c r="S364">
        <v>-1.5990000000000001E-2</v>
      </c>
      <c r="T364">
        <v>-8.1320000000000003E-3</v>
      </c>
      <c r="U364">
        <v>-6.8149999999999999E-3</v>
      </c>
      <c r="V364">
        <v>-3.692E-3</v>
      </c>
      <c r="W364">
        <v>-2.4478E-2</v>
      </c>
      <c r="X364">
        <v>3.2260000000000001E-3</v>
      </c>
      <c r="Y364">
        <v>-8.4460000000000004E-3</v>
      </c>
      <c r="Z364">
        <v>-4.1089999999999998E-3</v>
      </c>
      <c r="AA364">
        <v>-1.0702E-2</v>
      </c>
      <c r="AB364">
        <v>-3.6415000000000003E-2</v>
      </c>
    </row>
    <row r="365" spans="1:28" x14ac:dyDescent="0.2">
      <c r="A365">
        <v>19620430</v>
      </c>
      <c r="B365">
        <v>1962</v>
      </c>
      <c r="C365">
        <v>4</v>
      </c>
      <c r="D365">
        <v>-8.3520999999999998E-2</v>
      </c>
      <c r="E365">
        <v>-7.9241000000000006E-2</v>
      </c>
      <c r="F365">
        <v>-7.1008000000000002E-2</v>
      </c>
      <c r="G365">
        <v>-7.7908000000000005E-2</v>
      </c>
      <c r="H365">
        <v>-6.7761000000000002E-2</v>
      </c>
      <c r="I365">
        <v>-7.8551999999999997E-2</v>
      </c>
      <c r="J365">
        <v>-7.0430000000000006E-2</v>
      </c>
      <c r="K365">
        <v>-8.2512000000000002E-2</v>
      </c>
      <c r="L365">
        <v>-6.7082000000000003E-2</v>
      </c>
      <c r="M365">
        <v>-6.2049E-2</v>
      </c>
      <c r="N365">
        <v>-5.6745999999999998E-2</v>
      </c>
      <c r="O365">
        <v>-4.0185999999999999E-2</v>
      </c>
      <c r="P365">
        <v>-7.3157E-2</v>
      </c>
      <c r="Q365">
        <v>-6.4069000000000001E-2</v>
      </c>
      <c r="R365">
        <v>-6.4890000000000003E-2</v>
      </c>
      <c r="S365">
        <v>-6.7511000000000002E-2</v>
      </c>
      <c r="T365">
        <v>-6.4434000000000005E-2</v>
      </c>
      <c r="U365">
        <v>-6.9860000000000005E-2</v>
      </c>
      <c r="V365">
        <v>-7.8315999999999997E-2</v>
      </c>
      <c r="W365">
        <v>-5.5768999999999999E-2</v>
      </c>
      <c r="X365">
        <v>-7.9851000000000005E-2</v>
      </c>
      <c r="Y365">
        <v>-5.0324000000000001E-2</v>
      </c>
      <c r="Z365">
        <v>-5.4073000000000003E-2</v>
      </c>
      <c r="AA365">
        <v>-5.6524999999999999E-2</v>
      </c>
      <c r="AB365">
        <v>-5.4892999999999997E-2</v>
      </c>
    </row>
    <row r="366" spans="1:28" x14ac:dyDescent="0.2">
      <c r="A366">
        <v>19620531</v>
      </c>
      <c r="B366">
        <v>1962</v>
      </c>
      <c r="C366">
        <v>5</v>
      </c>
      <c r="D366">
        <v>-0.109108</v>
      </c>
      <c r="E366">
        <v>-0.11056199999999999</v>
      </c>
      <c r="F366">
        <v>-0.10670200000000001</v>
      </c>
      <c r="G366">
        <v>-7.7046000000000003E-2</v>
      </c>
      <c r="H366">
        <v>-0.111552</v>
      </c>
      <c r="I366">
        <v>-0.123042</v>
      </c>
      <c r="J366">
        <v>-0.110775</v>
      </c>
      <c r="K366">
        <v>-9.1393000000000002E-2</v>
      </c>
      <c r="L366">
        <v>-9.5231999999999997E-2</v>
      </c>
      <c r="M366">
        <v>-0.10886999999999999</v>
      </c>
      <c r="N366">
        <v>-0.130718</v>
      </c>
      <c r="O366">
        <v>-0.100867</v>
      </c>
      <c r="P366">
        <v>-0.110996</v>
      </c>
      <c r="Q366">
        <v>-0.106433</v>
      </c>
      <c r="R366">
        <v>-8.8437000000000002E-2</v>
      </c>
      <c r="S366">
        <v>-0.131138</v>
      </c>
      <c r="T366">
        <v>-9.0047000000000002E-2</v>
      </c>
      <c r="U366">
        <v>-8.3390000000000006E-2</v>
      </c>
      <c r="V366">
        <v>-5.0525E-2</v>
      </c>
      <c r="W366">
        <v>-7.2191000000000005E-2</v>
      </c>
      <c r="X366">
        <v>-0.103187</v>
      </c>
      <c r="Y366">
        <v>-7.2223999999999997E-2</v>
      </c>
      <c r="Z366">
        <v>-5.1142E-2</v>
      </c>
      <c r="AA366">
        <v>-5.6834000000000003E-2</v>
      </c>
      <c r="AB366">
        <v>-5.9373000000000002E-2</v>
      </c>
    </row>
    <row r="367" spans="1:28" x14ac:dyDescent="0.2">
      <c r="A367">
        <v>19620629</v>
      </c>
      <c r="B367">
        <v>1962</v>
      </c>
      <c r="C367">
        <v>6</v>
      </c>
      <c r="D367">
        <v>-1.1322E-2</v>
      </c>
      <c r="E367">
        <v>-6.8335999999999994E-2</v>
      </c>
      <c r="F367">
        <v>-7.7851000000000004E-2</v>
      </c>
      <c r="G367">
        <v>-7.4479000000000004E-2</v>
      </c>
      <c r="H367">
        <v>-7.3521000000000003E-2</v>
      </c>
      <c r="I367">
        <v>-0.12570000000000001</v>
      </c>
      <c r="J367">
        <v>-9.0140999999999999E-2</v>
      </c>
      <c r="K367">
        <v>-6.7483000000000001E-2</v>
      </c>
      <c r="L367">
        <v>-5.8848999999999999E-2</v>
      </c>
      <c r="M367">
        <v>-7.4202000000000004E-2</v>
      </c>
      <c r="N367">
        <v>-8.4861000000000006E-2</v>
      </c>
      <c r="O367">
        <v>-7.3492000000000002E-2</v>
      </c>
      <c r="P367">
        <v>-9.1919000000000001E-2</v>
      </c>
      <c r="Q367">
        <v>-6.0689E-2</v>
      </c>
      <c r="R367">
        <v>-7.0963999999999999E-2</v>
      </c>
      <c r="S367">
        <v>-0.105879</v>
      </c>
      <c r="T367">
        <v>-8.8631000000000001E-2</v>
      </c>
      <c r="U367">
        <v>-6.5758999999999998E-2</v>
      </c>
      <c r="V367">
        <v>-8.6420999999999998E-2</v>
      </c>
      <c r="W367">
        <v>-7.5684000000000001E-2</v>
      </c>
      <c r="X367">
        <v>-0.104944</v>
      </c>
      <c r="Y367">
        <v>-7.2555999999999995E-2</v>
      </c>
      <c r="Z367">
        <v>-6.3577999999999996E-2</v>
      </c>
      <c r="AA367">
        <v>-5.4380999999999999E-2</v>
      </c>
      <c r="AB367">
        <v>-6.9260000000000002E-2</v>
      </c>
    </row>
    <row r="368" spans="1:28" x14ac:dyDescent="0.2">
      <c r="A368">
        <v>19620731</v>
      </c>
      <c r="B368">
        <v>1962</v>
      </c>
      <c r="C368">
        <v>7</v>
      </c>
      <c r="D368">
        <v>9.6254000000000006E-2</v>
      </c>
      <c r="E368">
        <v>9.4237000000000001E-2</v>
      </c>
      <c r="F368">
        <v>8.5544999999999996E-2</v>
      </c>
      <c r="G368">
        <v>5.5885999999999998E-2</v>
      </c>
      <c r="H368">
        <v>7.6304999999999998E-2</v>
      </c>
      <c r="I368">
        <v>6.8331000000000003E-2</v>
      </c>
      <c r="J368">
        <v>6.4439999999999997E-2</v>
      </c>
      <c r="K368">
        <v>7.7868999999999994E-2</v>
      </c>
      <c r="L368">
        <v>5.1977000000000002E-2</v>
      </c>
      <c r="M368">
        <v>8.6771000000000001E-2</v>
      </c>
      <c r="N368">
        <v>9.9774000000000002E-2</v>
      </c>
      <c r="O368">
        <v>3.7631999999999999E-2</v>
      </c>
      <c r="P368">
        <v>4.3584999999999999E-2</v>
      </c>
      <c r="Q368">
        <v>3.7463999999999997E-2</v>
      </c>
      <c r="R368">
        <v>6.9555000000000006E-2</v>
      </c>
      <c r="S368">
        <v>7.6286000000000007E-2</v>
      </c>
      <c r="T368">
        <v>5.9304999999999997E-2</v>
      </c>
      <c r="U368">
        <v>4.7795999999999998E-2</v>
      </c>
      <c r="V368">
        <v>4.8348000000000002E-2</v>
      </c>
      <c r="W368">
        <v>4.5054999999999998E-2</v>
      </c>
      <c r="X368">
        <v>8.6292999999999995E-2</v>
      </c>
      <c r="Y368">
        <v>6.5701999999999997E-2</v>
      </c>
      <c r="Z368">
        <v>4.7384000000000003E-2</v>
      </c>
      <c r="AA368">
        <v>1.8273000000000001E-2</v>
      </c>
      <c r="AB368">
        <v>3.2939999999999997E-2</v>
      </c>
    </row>
    <row r="369" spans="1:28" x14ac:dyDescent="0.2">
      <c r="A369">
        <v>19620831</v>
      </c>
      <c r="B369">
        <v>1962</v>
      </c>
      <c r="C369">
        <v>8</v>
      </c>
      <c r="D369">
        <v>9.5639000000000002E-2</v>
      </c>
      <c r="E369">
        <v>2.5177000000000001E-2</v>
      </c>
      <c r="F369">
        <v>3.9597E-2</v>
      </c>
      <c r="G369">
        <v>9.4070000000000004E-3</v>
      </c>
      <c r="H369">
        <v>2.8399000000000001E-2</v>
      </c>
      <c r="I369">
        <v>7.6907000000000003E-2</v>
      </c>
      <c r="J369">
        <v>1.728E-2</v>
      </c>
      <c r="K369">
        <v>4.6482000000000002E-2</v>
      </c>
      <c r="L369">
        <v>2.7959000000000001E-2</v>
      </c>
      <c r="M369">
        <v>2.2471000000000001E-2</v>
      </c>
      <c r="N369">
        <v>2.9857999999999999E-2</v>
      </c>
      <c r="O369">
        <v>3.5576999999999998E-2</v>
      </c>
      <c r="P369">
        <v>3.4224999999999998E-2</v>
      </c>
      <c r="Q369">
        <v>2.0694000000000001E-2</v>
      </c>
      <c r="R369">
        <v>1.2326E-2</v>
      </c>
      <c r="S369">
        <v>3.1918000000000002E-2</v>
      </c>
      <c r="T369">
        <v>3.2008000000000002E-2</v>
      </c>
      <c r="U369">
        <v>1.5990999999999998E-2</v>
      </c>
      <c r="V369">
        <v>3.5325000000000002E-2</v>
      </c>
      <c r="W369">
        <v>9.9270000000000001E-3</v>
      </c>
      <c r="X369">
        <v>2.7656E-2</v>
      </c>
      <c r="Y369">
        <v>2.2658000000000001E-2</v>
      </c>
      <c r="Z369">
        <v>1.1021E-2</v>
      </c>
      <c r="AA369">
        <v>1.0824E-2</v>
      </c>
      <c r="AB369">
        <v>3.6832999999999998E-2</v>
      </c>
    </row>
    <row r="370" spans="1:28" x14ac:dyDescent="0.2">
      <c r="A370">
        <v>19620928</v>
      </c>
      <c r="B370">
        <v>1962</v>
      </c>
      <c r="C370">
        <v>9</v>
      </c>
      <c r="D370">
        <v>-8.5874000000000006E-2</v>
      </c>
      <c r="E370">
        <v>-8.6871000000000004E-2</v>
      </c>
      <c r="F370">
        <v>-9.5770999999999995E-2</v>
      </c>
      <c r="G370">
        <v>-5.289E-2</v>
      </c>
      <c r="H370">
        <v>-6.4208000000000001E-2</v>
      </c>
      <c r="I370">
        <v>-8.2248000000000002E-2</v>
      </c>
      <c r="J370">
        <v>-5.3412000000000001E-2</v>
      </c>
      <c r="K370">
        <v>-7.8555E-2</v>
      </c>
      <c r="L370">
        <v>-6.4060000000000006E-2</v>
      </c>
      <c r="M370">
        <v>-7.8641000000000003E-2</v>
      </c>
      <c r="N370">
        <v>-9.3778E-2</v>
      </c>
      <c r="O370">
        <v>-5.9327999999999999E-2</v>
      </c>
      <c r="P370">
        <v>-4.6556E-2</v>
      </c>
      <c r="Q370">
        <v>-6.5202999999999997E-2</v>
      </c>
      <c r="R370">
        <v>-5.2872000000000002E-2</v>
      </c>
      <c r="S370">
        <v>-5.7290000000000001E-2</v>
      </c>
      <c r="T370">
        <v>-4.3324000000000001E-2</v>
      </c>
      <c r="U370">
        <v>-4.4934000000000002E-2</v>
      </c>
      <c r="V370">
        <v>-6.7974999999999994E-2</v>
      </c>
      <c r="W370">
        <v>-5.1292999999999998E-2</v>
      </c>
      <c r="X370">
        <v>-5.2368999999999999E-2</v>
      </c>
      <c r="Y370">
        <v>-4.5594000000000003E-2</v>
      </c>
      <c r="Z370">
        <v>-4.0751000000000002E-2</v>
      </c>
      <c r="AA370">
        <v>-4.2417000000000003E-2</v>
      </c>
      <c r="AB370">
        <v>-4.6272000000000001E-2</v>
      </c>
    </row>
    <row r="371" spans="1:28" x14ac:dyDescent="0.2">
      <c r="A371">
        <v>19621031</v>
      </c>
      <c r="B371">
        <v>1962</v>
      </c>
      <c r="C371">
        <v>10</v>
      </c>
      <c r="D371">
        <v>-0.103725</v>
      </c>
      <c r="E371">
        <v>-7.3862999999999998E-2</v>
      </c>
      <c r="F371">
        <v>-3.5527000000000003E-2</v>
      </c>
      <c r="G371">
        <v>-5.2197E-2</v>
      </c>
      <c r="H371">
        <v>-2.4743000000000001E-2</v>
      </c>
      <c r="I371">
        <v>-4.7858999999999999E-2</v>
      </c>
      <c r="J371">
        <v>-5.2714999999999998E-2</v>
      </c>
      <c r="K371">
        <v>-4.4516E-2</v>
      </c>
      <c r="L371">
        <v>-1.243E-2</v>
      </c>
      <c r="M371">
        <v>-1.0134000000000001E-2</v>
      </c>
      <c r="N371">
        <v>-4.5469999999999997E-2</v>
      </c>
      <c r="O371">
        <v>-1.4531000000000001E-2</v>
      </c>
      <c r="P371">
        <v>-1.5020000000000001E-3</v>
      </c>
      <c r="Q371">
        <v>-1.5609E-2</v>
      </c>
      <c r="R371">
        <v>-1.2947E-2</v>
      </c>
      <c r="S371">
        <v>-3.2323999999999999E-2</v>
      </c>
      <c r="T371">
        <v>-3.3440000000000002E-3</v>
      </c>
      <c r="U371">
        <v>-4.372E-3</v>
      </c>
      <c r="V371">
        <v>-2.7869000000000001E-2</v>
      </c>
      <c r="W371">
        <v>1.2829E-2</v>
      </c>
      <c r="X371">
        <v>1.2758E-2</v>
      </c>
      <c r="Y371">
        <v>8.8100000000000001E-3</v>
      </c>
      <c r="Z371">
        <v>5.3070000000000001E-3</v>
      </c>
      <c r="AA371">
        <v>-1.593E-3</v>
      </c>
      <c r="AB371">
        <v>2.1041000000000001E-2</v>
      </c>
    </row>
    <row r="372" spans="1:28" x14ac:dyDescent="0.2">
      <c r="A372">
        <v>19621130</v>
      </c>
      <c r="B372">
        <v>1962</v>
      </c>
      <c r="C372">
        <v>11</v>
      </c>
      <c r="D372">
        <v>0.146563</v>
      </c>
      <c r="E372">
        <v>0.16736599999999999</v>
      </c>
      <c r="F372">
        <v>0.12175999999999999</v>
      </c>
      <c r="G372">
        <v>0.15002499999999999</v>
      </c>
      <c r="H372">
        <v>0.138847</v>
      </c>
      <c r="I372">
        <v>0.149677</v>
      </c>
      <c r="J372">
        <v>0.15981200000000001</v>
      </c>
      <c r="K372">
        <v>0.111014</v>
      </c>
      <c r="L372">
        <v>0.14551800000000001</v>
      </c>
      <c r="M372">
        <v>0.15621199999999999</v>
      </c>
      <c r="N372">
        <v>0.160636</v>
      </c>
      <c r="O372">
        <v>0.11704000000000001</v>
      </c>
      <c r="P372">
        <v>0.121853</v>
      </c>
      <c r="Q372">
        <v>0.14005899999999999</v>
      </c>
      <c r="R372">
        <v>0.133072</v>
      </c>
      <c r="S372">
        <v>0.145345</v>
      </c>
      <c r="T372">
        <v>0.115689</v>
      </c>
      <c r="U372">
        <v>0.119185</v>
      </c>
      <c r="V372">
        <v>0.118657</v>
      </c>
      <c r="W372">
        <v>0.16892399999999999</v>
      </c>
      <c r="X372">
        <v>0.10991099999999999</v>
      </c>
      <c r="Y372">
        <v>9.1083999999999998E-2</v>
      </c>
      <c r="Z372">
        <v>0.111427</v>
      </c>
      <c r="AA372">
        <v>0.119882</v>
      </c>
      <c r="AB372">
        <v>0.140759</v>
      </c>
    </row>
    <row r="373" spans="1:28" x14ac:dyDescent="0.2">
      <c r="A373">
        <v>19621231</v>
      </c>
      <c r="B373">
        <v>1962</v>
      </c>
      <c r="C373">
        <v>12</v>
      </c>
      <c r="D373">
        <v>-3.3177999999999999E-2</v>
      </c>
      <c r="E373">
        <v>-4.8389000000000001E-2</v>
      </c>
      <c r="F373">
        <v>-4.2640000000000004E-3</v>
      </c>
      <c r="G373">
        <v>-2.3113999999999999E-2</v>
      </c>
      <c r="H373">
        <v>-2.2981999999999999E-2</v>
      </c>
      <c r="I373">
        <v>-2.9097000000000001E-2</v>
      </c>
      <c r="J373">
        <v>-7.5339999999999999E-3</v>
      </c>
      <c r="K373">
        <v>-1.3867000000000001E-2</v>
      </c>
      <c r="L373">
        <v>-1.9095999999999998E-2</v>
      </c>
      <c r="M373">
        <v>-3.8608999999999997E-2</v>
      </c>
      <c r="N373">
        <v>-3.1586000000000003E-2</v>
      </c>
      <c r="O373">
        <v>1.2893999999999999E-2</v>
      </c>
      <c r="P373">
        <v>-1.0158E-2</v>
      </c>
      <c r="Q373">
        <v>-2.0604000000000001E-2</v>
      </c>
      <c r="R373">
        <v>-1.3272000000000001E-2</v>
      </c>
      <c r="S373">
        <v>1.1069999999999999E-3</v>
      </c>
      <c r="T373">
        <v>1.2128999999999999E-2</v>
      </c>
      <c r="U373">
        <v>1.3924000000000001E-2</v>
      </c>
      <c r="V373">
        <v>-1.1001E-2</v>
      </c>
      <c r="W373">
        <v>2.0917000000000002E-2</v>
      </c>
      <c r="X373">
        <v>1.3696E-2</v>
      </c>
      <c r="Y373">
        <v>2.5641000000000001E-2</v>
      </c>
      <c r="Z373">
        <v>2.3349999999999999E-2</v>
      </c>
      <c r="AA373">
        <v>-3.9029999999999998E-3</v>
      </c>
      <c r="AB373">
        <v>9.5320000000000005E-3</v>
      </c>
    </row>
    <row r="374" spans="1:28" x14ac:dyDescent="0.2">
      <c r="A374">
        <v>19630131</v>
      </c>
      <c r="B374">
        <v>1963</v>
      </c>
      <c r="C374">
        <v>1</v>
      </c>
      <c r="D374">
        <v>0.13015199999999999</v>
      </c>
      <c r="E374">
        <v>0.114413</v>
      </c>
      <c r="F374">
        <v>9.6911999999999998E-2</v>
      </c>
      <c r="G374">
        <v>0.10859099999999999</v>
      </c>
      <c r="H374">
        <v>0.111301</v>
      </c>
      <c r="I374">
        <v>7.6263999999999998E-2</v>
      </c>
      <c r="J374">
        <v>5.8133999999999998E-2</v>
      </c>
      <c r="K374">
        <v>7.6104000000000005E-2</v>
      </c>
      <c r="L374">
        <v>8.2475999999999994E-2</v>
      </c>
      <c r="M374">
        <v>0.111121</v>
      </c>
      <c r="N374">
        <v>6.3714000000000007E-2</v>
      </c>
      <c r="O374">
        <v>5.6481000000000003E-2</v>
      </c>
      <c r="P374">
        <v>4.8751000000000003E-2</v>
      </c>
      <c r="Q374">
        <v>8.8909000000000002E-2</v>
      </c>
      <c r="R374">
        <v>9.3267000000000003E-2</v>
      </c>
      <c r="S374">
        <v>5.3772E-2</v>
      </c>
      <c r="T374">
        <v>4.8927999999999999E-2</v>
      </c>
      <c r="U374">
        <v>5.8903999999999998E-2</v>
      </c>
      <c r="V374">
        <v>9.5267000000000004E-2</v>
      </c>
      <c r="W374">
        <v>6.8477999999999997E-2</v>
      </c>
      <c r="X374">
        <v>5.2545000000000001E-2</v>
      </c>
      <c r="Y374">
        <v>4.0939000000000003E-2</v>
      </c>
      <c r="Z374">
        <v>3.4585999999999999E-2</v>
      </c>
      <c r="AA374">
        <v>6.9684999999999997E-2</v>
      </c>
      <c r="AB374">
        <v>5.6530999999999998E-2</v>
      </c>
    </row>
    <row r="375" spans="1:28" x14ac:dyDescent="0.2">
      <c r="A375">
        <v>19630228</v>
      </c>
      <c r="B375">
        <v>1963</v>
      </c>
      <c r="C375">
        <v>2</v>
      </c>
      <c r="D375">
        <v>-3.2468999999999998E-2</v>
      </c>
      <c r="E375">
        <v>-3.4930000000000003E-2</v>
      </c>
      <c r="F375">
        <v>-8.6560000000000005E-3</v>
      </c>
      <c r="G375">
        <v>-8.1110000000000002E-3</v>
      </c>
      <c r="H375">
        <v>2.784E-2</v>
      </c>
      <c r="I375">
        <v>-4.0189999999999997E-2</v>
      </c>
      <c r="J375">
        <v>-1.8893E-2</v>
      </c>
      <c r="K375">
        <v>-2.3979E-2</v>
      </c>
      <c r="L375">
        <v>-1.5349E-2</v>
      </c>
      <c r="M375">
        <v>-8.7600000000000004E-4</v>
      </c>
      <c r="N375">
        <v>-3.7617999999999999E-2</v>
      </c>
      <c r="O375">
        <v>-1.2599000000000001E-2</v>
      </c>
      <c r="P375">
        <v>-6.3670000000000003E-3</v>
      </c>
      <c r="Q375">
        <v>-2.5285999999999999E-2</v>
      </c>
      <c r="R375">
        <v>8.9429999999999996E-3</v>
      </c>
      <c r="S375">
        <v>-3.3334999999999997E-2</v>
      </c>
      <c r="T375">
        <v>-1.3261999999999999E-2</v>
      </c>
      <c r="U375">
        <v>-8.4729999999999996E-3</v>
      </c>
      <c r="V375">
        <v>-1.6018999999999999E-2</v>
      </c>
      <c r="W375">
        <v>2.5999999999999998E-5</v>
      </c>
      <c r="X375">
        <v>-3.2384000000000003E-2</v>
      </c>
      <c r="Y375">
        <v>-1.6639000000000001E-2</v>
      </c>
      <c r="Z375">
        <v>-2.0482E-2</v>
      </c>
      <c r="AA375">
        <v>-1.1946E-2</v>
      </c>
      <c r="AB375">
        <v>-1.1690000000000001E-2</v>
      </c>
    </row>
    <row r="376" spans="1:28" x14ac:dyDescent="0.2">
      <c r="A376">
        <v>19630329</v>
      </c>
      <c r="B376">
        <v>1963</v>
      </c>
      <c r="C376">
        <v>3</v>
      </c>
      <c r="D376">
        <v>4.9800999999999998E-2</v>
      </c>
      <c r="E376">
        <v>-1.4732E-2</v>
      </c>
      <c r="F376">
        <v>-5.8599999999999998E-3</v>
      </c>
      <c r="G376">
        <v>1.4484E-2</v>
      </c>
      <c r="H376">
        <v>2.5845E-2</v>
      </c>
      <c r="I376">
        <v>-1.5900000000000001E-3</v>
      </c>
      <c r="J376">
        <v>1.1802999999999999E-2</v>
      </c>
      <c r="K376">
        <v>1.2422000000000001E-2</v>
      </c>
      <c r="L376">
        <v>3.0095E-2</v>
      </c>
      <c r="M376">
        <v>1.3122E-2</v>
      </c>
      <c r="N376">
        <v>-4.5800000000000002E-4</v>
      </c>
      <c r="O376">
        <v>1.5539000000000001E-2</v>
      </c>
      <c r="P376">
        <v>1.1237E-2</v>
      </c>
      <c r="Q376">
        <v>3.5742000000000003E-2</v>
      </c>
      <c r="R376">
        <v>1.7276E-2</v>
      </c>
      <c r="S376">
        <v>2.1666999999999999E-2</v>
      </c>
      <c r="T376">
        <v>1.7156000000000001E-2</v>
      </c>
      <c r="U376">
        <v>2.8014000000000001E-2</v>
      </c>
      <c r="V376">
        <v>4.0432000000000003E-2</v>
      </c>
      <c r="W376">
        <v>3.3494999999999997E-2</v>
      </c>
      <c r="X376">
        <v>3.7213000000000003E-2</v>
      </c>
      <c r="Y376">
        <v>2.8320000000000001E-2</v>
      </c>
      <c r="Z376">
        <v>4.5744E-2</v>
      </c>
      <c r="AA376">
        <v>5.1545000000000001E-2</v>
      </c>
      <c r="AB376">
        <v>5.0548999999999997E-2</v>
      </c>
    </row>
    <row r="377" spans="1:28" x14ac:dyDescent="0.2">
      <c r="A377">
        <v>19630430</v>
      </c>
      <c r="B377">
        <v>1963</v>
      </c>
      <c r="C377">
        <v>4</v>
      </c>
      <c r="D377">
        <v>4.7964E-2</v>
      </c>
      <c r="E377">
        <v>1.4984000000000001E-2</v>
      </c>
      <c r="F377">
        <v>2.2766000000000002E-2</v>
      </c>
      <c r="G377">
        <v>3.4424999999999997E-2</v>
      </c>
      <c r="H377">
        <v>2.7931999999999998E-2</v>
      </c>
      <c r="I377">
        <v>2.3307000000000001E-2</v>
      </c>
      <c r="J377">
        <v>5.3164000000000003E-2</v>
      </c>
      <c r="K377">
        <v>5.9280000000000001E-3</v>
      </c>
      <c r="L377">
        <v>4.1701000000000002E-2</v>
      </c>
      <c r="M377">
        <v>5.9906000000000001E-2</v>
      </c>
      <c r="N377">
        <v>3.5645999999999997E-2</v>
      </c>
      <c r="O377">
        <v>3.9366999999999999E-2</v>
      </c>
      <c r="P377">
        <v>3.2273000000000003E-2</v>
      </c>
      <c r="Q377">
        <v>3.2578999999999997E-2</v>
      </c>
      <c r="R377">
        <v>5.1081000000000001E-2</v>
      </c>
      <c r="S377">
        <v>4.2999999999999997E-2</v>
      </c>
      <c r="T377">
        <v>3.3345E-2</v>
      </c>
      <c r="U377">
        <v>4.9312000000000002E-2</v>
      </c>
      <c r="V377">
        <v>6.9278000000000006E-2</v>
      </c>
      <c r="W377">
        <v>5.1381999999999997E-2</v>
      </c>
      <c r="X377">
        <v>4.8471E-2</v>
      </c>
      <c r="Y377">
        <v>4.1444000000000002E-2</v>
      </c>
      <c r="Z377">
        <v>5.9790999999999997E-2</v>
      </c>
      <c r="AA377">
        <v>4.3067000000000001E-2</v>
      </c>
      <c r="AB377">
        <v>8.4429000000000004E-2</v>
      </c>
    </row>
    <row r="378" spans="1:28" x14ac:dyDescent="0.2">
      <c r="A378">
        <v>19630531</v>
      </c>
      <c r="B378">
        <v>1963</v>
      </c>
      <c r="C378">
        <v>5</v>
      </c>
      <c r="D378">
        <v>3.3928E-2</v>
      </c>
      <c r="E378">
        <v>1.6754000000000002E-2</v>
      </c>
      <c r="F378">
        <v>2.7684E-2</v>
      </c>
      <c r="G378">
        <v>4.0797E-2</v>
      </c>
      <c r="H378">
        <v>7.9308000000000003E-2</v>
      </c>
      <c r="I378">
        <v>2.0924999999999999E-2</v>
      </c>
      <c r="J378">
        <v>2.7319E-2</v>
      </c>
      <c r="K378">
        <v>9.1730000000000006E-3</v>
      </c>
      <c r="L378">
        <v>4.8394E-2</v>
      </c>
      <c r="M378">
        <v>4.6679999999999999E-2</v>
      </c>
      <c r="N378">
        <v>2.3531E-2</v>
      </c>
      <c r="O378">
        <v>2.1090000000000001E-2</v>
      </c>
      <c r="P378">
        <v>2.5434999999999999E-2</v>
      </c>
      <c r="Q378">
        <v>5.1610999999999997E-2</v>
      </c>
      <c r="R378">
        <v>6.0379000000000002E-2</v>
      </c>
      <c r="S378">
        <v>1.6070999999999998E-2</v>
      </c>
      <c r="T378">
        <v>1.5685000000000001E-2</v>
      </c>
      <c r="U378">
        <v>1.9619999999999999E-2</v>
      </c>
      <c r="V378">
        <v>4.3263000000000003E-2</v>
      </c>
      <c r="W378">
        <v>3.6880999999999997E-2</v>
      </c>
      <c r="X378">
        <v>3.1848000000000001E-2</v>
      </c>
      <c r="Y378">
        <v>-3.3119999999999998E-3</v>
      </c>
      <c r="Z378">
        <v>1.8176999999999999E-2</v>
      </c>
      <c r="AA378">
        <v>1.7024000000000001E-2</v>
      </c>
      <c r="AB378">
        <v>5.7726E-2</v>
      </c>
    </row>
    <row r="379" spans="1:28" x14ac:dyDescent="0.2">
      <c r="A379">
        <v>19630628</v>
      </c>
      <c r="B379">
        <v>1963</v>
      </c>
      <c r="C379">
        <v>6</v>
      </c>
      <c r="D379">
        <v>3.7733000000000003E-2</v>
      </c>
      <c r="E379">
        <v>-1.1742000000000001E-2</v>
      </c>
      <c r="F379">
        <v>-1.4785E-2</v>
      </c>
      <c r="G379">
        <v>-2.5877000000000001E-2</v>
      </c>
      <c r="H379">
        <v>-1.0411999999999999E-2</v>
      </c>
      <c r="I379">
        <v>-2.5300000000000002E-4</v>
      </c>
      <c r="J379">
        <v>-1.7395999999999998E-2</v>
      </c>
      <c r="K379">
        <v>-2.0532999999999999E-2</v>
      </c>
      <c r="L379">
        <v>-1.7745E-2</v>
      </c>
      <c r="M379">
        <v>-1.8171E-2</v>
      </c>
      <c r="N379">
        <v>-1.3027E-2</v>
      </c>
      <c r="O379">
        <v>-7.0590000000000002E-3</v>
      </c>
      <c r="P379">
        <v>-1.9434E-2</v>
      </c>
      <c r="Q379">
        <v>-2.896E-2</v>
      </c>
      <c r="R379">
        <v>-1.0548999999999999E-2</v>
      </c>
      <c r="S379">
        <v>-1.3658E-2</v>
      </c>
      <c r="T379">
        <v>-1.3842999999999999E-2</v>
      </c>
      <c r="U379">
        <v>-2.6631999999999999E-2</v>
      </c>
      <c r="V379">
        <v>-2.9751E-2</v>
      </c>
      <c r="W379">
        <v>1.0207000000000001E-2</v>
      </c>
      <c r="X379">
        <v>-3.2029000000000002E-2</v>
      </c>
      <c r="Y379">
        <v>-9.6629999999999997E-3</v>
      </c>
      <c r="Z379">
        <v>-7.4469999999999996E-3</v>
      </c>
      <c r="AA379">
        <v>-1.3305000000000001E-2</v>
      </c>
      <c r="AB379">
        <v>-3.5899999999999999E-3</v>
      </c>
    </row>
    <row r="380" spans="1:28" x14ac:dyDescent="0.2">
      <c r="A380">
        <v>19630731</v>
      </c>
      <c r="B380">
        <v>1963</v>
      </c>
      <c r="C380">
        <v>7</v>
      </c>
      <c r="D380">
        <v>1.1233999999999999E-2</v>
      </c>
      <c r="E380">
        <v>-1.4809999999999999E-3</v>
      </c>
      <c r="F380">
        <v>5.5630000000000002E-3</v>
      </c>
      <c r="G380">
        <v>1.0970000000000001E-3</v>
      </c>
      <c r="H380">
        <v>-1.3212E-2</v>
      </c>
      <c r="I380">
        <v>-1.8721000000000002E-2</v>
      </c>
      <c r="J380">
        <v>2.9450000000000001E-3</v>
      </c>
      <c r="K380">
        <v>-8.4449999999999994E-3</v>
      </c>
      <c r="L380">
        <v>-1.9643999999999998E-2</v>
      </c>
      <c r="M380">
        <v>-1.1889E-2</v>
      </c>
      <c r="N380">
        <v>-2.3295E-2</v>
      </c>
      <c r="O380">
        <v>-1.3042E-2</v>
      </c>
      <c r="P380">
        <v>-7.9670000000000001E-3</v>
      </c>
      <c r="Q380">
        <v>-2.2304999999999998E-2</v>
      </c>
      <c r="R380">
        <v>-1.7984E-2</v>
      </c>
      <c r="S380">
        <v>-8.456E-3</v>
      </c>
      <c r="T380">
        <v>-1.7052000000000001E-2</v>
      </c>
      <c r="U380">
        <v>-2.0042000000000001E-2</v>
      </c>
      <c r="V380">
        <v>-1.6657000000000002E-2</v>
      </c>
      <c r="W380">
        <v>-1.8567E-2</v>
      </c>
      <c r="X380">
        <v>1.4009999999999999E-3</v>
      </c>
      <c r="Y380">
        <v>4.5240000000000002E-3</v>
      </c>
      <c r="Z380">
        <v>1.2557E-2</v>
      </c>
      <c r="AA380">
        <v>-4.2900000000000004E-3</v>
      </c>
      <c r="AB380">
        <v>-1.1025999999999999E-2</v>
      </c>
    </row>
    <row r="381" spans="1:28" x14ac:dyDescent="0.2">
      <c r="A381">
        <v>19630830</v>
      </c>
      <c r="B381">
        <v>1963</v>
      </c>
      <c r="C381">
        <v>8</v>
      </c>
      <c r="D381">
        <v>4.2429000000000001E-2</v>
      </c>
      <c r="E381">
        <v>1.4831E-2</v>
      </c>
      <c r="F381">
        <v>1.3214E-2</v>
      </c>
      <c r="G381">
        <v>2.3701E-2</v>
      </c>
      <c r="H381">
        <v>4.6745000000000002E-2</v>
      </c>
      <c r="I381">
        <v>5.3983000000000003E-2</v>
      </c>
      <c r="J381">
        <v>4.6462000000000003E-2</v>
      </c>
      <c r="K381">
        <v>4.3638999999999997E-2</v>
      </c>
      <c r="L381">
        <v>4.4187999999999998E-2</v>
      </c>
      <c r="M381">
        <v>8.2328999999999999E-2</v>
      </c>
      <c r="N381">
        <v>5.2576999999999999E-2</v>
      </c>
      <c r="O381">
        <v>5.0255000000000001E-2</v>
      </c>
      <c r="P381">
        <v>5.4633000000000001E-2</v>
      </c>
      <c r="Q381">
        <v>4.8264000000000001E-2</v>
      </c>
      <c r="R381">
        <v>5.1540999999999997E-2</v>
      </c>
      <c r="S381">
        <v>5.3964999999999999E-2</v>
      </c>
      <c r="T381">
        <v>4.7613999999999997E-2</v>
      </c>
      <c r="U381">
        <v>6.2067999999999998E-2</v>
      </c>
      <c r="V381">
        <v>7.5619000000000006E-2</v>
      </c>
      <c r="W381">
        <v>5.3469000000000003E-2</v>
      </c>
      <c r="X381">
        <v>5.7709999999999997E-2</v>
      </c>
      <c r="Y381">
        <v>4.2229999999999997E-2</v>
      </c>
      <c r="Z381">
        <v>4.7487000000000001E-2</v>
      </c>
      <c r="AA381">
        <v>8.1419000000000005E-2</v>
      </c>
      <c r="AB381">
        <v>6.3824000000000006E-2</v>
      </c>
    </row>
    <row r="382" spans="1:28" x14ac:dyDescent="0.2">
      <c r="A382">
        <v>19630930</v>
      </c>
      <c r="B382">
        <v>1963</v>
      </c>
      <c r="C382">
        <v>9</v>
      </c>
      <c r="D382">
        <v>-2.8922E-2</v>
      </c>
      <c r="E382">
        <v>7.0270000000000003E-3</v>
      </c>
      <c r="F382">
        <v>-1.0869E-2</v>
      </c>
      <c r="G382">
        <v>-1.5812E-2</v>
      </c>
      <c r="H382">
        <v>-3.581E-3</v>
      </c>
      <c r="I382">
        <v>-3.9163999999999997E-2</v>
      </c>
      <c r="J382">
        <v>-1.5713000000000001E-2</v>
      </c>
      <c r="K382">
        <v>-6.417E-3</v>
      </c>
      <c r="L382">
        <v>-1.1812E-2</v>
      </c>
      <c r="M382">
        <v>-2.9149000000000001E-2</v>
      </c>
      <c r="N382">
        <v>-4.4644000000000003E-2</v>
      </c>
      <c r="O382">
        <v>-1.5313999999999999E-2</v>
      </c>
      <c r="P382">
        <v>-4.8760000000000001E-3</v>
      </c>
      <c r="Q382">
        <v>-3.2680000000000001E-3</v>
      </c>
      <c r="R382">
        <v>-1.8203E-2</v>
      </c>
      <c r="S382">
        <v>-2.6893E-2</v>
      </c>
      <c r="T382">
        <v>-2.0139000000000001E-2</v>
      </c>
      <c r="U382">
        <v>-1.8941E-2</v>
      </c>
      <c r="V382">
        <v>-3.5823000000000001E-2</v>
      </c>
      <c r="W382">
        <v>-1.9942999999999999E-2</v>
      </c>
      <c r="X382">
        <v>-1.3721000000000001E-2</v>
      </c>
      <c r="Y382">
        <v>-7.7200000000000003E-3</v>
      </c>
      <c r="Z382">
        <v>-9.8519999999999996E-3</v>
      </c>
      <c r="AA382">
        <v>-1.905E-3</v>
      </c>
      <c r="AB382">
        <v>-3.4963000000000001E-2</v>
      </c>
    </row>
    <row r="383" spans="1:28" x14ac:dyDescent="0.2">
      <c r="A383">
        <v>19631031</v>
      </c>
      <c r="B383">
        <v>1963</v>
      </c>
      <c r="C383">
        <v>10</v>
      </c>
      <c r="D383">
        <v>1.2860999999999999E-2</v>
      </c>
      <c r="E383">
        <v>-6.4910000000000002E-3</v>
      </c>
      <c r="F383">
        <v>1.2442999999999999E-2</v>
      </c>
      <c r="G383">
        <v>1E-3</v>
      </c>
      <c r="H383">
        <v>2.3723999999999999E-2</v>
      </c>
      <c r="I383">
        <v>1.1882E-2</v>
      </c>
      <c r="J383">
        <v>4.3011000000000001E-2</v>
      </c>
      <c r="K383">
        <v>2.3438000000000001E-2</v>
      </c>
      <c r="L383">
        <v>2.2012E-2</v>
      </c>
      <c r="M383">
        <v>3.9335000000000002E-2</v>
      </c>
      <c r="N383">
        <v>2.359E-2</v>
      </c>
      <c r="O383">
        <v>5.8799999999999998E-3</v>
      </c>
      <c r="P383">
        <v>2.7345999999999999E-2</v>
      </c>
      <c r="Q383">
        <v>2.0480999999999999E-2</v>
      </c>
      <c r="R383">
        <v>1.068E-2</v>
      </c>
      <c r="S383">
        <v>-4.287E-3</v>
      </c>
      <c r="T383">
        <v>9.0570000000000008E-3</v>
      </c>
      <c r="U383">
        <v>2.3459000000000001E-2</v>
      </c>
      <c r="V383">
        <v>5.3381999999999999E-2</v>
      </c>
      <c r="W383">
        <v>6.1130000000000004E-3</v>
      </c>
      <c r="X383">
        <v>5.3261000000000003E-2</v>
      </c>
      <c r="Y383">
        <v>1.7382999999999999E-2</v>
      </c>
      <c r="Z383">
        <v>-2.8289999999999999E-3</v>
      </c>
      <c r="AA383">
        <v>2.4150000000000001E-2</v>
      </c>
      <c r="AB383">
        <v>4.8570000000000002E-3</v>
      </c>
    </row>
    <row r="384" spans="1:28" x14ac:dyDescent="0.2">
      <c r="A384">
        <v>19631129</v>
      </c>
      <c r="B384">
        <v>1963</v>
      </c>
      <c r="C384">
        <v>11</v>
      </c>
      <c r="D384">
        <v>-3.3792999999999997E-2</v>
      </c>
      <c r="E384">
        <v>-4.0355000000000002E-2</v>
      </c>
      <c r="F384">
        <v>-1.5969000000000001E-2</v>
      </c>
      <c r="G384">
        <v>-1.0548E-2</v>
      </c>
      <c r="H384">
        <v>-1.0454E-2</v>
      </c>
      <c r="I384">
        <v>-4.1821999999999998E-2</v>
      </c>
      <c r="J384">
        <v>-1.7644E-2</v>
      </c>
      <c r="K384">
        <v>-7.064E-3</v>
      </c>
      <c r="L384">
        <v>-1.0020000000000001E-3</v>
      </c>
      <c r="M384">
        <v>-1.132E-3</v>
      </c>
      <c r="N384">
        <v>-3.0301999999999999E-2</v>
      </c>
      <c r="O384">
        <v>-1.524E-2</v>
      </c>
      <c r="P384">
        <v>-9.41E-3</v>
      </c>
      <c r="Q384">
        <v>-7.5180000000000004E-3</v>
      </c>
      <c r="R384">
        <v>-1.2116E-2</v>
      </c>
      <c r="S384">
        <v>-8.6479999999999994E-3</v>
      </c>
      <c r="T384">
        <v>-8.8280000000000008E-3</v>
      </c>
      <c r="U384">
        <v>-4.8820000000000001E-3</v>
      </c>
      <c r="V384">
        <v>1.1450999999999999E-2</v>
      </c>
      <c r="W384">
        <v>3.5388000000000003E-2</v>
      </c>
      <c r="X384">
        <v>-1.2560999999999999E-2</v>
      </c>
      <c r="Y384">
        <v>9.8490000000000001E-3</v>
      </c>
      <c r="Z384">
        <v>-1.5542E-2</v>
      </c>
      <c r="AA384">
        <v>-2.1322000000000001E-2</v>
      </c>
      <c r="AB384">
        <v>1.3455E-2</v>
      </c>
    </row>
    <row r="385" spans="1:28" x14ac:dyDescent="0.2">
      <c r="A385">
        <v>19631231</v>
      </c>
      <c r="B385">
        <v>1963</v>
      </c>
      <c r="C385">
        <v>12</v>
      </c>
      <c r="D385">
        <v>-2.3592999999999999E-2</v>
      </c>
      <c r="E385">
        <v>-1.1797999999999999E-2</v>
      </c>
      <c r="F385">
        <v>-9.018E-3</v>
      </c>
      <c r="G385">
        <v>-1.6367E-2</v>
      </c>
      <c r="H385">
        <v>-1.052E-2</v>
      </c>
      <c r="I385">
        <v>-6.8139999999999997E-3</v>
      </c>
      <c r="J385">
        <v>-9.1430000000000001E-3</v>
      </c>
      <c r="K385">
        <v>1.1527000000000001E-2</v>
      </c>
      <c r="L385">
        <v>8.9009999999999992E-3</v>
      </c>
      <c r="M385">
        <v>1.212E-3</v>
      </c>
      <c r="N385">
        <v>3.5890000000000002E-3</v>
      </c>
      <c r="O385">
        <v>1.4736000000000001E-2</v>
      </c>
      <c r="P385">
        <v>1.2737E-2</v>
      </c>
      <c r="Q385">
        <v>1.7197E-2</v>
      </c>
      <c r="R385">
        <v>4.6649999999999999E-3</v>
      </c>
      <c r="S385">
        <v>-1.3179999999999999E-3</v>
      </c>
      <c r="T385">
        <v>1.1983000000000001E-2</v>
      </c>
      <c r="U385">
        <v>1.7274000000000001E-2</v>
      </c>
      <c r="V385">
        <v>3.1392999999999997E-2</v>
      </c>
      <c r="W385">
        <v>6.1497999999999997E-2</v>
      </c>
      <c r="X385">
        <v>2.6237E-2</v>
      </c>
      <c r="Y385">
        <v>2.2981000000000001E-2</v>
      </c>
      <c r="Z385">
        <v>2.2921E-2</v>
      </c>
      <c r="AA385">
        <v>2.5149000000000001E-2</v>
      </c>
      <c r="AB385">
        <v>2.1308000000000001E-2</v>
      </c>
    </row>
    <row r="386" spans="1:28" x14ac:dyDescent="0.2">
      <c r="A386">
        <v>19640131</v>
      </c>
      <c r="B386">
        <v>1964</v>
      </c>
      <c r="C386">
        <v>1</v>
      </c>
      <c r="D386">
        <v>3.9766999999999997E-2</v>
      </c>
      <c r="E386">
        <v>3.0832999999999999E-2</v>
      </c>
      <c r="F386">
        <v>4.1068E-2</v>
      </c>
      <c r="G386">
        <v>4.1397999999999997E-2</v>
      </c>
      <c r="H386">
        <v>4.9544999999999999E-2</v>
      </c>
      <c r="I386">
        <v>-1.8043E-2</v>
      </c>
      <c r="J386">
        <v>-6.4180000000000001E-3</v>
      </c>
      <c r="K386">
        <v>3.6687999999999998E-2</v>
      </c>
      <c r="L386">
        <v>1.4763E-2</v>
      </c>
      <c r="M386">
        <v>4.2346000000000002E-2</v>
      </c>
      <c r="N386">
        <v>1.1050000000000001E-3</v>
      </c>
      <c r="O386">
        <v>1.0158E-2</v>
      </c>
      <c r="P386">
        <v>2.495E-2</v>
      </c>
      <c r="Q386">
        <v>3.9771000000000001E-2</v>
      </c>
      <c r="R386">
        <v>3.2152E-2</v>
      </c>
      <c r="S386">
        <v>-2.9880000000000002E-3</v>
      </c>
      <c r="T386">
        <v>1.7765E-2</v>
      </c>
      <c r="U386">
        <v>1.1774E-2</v>
      </c>
      <c r="V386">
        <v>3.6204E-2</v>
      </c>
      <c r="W386">
        <v>3.3373E-2</v>
      </c>
      <c r="X386">
        <v>3.0934E-2</v>
      </c>
      <c r="Y386">
        <v>3.1881E-2</v>
      </c>
      <c r="Z386">
        <v>1.7441000000000002E-2</v>
      </c>
      <c r="AA386">
        <v>2.0143999999999999E-2</v>
      </c>
      <c r="AB386">
        <v>1.6234999999999999E-2</v>
      </c>
    </row>
    <row r="387" spans="1:28" x14ac:dyDescent="0.2">
      <c r="A387">
        <v>19640228</v>
      </c>
      <c r="B387">
        <v>1964</v>
      </c>
      <c r="C387">
        <v>2</v>
      </c>
      <c r="D387">
        <v>2.9555000000000001E-2</v>
      </c>
      <c r="E387">
        <v>2.8729999999999999E-2</v>
      </c>
      <c r="F387">
        <v>2.2554999999999999E-2</v>
      </c>
      <c r="G387">
        <v>2.8210000000000002E-3</v>
      </c>
      <c r="H387">
        <v>4.5557E-2</v>
      </c>
      <c r="I387">
        <v>1.6160000000000001E-2</v>
      </c>
      <c r="J387">
        <v>1.7312999999999999E-2</v>
      </c>
      <c r="K387">
        <v>2.5108999999999999E-2</v>
      </c>
      <c r="L387">
        <v>2.1229000000000001E-2</v>
      </c>
      <c r="M387">
        <v>6.1003000000000002E-2</v>
      </c>
      <c r="N387">
        <v>1.0189999999999999E-3</v>
      </c>
      <c r="O387">
        <v>2.8322E-2</v>
      </c>
      <c r="P387">
        <v>1.7739999999999999E-2</v>
      </c>
      <c r="Q387">
        <v>3.7564E-2</v>
      </c>
      <c r="R387">
        <v>4.0121999999999998E-2</v>
      </c>
      <c r="S387">
        <v>2.5219999999999999E-2</v>
      </c>
      <c r="T387">
        <v>1.4409E-2</v>
      </c>
      <c r="U387">
        <v>3.0065999999999999E-2</v>
      </c>
      <c r="V387">
        <v>7.4543999999999999E-2</v>
      </c>
      <c r="W387">
        <v>4.6096999999999999E-2</v>
      </c>
      <c r="X387">
        <v>1.8224000000000001E-2</v>
      </c>
      <c r="Y387">
        <v>5.1240000000000001E-3</v>
      </c>
      <c r="Z387">
        <v>1.0418E-2</v>
      </c>
      <c r="AA387">
        <v>3.9829999999999997E-2</v>
      </c>
      <c r="AB387">
        <v>3.7510000000000002E-2</v>
      </c>
    </row>
    <row r="388" spans="1:28" x14ac:dyDescent="0.2">
      <c r="A388">
        <v>19640331</v>
      </c>
      <c r="B388">
        <v>1964</v>
      </c>
      <c r="C388">
        <v>3</v>
      </c>
      <c r="D388">
        <v>4.9659999999999999E-3</v>
      </c>
      <c r="E388">
        <v>1.3121000000000001E-2</v>
      </c>
      <c r="F388">
        <v>2.3753E-2</v>
      </c>
      <c r="G388">
        <v>3.5429000000000002E-2</v>
      </c>
      <c r="H388">
        <v>2.6887000000000001E-2</v>
      </c>
      <c r="I388">
        <v>2.3220000000000001E-2</v>
      </c>
      <c r="J388">
        <v>3.2439999999999997E-2</v>
      </c>
      <c r="K388">
        <v>3.4720000000000001E-2</v>
      </c>
      <c r="L388">
        <v>5.6795999999999999E-2</v>
      </c>
      <c r="M388">
        <v>6.1527999999999999E-2</v>
      </c>
      <c r="N388">
        <v>-5.5760000000000002E-3</v>
      </c>
      <c r="O388">
        <v>2.5721999999999998E-2</v>
      </c>
      <c r="P388">
        <v>4.4163000000000001E-2</v>
      </c>
      <c r="Q388">
        <v>5.7097000000000002E-2</v>
      </c>
      <c r="R388">
        <v>6.7543000000000006E-2</v>
      </c>
      <c r="S388">
        <v>1.9864E-2</v>
      </c>
      <c r="T388">
        <v>2.9255E-2</v>
      </c>
      <c r="U388">
        <v>5.2493999999999999E-2</v>
      </c>
      <c r="V388">
        <v>6.9475999999999996E-2</v>
      </c>
      <c r="W388">
        <v>7.2179999999999996E-3</v>
      </c>
      <c r="X388">
        <v>1.1585E-2</v>
      </c>
      <c r="Y388">
        <v>7.3639999999999999E-3</v>
      </c>
      <c r="Z388">
        <v>3.6898E-2</v>
      </c>
      <c r="AA388">
        <v>3.8351000000000003E-2</v>
      </c>
      <c r="AB388">
        <v>1.4940000000000001E-3</v>
      </c>
    </row>
    <row r="389" spans="1:28" x14ac:dyDescent="0.2">
      <c r="A389">
        <v>19640430</v>
      </c>
      <c r="B389">
        <v>1964</v>
      </c>
      <c r="C389">
        <v>4</v>
      </c>
      <c r="D389">
        <v>-1.5521E-2</v>
      </c>
      <c r="E389">
        <v>2.6366000000000001E-2</v>
      </c>
      <c r="F389">
        <v>-4.091E-3</v>
      </c>
      <c r="G389">
        <v>-8.7799999999999996E-3</v>
      </c>
      <c r="H389">
        <v>-9.5169999999999994E-3</v>
      </c>
      <c r="I389">
        <v>-7.6249999999999998E-3</v>
      </c>
      <c r="J389">
        <v>-4.0694000000000001E-2</v>
      </c>
      <c r="K389">
        <v>6.0790000000000002E-3</v>
      </c>
      <c r="L389">
        <v>-1.6136000000000001E-2</v>
      </c>
      <c r="M389">
        <v>-6.5570000000000003E-3</v>
      </c>
      <c r="N389">
        <v>-2.0882000000000001E-2</v>
      </c>
      <c r="O389">
        <v>-1.0485E-2</v>
      </c>
      <c r="P389">
        <v>2.5590000000000001E-3</v>
      </c>
      <c r="Q389">
        <v>-7.4900000000000001E-3</v>
      </c>
      <c r="R389">
        <v>-1.0220999999999999E-2</v>
      </c>
      <c r="S389">
        <v>-2.6727999999999998E-2</v>
      </c>
      <c r="T389">
        <v>6.352E-3</v>
      </c>
      <c r="U389">
        <v>1.6896000000000001E-2</v>
      </c>
      <c r="V389">
        <v>-2.0611999999999998E-2</v>
      </c>
      <c r="W389">
        <v>-2.2799E-2</v>
      </c>
      <c r="X389">
        <v>2.2729999999999998E-3</v>
      </c>
      <c r="Y389">
        <v>1.4744E-2</v>
      </c>
      <c r="Z389">
        <v>8.2170000000000003E-3</v>
      </c>
      <c r="AA389">
        <v>-9.0469999999999995E-3</v>
      </c>
      <c r="AB389">
        <v>2.4177000000000001E-2</v>
      </c>
    </row>
    <row r="390" spans="1:28" x14ac:dyDescent="0.2">
      <c r="A390">
        <v>19640528</v>
      </c>
      <c r="B390">
        <v>1964</v>
      </c>
      <c r="C390">
        <v>5</v>
      </c>
      <c r="D390">
        <v>-1.252E-2</v>
      </c>
      <c r="E390">
        <v>-1.3431E-2</v>
      </c>
      <c r="F390">
        <v>4.7149999999999996E-3</v>
      </c>
      <c r="G390">
        <v>3.3670000000000002E-3</v>
      </c>
      <c r="H390">
        <v>1.5855999999999999E-2</v>
      </c>
      <c r="I390">
        <v>3.1248000000000001E-2</v>
      </c>
      <c r="J390">
        <v>3.5950000000000001E-3</v>
      </c>
      <c r="K390">
        <v>2.9579000000000001E-2</v>
      </c>
      <c r="L390">
        <v>1.8541999999999999E-2</v>
      </c>
      <c r="M390">
        <v>3.7386000000000003E-2</v>
      </c>
      <c r="N390">
        <v>-6.2740000000000001E-3</v>
      </c>
      <c r="O390">
        <v>1.5308E-2</v>
      </c>
      <c r="P390">
        <v>-2.996E-3</v>
      </c>
      <c r="Q390">
        <v>2.1330999999999999E-2</v>
      </c>
      <c r="R390">
        <v>2.4988E-2</v>
      </c>
      <c r="S390">
        <v>1.1101E-2</v>
      </c>
      <c r="T390">
        <v>2.4160000000000001E-2</v>
      </c>
      <c r="U390">
        <v>1.3073E-2</v>
      </c>
      <c r="V390">
        <v>2.6065000000000001E-2</v>
      </c>
      <c r="W390">
        <v>4.1009999999999998E-2</v>
      </c>
      <c r="X390">
        <v>2.0659E-2</v>
      </c>
      <c r="Y390">
        <v>3.1110000000000001E-3</v>
      </c>
      <c r="Z390">
        <v>1.2718E-2</v>
      </c>
      <c r="AA390">
        <v>4.2802E-2</v>
      </c>
      <c r="AB390">
        <v>3.3863999999999998E-2</v>
      </c>
    </row>
    <row r="391" spans="1:28" x14ac:dyDescent="0.2">
      <c r="A391">
        <v>19640630</v>
      </c>
      <c r="B391">
        <v>1964</v>
      </c>
      <c r="C391">
        <v>6</v>
      </c>
      <c r="D391">
        <v>1.9421000000000001E-2</v>
      </c>
      <c r="E391">
        <v>5.2639999999999996E-3</v>
      </c>
      <c r="F391">
        <v>1.2774000000000001E-2</v>
      </c>
      <c r="G391">
        <v>7.8079999999999998E-3</v>
      </c>
      <c r="H391">
        <v>1.0969E-2</v>
      </c>
      <c r="I391">
        <v>8.8070000000000006E-3</v>
      </c>
      <c r="J391">
        <v>1.6791E-2</v>
      </c>
      <c r="K391">
        <v>1.5987999999999999E-2</v>
      </c>
      <c r="L391">
        <v>1.1354E-2</v>
      </c>
      <c r="M391">
        <v>2.2100999999999999E-2</v>
      </c>
      <c r="N391">
        <v>1.0255E-2</v>
      </c>
      <c r="O391">
        <v>2.4139000000000001E-2</v>
      </c>
      <c r="P391">
        <v>2.068E-2</v>
      </c>
      <c r="Q391">
        <v>2.4618999999999999E-2</v>
      </c>
      <c r="R391">
        <v>1.2404E-2</v>
      </c>
      <c r="S391">
        <v>9.4310000000000001E-3</v>
      </c>
      <c r="T391">
        <v>1.2939000000000001E-2</v>
      </c>
      <c r="U391">
        <v>1.1684E-2</v>
      </c>
      <c r="V391">
        <v>2.8764000000000001E-2</v>
      </c>
      <c r="W391">
        <v>3.1078000000000001E-2</v>
      </c>
      <c r="X391">
        <v>9.7289999999999998E-3</v>
      </c>
      <c r="Y391">
        <v>2.8990999999999999E-2</v>
      </c>
      <c r="Z391">
        <v>2.8279999999999998E-3</v>
      </c>
      <c r="AA391">
        <v>1.3636000000000001E-2</v>
      </c>
      <c r="AB391">
        <v>2.4156E-2</v>
      </c>
    </row>
    <row r="392" spans="1:28" x14ac:dyDescent="0.2">
      <c r="A392">
        <v>19640731</v>
      </c>
      <c r="B392">
        <v>1964</v>
      </c>
      <c r="C392">
        <v>7</v>
      </c>
      <c r="D392">
        <v>8.4639999999999993E-3</v>
      </c>
      <c r="E392">
        <v>3.8830000000000003E-2</v>
      </c>
      <c r="F392">
        <v>4.2554000000000002E-2</v>
      </c>
      <c r="G392">
        <v>2.6284999999999999E-2</v>
      </c>
      <c r="H392">
        <v>4.8118000000000001E-2</v>
      </c>
      <c r="I392">
        <v>1.0572E-2</v>
      </c>
      <c r="J392">
        <v>1.6074000000000001E-2</v>
      </c>
      <c r="K392">
        <v>4.0006E-2</v>
      </c>
      <c r="L392">
        <v>3.1050999999999999E-2</v>
      </c>
      <c r="M392">
        <v>2.4157999999999999E-2</v>
      </c>
      <c r="N392">
        <v>2.8108000000000001E-2</v>
      </c>
      <c r="O392">
        <v>2.7962000000000001E-2</v>
      </c>
      <c r="P392">
        <v>3.0269000000000001E-2</v>
      </c>
      <c r="Q392">
        <v>3.2799000000000002E-2</v>
      </c>
      <c r="R392">
        <v>1.2401000000000001E-2</v>
      </c>
      <c r="S392">
        <v>1.1094E-2</v>
      </c>
      <c r="T392">
        <v>3.3973999999999997E-2</v>
      </c>
      <c r="U392">
        <v>1.5688000000000001E-2</v>
      </c>
      <c r="V392">
        <v>1.7746000000000001E-2</v>
      </c>
      <c r="W392">
        <v>3.1177E-2</v>
      </c>
      <c r="X392">
        <v>2.5914E-2</v>
      </c>
      <c r="Y392">
        <v>6.5979999999999997E-3</v>
      </c>
      <c r="Z392">
        <v>3.9496999999999997E-2</v>
      </c>
      <c r="AA392">
        <v>1.9029000000000001E-2</v>
      </c>
      <c r="AB392">
        <v>8.2220000000000001E-3</v>
      </c>
    </row>
    <row r="393" spans="1:28" x14ac:dyDescent="0.2">
      <c r="A393">
        <v>19640831</v>
      </c>
      <c r="B393">
        <v>1964</v>
      </c>
      <c r="C393">
        <v>8</v>
      </c>
      <c r="D393">
        <v>1.2711E-2</v>
      </c>
      <c r="E393">
        <v>-1.907E-2</v>
      </c>
      <c r="F393">
        <v>-1.7489999999999999E-2</v>
      </c>
      <c r="G393">
        <v>-8.9599999999999992E-3</v>
      </c>
      <c r="H393">
        <v>-4.9379999999999997E-3</v>
      </c>
      <c r="I393">
        <v>-1.7902000000000001E-2</v>
      </c>
      <c r="J393">
        <v>-2.7708E-2</v>
      </c>
      <c r="K393">
        <v>-1.0857E-2</v>
      </c>
      <c r="L393">
        <v>3.228E-3</v>
      </c>
      <c r="M393">
        <v>-1.8459E-2</v>
      </c>
      <c r="N393">
        <v>-2.7834000000000001E-2</v>
      </c>
      <c r="O393">
        <v>-5.8069999999999997E-3</v>
      </c>
      <c r="P393">
        <v>5.6699999999999997E-3</v>
      </c>
      <c r="Q393">
        <v>-1.977E-3</v>
      </c>
      <c r="R393">
        <v>-2.0227999999999999E-2</v>
      </c>
      <c r="S393">
        <v>-1.0435E-2</v>
      </c>
      <c r="T393">
        <v>1.8810000000000001E-3</v>
      </c>
      <c r="U393">
        <v>1.0186000000000001E-2</v>
      </c>
      <c r="V393">
        <v>-1.9100000000000001E-4</v>
      </c>
      <c r="W393">
        <v>-2.3739999999999998E-3</v>
      </c>
      <c r="X393">
        <v>-1.2629E-2</v>
      </c>
      <c r="Y393">
        <v>-1.5768000000000001E-2</v>
      </c>
      <c r="Z393">
        <v>-7.0699999999999995E-4</v>
      </c>
      <c r="AA393">
        <v>-1.0389000000000001E-2</v>
      </c>
      <c r="AB393">
        <v>-2.7370999999999999E-2</v>
      </c>
    </row>
    <row r="394" spans="1:28" x14ac:dyDescent="0.2">
      <c r="A394">
        <v>19640930</v>
      </c>
      <c r="B394">
        <v>1964</v>
      </c>
      <c r="C394">
        <v>9</v>
      </c>
      <c r="D394">
        <v>4.6885000000000003E-2</v>
      </c>
      <c r="E394">
        <v>4.0314999999999997E-2</v>
      </c>
      <c r="F394">
        <v>6.0219000000000002E-2</v>
      </c>
      <c r="G394">
        <v>2.7272000000000001E-2</v>
      </c>
      <c r="H394">
        <v>3.9919000000000003E-2</v>
      </c>
      <c r="I394">
        <v>3.5364E-2</v>
      </c>
      <c r="J394">
        <v>2.8847000000000001E-2</v>
      </c>
      <c r="K394">
        <v>2.2849000000000001E-2</v>
      </c>
      <c r="L394">
        <v>1.9973999999999999E-2</v>
      </c>
      <c r="M394">
        <v>4.7530000000000003E-2</v>
      </c>
      <c r="N394">
        <v>1.7611999999999999E-2</v>
      </c>
      <c r="O394">
        <v>2.0247000000000001E-2</v>
      </c>
      <c r="P394">
        <v>3.2295999999999998E-2</v>
      </c>
      <c r="Q394">
        <v>3.2252999999999997E-2</v>
      </c>
      <c r="R394">
        <v>3.7707999999999998E-2</v>
      </c>
      <c r="S394">
        <v>2.9486999999999999E-2</v>
      </c>
      <c r="T394">
        <v>3.3453999999999998E-2</v>
      </c>
      <c r="U394">
        <v>4.2984000000000001E-2</v>
      </c>
      <c r="V394">
        <v>4.8489999999999998E-2</v>
      </c>
      <c r="W394">
        <v>4.7579000000000003E-2</v>
      </c>
      <c r="X394">
        <v>3.0995999999999999E-2</v>
      </c>
      <c r="Y394">
        <v>1.1875999999999999E-2</v>
      </c>
      <c r="Z394">
        <v>4.4389999999999999E-2</v>
      </c>
      <c r="AA394">
        <v>4.4254000000000002E-2</v>
      </c>
      <c r="AB394">
        <v>6.9183999999999996E-2</v>
      </c>
    </row>
    <row r="395" spans="1:28" x14ac:dyDescent="0.2">
      <c r="A395">
        <v>19641030</v>
      </c>
      <c r="B395">
        <v>1964</v>
      </c>
      <c r="C395">
        <v>10</v>
      </c>
      <c r="D395">
        <v>1.7042999999999999E-2</v>
      </c>
      <c r="E395">
        <v>3.7399999999999998E-3</v>
      </c>
      <c r="F395">
        <v>2.1704000000000001E-2</v>
      </c>
      <c r="G395">
        <v>2.2325000000000001E-2</v>
      </c>
      <c r="H395">
        <v>3.3723000000000003E-2</v>
      </c>
      <c r="I395">
        <v>-1.4831E-2</v>
      </c>
      <c r="J395">
        <v>1.8613999999999999E-2</v>
      </c>
      <c r="K395">
        <v>2.0591000000000002E-2</v>
      </c>
      <c r="L395">
        <v>1.3112E-2</v>
      </c>
      <c r="M395">
        <v>1.3547E-2</v>
      </c>
      <c r="N395">
        <v>3.2058999999999997E-2</v>
      </c>
      <c r="O395">
        <v>3.3977E-2</v>
      </c>
      <c r="P395">
        <v>1.7484E-2</v>
      </c>
      <c r="Q395">
        <v>1.3672999999999999E-2</v>
      </c>
      <c r="R395">
        <v>2.7154000000000001E-2</v>
      </c>
      <c r="S395">
        <v>1.1622E-2</v>
      </c>
      <c r="T395">
        <v>1.2132E-2</v>
      </c>
      <c r="U395">
        <v>1.2688E-2</v>
      </c>
      <c r="V395">
        <v>3.1881E-2</v>
      </c>
      <c r="W395">
        <v>3.4816E-2</v>
      </c>
      <c r="X395">
        <v>3.437E-3</v>
      </c>
      <c r="Y395">
        <v>1.0165E-2</v>
      </c>
      <c r="Z395">
        <v>3.5079999999999998E-3</v>
      </c>
      <c r="AA395">
        <v>4.1450000000000002E-3</v>
      </c>
      <c r="AB395">
        <v>3.6739000000000001E-2</v>
      </c>
    </row>
    <row r="396" spans="1:28" x14ac:dyDescent="0.2">
      <c r="A396">
        <v>19641130</v>
      </c>
      <c r="B396">
        <v>1964</v>
      </c>
      <c r="C396">
        <v>11</v>
      </c>
      <c r="D396">
        <v>-1.603E-3</v>
      </c>
      <c r="E396">
        <v>-4.0879999999999996E-3</v>
      </c>
      <c r="F396">
        <v>6.9540000000000001E-3</v>
      </c>
      <c r="G396">
        <v>7.2459999999999998E-3</v>
      </c>
      <c r="H396">
        <v>6.234E-3</v>
      </c>
      <c r="I396">
        <v>-6.9899999999999997E-3</v>
      </c>
      <c r="J396">
        <v>-2.32E-4</v>
      </c>
      <c r="K396">
        <v>-8.2600000000000002E-4</v>
      </c>
      <c r="L396">
        <v>-5.9649999999999998E-3</v>
      </c>
      <c r="M396">
        <v>-1.8008E-2</v>
      </c>
      <c r="N396">
        <v>1.6112999999999999E-2</v>
      </c>
      <c r="O396">
        <v>6.7149999999999996E-3</v>
      </c>
      <c r="P396">
        <v>-1.9699999999999999E-4</v>
      </c>
      <c r="Q396">
        <v>4.2659999999999998E-3</v>
      </c>
      <c r="R396">
        <v>1.64E-3</v>
      </c>
      <c r="S396">
        <v>5.9490000000000003E-3</v>
      </c>
      <c r="T396">
        <v>1.5067000000000001E-2</v>
      </c>
      <c r="U396">
        <v>-6.1050000000000002E-3</v>
      </c>
      <c r="V396">
        <v>-8.3309999999999999E-3</v>
      </c>
      <c r="W396">
        <v>-4.0612000000000002E-2</v>
      </c>
      <c r="X396">
        <v>1.0390999999999999E-2</v>
      </c>
      <c r="Y396">
        <v>-2.8159999999999999E-3</v>
      </c>
      <c r="Z396">
        <v>1.4876E-2</v>
      </c>
      <c r="AA396">
        <v>-1.2429000000000001E-2</v>
      </c>
      <c r="AB396">
        <v>-4.8656999999999999E-2</v>
      </c>
    </row>
    <row r="397" spans="1:28" x14ac:dyDescent="0.2">
      <c r="A397">
        <v>19641231</v>
      </c>
      <c r="B397">
        <v>1964</v>
      </c>
      <c r="C397">
        <v>12</v>
      </c>
      <c r="D397">
        <v>-1.5129E-2</v>
      </c>
      <c r="E397">
        <v>-1.3967E-2</v>
      </c>
      <c r="F397">
        <v>-2.546E-2</v>
      </c>
      <c r="G397">
        <v>-2.5918E-2</v>
      </c>
      <c r="H397">
        <v>-1.8116E-2</v>
      </c>
      <c r="I397">
        <v>1.4318000000000001E-2</v>
      </c>
      <c r="J397">
        <v>4.568E-3</v>
      </c>
      <c r="K397">
        <v>5.3160000000000004E-3</v>
      </c>
      <c r="L397">
        <v>-2.2114000000000002E-2</v>
      </c>
      <c r="M397">
        <v>-1.0024999999999999E-2</v>
      </c>
      <c r="N397">
        <v>1.15E-3</v>
      </c>
      <c r="O397">
        <v>7.3959999999999998E-3</v>
      </c>
      <c r="P397">
        <v>-3.9389999999999998E-3</v>
      </c>
      <c r="Q397">
        <v>-1.8123E-2</v>
      </c>
      <c r="R397">
        <v>-9.0720000000000002E-3</v>
      </c>
      <c r="S397">
        <v>1.0635E-2</v>
      </c>
      <c r="T397">
        <v>5.3499999999999999E-4</v>
      </c>
      <c r="U397">
        <v>-1.6199000000000002E-2</v>
      </c>
      <c r="V397">
        <v>-9.5510000000000005E-3</v>
      </c>
      <c r="W397">
        <v>-1.4361000000000001E-2</v>
      </c>
      <c r="X397">
        <v>8.3990000000000002E-3</v>
      </c>
      <c r="Y397">
        <v>1.3076000000000001E-2</v>
      </c>
      <c r="Z397">
        <v>-9.2720000000000007E-3</v>
      </c>
      <c r="AA397">
        <v>-1.2009000000000001E-2</v>
      </c>
      <c r="AB397">
        <v>-1.2581E-2</v>
      </c>
    </row>
    <row r="398" spans="1:28" x14ac:dyDescent="0.2">
      <c r="A398">
        <v>19650129</v>
      </c>
      <c r="B398">
        <v>1965</v>
      </c>
      <c r="C398">
        <v>1</v>
      </c>
      <c r="D398">
        <v>8.5640999999999995E-2</v>
      </c>
      <c r="E398">
        <v>5.8323E-2</v>
      </c>
      <c r="F398">
        <v>6.5992999999999996E-2</v>
      </c>
      <c r="G398">
        <v>7.2450000000000001E-2</v>
      </c>
      <c r="H398">
        <v>8.8036000000000003E-2</v>
      </c>
      <c r="I398">
        <v>7.6480000000000006E-2</v>
      </c>
      <c r="J398">
        <v>5.5808000000000003E-2</v>
      </c>
      <c r="K398">
        <v>5.7696999999999998E-2</v>
      </c>
      <c r="L398">
        <v>5.9866000000000003E-2</v>
      </c>
      <c r="M398">
        <v>6.1864000000000002E-2</v>
      </c>
      <c r="N398">
        <v>5.2046000000000002E-2</v>
      </c>
      <c r="O398">
        <v>6.3029000000000002E-2</v>
      </c>
      <c r="P398">
        <v>5.1145000000000003E-2</v>
      </c>
      <c r="Q398">
        <v>6.0583999999999999E-2</v>
      </c>
      <c r="R398">
        <v>6.966E-2</v>
      </c>
      <c r="S398">
        <v>6.6064999999999999E-2</v>
      </c>
      <c r="T398">
        <v>4.1326000000000002E-2</v>
      </c>
      <c r="U398">
        <v>5.2311999999999997E-2</v>
      </c>
      <c r="V398">
        <v>5.1165000000000002E-2</v>
      </c>
      <c r="W398">
        <v>7.4876999999999999E-2</v>
      </c>
      <c r="X398">
        <v>4.7100000000000003E-2</v>
      </c>
      <c r="Y398">
        <v>1.2279E-2</v>
      </c>
      <c r="Z398">
        <v>3.1004E-2</v>
      </c>
      <c r="AA398">
        <v>3.6220000000000002E-2</v>
      </c>
      <c r="AB398">
        <v>3.5077999999999998E-2</v>
      </c>
    </row>
    <row r="399" spans="1:28" x14ac:dyDescent="0.2">
      <c r="A399">
        <v>19650226</v>
      </c>
      <c r="B399">
        <v>1965</v>
      </c>
      <c r="C399">
        <v>2</v>
      </c>
      <c r="D399">
        <v>1.5793999999999999E-2</v>
      </c>
      <c r="E399">
        <v>1.0678E-2</v>
      </c>
      <c r="F399">
        <v>2.7161000000000001E-2</v>
      </c>
      <c r="G399">
        <v>3.0096000000000001E-2</v>
      </c>
      <c r="H399">
        <v>3.4986000000000003E-2</v>
      </c>
      <c r="I399">
        <v>3.4382000000000003E-2</v>
      </c>
      <c r="J399">
        <v>4.4840999999999999E-2</v>
      </c>
      <c r="K399">
        <v>3.252E-2</v>
      </c>
      <c r="L399">
        <v>3.4893E-2</v>
      </c>
      <c r="M399">
        <v>3.8161E-2</v>
      </c>
      <c r="N399">
        <v>3.8963999999999999E-2</v>
      </c>
      <c r="O399">
        <v>4.7537000000000003E-2</v>
      </c>
      <c r="P399">
        <v>4.7884999999999997E-2</v>
      </c>
      <c r="Q399">
        <v>2.894E-2</v>
      </c>
      <c r="R399">
        <v>3.4394000000000001E-2</v>
      </c>
      <c r="S399">
        <v>1.5041000000000001E-2</v>
      </c>
      <c r="T399">
        <v>3.5059E-2</v>
      </c>
      <c r="U399">
        <v>3.9891999999999997E-2</v>
      </c>
      <c r="V399">
        <v>3.1987000000000002E-2</v>
      </c>
      <c r="W399">
        <v>1.7863E-2</v>
      </c>
      <c r="X399">
        <v>1.6969999999999999E-3</v>
      </c>
      <c r="Y399">
        <v>-1.5950000000000001E-3</v>
      </c>
      <c r="Z399">
        <v>7.9600000000000005E-4</v>
      </c>
      <c r="AA399">
        <v>-4.2719999999999998E-3</v>
      </c>
      <c r="AB399">
        <v>-1.0988E-2</v>
      </c>
    </row>
    <row r="400" spans="1:28" x14ac:dyDescent="0.2">
      <c r="A400">
        <v>19650331</v>
      </c>
      <c r="B400">
        <v>1965</v>
      </c>
      <c r="C400">
        <v>3</v>
      </c>
      <c r="D400">
        <v>1.4043999999999999E-2</v>
      </c>
      <c r="E400">
        <v>2.717E-2</v>
      </c>
      <c r="F400">
        <v>1.4618000000000001E-2</v>
      </c>
      <c r="G400">
        <v>2.4889999999999999E-2</v>
      </c>
      <c r="H400">
        <v>3.1546999999999999E-2</v>
      </c>
      <c r="I400">
        <v>2.0240999999999999E-2</v>
      </c>
      <c r="J400">
        <v>-1.4149E-2</v>
      </c>
      <c r="K400">
        <v>1.2362E-2</v>
      </c>
      <c r="L400">
        <v>1.3014E-2</v>
      </c>
      <c r="M400">
        <v>6.6049999999999998E-3</v>
      </c>
      <c r="N400">
        <v>-2.8999999999999998E-3</v>
      </c>
      <c r="O400">
        <v>-2.3999999999999998E-3</v>
      </c>
      <c r="P400">
        <v>-2.9780000000000002E-3</v>
      </c>
      <c r="Q400">
        <v>1.4463E-2</v>
      </c>
      <c r="R400">
        <v>6.3790000000000001E-3</v>
      </c>
      <c r="S400">
        <v>-6.7029999999999998E-3</v>
      </c>
      <c r="T400">
        <v>-3.5460000000000001E-3</v>
      </c>
      <c r="U400">
        <v>-4.8170000000000001E-3</v>
      </c>
      <c r="V400">
        <v>4.3949999999999996E-3</v>
      </c>
      <c r="W400">
        <v>2.0934000000000001E-2</v>
      </c>
      <c r="X400">
        <v>-1.3119E-2</v>
      </c>
      <c r="Y400">
        <v>-1.6833999999999998E-2</v>
      </c>
      <c r="Z400">
        <v>-1.6367E-2</v>
      </c>
      <c r="AA400">
        <v>-6.1419999999999999E-3</v>
      </c>
      <c r="AB400">
        <v>2.9359999999999998E-3</v>
      </c>
    </row>
    <row r="401" spans="1:28" x14ac:dyDescent="0.2">
      <c r="A401">
        <v>19650430</v>
      </c>
      <c r="B401">
        <v>1965</v>
      </c>
      <c r="C401">
        <v>4</v>
      </c>
      <c r="D401">
        <v>3.3757000000000002E-2</v>
      </c>
      <c r="E401">
        <v>4.8606999999999997E-2</v>
      </c>
      <c r="F401">
        <v>5.2017000000000001E-2</v>
      </c>
      <c r="G401">
        <v>4.0675999999999997E-2</v>
      </c>
      <c r="H401">
        <v>4.6018999999999997E-2</v>
      </c>
      <c r="I401" s="1">
        <v>3.0000000000000001E-6</v>
      </c>
      <c r="J401">
        <v>4.8277E-2</v>
      </c>
      <c r="K401">
        <v>4.2245999999999999E-2</v>
      </c>
      <c r="L401">
        <v>4.7032999999999998E-2</v>
      </c>
      <c r="M401">
        <v>5.142E-2</v>
      </c>
      <c r="N401">
        <v>2.8021000000000001E-2</v>
      </c>
      <c r="O401">
        <v>3.0068000000000001E-2</v>
      </c>
      <c r="P401">
        <v>4.3179000000000002E-2</v>
      </c>
      <c r="Q401">
        <v>3.5262000000000002E-2</v>
      </c>
      <c r="R401">
        <v>6.7988999999999994E-2</v>
      </c>
      <c r="S401">
        <v>2.5423999999999999E-2</v>
      </c>
      <c r="T401">
        <v>2.9329000000000001E-2</v>
      </c>
      <c r="U401">
        <v>4.6715E-2</v>
      </c>
      <c r="V401">
        <v>4.3912E-2</v>
      </c>
      <c r="W401">
        <v>2.6446999999999998E-2</v>
      </c>
      <c r="X401">
        <v>4.5926000000000002E-2</v>
      </c>
      <c r="Y401">
        <v>1.8495000000000001E-2</v>
      </c>
      <c r="Z401">
        <v>2.1106E-2</v>
      </c>
      <c r="AA401">
        <v>2.1037E-2</v>
      </c>
      <c r="AB401">
        <v>4.333E-2</v>
      </c>
    </row>
    <row r="402" spans="1:28" x14ac:dyDescent="0.2">
      <c r="A402">
        <v>19650528</v>
      </c>
      <c r="B402">
        <v>1965</v>
      </c>
      <c r="C402">
        <v>5</v>
      </c>
      <c r="D402">
        <v>-5.9699999999999996E-3</v>
      </c>
      <c r="E402">
        <v>-2.3215E-2</v>
      </c>
      <c r="F402">
        <v>-1.1429E-2</v>
      </c>
      <c r="G402">
        <v>-4.2319999999999997E-3</v>
      </c>
      <c r="H402">
        <v>-1.2692999999999999E-2</v>
      </c>
      <c r="I402">
        <v>1.2678999999999999E-2</v>
      </c>
      <c r="J402">
        <v>-8.293E-3</v>
      </c>
      <c r="K402">
        <v>-1.1878E-2</v>
      </c>
      <c r="L402">
        <v>-3.2959999999999999E-3</v>
      </c>
      <c r="M402">
        <v>-2.1589000000000001E-2</v>
      </c>
      <c r="N402">
        <v>-4.0769999999999999E-3</v>
      </c>
      <c r="O402">
        <v>5.9829999999999996E-3</v>
      </c>
      <c r="P402">
        <v>-1.482E-2</v>
      </c>
      <c r="Q402">
        <v>-8.1030000000000008E-3</v>
      </c>
      <c r="R402">
        <v>-5.7999999999999996E-3</v>
      </c>
      <c r="S402">
        <v>-1.055E-2</v>
      </c>
      <c r="T402">
        <v>-2.72E-4</v>
      </c>
      <c r="U402">
        <v>-9.4909999999999994E-3</v>
      </c>
      <c r="V402">
        <v>-3.614E-3</v>
      </c>
      <c r="W402">
        <v>-3.3105000000000002E-2</v>
      </c>
      <c r="X402">
        <v>-7.26E-3</v>
      </c>
      <c r="Y402">
        <v>9.4269999999999996E-3</v>
      </c>
      <c r="Z402">
        <v>-2.3440000000000002E-3</v>
      </c>
      <c r="AA402">
        <v>-5.1630000000000001E-3</v>
      </c>
      <c r="AB402">
        <v>-3.5541000000000003E-2</v>
      </c>
    </row>
    <row r="403" spans="1:28" x14ac:dyDescent="0.2">
      <c r="A403">
        <v>19650630</v>
      </c>
      <c r="B403">
        <v>1965</v>
      </c>
      <c r="C403">
        <v>6</v>
      </c>
      <c r="D403">
        <v>-0.124001</v>
      </c>
      <c r="E403">
        <v>-0.107627</v>
      </c>
      <c r="F403">
        <v>-9.4744999999999996E-2</v>
      </c>
      <c r="G403">
        <v>-8.0204999999999999E-2</v>
      </c>
      <c r="H403">
        <v>-9.5673999999999995E-2</v>
      </c>
      <c r="I403">
        <v>-0.10384400000000001</v>
      </c>
      <c r="J403">
        <v>-8.3678000000000002E-2</v>
      </c>
      <c r="K403">
        <v>-8.9351E-2</v>
      </c>
      <c r="L403">
        <v>-8.3303000000000002E-2</v>
      </c>
      <c r="M403">
        <v>-8.2891999999999993E-2</v>
      </c>
      <c r="N403">
        <v>-6.9571999999999995E-2</v>
      </c>
      <c r="O403">
        <v>-9.3673000000000006E-2</v>
      </c>
      <c r="P403">
        <v>-8.4418999999999994E-2</v>
      </c>
      <c r="Q403">
        <v>-8.7327000000000002E-2</v>
      </c>
      <c r="R403">
        <v>-8.3849000000000007E-2</v>
      </c>
      <c r="S403">
        <v>-6.1573999999999997E-2</v>
      </c>
      <c r="T403">
        <v>-6.9211999999999996E-2</v>
      </c>
      <c r="U403">
        <v>-8.1461000000000006E-2</v>
      </c>
      <c r="V403">
        <v>-8.6617E-2</v>
      </c>
      <c r="W403">
        <v>-8.9667999999999998E-2</v>
      </c>
      <c r="X403">
        <v>-4.4268000000000002E-2</v>
      </c>
      <c r="Y403">
        <v>-3.5824000000000002E-2</v>
      </c>
      <c r="Z403">
        <v>-4.9769000000000001E-2</v>
      </c>
      <c r="AA403">
        <v>-3.6330000000000001E-2</v>
      </c>
      <c r="AB403">
        <v>-5.4288000000000003E-2</v>
      </c>
    </row>
    <row r="404" spans="1:28" x14ac:dyDescent="0.2">
      <c r="A404">
        <v>19650730</v>
      </c>
      <c r="B404">
        <v>1965</v>
      </c>
      <c r="C404">
        <v>7</v>
      </c>
      <c r="D404">
        <v>2.4448999999999999E-2</v>
      </c>
      <c r="E404">
        <v>3.7102999999999997E-2</v>
      </c>
      <c r="F404">
        <v>3.2169000000000003E-2</v>
      </c>
      <c r="G404">
        <v>2.29E-2</v>
      </c>
      <c r="H404">
        <v>4.3430999999999997E-2</v>
      </c>
      <c r="I404">
        <v>3.7099E-2</v>
      </c>
      <c r="J404">
        <v>1.3542999999999999E-2</v>
      </c>
      <c r="K404">
        <v>2.8801E-2</v>
      </c>
      <c r="L404">
        <v>3.7322000000000001E-2</v>
      </c>
      <c r="M404">
        <v>4.2900000000000001E-2</v>
      </c>
      <c r="N404">
        <v>1.3893000000000001E-2</v>
      </c>
      <c r="O404">
        <v>4.5164999999999997E-2</v>
      </c>
      <c r="P404">
        <v>2.5087000000000002E-2</v>
      </c>
      <c r="Q404">
        <v>4.5198000000000002E-2</v>
      </c>
      <c r="R404">
        <v>4.6478999999999999E-2</v>
      </c>
      <c r="S404">
        <v>2.6464000000000001E-2</v>
      </c>
      <c r="T404">
        <v>3.1032000000000001E-2</v>
      </c>
      <c r="U404">
        <v>4.1813999999999997E-2</v>
      </c>
      <c r="V404">
        <v>2.6199E-2</v>
      </c>
      <c r="W404">
        <v>5.7875999999999997E-2</v>
      </c>
      <c r="X404">
        <v>1.5245E-2</v>
      </c>
      <c r="Y404">
        <v>-4.37E-4</v>
      </c>
      <c r="Z404">
        <v>1.8876E-2</v>
      </c>
      <c r="AA404">
        <v>3.8747999999999998E-2</v>
      </c>
      <c r="AB404">
        <v>5.0598999999999998E-2</v>
      </c>
    </row>
    <row r="405" spans="1:28" x14ac:dyDescent="0.2">
      <c r="A405">
        <v>19650831</v>
      </c>
      <c r="B405">
        <v>1965</v>
      </c>
      <c r="C405">
        <v>8</v>
      </c>
      <c r="D405">
        <v>2.9082E-2</v>
      </c>
      <c r="E405">
        <v>5.4828000000000002E-2</v>
      </c>
      <c r="F405">
        <v>5.3180999999999999E-2</v>
      </c>
      <c r="G405">
        <v>3.8040999999999998E-2</v>
      </c>
      <c r="H405">
        <v>3.9317999999999999E-2</v>
      </c>
      <c r="I405">
        <v>7.3129E-2</v>
      </c>
      <c r="J405">
        <v>3.9586000000000003E-2</v>
      </c>
      <c r="K405">
        <v>5.1522999999999999E-2</v>
      </c>
      <c r="L405">
        <v>4.4533999999999997E-2</v>
      </c>
      <c r="M405">
        <v>4.0994999999999997E-2</v>
      </c>
      <c r="N405">
        <v>8.1481999999999999E-2</v>
      </c>
      <c r="O405">
        <v>5.0451000000000003E-2</v>
      </c>
      <c r="P405">
        <v>7.6511999999999997E-2</v>
      </c>
      <c r="Q405">
        <v>3.7178000000000003E-2</v>
      </c>
      <c r="R405">
        <v>5.9122000000000001E-2</v>
      </c>
      <c r="S405">
        <v>4.0819000000000001E-2</v>
      </c>
      <c r="T405">
        <v>4.0195000000000002E-2</v>
      </c>
      <c r="U405">
        <v>5.3362E-2</v>
      </c>
      <c r="V405">
        <v>3.0665000000000001E-2</v>
      </c>
      <c r="W405">
        <v>4.3409999999999997E-2</v>
      </c>
      <c r="X405">
        <v>3.2620999999999997E-2</v>
      </c>
      <c r="Y405">
        <v>1.3557E-2</v>
      </c>
      <c r="Z405">
        <v>3.4901000000000001E-2</v>
      </c>
      <c r="AA405">
        <v>1.1232000000000001E-2</v>
      </c>
      <c r="AB405">
        <v>2.3952999999999999E-2</v>
      </c>
    </row>
    <row r="406" spans="1:28" x14ac:dyDescent="0.2">
      <c r="A406">
        <v>19650930</v>
      </c>
      <c r="B406">
        <v>1965</v>
      </c>
      <c r="C406">
        <v>9</v>
      </c>
      <c r="D406">
        <v>3.0800000000000001E-2</v>
      </c>
      <c r="E406">
        <v>6.1963999999999998E-2</v>
      </c>
      <c r="F406">
        <v>1.4997E-2</v>
      </c>
      <c r="G406">
        <v>3.9392000000000003E-2</v>
      </c>
      <c r="H406">
        <v>3.1465E-2</v>
      </c>
      <c r="I406">
        <v>5.3879000000000003E-2</v>
      </c>
      <c r="J406">
        <v>3.7243999999999999E-2</v>
      </c>
      <c r="K406">
        <v>2.9822999999999999E-2</v>
      </c>
      <c r="L406">
        <v>4.8743000000000002E-2</v>
      </c>
      <c r="M406">
        <v>2.9238E-2</v>
      </c>
      <c r="N406">
        <v>2.5589000000000001E-2</v>
      </c>
      <c r="O406">
        <v>4.2966999999999998E-2</v>
      </c>
      <c r="P406">
        <v>2.4364E-2</v>
      </c>
      <c r="Q406">
        <v>5.0407E-2</v>
      </c>
      <c r="R406">
        <v>4.6487000000000001E-2</v>
      </c>
      <c r="S406">
        <v>3.8353999999999999E-2</v>
      </c>
      <c r="T406">
        <v>3.7312999999999999E-2</v>
      </c>
      <c r="U406">
        <v>1.2300999999999999E-2</v>
      </c>
      <c r="V406">
        <v>2.9784999999999999E-2</v>
      </c>
      <c r="W406">
        <v>3.8306E-2</v>
      </c>
      <c r="X406">
        <v>3.9272000000000001E-2</v>
      </c>
      <c r="Y406">
        <v>2.3223000000000001E-2</v>
      </c>
      <c r="Z406">
        <v>2.4760000000000001E-2</v>
      </c>
      <c r="AA406">
        <v>3.5201000000000003E-2</v>
      </c>
      <c r="AB406">
        <v>3.2515000000000002E-2</v>
      </c>
    </row>
    <row r="407" spans="1:28" x14ac:dyDescent="0.2">
      <c r="A407">
        <v>19651029</v>
      </c>
      <c r="B407">
        <v>1965</v>
      </c>
      <c r="C407">
        <v>10</v>
      </c>
      <c r="D407">
        <v>5.9712000000000001E-2</v>
      </c>
      <c r="E407">
        <v>9.2586000000000002E-2</v>
      </c>
      <c r="F407">
        <v>6.0287E-2</v>
      </c>
      <c r="G407">
        <v>5.6348000000000002E-2</v>
      </c>
      <c r="H407">
        <v>9.0550000000000005E-2</v>
      </c>
      <c r="I407">
        <v>4.5443999999999998E-2</v>
      </c>
      <c r="J407">
        <v>6.1470999999999998E-2</v>
      </c>
      <c r="K407">
        <v>4.2758999999999998E-2</v>
      </c>
      <c r="L407">
        <v>5.3932000000000001E-2</v>
      </c>
      <c r="M407">
        <v>5.3797999999999999E-2</v>
      </c>
      <c r="N407">
        <v>4.5113E-2</v>
      </c>
      <c r="O407">
        <v>4.8264000000000001E-2</v>
      </c>
      <c r="P407">
        <v>5.6788999999999999E-2</v>
      </c>
      <c r="Q407">
        <v>5.5410000000000001E-2</v>
      </c>
      <c r="R407">
        <v>5.1048000000000003E-2</v>
      </c>
      <c r="S407">
        <v>4.3061000000000002E-2</v>
      </c>
      <c r="T407">
        <v>3.1808999999999997E-2</v>
      </c>
      <c r="U407">
        <v>2.9277000000000001E-2</v>
      </c>
      <c r="V407">
        <v>4.4172999999999997E-2</v>
      </c>
      <c r="W407">
        <v>7.8738000000000002E-2</v>
      </c>
      <c r="X407">
        <v>3.1384000000000002E-2</v>
      </c>
      <c r="Y407">
        <v>2.6689999999999999E-3</v>
      </c>
      <c r="Z407">
        <v>3.0513999999999999E-2</v>
      </c>
      <c r="AA407">
        <v>4.4221999999999997E-2</v>
      </c>
      <c r="AB407">
        <v>5.4815999999999997E-2</v>
      </c>
    </row>
    <row r="408" spans="1:28" x14ac:dyDescent="0.2">
      <c r="A408">
        <v>19651130</v>
      </c>
      <c r="B408">
        <v>1965</v>
      </c>
      <c r="C408">
        <v>11</v>
      </c>
      <c r="D408">
        <v>3.5853000000000003E-2</v>
      </c>
      <c r="E408">
        <v>6.7379999999999995E-2</v>
      </c>
      <c r="F408">
        <v>2.4334999999999999E-2</v>
      </c>
      <c r="G408">
        <v>8.0918000000000004E-2</v>
      </c>
      <c r="H408">
        <v>6.6296999999999995E-2</v>
      </c>
      <c r="I408">
        <v>1.4376999999999999E-2</v>
      </c>
      <c r="J408">
        <v>5.5810999999999999E-2</v>
      </c>
      <c r="K408">
        <v>4.2575000000000002E-2</v>
      </c>
      <c r="L408">
        <v>5.4317999999999998E-2</v>
      </c>
      <c r="M408">
        <v>4.0480000000000002E-2</v>
      </c>
      <c r="N408">
        <v>3.5355999999999999E-2</v>
      </c>
      <c r="O408">
        <v>3.3835999999999998E-2</v>
      </c>
      <c r="P408">
        <v>5.2857000000000001E-2</v>
      </c>
      <c r="Q408">
        <v>2.8337000000000001E-2</v>
      </c>
      <c r="R408">
        <v>2.6488000000000001E-2</v>
      </c>
      <c r="S408">
        <v>3.5229000000000003E-2</v>
      </c>
      <c r="T408">
        <v>2.8138E-2</v>
      </c>
      <c r="U408">
        <v>3.3690999999999999E-2</v>
      </c>
      <c r="V408">
        <v>1.1480000000000001E-2</v>
      </c>
      <c r="W408">
        <v>6.0763999999999999E-2</v>
      </c>
      <c r="X408">
        <v>-3.0370000000000002E-3</v>
      </c>
      <c r="Y408">
        <v>-1.8516999999999999E-2</v>
      </c>
      <c r="Z408">
        <v>1.255E-2</v>
      </c>
      <c r="AA408">
        <v>-1.2821000000000001E-2</v>
      </c>
      <c r="AB408">
        <v>-2.2749999999999999E-2</v>
      </c>
    </row>
    <row r="409" spans="1:28" x14ac:dyDescent="0.2">
      <c r="A409">
        <v>19651231</v>
      </c>
      <c r="B409">
        <v>1965</v>
      </c>
      <c r="C409">
        <v>12</v>
      </c>
      <c r="D409">
        <v>6.4061000000000007E-2</v>
      </c>
      <c r="E409">
        <v>7.3524999999999993E-2</v>
      </c>
      <c r="F409">
        <v>2.3439999999999999E-2</v>
      </c>
      <c r="G409">
        <v>3.8727999999999999E-2</v>
      </c>
      <c r="H409">
        <v>4.9632000000000003E-2</v>
      </c>
      <c r="I409">
        <v>3.6686000000000003E-2</v>
      </c>
      <c r="J409">
        <v>5.0611999999999997E-2</v>
      </c>
      <c r="K409">
        <v>3.9600999999999997E-2</v>
      </c>
      <c r="L409">
        <v>2.3878E-2</v>
      </c>
      <c r="M409">
        <v>7.3704000000000006E-2</v>
      </c>
      <c r="N409">
        <v>2.7817999999999999E-2</v>
      </c>
      <c r="O409">
        <v>1.328E-2</v>
      </c>
      <c r="P409">
        <v>4.0189000000000002E-2</v>
      </c>
      <c r="Q409">
        <v>1.5987999999999999E-2</v>
      </c>
      <c r="R409">
        <v>5.6335000000000003E-2</v>
      </c>
      <c r="S409">
        <v>1.3034E-2</v>
      </c>
      <c r="T409">
        <v>1.3391E-2</v>
      </c>
      <c r="U409">
        <v>1.6230999999999999E-2</v>
      </c>
      <c r="V409">
        <v>4.3140999999999999E-2</v>
      </c>
      <c r="W409">
        <v>4.7832E-2</v>
      </c>
      <c r="X409">
        <v>1.0102999999999999E-2</v>
      </c>
      <c r="Y409">
        <v>-2.0530000000000001E-3</v>
      </c>
      <c r="Z409">
        <v>1.2605E-2</v>
      </c>
      <c r="AA409">
        <v>2.7992E-2</v>
      </c>
      <c r="AB409">
        <v>2.9558000000000001E-2</v>
      </c>
    </row>
    <row r="410" spans="1:28" x14ac:dyDescent="0.2">
      <c r="A410">
        <v>19660131</v>
      </c>
      <c r="B410">
        <v>1966</v>
      </c>
      <c r="C410">
        <v>1</v>
      </c>
      <c r="D410">
        <v>5.8756999999999997E-2</v>
      </c>
      <c r="E410">
        <v>6.1252000000000001E-2</v>
      </c>
      <c r="F410">
        <v>8.4953000000000001E-2</v>
      </c>
      <c r="G410">
        <v>9.5804E-2</v>
      </c>
      <c r="H410">
        <v>9.2610999999999999E-2</v>
      </c>
      <c r="I410">
        <v>4.8530999999999998E-2</v>
      </c>
      <c r="J410">
        <v>5.5152E-2</v>
      </c>
      <c r="K410">
        <v>5.2212000000000001E-2</v>
      </c>
      <c r="L410">
        <v>5.3198000000000002E-2</v>
      </c>
      <c r="M410">
        <v>6.4047000000000007E-2</v>
      </c>
      <c r="N410">
        <v>4.1092999999999998E-2</v>
      </c>
      <c r="O410">
        <v>2.8438000000000001E-2</v>
      </c>
      <c r="P410">
        <v>2.9187999999999999E-2</v>
      </c>
      <c r="Q410">
        <v>4.5831999999999998E-2</v>
      </c>
      <c r="R410">
        <v>6.0148E-2</v>
      </c>
      <c r="S410">
        <v>6.698E-3</v>
      </c>
      <c r="T410">
        <v>2.0493000000000001E-2</v>
      </c>
      <c r="U410">
        <v>4.9537999999999999E-2</v>
      </c>
      <c r="V410">
        <v>4.2498000000000001E-2</v>
      </c>
      <c r="W410">
        <v>5.7043000000000003E-2</v>
      </c>
      <c r="X410">
        <v>-3.7190000000000001E-3</v>
      </c>
      <c r="Y410">
        <v>-6.3730000000000002E-3</v>
      </c>
      <c r="Z410">
        <v>1.7297E-2</v>
      </c>
      <c r="AA410">
        <v>3.0563E-2</v>
      </c>
      <c r="AB410">
        <v>3.4997E-2</v>
      </c>
    </row>
    <row r="411" spans="1:28" x14ac:dyDescent="0.2">
      <c r="A411">
        <v>19660228</v>
      </c>
      <c r="B411">
        <v>1966</v>
      </c>
      <c r="C411">
        <v>2</v>
      </c>
      <c r="D411">
        <v>6.4919000000000004E-2</v>
      </c>
      <c r="E411">
        <v>6.1003000000000002E-2</v>
      </c>
      <c r="F411">
        <v>1.7637E-2</v>
      </c>
      <c r="G411">
        <v>4.6412000000000002E-2</v>
      </c>
      <c r="H411">
        <v>6.1312999999999999E-2</v>
      </c>
      <c r="I411">
        <v>4.8901E-2</v>
      </c>
      <c r="J411">
        <v>5.3859999999999998E-2</v>
      </c>
      <c r="K411">
        <v>1.9583E-2</v>
      </c>
      <c r="L411">
        <v>-2.085E-3</v>
      </c>
      <c r="M411">
        <v>3.5297000000000002E-2</v>
      </c>
      <c r="N411">
        <v>-1.237E-3</v>
      </c>
      <c r="O411">
        <v>1.8586999999999999E-2</v>
      </c>
      <c r="P411">
        <v>4.3131999999999997E-2</v>
      </c>
      <c r="Q411">
        <v>2.4861000000000001E-2</v>
      </c>
      <c r="R411">
        <v>2.9023E-2</v>
      </c>
      <c r="S411">
        <v>2.2571000000000001E-2</v>
      </c>
      <c r="T411">
        <v>-1.5730000000000001E-2</v>
      </c>
      <c r="U411">
        <v>6.4339999999999996E-3</v>
      </c>
      <c r="V411">
        <v>6.8009999999999998E-3</v>
      </c>
      <c r="W411">
        <v>3.5463000000000001E-2</v>
      </c>
      <c r="X411">
        <v>-1.3268E-2</v>
      </c>
      <c r="Y411">
        <v>-2.2690999999999999E-2</v>
      </c>
      <c r="Z411">
        <v>-1.6922E-2</v>
      </c>
      <c r="AA411">
        <v>-1.9663E-2</v>
      </c>
      <c r="AB411">
        <v>-2.0556999999999999E-2</v>
      </c>
    </row>
    <row r="412" spans="1:28" x14ac:dyDescent="0.2">
      <c r="A412">
        <v>19660331</v>
      </c>
      <c r="B412">
        <v>1966</v>
      </c>
      <c r="C412">
        <v>3</v>
      </c>
      <c r="D412">
        <v>4.3020000000000003E-3</v>
      </c>
      <c r="E412">
        <v>-4.0549999999999996E-3</v>
      </c>
      <c r="F412">
        <v>-2.2779000000000001E-2</v>
      </c>
      <c r="G412">
        <v>-8.3560000000000006E-3</v>
      </c>
      <c r="H412">
        <v>-1.1006E-2</v>
      </c>
      <c r="I412">
        <v>1.8829999999999999E-3</v>
      </c>
      <c r="J412">
        <v>-1.7232999999999998E-2</v>
      </c>
      <c r="K412">
        <v>-2.4525999999999999E-2</v>
      </c>
      <c r="L412">
        <v>-3.6284999999999998E-2</v>
      </c>
      <c r="M412">
        <v>-1.5570000000000001E-2</v>
      </c>
      <c r="N412">
        <v>-1.7207E-2</v>
      </c>
      <c r="O412">
        <v>-4.7080999999999998E-2</v>
      </c>
      <c r="P412">
        <v>-2.3591999999999998E-2</v>
      </c>
      <c r="Q412">
        <v>-3.3800999999999998E-2</v>
      </c>
      <c r="R412">
        <v>-3.7122000000000002E-2</v>
      </c>
      <c r="S412">
        <v>4.8799999999999999E-4</v>
      </c>
      <c r="T412">
        <v>-1.3941E-2</v>
      </c>
      <c r="U412">
        <v>-3.2975999999999998E-2</v>
      </c>
      <c r="V412">
        <v>-2.5368000000000002E-2</v>
      </c>
      <c r="W412">
        <v>-4.2176999999999999E-2</v>
      </c>
      <c r="X412">
        <v>-1.474E-2</v>
      </c>
      <c r="Y412">
        <v>-3.4161999999999998E-2</v>
      </c>
      <c r="Z412">
        <v>-1.0924E-2</v>
      </c>
      <c r="AA412">
        <v>-2.1509E-2</v>
      </c>
      <c r="AB412">
        <v>-4.5020999999999999E-2</v>
      </c>
    </row>
    <row r="413" spans="1:28" x14ac:dyDescent="0.2">
      <c r="A413">
        <v>19660429</v>
      </c>
      <c r="B413">
        <v>1966</v>
      </c>
      <c r="C413">
        <v>4</v>
      </c>
      <c r="D413">
        <v>0.105139</v>
      </c>
      <c r="E413">
        <v>4.6830999999999998E-2</v>
      </c>
      <c r="F413">
        <v>5.8429000000000002E-2</v>
      </c>
      <c r="G413">
        <v>6.9314000000000001E-2</v>
      </c>
      <c r="H413">
        <v>3.8781000000000003E-2</v>
      </c>
      <c r="I413">
        <v>2.7326E-2</v>
      </c>
      <c r="J413">
        <v>5.1945999999999999E-2</v>
      </c>
      <c r="K413">
        <v>3.6852999999999997E-2</v>
      </c>
      <c r="L413">
        <v>7.7015E-2</v>
      </c>
      <c r="M413">
        <v>8.7953000000000003E-2</v>
      </c>
      <c r="N413">
        <v>3.8115000000000003E-2</v>
      </c>
      <c r="O413">
        <v>4.0488000000000003E-2</v>
      </c>
      <c r="P413">
        <v>3.1269999999999999E-2</v>
      </c>
      <c r="Q413">
        <v>4.3838000000000002E-2</v>
      </c>
      <c r="R413">
        <v>2.4018000000000001E-2</v>
      </c>
      <c r="S413">
        <v>4.0801999999999998E-2</v>
      </c>
      <c r="T413">
        <v>2.4861000000000001E-2</v>
      </c>
      <c r="U413">
        <v>3.4611999999999997E-2</v>
      </c>
      <c r="V413">
        <v>4.8273000000000003E-2</v>
      </c>
      <c r="W413">
        <v>3.3890000000000001E-3</v>
      </c>
      <c r="X413">
        <v>2.1117E-2</v>
      </c>
      <c r="Y413">
        <v>1.8738000000000001E-2</v>
      </c>
      <c r="Z413">
        <v>1.2218E-2</v>
      </c>
      <c r="AA413">
        <v>2.4060999999999999E-2</v>
      </c>
      <c r="AB413">
        <v>1.9990999999999998E-2</v>
      </c>
    </row>
    <row r="414" spans="1:28" x14ac:dyDescent="0.2">
      <c r="A414">
        <v>19660531</v>
      </c>
      <c r="B414">
        <v>1966</v>
      </c>
      <c r="C414">
        <v>5</v>
      </c>
      <c r="D414">
        <v>-0.123013</v>
      </c>
      <c r="E414">
        <v>-0.133738</v>
      </c>
      <c r="F414">
        <v>-0.103573</v>
      </c>
      <c r="G414">
        <v>-0.107611</v>
      </c>
      <c r="H414">
        <v>-0.117866</v>
      </c>
      <c r="I414">
        <v>-9.7591999999999998E-2</v>
      </c>
      <c r="J414">
        <v>-0.10097200000000001</v>
      </c>
      <c r="K414">
        <v>-8.7631000000000001E-2</v>
      </c>
      <c r="L414">
        <v>-0.100317</v>
      </c>
      <c r="M414">
        <v>-9.1776999999999997E-2</v>
      </c>
      <c r="N414">
        <v>-6.2935000000000005E-2</v>
      </c>
      <c r="O414">
        <v>-7.0317000000000005E-2</v>
      </c>
      <c r="P414">
        <v>-7.6381000000000004E-2</v>
      </c>
      <c r="Q414">
        <v>-0.105574</v>
      </c>
      <c r="R414">
        <v>-9.4822000000000004E-2</v>
      </c>
      <c r="S414">
        <v>-5.0816E-2</v>
      </c>
      <c r="T414">
        <v>-5.1563999999999999E-2</v>
      </c>
      <c r="U414">
        <v>-6.7096000000000003E-2</v>
      </c>
      <c r="V414">
        <v>-8.8227E-2</v>
      </c>
      <c r="W414">
        <v>-0.107558</v>
      </c>
      <c r="X414">
        <v>-4.1889000000000003E-2</v>
      </c>
      <c r="Y414">
        <v>-3.8667E-2</v>
      </c>
      <c r="Z414">
        <v>-4.7328000000000002E-2</v>
      </c>
      <c r="AA414">
        <v>-5.5063000000000001E-2</v>
      </c>
      <c r="AB414">
        <v>-5.4507E-2</v>
      </c>
    </row>
    <row r="415" spans="1:28" x14ac:dyDescent="0.2">
      <c r="A415">
        <v>19660630</v>
      </c>
      <c r="B415">
        <v>1966</v>
      </c>
      <c r="C415">
        <v>6</v>
      </c>
      <c r="D415">
        <v>-6.8240000000000002E-3</v>
      </c>
      <c r="E415">
        <v>-2.7590000000000002E-3</v>
      </c>
      <c r="F415">
        <v>1.0710000000000001E-2</v>
      </c>
      <c r="G415">
        <v>1.5448E-2</v>
      </c>
      <c r="H415">
        <v>3.7659999999999998E-3</v>
      </c>
      <c r="I415">
        <v>1.3324000000000001E-2</v>
      </c>
      <c r="J415">
        <v>4.3579999999999999E-3</v>
      </c>
      <c r="K415">
        <v>-6.3699999999999998E-4</v>
      </c>
      <c r="L415">
        <v>-6.4770000000000001E-3</v>
      </c>
      <c r="M415">
        <v>2.4849999999999998E-3</v>
      </c>
      <c r="N415">
        <v>3.9439999999999996E-3</v>
      </c>
      <c r="O415">
        <v>-5.1980000000000004E-3</v>
      </c>
      <c r="P415">
        <v>2.6904999999999998E-2</v>
      </c>
      <c r="Q415">
        <v>-3.6259999999999999E-3</v>
      </c>
      <c r="R415">
        <v>-6.8300000000000001E-3</v>
      </c>
      <c r="S415">
        <v>-8.5929999999999999E-3</v>
      </c>
      <c r="T415">
        <v>-3.6020000000000002E-3</v>
      </c>
      <c r="U415">
        <v>1.7E-5</v>
      </c>
      <c r="V415">
        <v>3.4268E-2</v>
      </c>
      <c r="W415">
        <v>-8.4199999999999998E-4</v>
      </c>
      <c r="X415">
        <v>-1.9986E-2</v>
      </c>
      <c r="Y415">
        <v>-1.4808999999999999E-2</v>
      </c>
      <c r="Z415">
        <v>-6.8900000000000003E-3</v>
      </c>
      <c r="AA415">
        <v>8.5590000000000006E-3</v>
      </c>
      <c r="AB415">
        <v>-6.9480000000000002E-3</v>
      </c>
    </row>
    <row r="416" spans="1:28" x14ac:dyDescent="0.2">
      <c r="A416">
        <v>19660729</v>
      </c>
      <c r="B416">
        <v>1966</v>
      </c>
      <c r="C416">
        <v>7</v>
      </c>
      <c r="D416">
        <v>-2.1739000000000001E-2</v>
      </c>
      <c r="E416">
        <v>-1.7510000000000001E-2</v>
      </c>
      <c r="F416">
        <v>-2.3778000000000001E-2</v>
      </c>
      <c r="G416">
        <v>1.35E-4</v>
      </c>
      <c r="H416">
        <v>-1.0599000000000001E-2</v>
      </c>
      <c r="I416">
        <v>-3.1656999999999998E-2</v>
      </c>
      <c r="J416">
        <v>-2.3341000000000001E-2</v>
      </c>
      <c r="K416">
        <v>-7.2899999999999996E-3</v>
      </c>
      <c r="L416">
        <v>-1.6938000000000002E-2</v>
      </c>
      <c r="M416">
        <v>-1.6868999999999999E-2</v>
      </c>
      <c r="N416">
        <v>-1.0345E-2</v>
      </c>
      <c r="O416">
        <v>-2.0678999999999999E-2</v>
      </c>
      <c r="P416">
        <v>-6.4660000000000004E-3</v>
      </c>
      <c r="Q416">
        <v>-7.9349999999999993E-3</v>
      </c>
      <c r="R416">
        <v>-1.4238000000000001E-2</v>
      </c>
      <c r="S416">
        <v>-8.2360000000000003E-3</v>
      </c>
      <c r="T416">
        <v>-1.3688000000000001E-2</v>
      </c>
      <c r="U416">
        <v>-2.0464E-2</v>
      </c>
      <c r="V416">
        <v>-2.6970000000000001E-2</v>
      </c>
      <c r="W416">
        <v>-2.3772999999999999E-2</v>
      </c>
      <c r="X416">
        <v>-1.6864000000000001E-2</v>
      </c>
      <c r="Y416">
        <v>-1.4936E-2</v>
      </c>
      <c r="Z416">
        <v>-6.1380000000000002E-3</v>
      </c>
      <c r="AA416">
        <v>9.1350000000000008E-3</v>
      </c>
      <c r="AB416">
        <v>-1.3259999999999999E-2</v>
      </c>
    </row>
    <row r="417" spans="1:28" x14ac:dyDescent="0.2">
      <c r="A417">
        <v>19660831</v>
      </c>
      <c r="B417">
        <v>1966</v>
      </c>
      <c r="C417">
        <v>8</v>
      </c>
      <c r="D417">
        <v>-0.119646</v>
      </c>
      <c r="E417">
        <v>-0.105214</v>
      </c>
      <c r="F417">
        <v>-9.9630999999999997E-2</v>
      </c>
      <c r="G417">
        <v>-0.110473</v>
      </c>
      <c r="H417">
        <v>-0.104161</v>
      </c>
      <c r="I417">
        <v>-0.12767200000000001</v>
      </c>
      <c r="J417">
        <v>-0.10143000000000001</v>
      </c>
      <c r="K417">
        <v>-9.3653E-2</v>
      </c>
      <c r="L417">
        <v>-9.6835000000000004E-2</v>
      </c>
      <c r="M417">
        <v>-0.10911800000000001</v>
      </c>
      <c r="N417">
        <v>-0.106818</v>
      </c>
      <c r="O417">
        <v>-8.6482000000000003E-2</v>
      </c>
      <c r="P417">
        <v>-7.9788999999999999E-2</v>
      </c>
      <c r="Q417">
        <v>-9.9419999999999994E-2</v>
      </c>
      <c r="R417">
        <v>-8.6291999999999994E-2</v>
      </c>
      <c r="S417">
        <v>-9.3872999999999998E-2</v>
      </c>
      <c r="T417">
        <v>-7.6617000000000005E-2</v>
      </c>
      <c r="U417">
        <v>-7.9129000000000005E-2</v>
      </c>
      <c r="V417">
        <v>-6.9637000000000004E-2</v>
      </c>
      <c r="W417">
        <v>-9.4044000000000003E-2</v>
      </c>
      <c r="X417">
        <v>-7.1873000000000006E-2</v>
      </c>
      <c r="Y417">
        <v>-8.7471999999999994E-2</v>
      </c>
      <c r="Z417">
        <v>-5.7045999999999999E-2</v>
      </c>
      <c r="AA417">
        <v>-6.1912000000000002E-2</v>
      </c>
      <c r="AB417">
        <v>-7.9624E-2</v>
      </c>
    </row>
    <row r="418" spans="1:28" x14ac:dyDescent="0.2">
      <c r="A418">
        <v>19660930</v>
      </c>
      <c r="B418">
        <v>1966</v>
      </c>
      <c r="C418">
        <v>9</v>
      </c>
      <c r="D418">
        <v>-2.0164000000000001E-2</v>
      </c>
      <c r="E418">
        <v>-1.8402000000000002E-2</v>
      </c>
      <c r="F418">
        <v>-1.8161E-2</v>
      </c>
      <c r="G418">
        <v>-1.9233E-2</v>
      </c>
      <c r="H418">
        <v>-1.2181000000000001E-2</v>
      </c>
      <c r="I418">
        <v>-1.8183000000000001E-2</v>
      </c>
      <c r="J418">
        <v>9.0790000000000003E-3</v>
      </c>
      <c r="K418">
        <v>-2.2520999999999999E-2</v>
      </c>
      <c r="L418">
        <v>-1.8190000000000001E-2</v>
      </c>
      <c r="M418">
        <v>-2.0854999999999999E-2</v>
      </c>
      <c r="N418">
        <v>-2.1949E-2</v>
      </c>
      <c r="O418">
        <v>-4.3173999999999997E-2</v>
      </c>
      <c r="P418">
        <v>4.2919999999999998E-3</v>
      </c>
      <c r="Q418">
        <v>-1.9970000000000001E-3</v>
      </c>
      <c r="R418">
        <v>-1.2755000000000001E-2</v>
      </c>
      <c r="S418">
        <v>-1.0739E-2</v>
      </c>
      <c r="T418">
        <v>1.5460000000000001E-3</v>
      </c>
      <c r="U418">
        <v>-1.2518E-2</v>
      </c>
      <c r="V418">
        <v>-3.2299000000000001E-2</v>
      </c>
      <c r="W418">
        <v>-3.7620000000000002E-3</v>
      </c>
      <c r="X418">
        <v>-1.3094E-2</v>
      </c>
      <c r="Y418">
        <v>1.0071E-2</v>
      </c>
      <c r="Z418">
        <v>4.7949999999999998E-3</v>
      </c>
      <c r="AA418">
        <v>2.7529999999999998E-3</v>
      </c>
      <c r="AB418">
        <v>-1.6178999999999999E-2</v>
      </c>
    </row>
    <row r="419" spans="1:28" x14ac:dyDescent="0.2">
      <c r="A419">
        <v>19661031</v>
      </c>
      <c r="B419">
        <v>1966</v>
      </c>
      <c r="C419">
        <v>10</v>
      </c>
      <c r="D419">
        <v>-8.0064999999999997E-2</v>
      </c>
      <c r="E419">
        <v>-4.7175000000000002E-2</v>
      </c>
      <c r="F419">
        <v>-4.4986999999999999E-2</v>
      </c>
      <c r="G419">
        <v>-1.1372999999999999E-2</v>
      </c>
      <c r="H419">
        <v>-1.4160000000000001E-2</v>
      </c>
      <c r="I419">
        <v>-5.364E-2</v>
      </c>
      <c r="J419">
        <v>-8.2400000000000008E-3</v>
      </c>
      <c r="K419">
        <v>-8.1580000000000003E-3</v>
      </c>
      <c r="L419">
        <v>3.173E-3</v>
      </c>
      <c r="M419">
        <v>-2.0999999999999999E-3</v>
      </c>
      <c r="N419">
        <v>-1.8702E-2</v>
      </c>
      <c r="O419">
        <v>1.4897000000000001E-2</v>
      </c>
      <c r="P419">
        <v>3.2466000000000002E-2</v>
      </c>
      <c r="Q419">
        <v>4.9835999999999998E-2</v>
      </c>
      <c r="R419">
        <v>1.6574999999999999E-2</v>
      </c>
      <c r="S419">
        <v>3.1089999999999998E-3</v>
      </c>
      <c r="T419">
        <v>4.9529999999999998E-2</v>
      </c>
      <c r="U419">
        <v>3.8079000000000002E-2</v>
      </c>
      <c r="V419">
        <v>3.7496000000000002E-2</v>
      </c>
      <c r="W419">
        <v>1.9296000000000001E-2</v>
      </c>
      <c r="X419">
        <v>2.9392000000000001E-2</v>
      </c>
      <c r="Y419">
        <v>5.6250000000000001E-2</v>
      </c>
      <c r="Z419">
        <v>9.2021000000000006E-2</v>
      </c>
      <c r="AA419">
        <v>6.2742999999999993E-2</v>
      </c>
      <c r="AB419">
        <v>6.5076999999999996E-2</v>
      </c>
    </row>
    <row r="420" spans="1:28" x14ac:dyDescent="0.2">
      <c r="A420">
        <v>19661130</v>
      </c>
      <c r="B420">
        <v>1966</v>
      </c>
      <c r="C420">
        <v>11</v>
      </c>
      <c r="D420">
        <v>8.4390999999999994E-2</v>
      </c>
      <c r="E420">
        <v>3.5803000000000001E-2</v>
      </c>
      <c r="F420">
        <v>4.7042E-2</v>
      </c>
      <c r="G420">
        <v>2.4402E-2</v>
      </c>
      <c r="H420">
        <v>3.5889999999999998E-2</v>
      </c>
      <c r="I420">
        <v>7.7596999999999999E-2</v>
      </c>
      <c r="J420">
        <v>3.0752999999999999E-2</v>
      </c>
      <c r="K420">
        <v>7.4346999999999996E-2</v>
      </c>
      <c r="L420">
        <v>1.9297999999999999E-2</v>
      </c>
      <c r="M420">
        <v>2.6884999999999999E-2</v>
      </c>
      <c r="N420">
        <v>9.3354000000000006E-2</v>
      </c>
      <c r="O420">
        <v>6.4772999999999997E-2</v>
      </c>
      <c r="P420">
        <v>1.1391E-2</v>
      </c>
      <c r="Q420">
        <v>4.5770999999999999E-2</v>
      </c>
      <c r="R420">
        <v>6.3699999999999998E-3</v>
      </c>
      <c r="S420">
        <v>8.6180000000000007E-2</v>
      </c>
      <c r="T420">
        <v>1.2966E-2</v>
      </c>
      <c r="U420">
        <v>1.4545000000000001E-2</v>
      </c>
      <c r="V420">
        <v>2.0442999999999999E-2</v>
      </c>
      <c r="W420">
        <v>7.8919999999999997E-3</v>
      </c>
      <c r="X420">
        <v>3.6719000000000002E-2</v>
      </c>
      <c r="Y420">
        <v>1.9047000000000001E-2</v>
      </c>
      <c r="Z420">
        <v>-2.5330999999999999E-2</v>
      </c>
      <c r="AA420">
        <v>-1.4293E-2</v>
      </c>
      <c r="AB420">
        <v>-1.0730999999999999E-2</v>
      </c>
    </row>
    <row r="421" spans="1:28" x14ac:dyDescent="0.2">
      <c r="A421">
        <v>19661230</v>
      </c>
      <c r="B421">
        <v>1966</v>
      </c>
      <c r="C421">
        <v>12</v>
      </c>
      <c r="D421">
        <v>4.1887000000000001E-2</v>
      </c>
      <c r="E421">
        <v>2.6141999999999999E-2</v>
      </c>
      <c r="F421">
        <v>2.5021000000000002E-2</v>
      </c>
      <c r="G421">
        <v>8.1370000000000001E-3</v>
      </c>
      <c r="H421">
        <v>2.3280000000000002E-3</v>
      </c>
      <c r="I421">
        <v>4.7502999999999997E-2</v>
      </c>
      <c r="J421">
        <v>3.4576000000000003E-2</v>
      </c>
      <c r="K421">
        <v>9.2449999999999997E-3</v>
      </c>
      <c r="L421">
        <v>2.2429999999999999E-2</v>
      </c>
      <c r="M421">
        <v>6.9639999999999997E-3</v>
      </c>
      <c r="N421">
        <v>3.1883000000000002E-2</v>
      </c>
      <c r="O421">
        <v>3.7043E-2</v>
      </c>
      <c r="P421">
        <v>4.4869999999999997E-3</v>
      </c>
      <c r="Q421">
        <v>3.1067999999999998E-2</v>
      </c>
      <c r="R421">
        <v>-4.1320000000000003E-3</v>
      </c>
      <c r="S421">
        <v>2.9634000000000001E-2</v>
      </c>
      <c r="T421">
        <v>2.3161999999999999E-2</v>
      </c>
      <c r="U421">
        <v>1.6444E-2</v>
      </c>
      <c r="V421">
        <v>3.6156000000000001E-2</v>
      </c>
      <c r="W421">
        <v>1.9529999999999999E-2</v>
      </c>
      <c r="X421">
        <v>-8.7100000000000007E-3</v>
      </c>
      <c r="Y421">
        <v>7.5799999999999999E-4</v>
      </c>
      <c r="Z421">
        <v>1.4591E-2</v>
      </c>
      <c r="AA421">
        <v>-1.4250000000000001E-3</v>
      </c>
      <c r="AB421">
        <v>-1.227E-3</v>
      </c>
    </row>
    <row r="422" spans="1:28" x14ac:dyDescent="0.2">
      <c r="A422">
        <v>19670131</v>
      </c>
      <c r="B422">
        <v>1967</v>
      </c>
      <c r="C422">
        <v>1</v>
      </c>
      <c r="D422">
        <v>0.20568600000000001</v>
      </c>
      <c r="E422">
        <v>0.201184</v>
      </c>
      <c r="F422">
        <v>0.195247</v>
      </c>
      <c r="G422">
        <v>0.20614199999999999</v>
      </c>
      <c r="H422">
        <v>0.17418700000000001</v>
      </c>
      <c r="I422">
        <v>0.16966500000000001</v>
      </c>
      <c r="J422">
        <v>0.16444</v>
      </c>
      <c r="K422">
        <v>0.17610899999999999</v>
      </c>
      <c r="L422">
        <v>0.17393400000000001</v>
      </c>
      <c r="M422">
        <v>0.20468600000000001</v>
      </c>
      <c r="N422">
        <v>0.16983200000000001</v>
      </c>
      <c r="O422">
        <v>0.14491100000000001</v>
      </c>
      <c r="P422">
        <v>0.121993</v>
      </c>
      <c r="Q422">
        <v>0.131637</v>
      </c>
      <c r="R422">
        <v>0.14344799999999999</v>
      </c>
      <c r="S422">
        <v>9.7780000000000006E-2</v>
      </c>
      <c r="T422">
        <v>6.6799999999999998E-2</v>
      </c>
      <c r="U422">
        <v>0.107449</v>
      </c>
      <c r="V422">
        <v>0.112193</v>
      </c>
      <c r="W422">
        <v>0.13527600000000001</v>
      </c>
      <c r="X422">
        <v>7.7322000000000002E-2</v>
      </c>
      <c r="Y422">
        <v>7.0965E-2</v>
      </c>
      <c r="Z422">
        <v>4.8744999999999997E-2</v>
      </c>
      <c r="AA422">
        <v>7.8590999999999994E-2</v>
      </c>
      <c r="AB422">
        <v>0.13789899999999999</v>
      </c>
    </row>
    <row r="423" spans="1:28" x14ac:dyDescent="0.2">
      <c r="A423">
        <v>19670228</v>
      </c>
      <c r="B423">
        <v>1967</v>
      </c>
      <c r="C423">
        <v>2</v>
      </c>
      <c r="D423">
        <v>7.3009000000000004E-2</v>
      </c>
      <c r="E423">
        <v>5.3938E-2</v>
      </c>
      <c r="F423">
        <v>5.2831999999999997E-2</v>
      </c>
      <c r="G423">
        <v>4.4798999999999999E-2</v>
      </c>
      <c r="H423">
        <v>5.9275000000000001E-2</v>
      </c>
      <c r="I423">
        <v>3.2453999999999997E-2</v>
      </c>
      <c r="J423">
        <v>2.8424999999999999E-2</v>
      </c>
      <c r="K423">
        <v>1.2933999999999999E-2</v>
      </c>
      <c r="L423">
        <v>3.2515000000000002E-2</v>
      </c>
      <c r="M423">
        <v>1.6492E-2</v>
      </c>
      <c r="N423">
        <v>1.9406E-2</v>
      </c>
      <c r="O423">
        <v>2.0414999999999999E-2</v>
      </c>
      <c r="P423">
        <v>1.9311999999999999E-2</v>
      </c>
      <c r="Q423">
        <v>7.8050000000000003E-3</v>
      </c>
      <c r="R423">
        <v>8.8699999999999994E-3</v>
      </c>
      <c r="S423">
        <v>2.9131000000000001E-2</v>
      </c>
      <c r="T423">
        <v>-4.0379999999999999E-3</v>
      </c>
      <c r="U423">
        <v>-2.0110000000000002E-3</v>
      </c>
      <c r="V423">
        <v>1.0839E-2</v>
      </c>
      <c r="W423">
        <v>2.1069999999999999E-3</v>
      </c>
      <c r="X423">
        <v>2.3014E-2</v>
      </c>
      <c r="Y423">
        <v>6.6699999999999997E-3</v>
      </c>
      <c r="Z423">
        <v>-7.8740000000000008E-3</v>
      </c>
      <c r="AA423">
        <v>-8.6580000000000008E-3</v>
      </c>
      <c r="AB423">
        <v>-1.3299999999999999E-2</v>
      </c>
    </row>
    <row r="424" spans="1:28" x14ac:dyDescent="0.2">
      <c r="A424">
        <v>19670331</v>
      </c>
      <c r="B424">
        <v>1967</v>
      </c>
      <c r="C424">
        <v>3</v>
      </c>
      <c r="D424">
        <v>7.1692000000000006E-2</v>
      </c>
      <c r="E424">
        <v>6.1509000000000001E-2</v>
      </c>
      <c r="F424">
        <v>4.9987999999999998E-2</v>
      </c>
      <c r="G424">
        <v>7.51E-2</v>
      </c>
      <c r="H424">
        <v>5.2424999999999999E-2</v>
      </c>
      <c r="I424">
        <v>6.8662000000000001E-2</v>
      </c>
      <c r="J424">
        <v>6.1629000000000003E-2</v>
      </c>
      <c r="K424">
        <v>7.1679000000000007E-2</v>
      </c>
      <c r="L424">
        <v>6.5706000000000001E-2</v>
      </c>
      <c r="M424">
        <v>6.2631000000000006E-2</v>
      </c>
      <c r="N424">
        <v>5.6319000000000001E-2</v>
      </c>
      <c r="O424">
        <v>5.3636999999999997E-2</v>
      </c>
      <c r="P424">
        <v>4.6456999999999998E-2</v>
      </c>
      <c r="Q424">
        <v>8.3172999999999997E-2</v>
      </c>
      <c r="R424">
        <v>4.0750000000000001E-2</v>
      </c>
      <c r="S424">
        <v>5.7894000000000001E-2</v>
      </c>
      <c r="T424">
        <v>4.2716999999999998E-2</v>
      </c>
      <c r="U424">
        <v>5.9142E-2</v>
      </c>
      <c r="V424">
        <v>4.3024E-2</v>
      </c>
      <c r="W424">
        <v>5.9769999999999997E-2</v>
      </c>
      <c r="X424">
        <v>4.2597999999999997E-2</v>
      </c>
      <c r="Y424">
        <v>3.0890999999999998E-2</v>
      </c>
      <c r="Z424">
        <v>3.1531000000000003E-2</v>
      </c>
      <c r="AA424">
        <v>4.6729E-2</v>
      </c>
      <c r="AB424">
        <v>5.3175E-2</v>
      </c>
    </row>
    <row r="425" spans="1:28" x14ac:dyDescent="0.2">
      <c r="A425">
        <v>19670428</v>
      </c>
      <c r="B425">
        <v>1967</v>
      </c>
      <c r="C425">
        <v>4</v>
      </c>
      <c r="D425">
        <v>6.7812999999999998E-2</v>
      </c>
      <c r="E425">
        <v>4.2416000000000002E-2</v>
      </c>
      <c r="F425">
        <v>3.4973999999999998E-2</v>
      </c>
      <c r="G425">
        <v>4.0327000000000002E-2</v>
      </c>
      <c r="H425">
        <v>3.5775000000000001E-2</v>
      </c>
      <c r="I425">
        <v>3.2009000000000003E-2</v>
      </c>
      <c r="J425">
        <v>4.0422E-2</v>
      </c>
      <c r="K425">
        <v>5.0639000000000003E-2</v>
      </c>
      <c r="L425">
        <v>3.9044000000000002E-2</v>
      </c>
      <c r="M425">
        <v>3.3418000000000003E-2</v>
      </c>
      <c r="N425">
        <v>5.5551999999999997E-2</v>
      </c>
      <c r="O425">
        <v>4.4401999999999997E-2</v>
      </c>
      <c r="P425">
        <v>2.9887E-2</v>
      </c>
      <c r="Q425">
        <v>5.3865000000000003E-2</v>
      </c>
      <c r="R425">
        <v>2.8080999999999998E-2</v>
      </c>
      <c r="S425">
        <v>6.6605999999999999E-2</v>
      </c>
      <c r="T425">
        <v>2.9818000000000001E-2</v>
      </c>
      <c r="U425">
        <v>4.0899999999999999E-2</v>
      </c>
      <c r="V425">
        <v>3.5137000000000002E-2</v>
      </c>
      <c r="W425">
        <v>2.8157000000000001E-2</v>
      </c>
      <c r="X425">
        <v>6.8865999999999997E-2</v>
      </c>
      <c r="Y425">
        <v>2.8402E-2</v>
      </c>
      <c r="Z425">
        <v>1.1379999999999999E-3</v>
      </c>
      <c r="AA425">
        <v>3.5468E-2</v>
      </c>
      <c r="AB425">
        <v>1.7638000000000001E-2</v>
      </c>
    </row>
    <row r="426" spans="1:28" x14ac:dyDescent="0.2">
      <c r="A426">
        <v>19670531</v>
      </c>
      <c r="B426">
        <v>1967</v>
      </c>
      <c r="C426">
        <v>5</v>
      </c>
      <c r="D426">
        <v>2.2590000000000002E-3</v>
      </c>
      <c r="E426">
        <v>7.1479999999999998E-3</v>
      </c>
      <c r="F426">
        <v>-8.4530000000000004E-3</v>
      </c>
      <c r="G426">
        <v>-9.9069999999999991E-3</v>
      </c>
      <c r="H426">
        <v>-6.3439999999999998E-3</v>
      </c>
      <c r="I426">
        <v>-1.2815999999999999E-2</v>
      </c>
      <c r="J426">
        <v>6.4859999999999996E-3</v>
      </c>
      <c r="K426">
        <v>4.9540000000000001E-3</v>
      </c>
      <c r="L426">
        <v>-2.6294999999999999E-2</v>
      </c>
      <c r="M426">
        <v>-3.5700000000000003E-2</v>
      </c>
      <c r="N426">
        <v>-3.0619E-2</v>
      </c>
      <c r="O426">
        <v>-1.8974999999999999E-2</v>
      </c>
      <c r="P426">
        <v>-1.8853999999999999E-2</v>
      </c>
      <c r="Q426">
        <v>-2.3839999999999998E-3</v>
      </c>
      <c r="R426">
        <v>-1.9758000000000001E-2</v>
      </c>
      <c r="S426">
        <v>-2.2253999999999999E-2</v>
      </c>
      <c r="T426">
        <v>-5.45E-3</v>
      </c>
      <c r="U426">
        <v>-2.1451999999999999E-2</v>
      </c>
      <c r="V426">
        <v>-1.0689000000000001E-2</v>
      </c>
      <c r="W426">
        <v>-6.4840000000000002E-3</v>
      </c>
      <c r="X426">
        <v>-5.6526E-2</v>
      </c>
      <c r="Y426">
        <v>-4.2053E-2</v>
      </c>
      <c r="Z426">
        <v>-4.0481999999999997E-2</v>
      </c>
      <c r="AA426">
        <v>-3.703E-2</v>
      </c>
      <c r="AB426">
        <v>-3.6595999999999997E-2</v>
      </c>
    </row>
    <row r="427" spans="1:28" x14ac:dyDescent="0.2">
      <c r="A427">
        <v>19670630</v>
      </c>
      <c r="B427">
        <v>1967</v>
      </c>
      <c r="C427">
        <v>6</v>
      </c>
      <c r="D427">
        <v>0.157613</v>
      </c>
      <c r="E427">
        <v>9.3533000000000005E-2</v>
      </c>
      <c r="F427">
        <v>0.12550800000000001</v>
      </c>
      <c r="G427">
        <v>0.121768</v>
      </c>
      <c r="H427">
        <v>0.10177899999999999</v>
      </c>
      <c r="I427">
        <v>0.102446</v>
      </c>
      <c r="J427">
        <v>6.8181000000000005E-2</v>
      </c>
      <c r="K427">
        <v>6.9292999999999993E-2</v>
      </c>
      <c r="L427">
        <v>9.4103000000000006E-2</v>
      </c>
      <c r="M427">
        <v>5.9872000000000002E-2</v>
      </c>
      <c r="N427">
        <v>5.3567999999999998E-2</v>
      </c>
      <c r="O427">
        <v>8.1878999999999993E-2</v>
      </c>
      <c r="P427">
        <v>4.1932999999999998E-2</v>
      </c>
      <c r="Q427">
        <v>5.1105999999999999E-2</v>
      </c>
      <c r="R427">
        <v>3.4548000000000002E-2</v>
      </c>
      <c r="S427">
        <v>3.1081999999999999E-2</v>
      </c>
      <c r="T427">
        <v>2.3217000000000002E-2</v>
      </c>
      <c r="U427">
        <v>3.6678000000000002E-2</v>
      </c>
      <c r="V427">
        <v>6.7072000000000007E-2</v>
      </c>
      <c r="W427">
        <v>6.1274000000000002E-2</v>
      </c>
      <c r="X427">
        <v>1.4220999999999999E-2</v>
      </c>
      <c r="Y427">
        <v>3.9579999999999997E-3</v>
      </c>
      <c r="Z427">
        <v>1.6194E-2</v>
      </c>
      <c r="AA427">
        <v>2.8988E-2</v>
      </c>
      <c r="AB427">
        <v>3.0942999999999998E-2</v>
      </c>
    </row>
    <row r="428" spans="1:28" x14ac:dyDescent="0.2">
      <c r="A428">
        <v>19670731</v>
      </c>
      <c r="B428">
        <v>1967</v>
      </c>
      <c r="C428">
        <v>7</v>
      </c>
      <c r="D428">
        <v>9.3213000000000004E-2</v>
      </c>
      <c r="E428">
        <v>9.6496999999999999E-2</v>
      </c>
      <c r="F428">
        <v>0.100437</v>
      </c>
      <c r="G428">
        <v>7.6255000000000003E-2</v>
      </c>
      <c r="H428">
        <v>0.11827699999999999</v>
      </c>
      <c r="I428">
        <v>6.1726000000000003E-2</v>
      </c>
      <c r="J428">
        <v>6.6112000000000004E-2</v>
      </c>
      <c r="K428">
        <v>9.3847E-2</v>
      </c>
      <c r="L428">
        <v>9.4111E-2</v>
      </c>
      <c r="M428">
        <v>8.4125000000000005E-2</v>
      </c>
      <c r="N428">
        <v>5.3804999999999999E-2</v>
      </c>
      <c r="O428">
        <v>4.9914E-2</v>
      </c>
      <c r="P428">
        <v>5.8998000000000002E-2</v>
      </c>
      <c r="Q428">
        <v>7.2318999999999994E-2</v>
      </c>
      <c r="R428">
        <v>0.115789</v>
      </c>
      <c r="S428">
        <v>4.7910000000000001E-2</v>
      </c>
      <c r="T428">
        <v>4.6580999999999997E-2</v>
      </c>
      <c r="U428">
        <v>5.0812000000000003E-2</v>
      </c>
      <c r="V428">
        <v>7.2256000000000001E-2</v>
      </c>
      <c r="W428">
        <v>9.0223999999999999E-2</v>
      </c>
      <c r="X428">
        <v>4.4462000000000002E-2</v>
      </c>
      <c r="Y428">
        <v>5.6367E-2</v>
      </c>
      <c r="Z428">
        <v>2.1142000000000001E-2</v>
      </c>
      <c r="AA428">
        <v>5.8685000000000001E-2</v>
      </c>
      <c r="AB428">
        <v>6.4583000000000002E-2</v>
      </c>
    </row>
    <row r="429" spans="1:28" x14ac:dyDescent="0.2">
      <c r="A429">
        <v>19670831</v>
      </c>
      <c r="B429">
        <v>1967</v>
      </c>
      <c r="C429">
        <v>8</v>
      </c>
      <c r="D429">
        <v>-7.0860000000000003E-3</v>
      </c>
      <c r="E429">
        <v>5.6429999999999996E-3</v>
      </c>
      <c r="F429">
        <v>4.0049999999999999E-3</v>
      </c>
      <c r="G429">
        <v>1.6119999999999999E-3</v>
      </c>
      <c r="H429">
        <v>2.0906999999999999E-2</v>
      </c>
      <c r="I429">
        <v>-1.183E-2</v>
      </c>
      <c r="J429">
        <v>-1.4182999999999999E-2</v>
      </c>
      <c r="K429">
        <v>6.3460000000000001E-3</v>
      </c>
      <c r="L429">
        <v>5.0569999999999999E-3</v>
      </c>
      <c r="M429">
        <v>1.106E-2</v>
      </c>
      <c r="N429">
        <v>-3.0349000000000001E-2</v>
      </c>
      <c r="O429">
        <v>7.7159999999999998E-3</v>
      </c>
      <c r="P429">
        <v>1.3193E-2</v>
      </c>
      <c r="Q429">
        <v>1.2959E-2</v>
      </c>
      <c r="R429">
        <v>-2.8479999999999998E-3</v>
      </c>
      <c r="S429">
        <v>-9.0869999999999996E-3</v>
      </c>
      <c r="T429">
        <v>-9.7000000000000003E-3</v>
      </c>
      <c r="U429">
        <v>-6.9059999999999998E-3</v>
      </c>
      <c r="V429">
        <v>1.1207999999999999E-2</v>
      </c>
      <c r="W429">
        <v>3.7969999999999997E-2</v>
      </c>
      <c r="X429">
        <v>-5.7419999999999997E-3</v>
      </c>
      <c r="Y429">
        <v>-1.0246E-2</v>
      </c>
      <c r="Z429">
        <v>-1.5269E-2</v>
      </c>
      <c r="AA429">
        <v>4.5570000000000003E-3</v>
      </c>
      <c r="AB429">
        <v>1.338E-2</v>
      </c>
    </row>
    <row r="430" spans="1:28" x14ac:dyDescent="0.2">
      <c r="A430">
        <v>19670929</v>
      </c>
      <c r="B430">
        <v>1967</v>
      </c>
      <c r="C430">
        <v>9</v>
      </c>
      <c r="D430">
        <v>0.117646</v>
      </c>
      <c r="E430">
        <v>0.10208200000000001</v>
      </c>
      <c r="F430">
        <v>8.2414000000000001E-2</v>
      </c>
      <c r="G430">
        <v>7.6412999999999995E-2</v>
      </c>
      <c r="H430">
        <v>4.8731999999999998E-2</v>
      </c>
      <c r="I430">
        <v>5.1036999999999999E-2</v>
      </c>
      <c r="J430">
        <v>6.1175E-2</v>
      </c>
      <c r="K430">
        <v>7.1483000000000005E-2</v>
      </c>
      <c r="L430">
        <v>5.5240999999999998E-2</v>
      </c>
      <c r="M430">
        <v>3.1091000000000001E-2</v>
      </c>
      <c r="N430">
        <v>5.6610000000000001E-2</v>
      </c>
      <c r="O430">
        <v>1.7212999999999999E-2</v>
      </c>
      <c r="P430">
        <v>2.8865999999999999E-2</v>
      </c>
      <c r="Q430">
        <v>4.6168000000000001E-2</v>
      </c>
      <c r="R430">
        <v>2.5388000000000001E-2</v>
      </c>
      <c r="S430">
        <v>3.7335E-2</v>
      </c>
      <c r="T430">
        <v>1.5415E-2</v>
      </c>
      <c r="U430">
        <v>2.2648999999999999E-2</v>
      </c>
      <c r="V430">
        <v>3.6498000000000003E-2</v>
      </c>
      <c r="W430">
        <v>4.0759999999999998E-3</v>
      </c>
      <c r="X430">
        <v>3.7999999999999999E-2</v>
      </c>
      <c r="Y430">
        <v>3.1462999999999998E-2</v>
      </c>
      <c r="Z430">
        <v>3.2577000000000002E-2</v>
      </c>
      <c r="AA430">
        <v>1.6223000000000001E-2</v>
      </c>
      <c r="AB430">
        <v>2.4719999999999998E-3</v>
      </c>
    </row>
    <row r="431" spans="1:28" x14ac:dyDescent="0.2">
      <c r="A431">
        <v>19671031</v>
      </c>
      <c r="B431">
        <v>1967</v>
      </c>
      <c r="C431">
        <v>10</v>
      </c>
      <c r="D431">
        <v>1.8017999999999999E-2</v>
      </c>
      <c r="E431">
        <v>-4.1665000000000001E-2</v>
      </c>
      <c r="F431">
        <v>-1.6472000000000001E-2</v>
      </c>
      <c r="G431">
        <v>-1.4905E-2</v>
      </c>
      <c r="H431">
        <v>-2.6636E-2</v>
      </c>
      <c r="I431">
        <v>-7.7060000000000002E-3</v>
      </c>
      <c r="J431">
        <v>-2.35E-2</v>
      </c>
      <c r="K431">
        <v>8.6250000000000007E-3</v>
      </c>
      <c r="L431">
        <v>-3.0609999999999998E-2</v>
      </c>
      <c r="M431">
        <v>-5.0653999999999998E-2</v>
      </c>
      <c r="N431">
        <v>-3.5043999999999999E-2</v>
      </c>
      <c r="O431">
        <v>-1.0822999999999999E-2</v>
      </c>
      <c r="P431">
        <v>-3.6131000000000003E-2</v>
      </c>
      <c r="Q431">
        <v>-3.0467000000000001E-2</v>
      </c>
      <c r="R431">
        <v>-2.4310999999999999E-2</v>
      </c>
      <c r="S431">
        <v>-4.4790999999999997E-2</v>
      </c>
      <c r="T431">
        <v>-5.4961999999999997E-2</v>
      </c>
      <c r="U431">
        <v>-5.2467E-2</v>
      </c>
      <c r="V431">
        <v>-2.6744E-2</v>
      </c>
      <c r="W431">
        <v>-5.2857000000000001E-2</v>
      </c>
      <c r="X431">
        <v>-2.5370000000000002E-3</v>
      </c>
      <c r="Y431">
        <v>-4.0214E-2</v>
      </c>
      <c r="Z431">
        <v>-2.6988000000000002E-2</v>
      </c>
      <c r="AA431">
        <v>-6.1454000000000002E-2</v>
      </c>
      <c r="AB431">
        <v>-6.5113000000000004E-2</v>
      </c>
    </row>
    <row r="432" spans="1:28" x14ac:dyDescent="0.2">
      <c r="A432">
        <v>19671130</v>
      </c>
      <c r="B432">
        <v>1967</v>
      </c>
      <c r="C432">
        <v>11</v>
      </c>
      <c r="D432">
        <v>-1.0996000000000001E-2</v>
      </c>
      <c r="E432">
        <v>3.8612E-2</v>
      </c>
      <c r="F432">
        <v>-1.2548E-2</v>
      </c>
      <c r="G432">
        <v>-1.3377999999999999E-2</v>
      </c>
      <c r="H432">
        <v>-1.1192000000000001E-2</v>
      </c>
      <c r="I432">
        <v>1.0888999999999999E-2</v>
      </c>
      <c r="J432">
        <v>6.1250000000000002E-3</v>
      </c>
      <c r="K432">
        <v>2.9155E-2</v>
      </c>
      <c r="L432">
        <v>-1.8599999999999999E-4</v>
      </c>
      <c r="M432">
        <v>1.165E-3</v>
      </c>
      <c r="N432">
        <v>2.6918000000000001E-2</v>
      </c>
      <c r="O432">
        <v>8.2719999999999998E-3</v>
      </c>
      <c r="P432">
        <v>7.3239999999999998E-3</v>
      </c>
      <c r="Q432">
        <v>-3.6240000000000001E-3</v>
      </c>
      <c r="R432">
        <v>-7.424E-3</v>
      </c>
      <c r="S432">
        <v>3.4447999999999999E-2</v>
      </c>
      <c r="T432">
        <v>3.7030000000000001E-3</v>
      </c>
      <c r="U432">
        <v>-1.6739999999999999E-3</v>
      </c>
      <c r="V432">
        <v>-3.1000000000000001E-5</v>
      </c>
      <c r="W432">
        <v>-6.8120000000000003E-3</v>
      </c>
      <c r="X432">
        <v>1.32E-2</v>
      </c>
      <c r="Y432">
        <v>2.8059999999999999E-3</v>
      </c>
      <c r="Z432">
        <v>1.7669999999999999E-3</v>
      </c>
      <c r="AA432">
        <v>-5.4510000000000001E-3</v>
      </c>
      <c r="AB432">
        <v>5.5900000000000004E-4</v>
      </c>
    </row>
    <row r="433" spans="1:28" x14ac:dyDescent="0.2">
      <c r="A433">
        <v>19671229</v>
      </c>
      <c r="B433">
        <v>1967</v>
      </c>
      <c r="C433">
        <v>12</v>
      </c>
      <c r="D433">
        <v>0.13128699999999999</v>
      </c>
      <c r="E433">
        <v>0.104477</v>
      </c>
      <c r="F433">
        <v>8.5963999999999999E-2</v>
      </c>
      <c r="G433">
        <v>9.5441999999999999E-2</v>
      </c>
      <c r="H433">
        <v>0.101156</v>
      </c>
      <c r="I433">
        <v>0.124045</v>
      </c>
      <c r="J433">
        <v>6.4005999999999993E-2</v>
      </c>
      <c r="K433">
        <v>9.0703000000000006E-2</v>
      </c>
      <c r="L433">
        <v>7.3106000000000004E-2</v>
      </c>
      <c r="M433">
        <v>9.1249999999999998E-2</v>
      </c>
      <c r="N433">
        <v>7.7035000000000006E-2</v>
      </c>
      <c r="O433">
        <v>5.6646000000000002E-2</v>
      </c>
      <c r="P433">
        <v>5.4538000000000003E-2</v>
      </c>
      <c r="Q433">
        <v>5.1230999999999999E-2</v>
      </c>
      <c r="R433">
        <v>7.4425000000000005E-2</v>
      </c>
      <c r="S433">
        <v>1.3426E-2</v>
      </c>
      <c r="T433">
        <v>2.7476E-2</v>
      </c>
      <c r="U433">
        <v>4.6684000000000003E-2</v>
      </c>
      <c r="V433">
        <v>4.6824999999999999E-2</v>
      </c>
      <c r="W433">
        <v>3.7089999999999998E-2</v>
      </c>
      <c r="X433">
        <v>1.9512999999999999E-2</v>
      </c>
      <c r="Y433">
        <v>3.0452E-2</v>
      </c>
      <c r="Z433">
        <v>2.2363000000000001E-2</v>
      </c>
      <c r="AA433">
        <v>5.5944000000000001E-2</v>
      </c>
      <c r="AB433">
        <v>2.7927E-2</v>
      </c>
    </row>
    <row r="434" spans="1:28" x14ac:dyDescent="0.2">
      <c r="A434">
        <v>19680131</v>
      </c>
      <c r="B434">
        <v>1968</v>
      </c>
      <c r="C434">
        <v>1</v>
      </c>
      <c r="D434">
        <v>3.1406999999999997E-2</v>
      </c>
      <c r="E434">
        <v>2.3206000000000001E-2</v>
      </c>
      <c r="F434">
        <v>3.2516000000000003E-2</v>
      </c>
      <c r="G434">
        <v>3.3436E-2</v>
      </c>
      <c r="H434">
        <v>5.9702999999999999E-2</v>
      </c>
      <c r="I434">
        <v>-4.5761000000000003E-2</v>
      </c>
      <c r="J434">
        <v>-1.9196000000000001E-2</v>
      </c>
      <c r="K434">
        <v>-4.4510000000000001E-3</v>
      </c>
      <c r="L434">
        <v>1.1395000000000001E-2</v>
      </c>
      <c r="M434">
        <v>2.6245999999999998E-2</v>
      </c>
      <c r="N434">
        <v>-6.8746000000000002E-2</v>
      </c>
      <c r="O434">
        <v>-7.0299999999999998E-3</v>
      </c>
      <c r="P434">
        <v>-7.4949999999999999E-3</v>
      </c>
      <c r="Q434">
        <v>-6.1929999999999997E-3</v>
      </c>
      <c r="R434">
        <v>2.7127999999999999E-2</v>
      </c>
      <c r="S434">
        <v>-7.9332E-2</v>
      </c>
      <c r="T434">
        <v>1.611E-3</v>
      </c>
      <c r="U434">
        <v>-2.8566999999999999E-2</v>
      </c>
      <c r="V434">
        <v>1.0269999999999999E-3</v>
      </c>
      <c r="W434">
        <v>-4.2500000000000003E-3</v>
      </c>
      <c r="X434">
        <v>-6.2774999999999997E-2</v>
      </c>
      <c r="Y434">
        <v>-5.8491000000000001E-2</v>
      </c>
      <c r="Z434">
        <v>5.9389999999999998E-3</v>
      </c>
      <c r="AA434">
        <v>-2.2793999999999998E-2</v>
      </c>
      <c r="AB434">
        <v>-3.8550000000000001E-2</v>
      </c>
    </row>
    <row r="435" spans="1:28" x14ac:dyDescent="0.2">
      <c r="A435">
        <v>19680229</v>
      </c>
      <c r="B435">
        <v>1968</v>
      </c>
      <c r="C435">
        <v>2</v>
      </c>
      <c r="D435">
        <v>-0.10100000000000001</v>
      </c>
      <c r="E435">
        <v>-7.1170999999999998E-2</v>
      </c>
      <c r="F435">
        <v>-5.3246000000000002E-2</v>
      </c>
      <c r="G435">
        <v>-6.9681000000000007E-2</v>
      </c>
      <c r="H435">
        <v>-5.6170999999999999E-2</v>
      </c>
      <c r="I435">
        <v>-6.9185999999999998E-2</v>
      </c>
      <c r="J435">
        <v>-6.3105999999999995E-2</v>
      </c>
      <c r="K435">
        <v>-8.8008000000000003E-2</v>
      </c>
      <c r="L435">
        <v>-3.5935000000000002E-2</v>
      </c>
      <c r="M435">
        <v>-5.6686E-2</v>
      </c>
      <c r="N435">
        <v>-6.9042999999999993E-2</v>
      </c>
      <c r="O435">
        <v>-3.9291E-2</v>
      </c>
      <c r="P435">
        <v>-2.9957000000000001E-2</v>
      </c>
      <c r="Q435">
        <v>-2.3938000000000001E-2</v>
      </c>
      <c r="R435">
        <v>-4.5834E-2</v>
      </c>
      <c r="S435">
        <v>-5.4142999999999997E-2</v>
      </c>
      <c r="T435">
        <v>-3.4604999999999997E-2</v>
      </c>
      <c r="U435">
        <v>-2.7903000000000001E-2</v>
      </c>
      <c r="V435">
        <v>-5.2426E-2</v>
      </c>
      <c r="W435">
        <v>-3.8255999999999998E-2</v>
      </c>
      <c r="X435">
        <v>-3.0151000000000001E-2</v>
      </c>
      <c r="Y435">
        <v>-2.2141000000000001E-2</v>
      </c>
      <c r="Z435">
        <v>-2.0767000000000001E-2</v>
      </c>
      <c r="AA435">
        <v>-3.2544999999999998E-2</v>
      </c>
      <c r="AB435">
        <v>-1.8995999999999999E-2</v>
      </c>
    </row>
    <row r="436" spans="1:28" x14ac:dyDescent="0.2">
      <c r="A436">
        <v>19680329</v>
      </c>
      <c r="B436">
        <v>1968</v>
      </c>
      <c r="C436">
        <v>3</v>
      </c>
      <c r="D436">
        <v>-1.5197E-2</v>
      </c>
      <c r="E436">
        <v>2.32E-4</v>
      </c>
      <c r="F436">
        <v>-3.408E-3</v>
      </c>
      <c r="G436">
        <v>-2.0353E-2</v>
      </c>
      <c r="H436">
        <v>-8.0800000000000002E-4</v>
      </c>
      <c r="I436">
        <v>-3.8600000000000001E-3</v>
      </c>
      <c r="J436">
        <v>-1.9529000000000001E-2</v>
      </c>
      <c r="K436">
        <v>-5.1400000000000003E-4</v>
      </c>
      <c r="L436">
        <v>-1.2807000000000001E-2</v>
      </c>
      <c r="M436">
        <v>-6.398E-3</v>
      </c>
      <c r="N436">
        <v>1.9984999999999999E-2</v>
      </c>
      <c r="O436">
        <v>-4.0080000000000003E-3</v>
      </c>
      <c r="P436">
        <v>-2.4206999999999999E-2</v>
      </c>
      <c r="Q436">
        <v>8.0870000000000004E-3</v>
      </c>
      <c r="R436">
        <v>-2.2669999999999999E-3</v>
      </c>
      <c r="S436">
        <v>4.9240000000000004E-3</v>
      </c>
      <c r="T436">
        <v>-1.9139999999999999E-3</v>
      </c>
      <c r="U436">
        <v>-1.2109E-2</v>
      </c>
      <c r="V436">
        <v>2.8159999999999999E-3</v>
      </c>
      <c r="W436">
        <v>-2.8830000000000001E-3</v>
      </c>
      <c r="X436">
        <v>3.0890999999999998E-2</v>
      </c>
      <c r="Y436">
        <v>-1.3752E-2</v>
      </c>
      <c r="Z436">
        <v>-3.2720000000000002E-3</v>
      </c>
      <c r="AA436">
        <v>-1.7867999999999998E-2</v>
      </c>
      <c r="AB436">
        <v>2.0264000000000001E-2</v>
      </c>
    </row>
    <row r="437" spans="1:28" x14ac:dyDescent="0.2">
      <c r="A437">
        <v>19680430</v>
      </c>
      <c r="B437">
        <v>1968</v>
      </c>
      <c r="C437">
        <v>4</v>
      </c>
      <c r="D437">
        <v>0.215666</v>
      </c>
      <c r="E437">
        <v>0.174982</v>
      </c>
      <c r="F437">
        <v>0.162498</v>
      </c>
      <c r="G437">
        <v>0.164295</v>
      </c>
      <c r="H437">
        <v>0.15773300000000001</v>
      </c>
      <c r="I437">
        <v>0.189887</v>
      </c>
      <c r="J437">
        <v>0.12911400000000001</v>
      </c>
      <c r="K437">
        <v>0.179531</v>
      </c>
      <c r="L437">
        <v>0.119895</v>
      </c>
      <c r="M437">
        <v>0.127965</v>
      </c>
      <c r="N437">
        <v>0.161637</v>
      </c>
      <c r="O437">
        <v>0.12102400000000001</v>
      </c>
      <c r="P437">
        <v>8.3797999999999997E-2</v>
      </c>
      <c r="Q437">
        <v>0.102172</v>
      </c>
      <c r="R437">
        <v>0.180481</v>
      </c>
      <c r="S437">
        <v>0.126664</v>
      </c>
      <c r="T437">
        <v>7.3195999999999997E-2</v>
      </c>
      <c r="U437">
        <v>8.3089999999999997E-2</v>
      </c>
      <c r="V437">
        <v>0.130055</v>
      </c>
      <c r="W437">
        <v>0.11652800000000001</v>
      </c>
      <c r="X437">
        <v>0.107421</v>
      </c>
      <c r="Y437">
        <v>7.3968000000000006E-2</v>
      </c>
      <c r="Z437">
        <v>3.3057999999999997E-2</v>
      </c>
      <c r="AA437">
        <v>9.4085000000000002E-2</v>
      </c>
      <c r="AB437">
        <v>0.10507900000000001</v>
      </c>
    </row>
    <row r="438" spans="1:28" x14ac:dyDescent="0.2">
      <c r="A438">
        <v>19680531</v>
      </c>
      <c r="B438">
        <v>1968</v>
      </c>
      <c r="C438">
        <v>5</v>
      </c>
      <c r="D438">
        <v>0.10748199999999999</v>
      </c>
      <c r="E438">
        <v>0.12477100000000001</v>
      </c>
      <c r="F438">
        <v>0.106645</v>
      </c>
      <c r="G438">
        <v>0.120171</v>
      </c>
      <c r="H438">
        <v>0.11763700000000001</v>
      </c>
      <c r="I438">
        <v>0.11916300000000001</v>
      </c>
      <c r="J438">
        <v>7.9910999999999996E-2</v>
      </c>
      <c r="K438">
        <v>8.4496000000000002E-2</v>
      </c>
      <c r="L438">
        <v>7.3112999999999997E-2</v>
      </c>
      <c r="M438">
        <v>7.2447999999999999E-2</v>
      </c>
      <c r="N438">
        <v>8.7984999999999994E-2</v>
      </c>
      <c r="O438">
        <v>4.7084000000000001E-2</v>
      </c>
      <c r="P438">
        <v>4.8386999999999999E-2</v>
      </c>
      <c r="Q438">
        <v>5.0904999999999999E-2</v>
      </c>
      <c r="R438">
        <v>6.9573999999999997E-2</v>
      </c>
      <c r="S438">
        <v>4.5845999999999998E-2</v>
      </c>
      <c r="T438">
        <v>4.6462999999999997E-2</v>
      </c>
      <c r="U438">
        <v>3.0180999999999999E-2</v>
      </c>
      <c r="V438">
        <v>2.7047000000000002E-2</v>
      </c>
      <c r="W438">
        <v>6.1608000000000003E-2</v>
      </c>
      <c r="X438">
        <v>2.2627000000000001E-2</v>
      </c>
      <c r="Y438">
        <v>1.2638E-2</v>
      </c>
      <c r="Z438">
        <v>-8.0409999999999995E-3</v>
      </c>
      <c r="AA438">
        <v>-9.8390000000000005E-3</v>
      </c>
      <c r="AB438">
        <v>4.6470999999999998E-2</v>
      </c>
    </row>
    <row r="439" spans="1:28" x14ac:dyDescent="0.2">
      <c r="A439">
        <v>19680628</v>
      </c>
      <c r="B439">
        <v>1968</v>
      </c>
      <c r="C439">
        <v>6</v>
      </c>
      <c r="D439">
        <v>-1.0840000000000001E-2</v>
      </c>
      <c r="E439">
        <v>1.315E-3</v>
      </c>
      <c r="F439">
        <v>1.6820999999999999E-2</v>
      </c>
      <c r="G439">
        <v>1.7410999999999999E-2</v>
      </c>
      <c r="H439">
        <v>1.4840000000000001E-3</v>
      </c>
      <c r="I439">
        <v>-1.1427E-2</v>
      </c>
      <c r="J439">
        <v>1.8703000000000001E-2</v>
      </c>
      <c r="K439">
        <v>-1.5643000000000001E-2</v>
      </c>
      <c r="L439">
        <v>1.7963E-2</v>
      </c>
      <c r="M439">
        <v>2.8189999999999999E-3</v>
      </c>
      <c r="N439">
        <v>-2.0213999999999999E-2</v>
      </c>
      <c r="O439">
        <v>3.3803E-2</v>
      </c>
      <c r="P439">
        <v>3.4887000000000001E-2</v>
      </c>
      <c r="Q439">
        <v>1.6929E-2</v>
      </c>
      <c r="R439">
        <v>1.4674E-2</v>
      </c>
      <c r="S439">
        <v>-3.1199999999999999E-4</v>
      </c>
      <c r="T439">
        <v>4.0097000000000001E-2</v>
      </c>
      <c r="U439">
        <v>3.9296999999999999E-2</v>
      </c>
      <c r="V439">
        <v>2.7757E-2</v>
      </c>
      <c r="W439">
        <v>-2.1339E-2</v>
      </c>
      <c r="X439">
        <v>-7.8299999999999995E-4</v>
      </c>
      <c r="Y439">
        <v>6.1789999999999996E-3</v>
      </c>
      <c r="Z439">
        <v>4.1751000000000003E-2</v>
      </c>
      <c r="AA439">
        <v>3.1760999999999998E-2</v>
      </c>
      <c r="AB439">
        <v>-1.5962E-2</v>
      </c>
    </row>
    <row r="440" spans="1:28" x14ac:dyDescent="0.2">
      <c r="A440">
        <v>19680730</v>
      </c>
      <c r="B440">
        <v>1968</v>
      </c>
      <c r="C440">
        <v>7</v>
      </c>
      <c r="D440">
        <v>-4.8988999999999998E-2</v>
      </c>
      <c r="E440">
        <v>-4.5796999999999997E-2</v>
      </c>
      <c r="F440">
        <v>-3.7324000000000003E-2</v>
      </c>
      <c r="G440">
        <v>-1.5152000000000001E-2</v>
      </c>
      <c r="H440">
        <v>8.6879999999999995E-3</v>
      </c>
      <c r="I440">
        <v>-8.8661000000000004E-2</v>
      </c>
      <c r="J440">
        <v>-3.9716000000000001E-2</v>
      </c>
      <c r="K440">
        <v>-2.2381000000000002E-2</v>
      </c>
      <c r="L440">
        <v>-4.2900000000000002E-4</v>
      </c>
      <c r="M440">
        <v>-2.8639999999999998E-3</v>
      </c>
      <c r="N440">
        <v>-5.7495999999999998E-2</v>
      </c>
      <c r="O440">
        <v>-3.8787000000000002E-2</v>
      </c>
      <c r="P440">
        <v>-3.5751999999999999E-2</v>
      </c>
      <c r="Q440">
        <v>-9.1850000000000005E-3</v>
      </c>
      <c r="R440">
        <v>-1.877E-3</v>
      </c>
      <c r="S440">
        <v>-5.5251000000000001E-2</v>
      </c>
      <c r="T440">
        <v>-3.6824999999999997E-2</v>
      </c>
      <c r="U440">
        <v>-4.1356999999999998E-2</v>
      </c>
      <c r="V440">
        <v>-1.3642E-2</v>
      </c>
      <c r="W440">
        <v>-2.2117000000000001E-2</v>
      </c>
      <c r="X440">
        <v>-5.2814E-2</v>
      </c>
      <c r="Y440">
        <v>-9.7310000000000001E-3</v>
      </c>
      <c r="Z440">
        <v>2.2887999999999999E-2</v>
      </c>
      <c r="AA440">
        <v>9.2800000000000001E-3</v>
      </c>
      <c r="AB440">
        <v>1.1424999999999999E-2</v>
      </c>
    </row>
    <row r="441" spans="1:28" x14ac:dyDescent="0.2">
      <c r="A441">
        <v>19680830</v>
      </c>
      <c r="B441">
        <v>1968</v>
      </c>
      <c r="C441">
        <v>8</v>
      </c>
      <c r="D441">
        <v>4.5358000000000002E-2</v>
      </c>
      <c r="E441">
        <v>5.7898999999999999E-2</v>
      </c>
      <c r="F441">
        <v>4.8566999999999999E-2</v>
      </c>
      <c r="G441">
        <v>4.0979000000000002E-2</v>
      </c>
      <c r="H441">
        <v>4.7683999999999997E-2</v>
      </c>
      <c r="I441">
        <v>1.5708E-2</v>
      </c>
      <c r="J441">
        <v>3.3792999999999997E-2</v>
      </c>
      <c r="K441">
        <v>3.8145999999999999E-2</v>
      </c>
      <c r="L441">
        <v>1.2756E-2</v>
      </c>
      <c r="M441">
        <v>7.0846000000000006E-2</v>
      </c>
      <c r="N441">
        <v>3.1168999999999999E-2</v>
      </c>
      <c r="O441">
        <v>3.3218999999999999E-2</v>
      </c>
      <c r="P441">
        <v>2.7778000000000001E-2</v>
      </c>
      <c r="Q441">
        <v>2.5291000000000001E-2</v>
      </c>
      <c r="R441">
        <v>4.9590000000000002E-2</v>
      </c>
      <c r="S441">
        <v>1.6917999999999999E-2</v>
      </c>
      <c r="T441">
        <v>1.2834999999999999E-2</v>
      </c>
      <c r="U441">
        <v>1.9543000000000001E-2</v>
      </c>
      <c r="V441">
        <v>2.1697000000000001E-2</v>
      </c>
      <c r="W441">
        <v>3.0816E-2</v>
      </c>
      <c r="X441">
        <v>1.103E-2</v>
      </c>
      <c r="Y441">
        <v>6.8089999999999999E-3</v>
      </c>
      <c r="Z441">
        <v>1.7895000000000001E-2</v>
      </c>
      <c r="AA441">
        <v>1.6542999999999999E-2</v>
      </c>
      <c r="AB441">
        <v>2.8958000000000001E-2</v>
      </c>
    </row>
    <row r="442" spans="1:28" x14ac:dyDescent="0.2">
      <c r="A442">
        <v>19680930</v>
      </c>
      <c r="B442">
        <v>1968</v>
      </c>
      <c r="C442">
        <v>9</v>
      </c>
      <c r="D442">
        <v>7.1570999999999996E-2</v>
      </c>
      <c r="E442">
        <v>8.4775000000000003E-2</v>
      </c>
      <c r="F442">
        <v>6.9346000000000005E-2</v>
      </c>
      <c r="G442">
        <v>5.9413000000000001E-2</v>
      </c>
      <c r="H442">
        <v>6.2606999999999996E-2</v>
      </c>
      <c r="I442">
        <v>7.0892999999999998E-2</v>
      </c>
      <c r="J442">
        <v>6.1265E-2</v>
      </c>
      <c r="K442">
        <v>7.1711999999999998E-2</v>
      </c>
      <c r="L442">
        <v>6.1809999999999997E-2</v>
      </c>
      <c r="M442">
        <v>6.2715000000000007E-2</v>
      </c>
      <c r="N442">
        <v>7.1396000000000001E-2</v>
      </c>
      <c r="O442">
        <v>6.7986000000000005E-2</v>
      </c>
      <c r="P442">
        <v>3.3926999999999999E-2</v>
      </c>
      <c r="Q442">
        <v>6.0255000000000003E-2</v>
      </c>
      <c r="R442">
        <v>6.3786999999999996E-2</v>
      </c>
      <c r="S442">
        <v>6.9307999999999995E-2</v>
      </c>
      <c r="T442">
        <v>6.0995000000000001E-2</v>
      </c>
      <c r="U442">
        <v>4.7209000000000001E-2</v>
      </c>
      <c r="V442">
        <v>6.7984000000000003E-2</v>
      </c>
      <c r="W442">
        <v>5.9041999999999997E-2</v>
      </c>
      <c r="X442">
        <v>2.0355000000000002E-2</v>
      </c>
      <c r="Y442">
        <v>5.2998000000000003E-2</v>
      </c>
      <c r="Z442">
        <v>2.315E-2</v>
      </c>
      <c r="AA442">
        <v>4.2542000000000003E-2</v>
      </c>
      <c r="AB442">
        <v>8.3027000000000004E-2</v>
      </c>
    </row>
    <row r="443" spans="1:28" x14ac:dyDescent="0.2">
      <c r="A443">
        <v>19681031</v>
      </c>
      <c r="B443">
        <v>1968</v>
      </c>
      <c r="C443">
        <v>10</v>
      </c>
      <c r="D443">
        <v>-2.0508999999999999E-2</v>
      </c>
      <c r="E443">
        <v>-2.8400000000000002E-4</v>
      </c>
      <c r="F443">
        <v>1.4029E-2</v>
      </c>
      <c r="G443">
        <v>6.4710000000000002E-3</v>
      </c>
      <c r="H443">
        <v>1.6518999999999999E-2</v>
      </c>
      <c r="I443">
        <v>-3.0530000000000002E-3</v>
      </c>
      <c r="J443">
        <v>7.7499999999999999E-3</v>
      </c>
      <c r="K443">
        <v>1.8289E-2</v>
      </c>
      <c r="L443">
        <v>2.3727000000000002E-2</v>
      </c>
      <c r="M443">
        <v>9.4800000000000006E-3</v>
      </c>
      <c r="N443">
        <v>-9.7900000000000005E-4</v>
      </c>
      <c r="O443">
        <v>2.5536E-2</v>
      </c>
      <c r="P443">
        <v>3.1274000000000003E-2</v>
      </c>
      <c r="Q443">
        <v>2.5558000000000001E-2</v>
      </c>
      <c r="R443">
        <v>8.1519999999999995E-3</v>
      </c>
      <c r="S443">
        <v>-1.1659999999999999E-3</v>
      </c>
      <c r="T443">
        <v>5.2209999999999999E-3</v>
      </c>
      <c r="U443">
        <v>2.4105000000000001E-2</v>
      </c>
      <c r="V443">
        <v>7.953E-3</v>
      </c>
      <c r="W443">
        <v>2.6068000000000001E-2</v>
      </c>
      <c r="X443">
        <v>-1.7441000000000002E-2</v>
      </c>
      <c r="Y443">
        <v>2.1418E-2</v>
      </c>
      <c r="Z443">
        <v>1.8832000000000002E-2</v>
      </c>
      <c r="AA443">
        <v>3.7534999999999999E-2</v>
      </c>
      <c r="AB443">
        <v>1.1467E-2</v>
      </c>
    </row>
    <row r="444" spans="1:28" x14ac:dyDescent="0.2">
      <c r="A444">
        <v>19681129</v>
      </c>
      <c r="B444">
        <v>1968</v>
      </c>
      <c r="C444">
        <v>11</v>
      </c>
      <c r="D444">
        <v>6.7527000000000004E-2</v>
      </c>
      <c r="E444">
        <v>7.6999999999999999E-2</v>
      </c>
      <c r="F444">
        <v>6.4961000000000005E-2</v>
      </c>
      <c r="G444">
        <v>6.5934000000000006E-2</v>
      </c>
      <c r="H444">
        <v>6.9625000000000006E-2</v>
      </c>
      <c r="I444">
        <v>0.100842</v>
      </c>
      <c r="J444">
        <v>9.0625999999999998E-2</v>
      </c>
      <c r="K444">
        <v>8.3337999999999995E-2</v>
      </c>
      <c r="L444">
        <v>8.9306999999999997E-2</v>
      </c>
      <c r="M444">
        <v>5.8823E-2</v>
      </c>
      <c r="N444">
        <v>8.4636000000000003E-2</v>
      </c>
      <c r="O444">
        <v>7.1642999999999998E-2</v>
      </c>
      <c r="P444">
        <v>7.9645999999999995E-2</v>
      </c>
      <c r="Q444">
        <v>9.7545000000000007E-2</v>
      </c>
      <c r="R444">
        <v>7.7339000000000005E-2</v>
      </c>
      <c r="S444">
        <v>6.9554000000000005E-2</v>
      </c>
      <c r="T444">
        <v>7.7781000000000003E-2</v>
      </c>
      <c r="U444">
        <v>7.3314000000000004E-2</v>
      </c>
      <c r="V444">
        <v>7.2178999999999993E-2</v>
      </c>
      <c r="W444">
        <v>8.3576999999999999E-2</v>
      </c>
      <c r="X444">
        <v>6.2651999999999999E-2</v>
      </c>
      <c r="Y444">
        <v>3.0015E-2</v>
      </c>
      <c r="Z444">
        <v>5.7139000000000002E-2</v>
      </c>
      <c r="AA444">
        <v>4.5370000000000001E-2</v>
      </c>
      <c r="AB444">
        <v>3.8015E-2</v>
      </c>
    </row>
    <row r="445" spans="1:28" x14ac:dyDescent="0.2">
      <c r="A445">
        <v>19681231</v>
      </c>
      <c r="B445">
        <v>1968</v>
      </c>
      <c r="C445">
        <v>12</v>
      </c>
      <c r="D445">
        <v>4.0712999999999999E-2</v>
      </c>
      <c r="E445">
        <v>2.3431E-2</v>
      </c>
      <c r="F445">
        <v>6.8970000000000004E-3</v>
      </c>
      <c r="G445">
        <v>-2.4650000000000002E-3</v>
      </c>
      <c r="H445">
        <v>5.3039999999999997E-3</v>
      </c>
      <c r="I445">
        <v>-1.0480000000000001E-3</v>
      </c>
      <c r="J445">
        <v>5.679E-3</v>
      </c>
      <c r="K445">
        <v>-1.4456999999999999E-2</v>
      </c>
      <c r="L445">
        <v>-3.0443000000000001E-2</v>
      </c>
      <c r="M445">
        <v>-3.5367000000000003E-2</v>
      </c>
      <c r="N445">
        <v>-2.6564999999999998E-2</v>
      </c>
      <c r="O445">
        <v>-4.0086999999999998E-2</v>
      </c>
      <c r="P445">
        <v>-1.3346999999999999E-2</v>
      </c>
      <c r="Q445">
        <v>2.336E-3</v>
      </c>
      <c r="R445">
        <v>-2.8746000000000001E-2</v>
      </c>
      <c r="S445">
        <v>-4.0226999999999999E-2</v>
      </c>
      <c r="T445">
        <v>-4.3659000000000003E-2</v>
      </c>
      <c r="U445">
        <v>-4.2761E-2</v>
      </c>
      <c r="V445">
        <v>-1.4501999999999999E-2</v>
      </c>
      <c r="W445">
        <v>-6.4099999999999999E-3</v>
      </c>
      <c r="X445">
        <v>-5.3369E-2</v>
      </c>
      <c r="Y445">
        <v>-4.4007999999999999E-2</v>
      </c>
      <c r="Z445">
        <v>-3.1570000000000001E-2</v>
      </c>
      <c r="AA445">
        <v>-3.4610000000000002E-2</v>
      </c>
      <c r="AB445">
        <v>-3.0283999999999998E-2</v>
      </c>
    </row>
    <row r="446" spans="1:28" x14ac:dyDescent="0.2">
      <c r="A446">
        <v>19690131</v>
      </c>
      <c r="B446">
        <v>1969</v>
      </c>
      <c r="C446">
        <v>1</v>
      </c>
      <c r="D446">
        <v>-5.2880000000000002E-3</v>
      </c>
      <c r="E446">
        <v>-2.1183E-2</v>
      </c>
      <c r="F446">
        <v>-1.9265000000000001E-2</v>
      </c>
      <c r="G446">
        <v>-1.3136999999999999E-2</v>
      </c>
      <c r="H446">
        <v>-1.3131E-2</v>
      </c>
      <c r="I446">
        <v>-2.6921E-2</v>
      </c>
      <c r="J446">
        <v>-9.9950000000000004E-3</v>
      </c>
      <c r="K446">
        <v>-1.5233E-2</v>
      </c>
      <c r="L446">
        <v>1.2578000000000001E-2</v>
      </c>
      <c r="M446">
        <v>6.3819999999999997E-3</v>
      </c>
      <c r="N446">
        <v>-3.3241E-2</v>
      </c>
      <c r="O446">
        <v>-1.1183999999999999E-2</v>
      </c>
      <c r="P446">
        <v>-5.2189999999999997E-3</v>
      </c>
      <c r="Q446">
        <v>-1.1641E-2</v>
      </c>
      <c r="R446">
        <v>-1.2081E-2</v>
      </c>
      <c r="S446">
        <v>-2.1842E-2</v>
      </c>
      <c r="T446">
        <v>1.4649999999999999E-3</v>
      </c>
      <c r="U446">
        <v>7.1000000000000005E-5</v>
      </c>
      <c r="V446">
        <v>-2.8210000000000002E-3</v>
      </c>
      <c r="W446">
        <v>1.2718E-2</v>
      </c>
      <c r="X446">
        <v>-2.1517999999999999E-2</v>
      </c>
      <c r="Y446">
        <v>-4.3270000000000001E-3</v>
      </c>
      <c r="Z446">
        <v>8.0180000000000008E-3</v>
      </c>
      <c r="AA446">
        <v>-3.6359999999999999E-3</v>
      </c>
      <c r="AB446">
        <v>1.6206999999999999E-2</v>
      </c>
    </row>
    <row r="447" spans="1:28" x14ac:dyDescent="0.2">
      <c r="A447">
        <v>19690228</v>
      </c>
      <c r="B447">
        <v>1969</v>
      </c>
      <c r="C447">
        <v>2</v>
      </c>
      <c r="D447">
        <v>-0.123778</v>
      </c>
      <c r="E447">
        <v>-0.10725999999999999</v>
      </c>
      <c r="F447">
        <v>-9.0525999999999995E-2</v>
      </c>
      <c r="G447">
        <v>-8.6708999999999994E-2</v>
      </c>
      <c r="H447">
        <v>-8.7759000000000004E-2</v>
      </c>
      <c r="I447">
        <v>-0.110517</v>
      </c>
      <c r="J447">
        <v>-8.1595000000000001E-2</v>
      </c>
      <c r="K447">
        <v>-4.9194000000000002E-2</v>
      </c>
      <c r="L447">
        <v>-7.1110999999999994E-2</v>
      </c>
      <c r="M447">
        <v>-7.4439000000000005E-2</v>
      </c>
      <c r="N447">
        <v>-9.1694999999999999E-2</v>
      </c>
      <c r="O447">
        <v>-8.4116999999999997E-2</v>
      </c>
      <c r="P447">
        <v>-6.0760000000000002E-2</v>
      </c>
      <c r="Q447">
        <v>-7.0594000000000004E-2</v>
      </c>
      <c r="R447">
        <v>-5.7925999999999998E-2</v>
      </c>
      <c r="S447">
        <v>-8.1691E-2</v>
      </c>
      <c r="T447">
        <v>-7.4831999999999996E-2</v>
      </c>
      <c r="U447">
        <v>-4.9699E-2</v>
      </c>
      <c r="V447">
        <v>-7.2057999999999997E-2</v>
      </c>
      <c r="W447">
        <v>-8.7325E-2</v>
      </c>
      <c r="X447">
        <v>-3.3488999999999998E-2</v>
      </c>
      <c r="Y447">
        <v>-3.1052E-2</v>
      </c>
      <c r="Z447">
        <v>-5.0873000000000002E-2</v>
      </c>
      <c r="AA447">
        <v>-4.6012999999999998E-2</v>
      </c>
      <c r="AB447">
        <v>-6.2233999999999998E-2</v>
      </c>
    </row>
    <row r="448" spans="1:28" x14ac:dyDescent="0.2">
      <c r="A448">
        <v>19690328</v>
      </c>
      <c r="B448">
        <v>1969</v>
      </c>
      <c r="C448">
        <v>3</v>
      </c>
      <c r="D448">
        <v>3.1292E-2</v>
      </c>
      <c r="E448">
        <v>2.4655E-2</v>
      </c>
      <c r="F448">
        <v>3.5593E-2</v>
      </c>
      <c r="G448">
        <v>4.1550999999999998E-2</v>
      </c>
      <c r="H448">
        <v>2.3584999999999998E-2</v>
      </c>
      <c r="I448">
        <v>4.2280999999999999E-2</v>
      </c>
      <c r="J448">
        <v>1.6875000000000001E-2</v>
      </c>
      <c r="K448">
        <v>2.1416000000000001E-2</v>
      </c>
      <c r="L448">
        <v>3.8119999999999999E-3</v>
      </c>
      <c r="M448">
        <v>5.4086000000000002E-2</v>
      </c>
      <c r="N448">
        <v>2.1035999999999999E-2</v>
      </c>
      <c r="O448">
        <v>2.6357999999999999E-2</v>
      </c>
      <c r="P448">
        <v>8.6560000000000005E-3</v>
      </c>
      <c r="Q448">
        <v>2.5524000000000002E-2</v>
      </c>
      <c r="R448">
        <v>2.7418999999999999E-2</v>
      </c>
      <c r="S448">
        <v>4.6469999999999997E-2</v>
      </c>
      <c r="T448">
        <v>-2.0836E-2</v>
      </c>
      <c r="U448">
        <v>2.4840999999999998E-2</v>
      </c>
      <c r="V448">
        <v>1.6877E-2</v>
      </c>
      <c r="W448">
        <v>3.5590999999999998E-2</v>
      </c>
      <c r="X448">
        <v>4.2209999999999998E-2</v>
      </c>
      <c r="Y448">
        <v>2.8972000000000001E-2</v>
      </c>
      <c r="Z448">
        <v>3.7085E-2</v>
      </c>
      <c r="AA448">
        <v>1.9452000000000001E-2</v>
      </c>
      <c r="AB448">
        <v>4.9125000000000002E-2</v>
      </c>
    </row>
    <row r="449" spans="1:28" x14ac:dyDescent="0.2">
      <c r="A449">
        <v>19690430</v>
      </c>
      <c r="B449">
        <v>1969</v>
      </c>
      <c r="C449">
        <v>4</v>
      </c>
      <c r="D449">
        <v>1.0512000000000001E-2</v>
      </c>
      <c r="E449">
        <v>-4.9179999999999996E-3</v>
      </c>
      <c r="F449">
        <v>9.9620000000000004E-3</v>
      </c>
      <c r="G449">
        <v>2.4926E-2</v>
      </c>
      <c r="H449">
        <v>2.3599999999999999E-4</v>
      </c>
      <c r="I449">
        <v>1.5504E-2</v>
      </c>
      <c r="J449">
        <v>1.1246000000000001E-2</v>
      </c>
      <c r="K449">
        <v>1.0607999999999999E-2</v>
      </c>
      <c r="L449">
        <v>-5.4809999999999998E-3</v>
      </c>
      <c r="M449">
        <v>4.6764E-2</v>
      </c>
      <c r="N449">
        <v>2.4348999999999999E-2</v>
      </c>
      <c r="O449">
        <v>1.242E-3</v>
      </c>
      <c r="P449">
        <v>3.2499999999999999E-3</v>
      </c>
      <c r="Q449">
        <v>2.0858999999999999E-2</v>
      </c>
      <c r="R449">
        <v>4.8339999999999998E-3</v>
      </c>
      <c r="S449">
        <v>2.8736999999999999E-2</v>
      </c>
      <c r="T449">
        <v>2.3272000000000001E-2</v>
      </c>
      <c r="U449">
        <v>4.5059999999999996E-3</v>
      </c>
      <c r="V449">
        <v>-5.986E-3</v>
      </c>
      <c r="W449">
        <v>1.7163999999999999E-2</v>
      </c>
      <c r="X449">
        <v>3.7241000000000003E-2</v>
      </c>
      <c r="Y449">
        <v>1.1637E-2</v>
      </c>
      <c r="Z449">
        <v>8.6820000000000005E-3</v>
      </c>
      <c r="AA449">
        <v>3.0218999999999999E-2</v>
      </c>
      <c r="AB449">
        <v>8.2450000000000006E-3</v>
      </c>
    </row>
    <row r="450" spans="1:28" x14ac:dyDescent="0.2">
      <c r="A450">
        <v>19690529</v>
      </c>
      <c r="B450">
        <v>1969</v>
      </c>
      <c r="C450">
        <v>5</v>
      </c>
      <c r="D450">
        <v>1.0264000000000001E-2</v>
      </c>
      <c r="E450">
        <v>8.1010000000000006E-3</v>
      </c>
      <c r="F450">
        <v>1.0107E-2</v>
      </c>
      <c r="G450">
        <v>7.894E-3</v>
      </c>
      <c r="H450">
        <v>4.7089999999999996E-3</v>
      </c>
      <c r="I450">
        <v>-1.9559E-2</v>
      </c>
      <c r="J450">
        <v>-1.6136000000000001E-2</v>
      </c>
      <c r="K450">
        <v>-9.6430000000000005E-3</v>
      </c>
      <c r="L450">
        <v>6.8300000000000001E-4</v>
      </c>
      <c r="M450">
        <v>4.8919999999999996E-3</v>
      </c>
      <c r="N450">
        <v>1.268E-3</v>
      </c>
      <c r="O450">
        <v>2.1770000000000001E-3</v>
      </c>
      <c r="P450">
        <v>1.3272000000000001E-2</v>
      </c>
      <c r="Q450">
        <v>1.4862999999999999E-2</v>
      </c>
      <c r="R450">
        <v>-1.8921E-2</v>
      </c>
      <c r="S450">
        <v>-1.717E-3</v>
      </c>
      <c r="T450">
        <v>-7.1970000000000003E-3</v>
      </c>
      <c r="U450">
        <v>1.2997E-2</v>
      </c>
      <c r="V450">
        <v>1.1946E-2</v>
      </c>
      <c r="W450">
        <v>-2.4691000000000001E-2</v>
      </c>
      <c r="X450">
        <v>-4.8760000000000001E-3</v>
      </c>
      <c r="Y450">
        <v>5.5250000000000004E-3</v>
      </c>
      <c r="Z450">
        <v>9.6609999999999994E-3</v>
      </c>
      <c r="AA450">
        <v>1.4482E-2</v>
      </c>
      <c r="AB450">
        <v>6.3410000000000003E-3</v>
      </c>
    </row>
    <row r="451" spans="1:28" x14ac:dyDescent="0.2">
      <c r="A451">
        <v>19690630</v>
      </c>
      <c r="B451">
        <v>1969</v>
      </c>
      <c r="C451">
        <v>6</v>
      </c>
      <c r="D451">
        <v>-0.14643300000000001</v>
      </c>
      <c r="E451">
        <v>-0.12920200000000001</v>
      </c>
      <c r="F451">
        <v>-0.134579</v>
      </c>
      <c r="G451">
        <v>-0.12592500000000001</v>
      </c>
      <c r="H451">
        <v>-0.122861</v>
      </c>
      <c r="I451">
        <v>-0.121776</v>
      </c>
      <c r="J451">
        <v>-0.110698</v>
      </c>
      <c r="K451">
        <v>-9.1468999999999995E-2</v>
      </c>
      <c r="L451">
        <v>-0.100546</v>
      </c>
      <c r="M451">
        <v>-0.109428</v>
      </c>
      <c r="N451">
        <v>-0.104639</v>
      </c>
      <c r="O451">
        <v>-9.4864000000000004E-2</v>
      </c>
      <c r="P451">
        <v>-0.111956</v>
      </c>
      <c r="Q451">
        <v>-9.8436999999999997E-2</v>
      </c>
      <c r="R451">
        <v>-9.0532000000000001E-2</v>
      </c>
      <c r="S451">
        <v>-7.0805999999999994E-2</v>
      </c>
      <c r="T451">
        <v>-8.8078000000000004E-2</v>
      </c>
      <c r="U451">
        <v>-7.2026999999999994E-2</v>
      </c>
      <c r="V451">
        <v>-8.5141999999999995E-2</v>
      </c>
      <c r="W451">
        <v>-8.4162000000000001E-2</v>
      </c>
      <c r="X451">
        <v>-1.5913E-2</v>
      </c>
      <c r="Y451">
        <v>-6.8220000000000003E-2</v>
      </c>
      <c r="Z451">
        <v>-7.4524000000000007E-2</v>
      </c>
      <c r="AA451">
        <v>-6.6618999999999998E-2</v>
      </c>
      <c r="AB451">
        <v>-8.4542000000000006E-2</v>
      </c>
    </row>
    <row r="452" spans="1:28" x14ac:dyDescent="0.2">
      <c r="A452">
        <v>19690731</v>
      </c>
      <c r="B452">
        <v>1969</v>
      </c>
      <c r="C452">
        <v>7</v>
      </c>
      <c r="D452">
        <v>-0.13011200000000001</v>
      </c>
      <c r="E452">
        <v>-0.114923</v>
      </c>
      <c r="F452">
        <v>-0.10949399999999999</v>
      </c>
      <c r="G452">
        <v>-0.103476</v>
      </c>
      <c r="H452">
        <v>-7.9059000000000004E-2</v>
      </c>
      <c r="I452">
        <v>-0.10757700000000001</v>
      </c>
      <c r="J452">
        <v>-0.100067</v>
      </c>
      <c r="K452">
        <v>-8.4612999999999994E-2</v>
      </c>
      <c r="L452">
        <v>-6.5446000000000004E-2</v>
      </c>
      <c r="M452">
        <v>-8.3724000000000007E-2</v>
      </c>
      <c r="N452">
        <v>-0.10166699999999999</v>
      </c>
      <c r="O452">
        <v>-0.10223500000000001</v>
      </c>
      <c r="P452">
        <v>-6.3682000000000002E-2</v>
      </c>
      <c r="Q452">
        <v>-6.0668E-2</v>
      </c>
      <c r="R452">
        <v>-7.7590000000000006E-2</v>
      </c>
      <c r="S452">
        <v>-6.6258999999999998E-2</v>
      </c>
      <c r="T452">
        <v>-8.1242999999999996E-2</v>
      </c>
      <c r="U452">
        <v>-7.0041999999999993E-2</v>
      </c>
      <c r="V452">
        <v>-5.5930000000000001E-2</v>
      </c>
      <c r="W452">
        <v>-8.0217999999999998E-2</v>
      </c>
      <c r="X452">
        <v>-4.0686E-2</v>
      </c>
      <c r="Y452">
        <v>-5.9718E-2</v>
      </c>
      <c r="Z452">
        <v>-6.3732999999999998E-2</v>
      </c>
      <c r="AA452">
        <v>-8.1581000000000001E-2</v>
      </c>
      <c r="AB452">
        <v>-5.6221E-2</v>
      </c>
    </row>
    <row r="453" spans="1:28" x14ac:dyDescent="0.2">
      <c r="A453">
        <v>19690829</v>
      </c>
      <c r="B453">
        <v>1969</v>
      </c>
      <c r="C453">
        <v>8</v>
      </c>
      <c r="D453">
        <v>5.1291000000000003E-2</v>
      </c>
      <c r="E453">
        <v>4.8422E-2</v>
      </c>
      <c r="F453">
        <v>5.0459999999999998E-2</v>
      </c>
      <c r="G453">
        <v>3.2120000000000003E-2</v>
      </c>
      <c r="H453">
        <v>2.7245999999999999E-2</v>
      </c>
      <c r="I453">
        <v>7.1499999999999994E-2</v>
      </c>
      <c r="J453">
        <v>6.8276000000000003E-2</v>
      </c>
      <c r="K453">
        <v>4.1137E-2</v>
      </c>
      <c r="L453">
        <v>3.2749E-2</v>
      </c>
      <c r="M453">
        <v>2.6710999999999999E-2</v>
      </c>
      <c r="N453">
        <v>9.7387000000000001E-2</v>
      </c>
      <c r="O453">
        <v>8.6583999999999994E-2</v>
      </c>
      <c r="P453">
        <v>6.9893999999999998E-2</v>
      </c>
      <c r="Q453">
        <v>2.5204000000000001E-2</v>
      </c>
      <c r="R453">
        <v>5.7506000000000002E-2</v>
      </c>
      <c r="S453">
        <v>9.9211999999999995E-2</v>
      </c>
      <c r="T453">
        <v>5.4307000000000001E-2</v>
      </c>
      <c r="U453">
        <v>4.5748999999999998E-2</v>
      </c>
      <c r="V453">
        <v>3.4632999999999997E-2</v>
      </c>
      <c r="W453">
        <v>2.8015999999999999E-2</v>
      </c>
      <c r="X453">
        <v>7.0342000000000002E-2</v>
      </c>
      <c r="Y453">
        <v>4.7007E-2</v>
      </c>
      <c r="Z453">
        <v>3.8088999999999998E-2</v>
      </c>
      <c r="AA453">
        <v>4.4301E-2</v>
      </c>
      <c r="AB453">
        <v>1.9328999999999999E-2</v>
      </c>
    </row>
    <row r="454" spans="1:28" x14ac:dyDescent="0.2">
      <c r="A454">
        <v>19690930</v>
      </c>
      <c r="B454">
        <v>1969</v>
      </c>
      <c r="C454">
        <v>9</v>
      </c>
      <c r="D454">
        <v>-2.9798000000000002E-2</v>
      </c>
      <c r="E454">
        <v>-5.0278999999999997E-2</v>
      </c>
      <c r="F454">
        <v>-5.0658000000000002E-2</v>
      </c>
      <c r="G454">
        <v>-2.2643E-2</v>
      </c>
      <c r="H454">
        <v>-3.4793999999999999E-2</v>
      </c>
      <c r="I454">
        <v>1.6381E-2</v>
      </c>
      <c r="J454">
        <v>-1.0377000000000001E-2</v>
      </c>
      <c r="K454">
        <v>-1.821E-2</v>
      </c>
      <c r="L454">
        <v>-8.4089999999999998E-3</v>
      </c>
      <c r="M454">
        <v>-1.4154E-2</v>
      </c>
      <c r="N454">
        <v>3.0799999999999998E-3</v>
      </c>
      <c r="O454">
        <v>7.8600000000000002E-4</v>
      </c>
      <c r="P454">
        <v>-1.6725E-2</v>
      </c>
      <c r="Q454">
        <v>-2.1208999999999999E-2</v>
      </c>
      <c r="R454">
        <v>-3.5914000000000001E-2</v>
      </c>
      <c r="S454">
        <v>5.8609999999999999E-3</v>
      </c>
      <c r="T454">
        <v>-1.4474000000000001E-2</v>
      </c>
      <c r="U454">
        <v>-2.3817999999999999E-2</v>
      </c>
      <c r="V454">
        <v>-3.2434999999999999E-2</v>
      </c>
      <c r="W454">
        <v>-3.4426999999999999E-2</v>
      </c>
      <c r="X454">
        <v>-4.7990000000000003E-3</v>
      </c>
      <c r="Y454">
        <v>-2.2752000000000001E-2</v>
      </c>
      <c r="Z454">
        <v>-2.4327999999999999E-2</v>
      </c>
      <c r="AA454">
        <v>-5.6853000000000001E-2</v>
      </c>
      <c r="AB454">
        <v>-4.5823000000000003E-2</v>
      </c>
    </row>
    <row r="455" spans="1:28" x14ac:dyDescent="0.2">
      <c r="A455">
        <v>19691031</v>
      </c>
      <c r="B455">
        <v>1969</v>
      </c>
      <c r="C455">
        <v>10</v>
      </c>
      <c r="D455">
        <v>0.14118600000000001</v>
      </c>
      <c r="E455">
        <v>0.124213</v>
      </c>
      <c r="F455">
        <v>9.2518000000000003E-2</v>
      </c>
      <c r="G455">
        <v>7.9576999999999995E-2</v>
      </c>
      <c r="H455">
        <v>6.3916000000000001E-2</v>
      </c>
      <c r="I455">
        <v>0.11242099999999999</v>
      </c>
      <c r="J455">
        <v>8.5796999999999998E-2</v>
      </c>
      <c r="K455">
        <v>6.6762000000000002E-2</v>
      </c>
      <c r="L455">
        <v>6.1162000000000001E-2</v>
      </c>
      <c r="M455">
        <v>6.9707000000000005E-2</v>
      </c>
      <c r="N455">
        <v>8.7863999999999998E-2</v>
      </c>
      <c r="O455">
        <v>6.9339999999999999E-2</v>
      </c>
      <c r="P455">
        <v>7.2505E-2</v>
      </c>
      <c r="Q455">
        <v>8.7271000000000001E-2</v>
      </c>
      <c r="R455">
        <v>7.0079000000000002E-2</v>
      </c>
      <c r="S455">
        <v>8.9522000000000004E-2</v>
      </c>
      <c r="T455">
        <v>7.2761000000000006E-2</v>
      </c>
      <c r="U455">
        <v>8.2929000000000003E-2</v>
      </c>
      <c r="V455">
        <v>6.2378999999999997E-2</v>
      </c>
      <c r="W455">
        <v>5.3616999999999998E-2</v>
      </c>
      <c r="X455">
        <v>5.9601000000000001E-2</v>
      </c>
      <c r="Y455">
        <v>5.1747000000000001E-2</v>
      </c>
      <c r="Z455">
        <v>4.5128000000000001E-2</v>
      </c>
      <c r="AA455">
        <v>2.2019E-2</v>
      </c>
      <c r="AB455">
        <v>3.7666999999999999E-2</v>
      </c>
    </row>
    <row r="456" spans="1:28" x14ac:dyDescent="0.2">
      <c r="A456">
        <v>19691128</v>
      </c>
      <c r="B456">
        <v>1969</v>
      </c>
      <c r="C456">
        <v>11</v>
      </c>
      <c r="D456">
        <v>-8.4434999999999996E-2</v>
      </c>
      <c r="E456">
        <v>-7.2131000000000001E-2</v>
      </c>
      <c r="F456">
        <v>-6.2001000000000001E-2</v>
      </c>
      <c r="G456">
        <v>-5.9873000000000003E-2</v>
      </c>
      <c r="H456">
        <v>-7.3596999999999996E-2</v>
      </c>
      <c r="I456">
        <v>-3.4937999999999997E-2</v>
      </c>
      <c r="J456">
        <v>-5.5420999999999998E-2</v>
      </c>
      <c r="K456">
        <v>-3.3530999999999998E-2</v>
      </c>
      <c r="L456">
        <v>-5.2776999999999998E-2</v>
      </c>
      <c r="M456">
        <v>-5.3212000000000002E-2</v>
      </c>
      <c r="N456">
        <v>-4.6658999999999999E-2</v>
      </c>
      <c r="O456">
        <v>-4.589E-2</v>
      </c>
      <c r="P456">
        <v>-6.5033999999999995E-2</v>
      </c>
      <c r="Q456">
        <v>-3.6143000000000002E-2</v>
      </c>
      <c r="R456">
        <v>-5.6918999999999997E-2</v>
      </c>
      <c r="S456">
        <v>-2.1263000000000001E-2</v>
      </c>
      <c r="T456">
        <v>-3.8649000000000003E-2</v>
      </c>
      <c r="U456">
        <v>-3.2492E-2</v>
      </c>
      <c r="V456">
        <v>-5.2748999999999997E-2</v>
      </c>
      <c r="W456">
        <v>-5.9770999999999998E-2</v>
      </c>
      <c r="X456">
        <v>-1.4024999999999999E-2</v>
      </c>
      <c r="Y456">
        <v>-3.6970000000000003E-2</v>
      </c>
      <c r="Z456">
        <v>-3.7596999999999998E-2</v>
      </c>
      <c r="AA456">
        <v>-4.5154E-2</v>
      </c>
      <c r="AB456">
        <v>-1.9488999999999999E-2</v>
      </c>
    </row>
    <row r="457" spans="1:28" x14ac:dyDescent="0.2">
      <c r="A457">
        <v>19691231</v>
      </c>
      <c r="B457">
        <v>1969</v>
      </c>
      <c r="C457">
        <v>12</v>
      </c>
      <c r="D457">
        <v>-8.2170999999999994E-2</v>
      </c>
      <c r="E457">
        <v>-7.3899999999999993E-2</v>
      </c>
      <c r="F457">
        <v>-5.9485000000000003E-2</v>
      </c>
      <c r="G457">
        <v>-8.2720000000000002E-2</v>
      </c>
      <c r="H457">
        <v>-8.5302000000000003E-2</v>
      </c>
      <c r="I457">
        <v>-4.1431999999999997E-2</v>
      </c>
      <c r="J457">
        <v>-6.2186999999999999E-2</v>
      </c>
      <c r="K457">
        <v>-7.2926000000000005E-2</v>
      </c>
      <c r="L457">
        <v>-6.0290999999999997E-2</v>
      </c>
      <c r="M457">
        <v>-6.0323000000000002E-2</v>
      </c>
      <c r="N457">
        <v>-2.9038000000000001E-2</v>
      </c>
      <c r="O457">
        <v>-1.7471E-2</v>
      </c>
      <c r="P457">
        <v>-4.2231999999999999E-2</v>
      </c>
      <c r="Q457">
        <v>-4.6483999999999998E-2</v>
      </c>
      <c r="R457">
        <v>-5.0575000000000002E-2</v>
      </c>
      <c r="S457">
        <v>4.2960000000000003E-3</v>
      </c>
      <c r="T457">
        <v>-4.2853000000000002E-2</v>
      </c>
      <c r="U457">
        <v>-1.915E-2</v>
      </c>
      <c r="V457">
        <v>-1.9081000000000001E-2</v>
      </c>
      <c r="W457">
        <v>-4.0927999999999999E-2</v>
      </c>
      <c r="X457">
        <v>9.7699999999999992E-3</v>
      </c>
      <c r="Y457">
        <v>-1.4689000000000001E-2</v>
      </c>
      <c r="Z457">
        <v>-1.4903E-2</v>
      </c>
      <c r="AA457">
        <v>-1.805E-2</v>
      </c>
      <c r="AB457">
        <v>-5.2323000000000001E-2</v>
      </c>
    </row>
    <row r="458" spans="1:28" x14ac:dyDescent="0.2">
      <c r="A458">
        <v>19700130</v>
      </c>
      <c r="B458">
        <v>1970</v>
      </c>
      <c r="C458">
        <v>1</v>
      </c>
      <c r="D458">
        <v>-4.7848000000000002E-2</v>
      </c>
      <c r="E458">
        <v>-3.4122E-2</v>
      </c>
      <c r="F458">
        <v>-3.8975999999999997E-2</v>
      </c>
      <c r="G458">
        <v>-2.4806999999999999E-2</v>
      </c>
      <c r="H458">
        <v>1.067E-3</v>
      </c>
      <c r="I458">
        <v>-6.9194000000000006E-2</v>
      </c>
      <c r="J458">
        <v>-6.9280999999999995E-2</v>
      </c>
      <c r="K458">
        <v>-1.7944999999999999E-2</v>
      </c>
      <c r="L458">
        <v>-3.8827E-2</v>
      </c>
      <c r="M458">
        <v>-1.7957000000000001E-2</v>
      </c>
      <c r="N458">
        <v>-9.6990000000000007E-2</v>
      </c>
      <c r="O458">
        <v>-6.1508E-2</v>
      </c>
      <c r="P458">
        <v>-7.8810000000000005E-2</v>
      </c>
      <c r="Q458">
        <v>-3.952E-2</v>
      </c>
      <c r="R458">
        <v>-3.5088000000000001E-2</v>
      </c>
      <c r="S458">
        <v>-7.9422000000000006E-2</v>
      </c>
      <c r="T458">
        <v>-0.11387</v>
      </c>
      <c r="U458">
        <v>-7.7130000000000004E-2</v>
      </c>
      <c r="V458">
        <v>-6.1441999999999997E-2</v>
      </c>
      <c r="W458">
        <v>-5.8915000000000002E-2</v>
      </c>
      <c r="X458">
        <v>-8.4891999999999995E-2</v>
      </c>
      <c r="Y458">
        <v>-6.8115999999999996E-2</v>
      </c>
      <c r="Z458">
        <v>-8.2064999999999999E-2</v>
      </c>
      <c r="AA458">
        <v>-9.6678E-2</v>
      </c>
      <c r="AB458">
        <v>-4.2748000000000001E-2</v>
      </c>
    </row>
    <row r="459" spans="1:28" x14ac:dyDescent="0.2">
      <c r="A459">
        <v>19700227</v>
      </c>
      <c r="B459">
        <v>1970</v>
      </c>
      <c r="C459">
        <v>2</v>
      </c>
      <c r="D459">
        <v>2.2377000000000001E-2</v>
      </c>
      <c r="E459">
        <v>3.431E-2</v>
      </c>
      <c r="F459">
        <v>4.1602E-2</v>
      </c>
      <c r="G459">
        <v>3.1189999999999999E-2</v>
      </c>
      <c r="H459">
        <v>4.1836999999999999E-2</v>
      </c>
      <c r="I459">
        <v>2.7196000000000001E-2</v>
      </c>
      <c r="J459">
        <v>2.5239000000000001E-2</v>
      </c>
      <c r="K459">
        <v>2.4885000000000001E-2</v>
      </c>
      <c r="L459">
        <v>8.4330000000000002E-2</v>
      </c>
      <c r="M459">
        <v>7.0574999999999999E-2</v>
      </c>
      <c r="N459">
        <v>3.8189000000000001E-2</v>
      </c>
      <c r="O459">
        <v>2.2020000000000001E-2</v>
      </c>
      <c r="P459">
        <v>5.7334000000000003E-2</v>
      </c>
      <c r="Q459">
        <v>5.5239000000000003E-2</v>
      </c>
      <c r="R459">
        <v>7.5044E-2</v>
      </c>
      <c r="S459">
        <v>4.2972000000000003E-2</v>
      </c>
      <c r="T459">
        <v>4.8919999999999998E-2</v>
      </c>
      <c r="U459">
        <v>6.4879000000000006E-2</v>
      </c>
      <c r="V459">
        <v>8.9545E-2</v>
      </c>
      <c r="W459">
        <v>6.9221000000000005E-2</v>
      </c>
      <c r="X459">
        <v>3.5393000000000001E-2</v>
      </c>
      <c r="Y459">
        <v>5.1140999999999999E-2</v>
      </c>
      <c r="Z459">
        <v>9.0931999999999999E-2</v>
      </c>
      <c r="AA459">
        <v>6.8986000000000006E-2</v>
      </c>
      <c r="AB459">
        <v>8.1661999999999998E-2</v>
      </c>
    </row>
    <row r="460" spans="1:28" x14ac:dyDescent="0.2">
      <c r="A460">
        <v>19700331</v>
      </c>
      <c r="B460">
        <v>1970</v>
      </c>
      <c r="C460">
        <v>3</v>
      </c>
      <c r="D460">
        <v>-6.5189999999999998E-2</v>
      </c>
      <c r="E460">
        <v>-5.2447000000000001E-2</v>
      </c>
      <c r="F460">
        <v>-2.5888999999999999E-2</v>
      </c>
      <c r="G460">
        <v>3.3679999999999999E-3</v>
      </c>
      <c r="H460">
        <v>-1.3183E-2</v>
      </c>
      <c r="I460">
        <v>-5.8749999999999997E-2</v>
      </c>
      <c r="J460">
        <v>-2.2696999999999998E-2</v>
      </c>
      <c r="K460">
        <v>-1.5659999999999999E-3</v>
      </c>
      <c r="L460">
        <v>-1.572E-3</v>
      </c>
      <c r="M460">
        <v>6.8919999999999997E-3</v>
      </c>
      <c r="N460">
        <v>-3.8995000000000002E-2</v>
      </c>
      <c r="O460">
        <v>-5.679E-3</v>
      </c>
      <c r="P460">
        <v>-1.2097999999999999E-2</v>
      </c>
      <c r="Q460">
        <v>1.5576E-2</v>
      </c>
      <c r="R460">
        <v>1.1188999999999999E-2</v>
      </c>
      <c r="S460">
        <v>-4.1746999999999999E-2</v>
      </c>
      <c r="T460">
        <v>1.7700000000000001E-3</v>
      </c>
      <c r="U460">
        <v>1.5355000000000001E-2</v>
      </c>
      <c r="V460">
        <v>6.9779999999999998E-3</v>
      </c>
      <c r="W460">
        <v>2.2327E-2</v>
      </c>
      <c r="X460">
        <v>-2.4577000000000002E-2</v>
      </c>
      <c r="Y460">
        <v>-1.725E-3</v>
      </c>
      <c r="Z460">
        <v>2.8517000000000001E-2</v>
      </c>
      <c r="AA460">
        <v>6.3629999999999997E-3</v>
      </c>
      <c r="AB460">
        <v>1.6308E-2</v>
      </c>
    </row>
    <row r="461" spans="1:28" x14ac:dyDescent="0.2">
      <c r="A461">
        <v>19700430</v>
      </c>
      <c r="B461">
        <v>1970</v>
      </c>
      <c r="C461">
        <v>4</v>
      </c>
      <c r="D461">
        <v>-0.24137700000000001</v>
      </c>
      <c r="E461">
        <v>-0.18845700000000001</v>
      </c>
      <c r="F461">
        <v>-0.15110299999999999</v>
      </c>
      <c r="G461">
        <v>-0.12856600000000001</v>
      </c>
      <c r="H461">
        <v>-0.11952599999999999</v>
      </c>
      <c r="I461">
        <v>-0.22169700000000001</v>
      </c>
      <c r="J461">
        <v>-0.170233</v>
      </c>
      <c r="K461">
        <v>-0.147365</v>
      </c>
      <c r="L461">
        <v>-0.110724</v>
      </c>
      <c r="M461">
        <v>-0.111614</v>
      </c>
      <c r="N461">
        <v>-0.20297699999999999</v>
      </c>
      <c r="O461">
        <v>-0.142844</v>
      </c>
      <c r="P461">
        <v>-0.13303799999999999</v>
      </c>
      <c r="Q461">
        <v>-8.9397000000000004E-2</v>
      </c>
      <c r="R461">
        <v>-0.109012</v>
      </c>
      <c r="S461">
        <v>-0.157085</v>
      </c>
      <c r="T461">
        <v>-0.14915999999999999</v>
      </c>
      <c r="U461">
        <v>-9.7353999999999996E-2</v>
      </c>
      <c r="V461">
        <v>-9.7935999999999995E-2</v>
      </c>
      <c r="W461">
        <v>-9.3619999999999995E-2</v>
      </c>
      <c r="X461">
        <v>-0.105209</v>
      </c>
      <c r="Y461">
        <v>-8.2742999999999997E-2</v>
      </c>
      <c r="Z461">
        <v>-8.9741000000000001E-2</v>
      </c>
      <c r="AA461">
        <v>-6.991E-2</v>
      </c>
      <c r="AB461">
        <v>-7.9813999999999996E-2</v>
      </c>
    </row>
    <row r="462" spans="1:28" x14ac:dyDescent="0.2">
      <c r="A462">
        <v>19700529</v>
      </c>
      <c r="B462">
        <v>1970</v>
      </c>
      <c r="C462">
        <v>5</v>
      </c>
      <c r="D462">
        <v>-0.102007</v>
      </c>
      <c r="E462">
        <v>-0.101552</v>
      </c>
      <c r="F462">
        <v>-9.1963000000000003E-2</v>
      </c>
      <c r="G462">
        <v>-8.0972000000000002E-2</v>
      </c>
      <c r="H462">
        <v>-0.104477</v>
      </c>
      <c r="I462">
        <v>-0.13000100000000001</v>
      </c>
      <c r="J462">
        <v>-8.2295999999999994E-2</v>
      </c>
      <c r="K462">
        <v>-0.112348</v>
      </c>
      <c r="L462">
        <v>-8.1805000000000003E-2</v>
      </c>
      <c r="M462">
        <v>-8.1600000000000006E-2</v>
      </c>
      <c r="N462">
        <v>-0.110971</v>
      </c>
      <c r="O462">
        <v>-0.10806499999999999</v>
      </c>
      <c r="P462">
        <v>-0.12858700000000001</v>
      </c>
      <c r="Q462">
        <v>-6.6485000000000002E-2</v>
      </c>
      <c r="R462">
        <v>-7.7773999999999996E-2</v>
      </c>
      <c r="S462">
        <v>-0.11005</v>
      </c>
      <c r="T462">
        <v>-9.6813999999999997E-2</v>
      </c>
      <c r="U462">
        <v>-7.7058000000000001E-2</v>
      </c>
      <c r="V462">
        <v>-7.1512999999999993E-2</v>
      </c>
      <c r="W462">
        <v>-8.2720000000000002E-2</v>
      </c>
      <c r="X462">
        <v>-8.0959000000000003E-2</v>
      </c>
      <c r="Y462">
        <v>-6.0817000000000003E-2</v>
      </c>
      <c r="Z462">
        <v>-5.0605999999999998E-2</v>
      </c>
      <c r="AA462">
        <v>-4.6900000000000002E-4</v>
      </c>
      <c r="AB462">
        <v>-4.0219999999999999E-2</v>
      </c>
    </row>
    <row r="463" spans="1:28" x14ac:dyDescent="0.2">
      <c r="A463">
        <v>19700630</v>
      </c>
      <c r="B463">
        <v>1970</v>
      </c>
      <c r="C463">
        <v>6</v>
      </c>
      <c r="D463">
        <v>-0.121295</v>
      </c>
      <c r="E463">
        <v>-8.6804000000000006E-2</v>
      </c>
      <c r="F463">
        <v>-7.3519000000000001E-2</v>
      </c>
      <c r="G463">
        <v>-8.2021999999999998E-2</v>
      </c>
      <c r="H463">
        <v>-5.9917999999999999E-2</v>
      </c>
      <c r="I463">
        <v>-0.104731</v>
      </c>
      <c r="J463">
        <v>-7.306E-2</v>
      </c>
      <c r="K463">
        <v>-8.1651000000000001E-2</v>
      </c>
      <c r="L463">
        <v>-7.0656999999999998E-2</v>
      </c>
      <c r="M463">
        <v>-6.0609999999999997E-2</v>
      </c>
      <c r="N463">
        <v>-8.3119999999999999E-2</v>
      </c>
      <c r="O463">
        <v>-4.5913000000000002E-2</v>
      </c>
      <c r="P463">
        <v>-7.1789000000000006E-2</v>
      </c>
      <c r="Q463">
        <v>-4.8112000000000002E-2</v>
      </c>
      <c r="R463">
        <v>-6.8678000000000003E-2</v>
      </c>
      <c r="S463">
        <v>-2.5090999999999999E-2</v>
      </c>
      <c r="T463">
        <v>-5.1624999999999997E-2</v>
      </c>
      <c r="U463">
        <v>-3.6756999999999998E-2</v>
      </c>
      <c r="V463">
        <v>-3.4046E-2</v>
      </c>
      <c r="W463">
        <v>-0.106583</v>
      </c>
      <c r="X463">
        <v>-6.2626000000000001E-2</v>
      </c>
      <c r="Y463">
        <v>-4.0773999999999998E-2</v>
      </c>
      <c r="Z463">
        <v>-3.6599E-2</v>
      </c>
      <c r="AA463">
        <v>-2.0587000000000001E-2</v>
      </c>
      <c r="AB463">
        <v>-8.1686999999999996E-2</v>
      </c>
    </row>
    <row r="464" spans="1:28" x14ac:dyDescent="0.2">
      <c r="A464">
        <v>19700731</v>
      </c>
      <c r="B464">
        <v>1970</v>
      </c>
      <c r="C464">
        <v>7</v>
      </c>
      <c r="D464">
        <v>4.8193E-2</v>
      </c>
      <c r="E464">
        <v>5.6001000000000002E-2</v>
      </c>
      <c r="F464">
        <v>5.1083000000000003E-2</v>
      </c>
      <c r="G464">
        <v>6.4619999999999997E-2</v>
      </c>
      <c r="H464">
        <v>3.8386000000000003E-2</v>
      </c>
      <c r="I464">
        <v>6.6983000000000001E-2</v>
      </c>
      <c r="J464">
        <v>7.6115000000000002E-2</v>
      </c>
      <c r="K464">
        <v>5.6098000000000002E-2</v>
      </c>
      <c r="L464">
        <v>0.106859</v>
      </c>
      <c r="M464">
        <v>7.8015000000000001E-2</v>
      </c>
      <c r="N464">
        <v>7.6815999999999995E-2</v>
      </c>
      <c r="O464">
        <v>6.8066000000000002E-2</v>
      </c>
      <c r="P464">
        <v>9.9959999999999993E-2</v>
      </c>
      <c r="Q464">
        <v>5.5330999999999998E-2</v>
      </c>
      <c r="R464">
        <v>7.1924000000000002E-2</v>
      </c>
      <c r="S464">
        <v>6.4111000000000001E-2</v>
      </c>
      <c r="T464">
        <v>9.3748999999999999E-2</v>
      </c>
      <c r="U464">
        <v>8.0450999999999995E-2</v>
      </c>
      <c r="V464">
        <v>9.0704000000000007E-2</v>
      </c>
      <c r="W464">
        <v>0.112523</v>
      </c>
      <c r="X464">
        <v>4.3922000000000003E-2</v>
      </c>
      <c r="Y464">
        <v>8.2118999999999998E-2</v>
      </c>
      <c r="Z464">
        <v>8.9815000000000006E-2</v>
      </c>
      <c r="AA464">
        <v>0.106908</v>
      </c>
      <c r="AB464">
        <v>6.1428999999999997E-2</v>
      </c>
    </row>
    <row r="465" spans="1:28" x14ac:dyDescent="0.2">
      <c r="A465">
        <v>19700831</v>
      </c>
      <c r="B465">
        <v>1970</v>
      </c>
      <c r="C465">
        <v>8</v>
      </c>
      <c r="D465">
        <v>5.6017999999999998E-2</v>
      </c>
      <c r="E465">
        <v>6.4504000000000006E-2</v>
      </c>
      <c r="F465">
        <v>7.1439000000000002E-2</v>
      </c>
      <c r="G465">
        <v>6.7746000000000001E-2</v>
      </c>
      <c r="H465">
        <v>6.3099000000000002E-2</v>
      </c>
      <c r="I465">
        <v>9.6726999999999994E-2</v>
      </c>
      <c r="J465">
        <v>9.1103000000000003E-2</v>
      </c>
      <c r="K465">
        <v>5.7632000000000003E-2</v>
      </c>
      <c r="L465">
        <v>7.6604000000000005E-2</v>
      </c>
      <c r="M465">
        <v>4.5387999999999998E-2</v>
      </c>
      <c r="N465">
        <v>5.8444999999999997E-2</v>
      </c>
      <c r="O465">
        <v>7.9213000000000006E-2</v>
      </c>
      <c r="P465">
        <v>5.7464000000000001E-2</v>
      </c>
      <c r="Q465">
        <v>6.0188999999999999E-2</v>
      </c>
      <c r="R465">
        <v>7.7959000000000001E-2</v>
      </c>
      <c r="S465">
        <v>4.4558E-2</v>
      </c>
      <c r="T465">
        <v>8.2144999999999996E-2</v>
      </c>
      <c r="U465">
        <v>4.0252000000000003E-2</v>
      </c>
      <c r="V465">
        <v>5.3546000000000003E-2</v>
      </c>
      <c r="W465">
        <v>6.7357E-2</v>
      </c>
      <c r="X465">
        <v>3.9889000000000001E-2</v>
      </c>
      <c r="Y465">
        <v>5.1737999999999999E-2</v>
      </c>
      <c r="Z465">
        <v>4.4127E-2</v>
      </c>
      <c r="AA465">
        <v>4.8861000000000002E-2</v>
      </c>
      <c r="AB465">
        <v>6.1976999999999997E-2</v>
      </c>
    </row>
    <row r="466" spans="1:28" x14ac:dyDescent="0.2">
      <c r="A466">
        <v>19700930</v>
      </c>
      <c r="B466">
        <v>1970</v>
      </c>
      <c r="C466">
        <v>9</v>
      </c>
      <c r="D466">
        <v>0.22153300000000001</v>
      </c>
      <c r="E466">
        <v>0.165351</v>
      </c>
      <c r="F466">
        <v>0.15642900000000001</v>
      </c>
      <c r="G466">
        <v>0.115915</v>
      </c>
      <c r="H466">
        <v>0.116226</v>
      </c>
      <c r="I466">
        <v>0.1792</v>
      </c>
      <c r="J466">
        <v>0.18814500000000001</v>
      </c>
      <c r="K466">
        <v>9.7522999999999999E-2</v>
      </c>
      <c r="L466">
        <v>6.8437999999999999E-2</v>
      </c>
      <c r="M466">
        <v>9.5980999999999997E-2</v>
      </c>
      <c r="N466">
        <v>0.153194</v>
      </c>
      <c r="O466">
        <v>9.8387000000000002E-2</v>
      </c>
      <c r="P466">
        <v>9.2255000000000004E-2</v>
      </c>
      <c r="Q466">
        <v>5.1491000000000002E-2</v>
      </c>
      <c r="R466">
        <v>6.0802000000000002E-2</v>
      </c>
      <c r="S466">
        <v>9.6203999999999998E-2</v>
      </c>
      <c r="T466">
        <v>6.1700999999999999E-2</v>
      </c>
      <c r="U466">
        <v>4.8124E-2</v>
      </c>
      <c r="V466">
        <v>3.8760000000000003E-2</v>
      </c>
      <c r="W466">
        <v>8.0407999999999993E-2</v>
      </c>
      <c r="X466">
        <v>7.1792999999999996E-2</v>
      </c>
      <c r="Y466">
        <v>3.2320000000000001E-3</v>
      </c>
      <c r="Z466">
        <v>-3.0730000000000002E-3</v>
      </c>
      <c r="AA466">
        <v>3.1329999999999999E-3</v>
      </c>
      <c r="AB466">
        <v>4.3882999999999998E-2</v>
      </c>
    </row>
    <row r="467" spans="1:28" x14ac:dyDescent="0.2">
      <c r="A467">
        <v>19701030</v>
      </c>
      <c r="B467">
        <v>1970</v>
      </c>
      <c r="C467">
        <v>10</v>
      </c>
      <c r="D467">
        <v>-0.111332</v>
      </c>
      <c r="E467">
        <v>-7.4491000000000002E-2</v>
      </c>
      <c r="F467">
        <v>-0.112927</v>
      </c>
      <c r="G467">
        <v>-6.5170000000000006E-2</v>
      </c>
      <c r="H467">
        <v>-4.9597000000000002E-2</v>
      </c>
      <c r="I467">
        <v>-4.5085E-2</v>
      </c>
      <c r="J467">
        <v>-8.6941000000000004E-2</v>
      </c>
      <c r="K467">
        <v>-6.0484000000000003E-2</v>
      </c>
      <c r="L467">
        <v>-3.5733000000000001E-2</v>
      </c>
      <c r="M467">
        <v>-4.4119999999999999E-2</v>
      </c>
      <c r="N467">
        <v>-5.9776000000000003E-2</v>
      </c>
      <c r="O467">
        <v>-4.2560000000000001E-2</v>
      </c>
      <c r="P467">
        <v>-6.2362000000000001E-2</v>
      </c>
      <c r="Q467">
        <v>-2.8849E-2</v>
      </c>
      <c r="R467">
        <v>-4.6272000000000001E-2</v>
      </c>
      <c r="S467">
        <v>-2.5378999999999999E-2</v>
      </c>
      <c r="T467">
        <v>-3.4943000000000002E-2</v>
      </c>
      <c r="U467">
        <v>-3.2842999999999997E-2</v>
      </c>
      <c r="V467">
        <v>-3.4431000000000003E-2</v>
      </c>
      <c r="W467">
        <v>-6.1943999999999999E-2</v>
      </c>
      <c r="X467">
        <v>-8.34E-4</v>
      </c>
      <c r="Y467">
        <v>-9.6259999999999991E-3</v>
      </c>
      <c r="Z467">
        <v>-3.3595E-2</v>
      </c>
      <c r="AA467">
        <v>5.1500000000000005E-4</v>
      </c>
      <c r="AB467">
        <v>-3.7700999999999998E-2</v>
      </c>
    </row>
    <row r="468" spans="1:28" x14ac:dyDescent="0.2">
      <c r="A468">
        <v>19701130</v>
      </c>
      <c r="B468">
        <v>1970</v>
      </c>
      <c r="C468">
        <v>11</v>
      </c>
      <c r="D468">
        <v>-4.7154000000000001E-2</v>
      </c>
      <c r="E468">
        <v>-2.1189E-2</v>
      </c>
      <c r="F468">
        <v>-2.0878000000000001E-2</v>
      </c>
      <c r="G468">
        <v>3.7520000000000001E-3</v>
      </c>
      <c r="H468">
        <v>2.1210000000000001E-3</v>
      </c>
      <c r="I468">
        <v>7.6229999999999996E-3</v>
      </c>
      <c r="J468">
        <v>1.3604E-2</v>
      </c>
      <c r="K468">
        <v>3.0609999999999998E-2</v>
      </c>
      <c r="L468">
        <v>5.5599000000000003E-2</v>
      </c>
      <c r="M468">
        <v>3.8469000000000003E-2</v>
      </c>
      <c r="N468">
        <v>2.9871999999999999E-2</v>
      </c>
      <c r="O468">
        <v>3.0672999999999999E-2</v>
      </c>
      <c r="P468">
        <v>4.6338999999999998E-2</v>
      </c>
      <c r="Q468">
        <v>4.9700000000000001E-2</v>
      </c>
      <c r="R468">
        <v>1.9633999999999999E-2</v>
      </c>
      <c r="S468">
        <v>4.8071000000000003E-2</v>
      </c>
      <c r="T468">
        <v>3.0623999999999998E-2</v>
      </c>
      <c r="U468">
        <v>6.1615000000000003E-2</v>
      </c>
      <c r="V468">
        <v>8.4037000000000001E-2</v>
      </c>
      <c r="W468">
        <v>4.8135999999999998E-2</v>
      </c>
      <c r="X468">
        <v>5.1626999999999999E-2</v>
      </c>
      <c r="Y468">
        <v>6.7696000000000006E-2</v>
      </c>
      <c r="Z468">
        <v>5.2180999999999998E-2</v>
      </c>
      <c r="AA468">
        <v>5.8573E-2</v>
      </c>
      <c r="AB468">
        <v>5.6781999999999999E-2</v>
      </c>
    </row>
    <row r="469" spans="1:28" x14ac:dyDescent="0.2">
      <c r="A469">
        <v>19701231</v>
      </c>
      <c r="B469">
        <v>1970</v>
      </c>
      <c r="C469">
        <v>12</v>
      </c>
      <c r="D469">
        <v>6.9806000000000007E-2</v>
      </c>
      <c r="E469">
        <v>7.3249999999999996E-2</v>
      </c>
      <c r="F469">
        <v>0.10441599999999999</v>
      </c>
      <c r="G469">
        <v>0.11579299999999999</v>
      </c>
      <c r="H469">
        <v>0.107042</v>
      </c>
      <c r="I469">
        <v>8.6208999999999994E-2</v>
      </c>
      <c r="J469">
        <v>8.6818000000000006E-2</v>
      </c>
      <c r="K469">
        <v>8.2086000000000006E-2</v>
      </c>
      <c r="L469">
        <v>9.3817999999999999E-2</v>
      </c>
      <c r="M469">
        <v>9.6823000000000006E-2</v>
      </c>
      <c r="N469">
        <v>6.3513E-2</v>
      </c>
      <c r="O469">
        <v>9.6145999999999995E-2</v>
      </c>
      <c r="P469">
        <v>0.10960499999999999</v>
      </c>
      <c r="Q469">
        <v>8.0681000000000003E-2</v>
      </c>
      <c r="R469">
        <v>9.0553999999999996E-2</v>
      </c>
      <c r="S469">
        <v>6.0601000000000002E-2</v>
      </c>
      <c r="T469">
        <v>0.105931</v>
      </c>
      <c r="U469">
        <v>8.4147E-2</v>
      </c>
      <c r="V469">
        <v>0.100367</v>
      </c>
      <c r="W469">
        <v>7.6079999999999995E-2</v>
      </c>
      <c r="X469">
        <v>4.6849000000000002E-2</v>
      </c>
      <c r="Y469">
        <v>5.7841999999999998E-2</v>
      </c>
      <c r="Z469">
        <v>7.4987999999999999E-2</v>
      </c>
      <c r="AA469">
        <v>5.0622E-2</v>
      </c>
      <c r="AB469">
        <v>6.9120000000000001E-2</v>
      </c>
    </row>
    <row r="470" spans="1:28" x14ac:dyDescent="0.2">
      <c r="A470">
        <v>19710129</v>
      </c>
      <c r="B470">
        <v>1971</v>
      </c>
      <c r="C470">
        <v>1</v>
      </c>
      <c r="D470">
        <v>0.15265000000000001</v>
      </c>
      <c r="E470">
        <v>0.137848</v>
      </c>
      <c r="F470">
        <v>0.163131</v>
      </c>
      <c r="G470">
        <v>0.14118</v>
      </c>
      <c r="H470">
        <v>0.15915299999999999</v>
      </c>
      <c r="I470">
        <v>7.7122999999999997E-2</v>
      </c>
      <c r="J470">
        <v>0.12083199999999999</v>
      </c>
      <c r="K470">
        <v>0.127996</v>
      </c>
      <c r="L470">
        <v>0.10895100000000001</v>
      </c>
      <c r="M470">
        <v>0.13081699999999999</v>
      </c>
      <c r="N470">
        <v>8.1804000000000002E-2</v>
      </c>
      <c r="O470">
        <v>8.8540999999999995E-2</v>
      </c>
      <c r="P470">
        <v>0.10927199999999999</v>
      </c>
      <c r="Q470">
        <v>8.1115000000000007E-2</v>
      </c>
      <c r="R470">
        <v>8.6798E-2</v>
      </c>
      <c r="S470">
        <v>5.3423999999999999E-2</v>
      </c>
      <c r="T470">
        <v>7.0897000000000002E-2</v>
      </c>
      <c r="U470">
        <v>5.0444999999999997E-2</v>
      </c>
      <c r="V470">
        <v>8.6474999999999996E-2</v>
      </c>
      <c r="W470">
        <v>0.13997299999999999</v>
      </c>
      <c r="X470">
        <v>4.0971E-2</v>
      </c>
      <c r="Y470">
        <v>4.3071999999999999E-2</v>
      </c>
      <c r="Z470">
        <v>3.2816999999999999E-2</v>
      </c>
      <c r="AA470">
        <v>3.0055999999999999E-2</v>
      </c>
      <c r="AB470">
        <v>4.0308999999999998E-2</v>
      </c>
    </row>
    <row r="471" spans="1:28" x14ac:dyDescent="0.2">
      <c r="A471">
        <v>19710226</v>
      </c>
      <c r="B471">
        <v>1971</v>
      </c>
      <c r="C471">
        <v>2</v>
      </c>
      <c r="D471">
        <v>8.0016000000000004E-2</v>
      </c>
      <c r="E471">
        <v>7.4662000000000006E-2</v>
      </c>
      <c r="F471">
        <v>6.0984999999999998E-2</v>
      </c>
      <c r="G471">
        <v>3.3182999999999997E-2</v>
      </c>
      <c r="H471">
        <v>4.0545999999999999E-2</v>
      </c>
      <c r="I471">
        <v>4.2692000000000001E-2</v>
      </c>
      <c r="J471">
        <v>2.8001999999999999E-2</v>
      </c>
      <c r="K471">
        <v>2.6141000000000001E-2</v>
      </c>
      <c r="L471">
        <v>1.5049E-2</v>
      </c>
      <c r="M471">
        <v>8.8749999999999992E-3</v>
      </c>
      <c r="N471">
        <v>4.1105999999999997E-2</v>
      </c>
      <c r="O471">
        <v>1.9428999999999998E-2</v>
      </c>
      <c r="P471">
        <v>2.4362999999999999E-2</v>
      </c>
      <c r="Q471">
        <v>1.2036E-2</v>
      </c>
      <c r="R471">
        <v>1.8391000000000001E-2</v>
      </c>
      <c r="S471">
        <v>3.6852999999999997E-2</v>
      </c>
      <c r="T471">
        <v>2.8763E-2</v>
      </c>
      <c r="U471">
        <v>2.7320000000000001E-3</v>
      </c>
      <c r="V471">
        <v>3.2431000000000001E-2</v>
      </c>
      <c r="W471">
        <v>1.2121E-2</v>
      </c>
      <c r="X471">
        <v>2.3370999999999999E-2</v>
      </c>
      <c r="Y471">
        <v>3.5260000000000001E-3</v>
      </c>
      <c r="Z471">
        <v>6.6880000000000004E-3</v>
      </c>
      <c r="AA471">
        <v>4.8050000000000002E-3</v>
      </c>
      <c r="AB471">
        <v>1.2515E-2</v>
      </c>
    </row>
    <row r="472" spans="1:28" x14ac:dyDescent="0.2">
      <c r="A472">
        <v>19710331</v>
      </c>
      <c r="B472">
        <v>1971</v>
      </c>
      <c r="C472">
        <v>3</v>
      </c>
      <c r="D472">
        <v>8.3387000000000003E-2</v>
      </c>
      <c r="E472">
        <v>4.6302999999999997E-2</v>
      </c>
      <c r="F472">
        <v>7.8614000000000003E-2</v>
      </c>
      <c r="G472">
        <v>6.4924999999999997E-2</v>
      </c>
      <c r="H472">
        <v>5.0613999999999999E-2</v>
      </c>
      <c r="I472">
        <v>7.8648999999999997E-2</v>
      </c>
      <c r="J472">
        <v>6.7125000000000004E-2</v>
      </c>
      <c r="K472">
        <v>5.8242000000000002E-2</v>
      </c>
      <c r="L472">
        <v>4.206E-2</v>
      </c>
      <c r="M472">
        <v>1.3875E-2</v>
      </c>
      <c r="N472">
        <v>0.10467899999999999</v>
      </c>
      <c r="O472">
        <v>9.2966999999999994E-2</v>
      </c>
      <c r="P472">
        <v>3.8216E-2</v>
      </c>
      <c r="Q472">
        <v>2.9848E-2</v>
      </c>
      <c r="R472">
        <v>4.6816000000000003E-2</v>
      </c>
      <c r="S472">
        <v>6.7905999999999994E-2</v>
      </c>
      <c r="T472">
        <v>6.1754999999999997E-2</v>
      </c>
      <c r="U472">
        <v>4.6939000000000002E-2</v>
      </c>
      <c r="V472">
        <v>2.3501000000000001E-2</v>
      </c>
      <c r="W472">
        <v>3.5129000000000001E-2</v>
      </c>
      <c r="X472">
        <v>5.8573E-2</v>
      </c>
      <c r="Y472">
        <v>2.9002E-2</v>
      </c>
      <c r="Z472">
        <v>4.8457E-2</v>
      </c>
      <c r="AA472">
        <v>1.4359E-2</v>
      </c>
      <c r="AB472">
        <v>2.5004999999999999E-2</v>
      </c>
    </row>
    <row r="473" spans="1:28" x14ac:dyDescent="0.2">
      <c r="A473">
        <v>19710430</v>
      </c>
      <c r="B473">
        <v>1971</v>
      </c>
      <c r="C473">
        <v>4</v>
      </c>
      <c r="D473">
        <v>7.7510000000000001E-3</v>
      </c>
      <c r="E473">
        <v>3.2557999999999997E-2</v>
      </c>
      <c r="F473">
        <v>2.2398000000000001E-2</v>
      </c>
      <c r="G473">
        <v>2.7385E-2</v>
      </c>
      <c r="H473">
        <v>1.8374000000000001E-2</v>
      </c>
      <c r="I473">
        <v>1.9512000000000002E-2</v>
      </c>
      <c r="J473">
        <v>2.8004000000000001E-2</v>
      </c>
      <c r="K473">
        <v>2.2508E-2</v>
      </c>
      <c r="L473">
        <v>3.6027999999999998E-2</v>
      </c>
      <c r="M473">
        <v>7.0302000000000003E-2</v>
      </c>
      <c r="N473">
        <v>6.1768000000000003E-2</v>
      </c>
      <c r="O473">
        <v>4.7265000000000001E-2</v>
      </c>
      <c r="P473">
        <v>4.4248999999999997E-2</v>
      </c>
      <c r="Q473">
        <v>2.6041999999999999E-2</v>
      </c>
      <c r="R473">
        <v>8.0518000000000006E-2</v>
      </c>
      <c r="S473">
        <v>3.0384000000000001E-2</v>
      </c>
      <c r="T473">
        <v>3.0717000000000001E-2</v>
      </c>
      <c r="U473">
        <v>1.9524E-2</v>
      </c>
      <c r="V473">
        <v>4.1438000000000003E-2</v>
      </c>
      <c r="W473">
        <v>9.1729000000000005E-2</v>
      </c>
      <c r="X473">
        <v>3.6288000000000001E-2</v>
      </c>
      <c r="Y473">
        <v>5.6614999999999999E-2</v>
      </c>
      <c r="Z473">
        <v>6.4429999999999999E-3</v>
      </c>
      <c r="AA473">
        <v>2.6168E-2</v>
      </c>
      <c r="AB473">
        <v>6.1543E-2</v>
      </c>
    </row>
    <row r="474" spans="1:28" x14ac:dyDescent="0.2">
      <c r="A474">
        <v>19710528</v>
      </c>
      <c r="B474">
        <v>1971</v>
      </c>
      <c r="C474">
        <v>5</v>
      </c>
      <c r="D474">
        <v>-6.6004999999999994E-2</v>
      </c>
      <c r="E474">
        <v>-5.0951000000000003E-2</v>
      </c>
      <c r="F474">
        <v>-7.3445999999999997E-2</v>
      </c>
      <c r="G474">
        <v>-4.9586999999999999E-2</v>
      </c>
      <c r="H474">
        <v>-6.5751000000000004E-2</v>
      </c>
      <c r="I474">
        <v>-3.3842999999999998E-2</v>
      </c>
      <c r="J474">
        <v>-5.9389999999999998E-2</v>
      </c>
      <c r="K474">
        <v>-4.7815000000000003E-2</v>
      </c>
      <c r="L474">
        <v>-4.5451999999999999E-2</v>
      </c>
      <c r="M474">
        <v>-4.4678000000000002E-2</v>
      </c>
      <c r="N474">
        <v>-4.5222999999999999E-2</v>
      </c>
      <c r="O474">
        <v>-2.5645000000000001E-2</v>
      </c>
      <c r="P474">
        <v>-4.7628999999999998E-2</v>
      </c>
      <c r="Q474">
        <v>-3.9181000000000001E-2</v>
      </c>
      <c r="R474">
        <v>-3.0998999999999999E-2</v>
      </c>
      <c r="S474">
        <v>-2.1565000000000001E-2</v>
      </c>
      <c r="T474">
        <v>-3.4069000000000002E-2</v>
      </c>
      <c r="U474">
        <v>-4.1168999999999997E-2</v>
      </c>
      <c r="V474">
        <v>-3.1449999999999999E-2</v>
      </c>
      <c r="W474">
        <v>-4.3719000000000001E-2</v>
      </c>
      <c r="X474">
        <v>-2.4319E-2</v>
      </c>
      <c r="Y474">
        <v>-4.3527000000000003E-2</v>
      </c>
      <c r="Z474">
        <v>-4.1732999999999999E-2</v>
      </c>
      <c r="AA474">
        <v>-5.0191E-2</v>
      </c>
      <c r="AB474">
        <v>-3.6534999999999998E-2</v>
      </c>
    </row>
    <row r="475" spans="1:28" x14ac:dyDescent="0.2">
      <c r="A475">
        <v>19710630</v>
      </c>
      <c r="B475">
        <v>1971</v>
      </c>
      <c r="C475">
        <v>6</v>
      </c>
      <c r="D475">
        <v>-4.2199999999999998E-3</v>
      </c>
      <c r="E475">
        <v>-3.5857E-2</v>
      </c>
      <c r="F475">
        <v>-2.2912999999999999E-2</v>
      </c>
      <c r="G475">
        <v>-1.2437E-2</v>
      </c>
      <c r="H475">
        <v>-2.1788999999999999E-2</v>
      </c>
      <c r="I475">
        <v>3.6934000000000002E-2</v>
      </c>
      <c r="J475">
        <v>-1.6029999999999999E-2</v>
      </c>
      <c r="K475">
        <v>3.284E-3</v>
      </c>
      <c r="L475">
        <v>-2.1129999999999999E-2</v>
      </c>
      <c r="M475">
        <v>-3.3626000000000003E-2</v>
      </c>
      <c r="N475">
        <v>-1.7361000000000001E-2</v>
      </c>
      <c r="O475">
        <v>1.7430000000000001E-2</v>
      </c>
      <c r="P475">
        <v>-1.4581999999999999E-2</v>
      </c>
      <c r="Q475">
        <v>-1.8859999999999998E-2</v>
      </c>
      <c r="R475">
        <v>-2.4920000000000001E-2</v>
      </c>
      <c r="S475">
        <v>1.2396000000000001E-2</v>
      </c>
      <c r="T475">
        <v>1.0376E-2</v>
      </c>
      <c r="U475">
        <v>2.4249E-2</v>
      </c>
      <c r="V475">
        <v>5.8009999999999997E-3</v>
      </c>
      <c r="W475">
        <v>-3.9426000000000003E-2</v>
      </c>
      <c r="X475">
        <v>1.2369E-2</v>
      </c>
      <c r="Y475">
        <v>-8.5310000000000004E-3</v>
      </c>
      <c r="Z475">
        <v>-2.7820000000000002E-3</v>
      </c>
      <c r="AA475">
        <v>8.5159999999999993E-3</v>
      </c>
      <c r="AB475">
        <v>-2.8210000000000002E-3</v>
      </c>
    </row>
    <row r="476" spans="1:28" x14ac:dyDescent="0.2">
      <c r="A476">
        <v>19710730</v>
      </c>
      <c r="B476">
        <v>1971</v>
      </c>
      <c r="C476">
        <v>7</v>
      </c>
      <c r="D476">
        <v>-8.6193000000000006E-2</v>
      </c>
      <c r="E476">
        <v>-8.0616999999999994E-2</v>
      </c>
      <c r="F476">
        <v>-7.2468000000000005E-2</v>
      </c>
      <c r="G476">
        <v>-6.0359000000000003E-2</v>
      </c>
      <c r="H476">
        <v>-5.9248000000000002E-2</v>
      </c>
      <c r="I476">
        <v>-6.4101000000000005E-2</v>
      </c>
      <c r="J476">
        <v>-4.7229E-2</v>
      </c>
      <c r="K476">
        <v>-3.456E-2</v>
      </c>
      <c r="L476">
        <v>-6.4962000000000006E-2</v>
      </c>
      <c r="M476">
        <v>-5.7432999999999998E-2</v>
      </c>
      <c r="N476">
        <v>-8.0235000000000001E-2</v>
      </c>
      <c r="O476">
        <v>-4.4900000000000002E-2</v>
      </c>
      <c r="P476">
        <v>-3.2766000000000003E-2</v>
      </c>
      <c r="Q476">
        <v>-5.8132000000000003E-2</v>
      </c>
      <c r="R476">
        <v>-4.6870000000000002E-2</v>
      </c>
      <c r="S476">
        <v>-3.6115000000000001E-2</v>
      </c>
      <c r="T476">
        <v>-4.1939999999999998E-2</v>
      </c>
      <c r="U476">
        <v>-3.7902999999999999E-2</v>
      </c>
      <c r="V476">
        <v>-4.2450000000000002E-2</v>
      </c>
      <c r="W476">
        <v>-7.6080999999999996E-2</v>
      </c>
      <c r="X476">
        <v>-3.9817999999999999E-2</v>
      </c>
      <c r="Y476">
        <v>-3.9036000000000001E-2</v>
      </c>
      <c r="Z476">
        <v>-3.4700000000000002E-2</v>
      </c>
      <c r="AA476">
        <v>-3.2954999999999998E-2</v>
      </c>
      <c r="AB476">
        <v>-5.4873999999999999E-2</v>
      </c>
    </row>
    <row r="477" spans="1:28" x14ac:dyDescent="0.2">
      <c r="A477">
        <v>19710831</v>
      </c>
      <c r="B477">
        <v>1971</v>
      </c>
      <c r="C477">
        <v>8</v>
      </c>
      <c r="D477">
        <v>3.2904000000000003E-2</v>
      </c>
      <c r="E477">
        <v>4.3823000000000001E-2</v>
      </c>
      <c r="F477">
        <v>2.8097E-2</v>
      </c>
      <c r="G477">
        <v>4.5555999999999999E-2</v>
      </c>
      <c r="H477">
        <v>5.6658E-2</v>
      </c>
      <c r="I477">
        <v>4.0763000000000001E-2</v>
      </c>
      <c r="J477">
        <v>7.0717000000000002E-2</v>
      </c>
      <c r="K477">
        <v>3.2397000000000002E-2</v>
      </c>
      <c r="L477">
        <v>6.1512999999999998E-2</v>
      </c>
      <c r="M477">
        <v>7.7890000000000001E-2</v>
      </c>
      <c r="N477">
        <v>6.5547999999999995E-2</v>
      </c>
      <c r="O477">
        <v>5.0148999999999999E-2</v>
      </c>
      <c r="P477">
        <v>1.9193000000000002E-2</v>
      </c>
      <c r="Q477">
        <v>7.4981000000000006E-2</v>
      </c>
      <c r="R477">
        <v>8.9973999999999998E-2</v>
      </c>
      <c r="S477">
        <v>7.0205000000000004E-2</v>
      </c>
      <c r="T477">
        <v>4.2862999999999998E-2</v>
      </c>
      <c r="U477">
        <v>2.2887000000000001E-2</v>
      </c>
      <c r="V477">
        <v>3.2849000000000003E-2</v>
      </c>
      <c r="W477">
        <v>0.105583</v>
      </c>
      <c r="X477">
        <v>5.4017999999999997E-2</v>
      </c>
      <c r="Y477">
        <v>4.6593000000000002E-2</v>
      </c>
      <c r="Z477">
        <v>-1.4296E-2</v>
      </c>
      <c r="AA477">
        <v>1.9692000000000001E-2</v>
      </c>
      <c r="AB477">
        <v>0.13587399999999999</v>
      </c>
    </row>
    <row r="478" spans="1:28" x14ac:dyDescent="0.2">
      <c r="A478">
        <v>19710930</v>
      </c>
      <c r="B478">
        <v>1971</v>
      </c>
      <c r="C478">
        <v>9</v>
      </c>
      <c r="D478">
        <v>1.2092E-2</v>
      </c>
      <c r="E478">
        <v>2.0896999999999999E-2</v>
      </c>
      <c r="F478">
        <v>-1.227E-3</v>
      </c>
      <c r="G478">
        <v>-6.2690000000000003E-3</v>
      </c>
      <c r="H478">
        <v>-2.4153999999999998E-2</v>
      </c>
      <c r="I478">
        <v>2.1000000000000001E-2</v>
      </c>
      <c r="J478">
        <v>-1.1794000000000001E-2</v>
      </c>
      <c r="K478">
        <v>-2.0313000000000001E-2</v>
      </c>
      <c r="L478">
        <v>-1.7236999999999999E-2</v>
      </c>
      <c r="M478">
        <v>-2.8303999999999999E-2</v>
      </c>
      <c r="N478">
        <v>1.1318999999999999E-2</v>
      </c>
      <c r="O478">
        <v>3.323E-3</v>
      </c>
      <c r="P478">
        <v>-6.7759999999999999E-3</v>
      </c>
      <c r="Q478">
        <v>-1.3321E-2</v>
      </c>
      <c r="R478">
        <v>-2.9794000000000001E-2</v>
      </c>
      <c r="S478">
        <v>1.8794999999999999E-2</v>
      </c>
      <c r="T478">
        <v>-9.5440000000000004E-3</v>
      </c>
      <c r="U478">
        <v>-3.1640000000000001E-3</v>
      </c>
      <c r="V478">
        <v>-3.8249999999999998E-3</v>
      </c>
      <c r="W478">
        <v>-4.4393000000000002E-2</v>
      </c>
      <c r="X478">
        <v>3.3869999999999998E-3</v>
      </c>
      <c r="Y478">
        <v>-1.1075E-2</v>
      </c>
      <c r="Z478">
        <v>-1.2775999999999999E-2</v>
      </c>
      <c r="AA478">
        <v>-1.4515999999999999E-2</v>
      </c>
      <c r="AB478">
        <v>-2.1493999999999999E-2</v>
      </c>
    </row>
    <row r="479" spans="1:28" x14ac:dyDescent="0.2">
      <c r="A479">
        <v>19711029</v>
      </c>
      <c r="B479">
        <v>1971</v>
      </c>
      <c r="C479">
        <v>10</v>
      </c>
      <c r="D479">
        <v>-7.8589999999999993E-2</v>
      </c>
      <c r="E479">
        <v>-6.7822999999999994E-2</v>
      </c>
      <c r="F479">
        <v>-7.0875999999999995E-2</v>
      </c>
      <c r="G479">
        <v>-4.4491999999999997E-2</v>
      </c>
      <c r="H479">
        <v>-7.2846999999999995E-2</v>
      </c>
      <c r="I479">
        <v>-5.9568999999999997E-2</v>
      </c>
      <c r="J479">
        <v>-5.3177000000000002E-2</v>
      </c>
      <c r="K479">
        <v>-3.0832999999999999E-2</v>
      </c>
      <c r="L479">
        <v>-4.3483000000000001E-2</v>
      </c>
      <c r="M479">
        <v>-6.6553000000000001E-2</v>
      </c>
      <c r="N479">
        <v>-7.9899999999999999E-2</v>
      </c>
      <c r="O479">
        <v>-6.411E-2</v>
      </c>
      <c r="P479">
        <v>-3.1751000000000001E-2</v>
      </c>
      <c r="Q479">
        <v>-4.6882E-2</v>
      </c>
      <c r="R479">
        <v>-5.2485999999999998E-2</v>
      </c>
      <c r="S479">
        <v>-3.3647000000000003E-2</v>
      </c>
      <c r="T479">
        <v>-3.2479000000000001E-2</v>
      </c>
      <c r="U479">
        <v>-2.0563000000000001E-2</v>
      </c>
      <c r="V479">
        <v>-5.7149999999999999E-2</v>
      </c>
      <c r="W479">
        <v>-5.8660999999999998E-2</v>
      </c>
      <c r="X479">
        <v>-3.4925999999999999E-2</v>
      </c>
      <c r="Y479">
        <v>-5.2310000000000002E-2</v>
      </c>
      <c r="Z479">
        <v>-3.6299999999999999E-2</v>
      </c>
      <c r="AA479">
        <v>-2.7067999999999998E-2</v>
      </c>
      <c r="AB479">
        <v>-4.0155999999999997E-2</v>
      </c>
    </row>
    <row r="480" spans="1:28" x14ac:dyDescent="0.2">
      <c r="A480">
        <v>19711130</v>
      </c>
      <c r="B480">
        <v>1971</v>
      </c>
      <c r="C480">
        <v>11</v>
      </c>
      <c r="D480">
        <v>-3.2672E-2</v>
      </c>
      <c r="E480">
        <v>-5.7882000000000003E-2</v>
      </c>
      <c r="F480">
        <v>-3.7561999999999998E-2</v>
      </c>
      <c r="G480">
        <v>-4.3924999999999999E-2</v>
      </c>
      <c r="H480">
        <v>-5.5661000000000002E-2</v>
      </c>
      <c r="I480">
        <v>-1.8936999999999999E-2</v>
      </c>
      <c r="J480">
        <v>-2.1995000000000001E-2</v>
      </c>
      <c r="K480">
        <v>-1.6622000000000001E-2</v>
      </c>
      <c r="L480">
        <v>-2.4272999999999999E-2</v>
      </c>
      <c r="M480">
        <v>-2.7362000000000001E-2</v>
      </c>
      <c r="N480">
        <v>-1.9210999999999999E-2</v>
      </c>
      <c r="O480">
        <v>-1.2485E-2</v>
      </c>
      <c r="P480">
        <v>-5.7970000000000001E-3</v>
      </c>
      <c r="Q480">
        <v>-4.1877999999999999E-2</v>
      </c>
      <c r="R480">
        <v>-4.7168000000000002E-2</v>
      </c>
      <c r="S480">
        <v>3.349E-3</v>
      </c>
      <c r="T480">
        <v>-1.8790000000000001E-2</v>
      </c>
      <c r="U480">
        <v>-2.7130000000000001E-2</v>
      </c>
      <c r="V480">
        <v>5.2389999999999997E-3</v>
      </c>
      <c r="W480">
        <v>-4.3881000000000003E-2</v>
      </c>
      <c r="X480">
        <v>1.1001E-2</v>
      </c>
      <c r="Y480">
        <v>1.0482E-2</v>
      </c>
      <c r="Z480">
        <v>-1.322E-3</v>
      </c>
      <c r="AA480">
        <v>-5.5329999999999997E-3</v>
      </c>
      <c r="AB480">
        <v>2.8340000000000001E-3</v>
      </c>
    </row>
    <row r="481" spans="1:28" x14ac:dyDescent="0.2">
      <c r="A481">
        <v>19711231</v>
      </c>
      <c r="B481">
        <v>1971</v>
      </c>
      <c r="C481">
        <v>12</v>
      </c>
      <c r="D481">
        <v>0.14485700000000001</v>
      </c>
      <c r="E481">
        <v>0.14244299999999999</v>
      </c>
      <c r="F481">
        <v>0.107367</v>
      </c>
      <c r="G481">
        <v>0.117826</v>
      </c>
      <c r="H481">
        <v>0.13397800000000001</v>
      </c>
      <c r="I481">
        <v>0.130665</v>
      </c>
      <c r="J481">
        <v>0.140792</v>
      </c>
      <c r="K481">
        <v>0.12895200000000001</v>
      </c>
      <c r="L481">
        <v>0.10878500000000001</v>
      </c>
      <c r="M481">
        <v>0.12650700000000001</v>
      </c>
      <c r="N481">
        <v>0.14116200000000001</v>
      </c>
      <c r="O481">
        <v>9.6103999999999995E-2</v>
      </c>
      <c r="P481">
        <v>0.101743</v>
      </c>
      <c r="Q481">
        <v>0.11934</v>
      </c>
      <c r="R481">
        <v>0.123823</v>
      </c>
      <c r="S481">
        <v>0.12321500000000001</v>
      </c>
      <c r="T481">
        <v>9.9052000000000001E-2</v>
      </c>
      <c r="U481">
        <v>8.7801000000000004E-2</v>
      </c>
      <c r="V481">
        <v>8.3569000000000004E-2</v>
      </c>
      <c r="W481">
        <v>0.12461</v>
      </c>
      <c r="X481">
        <v>8.4532999999999997E-2</v>
      </c>
      <c r="Y481">
        <v>9.3146999999999994E-2</v>
      </c>
      <c r="Z481">
        <v>8.8808999999999999E-2</v>
      </c>
      <c r="AA481">
        <v>6.9302000000000002E-2</v>
      </c>
      <c r="AB481">
        <v>8.9391999999999999E-2</v>
      </c>
    </row>
    <row r="482" spans="1:28" x14ac:dyDescent="0.2">
      <c r="A482">
        <v>19720131</v>
      </c>
      <c r="B482">
        <v>1972</v>
      </c>
      <c r="C482">
        <v>1</v>
      </c>
      <c r="D482">
        <v>0.132243</v>
      </c>
      <c r="E482">
        <v>0.13383900000000001</v>
      </c>
      <c r="F482">
        <v>0.118551</v>
      </c>
      <c r="G482">
        <v>0.10843800000000001</v>
      </c>
      <c r="H482">
        <v>0.148231</v>
      </c>
      <c r="I482">
        <v>9.3966999999999995E-2</v>
      </c>
      <c r="J482">
        <v>6.4270999999999995E-2</v>
      </c>
      <c r="K482">
        <v>5.4412000000000002E-2</v>
      </c>
      <c r="L482">
        <v>6.8567000000000003E-2</v>
      </c>
      <c r="M482">
        <v>0.11032400000000001</v>
      </c>
      <c r="N482">
        <v>6.0628000000000001E-2</v>
      </c>
      <c r="O482">
        <v>4.0031999999999998E-2</v>
      </c>
      <c r="P482">
        <v>2.8965000000000001E-2</v>
      </c>
      <c r="Q482">
        <v>5.8724999999999999E-2</v>
      </c>
      <c r="R482">
        <v>8.4751000000000007E-2</v>
      </c>
      <c r="S482">
        <v>3.134E-2</v>
      </c>
      <c r="T482">
        <v>1.9438E-2</v>
      </c>
      <c r="U482">
        <v>1.2159E-2</v>
      </c>
      <c r="V482">
        <v>3.0967999999999999E-2</v>
      </c>
      <c r="W482">
        <v>8.2650000000000001E-2</v>
      </c>
      <c r="X482">
        <v>2.7529000000000001E-2</v>
      </c>
      <c r="Y482">
        <v>5.4060000000000002E-3</v>
      </c>
      <c r="Z482">
        <v>-7.2839999999999997E-3</v>
      </c>
      <c r="AA482">
        <v>8.1869999999999998E-3</v>
      </c>
      <c r="AB482">
        <v>6.3829999999999998E-2</v>
      </c>
    </row>
    <row r="483" spans="1:28" x14ac:dyDescent="0.2">
      <c r="A483">
        <v>19720229</v>
      </c>
      <c r="B483">
        <v>1972</v>
      </c>
      <c r="C483">
        <v>2</v>
      </c>
      <c r="D483">
        <v>3.0287999999999999E-2</v>
      </c>
      <c r="E483">
        <v>5.4772000000000001E-2</v>
      </c>
      <c r="F483">
        <v>4.1598000000000003E-2</v>
      </c>
      <c r="G483">
        <v>4.2229999999999997E-2</v>
      </c>
      <c r="H483">
        <v>3.5288E-2</v>
      </c>
      <c r="I483">
        <v>5.0846000000000002E-2</v>
      </c>
      <c r="J483">
        <v>4.4006999999999998E-2</v>
      </c>
      <c r="K483">
        <v>4.4269000000000003E-2</v>
      </c>
      <c r="L483">
        <v>1.6839E-2</v>
      </c>
      <c r="M483">
        <v>4.1196000000000003E-2</v>
      </c>
      <c r="N483">
        <v>6.8811999999999998E-2</v>
      </c>
      <c r="O483">
        <v>4.0299000000000001E-2</v>
      </c>
      <c r="P483">
        <v>2.0493000000000001E-2</v>
      </c>
      <c r="Q483">
        <v>-5.2059999999999997E-3</v>
      </c>
      <c r="R483">
        <v>1.9588000000000001E-2</v>
      </c>
      <c r="S483">
        <v>5.4573999999999998E-2</v>
      </c>
      <c r="T483">
        <v>1.8076999999999999E-2</v>
      </c>
      <c r="U483">
        <v>2.02E-4</v>
      </c>
      <c r="V483">
        <v>2.1309000000000002E-2</v>
      </c>
      <c r="W483">
        <v>3.8800000000000002E-3</v>
      </c>
      <c r="X483">
        <v>4.6020999999999999E-2</v>
      </c>
      <c r="Y483">
        <v>2.2468999999999999E-2</v>
      </c>
      <c r="Z483">
        <v>1.2569E-2</v>
      </c>
      <c r="AA483">
        <v>3.7299999999999998E-3</v>
      </c>
      <c r="AB483">
        <v>6.4000000000000005E-4</v>
      </c>
    </row>
    <row r="484" spans="1:28" x14ac:dyDescent="0.2">
      <c r="A484">
        <v>19720330</v>
      </c>
      <c r="B484">
        <v>1972</v>
      </c>
      <c r="C484">
        <v>3</v>
      </c>
      <c r="D484">
        <v>2.9574E-2</v>
      </c>
      <c r="E484">
        <v>1.0330000000000001E-3</v>
      </c>
      <c r="F484">
        <v>-1.9317999999999998E-2</v>
      </c>
      <c r="G484">
        <v>-1.5705E-2</v>
      </c>
      <c r="H484">
        <v>-4.4980000000000003E-3</v>
      </c>
      <c r="I484">
        <v>1.8952E-2</v>
      </c>
      <c r="J484">
        <v>1.7883E-2</v>
      </c>
      <c r="K484">
        <v>-8.489E-3</v>
      </c>
      <c r="L484">
        <v>-3.1519999999999999E-3</v>
      </c>
      <c r="M484">
        <v>-1.5952999999999998E-2</v>
      </c>
      <c r="N484">
        <v>2.4413000000000001E-2</v>
      </c>
      <c r="O484">
        <v>1.2481000000000001E-2</v>
      </c>
      <c r="P484">
        <v>2.1304E-2</v>
      </c>
      <c r="Q484">
        <v>3.3119999999999998E-3</v>
      </c>
      <c r="R484">
        <v>-1.7521999999999999E-2</v>
      </c>
      <c r="S484">
        <v>8.2730000000000008E-3</v>
      </c>
      <c r="T484">
        <v>-2.2859999999999998E-3</v>
      </c>
      <c r="U484">
        <v>2.7861E-2</v>
      </c>
      <c r="V484">
        <v>1.8853000000000002E-2</v>
      </c>
      <c r="W484">
        <v>8.4329999999999995E-3</v>
      </c>
      <c r="X484">
        <v>2.5898999999999998E-2</v>
      </c>
      <c r="Y484">
        <v>9.9579999999999998E-3</v>
      </c>
      <c r="Z484">
        <v>-3.8170999999999997E-2</v>
      </c>
      <c r="AA484">
        <v>-1.9026999999999999E-2</v>
      </c>
      <c r="AB484">
        <v>2.8601000000000001E-2</v>
      </c>
    </row>
    <row r="485" spans="1:28" x14ac:dyDescent="0.2">
      <c r="A485">
        <v>19720428</v>
      </c>
      <c r="B485">
        <v>1972</v>
      </c>
      <c r="C485">
        <v>4</v>
      </c>
      <c r="D485">
        <v>-1.2312E-2</v>
      </c>
      <c r="E485">
        <v>1.8630000000000001E-3</v>
      </c>
      <c r="F485">
        <v>-1.0711E-2</v>
      </c>
      <c r="G485">
        <v>1.3021E-2</v>
      </c>
      <c r="H485">
        <v>1.1047E-2</v>
      </c>
      <c r="I485">
        <v>-3.0209999999999998E-3</v>
      </c>
      <c r="J485">
        <v>8.4159999999999999E-3</v>
      </c>
      <c r="K485">
        <v>1.9206000000000001E-2</v>
      </c>
      <c r="L485">
        <v>1.8755000000000001E-2</v>
      </c>
      <c r="M485">
        <v>1.6854000000000001E-2</v>
      </c>
      <c r="N485">
        <v>1.5955E-2</v>
      </c>
      <c r="O485">
        <v>-6.5329999999999997E-3</v>
      </c>
      <c r="P485">
        <v>-6.5300000000000004E-4</v>
      </c>
      <c r="Q485">
        <v>5.0540000000000003E-3</v>
      </c>
      <c r="R485">
        <v>1.818E-3</v>
      </c>
      <c r="S485">
        <v>-9.2560000000000003E-3</v>
      </c>
      <c r="T485">
        <v>-7.0390000000000001E-3</v>
      </c>
      <c r="U485">
        <v>-3.5179999999999999E-3</v>
      </c>
      <c r="V485">
        <v>1.2618000000000001E-2</v>
      </c>
      <c r="W485">
        <v>3.5646999999999998E-2</v>
      </c>
      <c r="X485">
        <v>8.9879999999999995E-3</v>
      </c>
      <c r="Y485">
        <v>1.5790999999999999E-2</v>
      </c>
      <c r="Z485">
        <v>-2.7239999999999999E-3</v>
      </c>
      <c r="AA485">
        <v>1.5939999999999999E-3</v>
      </c>
      <c r="AB485">
        <v>-1.0880000000000001E-2</v>
      </c>
    </row>
    <row r="486" spans="1:28" x14ac:dyDescent="0.2">
      <c r="A486">
        <v>19720531</v>
      </c>
      <c r="B486">
        <v>1972</v>
      </c>
      <c r="C486">
        <v>5</v>
      </c>
      <c r="D486">
        <v>-1.5740000000000001E-2</v>
      </c>
      <c r="E486">
        <v>-1.9019999999999999E-2</v>
      </c>
      <c r="F486">
        <v>-4.1382000000000002E-2</v>
      </c>
      <c r="G486">
        <v>-2.2623000000000001E-2</v>
      </c>
      <c r="H486">
        <v>-2.2419999999999999E-2</v>
      </c>
      <c r="I486">
        <v>-4.999E-3</v>
      </c>
      <c r="J486">
        <v>-1.6407999999999999E-2</v>
      </c>
      <c r="K486">
        <v>-1.8828999999999999E-2</v>
      </c>
      <c r="L486">
        <v>-3.3741E-2</v>
      </c>
      <c r="M486">
        <v>-1.4540000000000001E-2</v>
      </c>
      <c r="N486">
        <v>1.2148000000000001E-2</v>
      </c>
      <c r="O486">
        <v>-1.8099000000000001E-2</v>
      </c>
      <c r="P486">
        <v>9.868E-3</v>
      </c>
      <c r="Q486">
        <v>-1.1605000000000001E-2</v>
      </c>
      <c r="R486">
        <v>-3.4502999999999999E-2</v>
      </c>
      <c r="S486">
        <v>3.7083999999999999E-2</v>
      </c>
      <c r="T486">
        <v>-1.4808E-2</v>
      </c>
      <c r="U486">
        <v>-1.3344999999999999E-2</v>
      </c>
      <c r="V486">
        <v>-4.0900000000000002E-4</v>
      </c>
      <c r="W486">
        <v>4.9750000000000003E-3</v>
      </c>
      <c r="X486">
        <v>3.3766999999999998E-2</v>
      </c>
      <c r="Y486">
        <v>-5.3759999999999997E-3</v>
      </c>
      <c r="Z486">
        <v>3.1822000000000003E-2</v>
      </c>
      <c r="AA486">
        <v>1.0030000000000001E-2</v>
      </c>
      <c r="AB486">
        <v>-2.6657E-2</v>
      </c>
    </row>
    <row r="487" spans="1:28" x14ac:dyDescent="0.2">
      <c r="A487">
        <v>19720630</v>
      </c>
      <c r="B487">
        <v>1972</v>
      </c>
      <c r="C487">
        <v>6</v>
      </c>
      <c r="D487">
        <v>-4.2146000000000003E-2</v>
      </c>
      <c r="E487">
        <v>-4.6748999999999999E-2</v>
      </c>
      <c r="F487">
        <v>-3.3241E-2</v>
      </c>
      <c r="G487">
        <v>-3.1461999999999997E-2</v>
      </c>
      <c r="H487">
        <v>-3.7597999999999999E-2</v>
      </c>
      <c r="I487">
        <v>-4.4179000000000003E-2</v>
      </c>
      <c r="J487">
        <v>-2.0794E-2</v>
      </c>
      <c r="K487">
        <v>-1.3566999999999999E-2</v>
      </c>
      <c r="L487">
        <v>-1.4560999999999999E-2</v>
      </c>
      <c r="M487">
        <v>7.7539999999999996E-3</v>
      </c>
      <c r="N487">
        <v>-1.0859999999999999E-3</v>
      </c>
      <c r="O487">
        <v>-1.8731000000000001E-2</v>
      </c>
      <c r="P487">
        <v>-4.0503999999999998E-2</v>
      </c>
      <c r="Q487">
        <v>-4.4346999999999998E-2</v>
      </c>
      <c r="R487">
        <v>-5.8427E-2</v>
      </c>
      <c r="S487">
        <v>-4.0661000000000003E-2</v>
      </c>
      <c r="T487">
        <v>-1.8151E-2</v>
      </c>
      <c r="U487">
        <v>-2.0476999999999999E-2</v>
      </c>
      <c r="V487">
        <v>-4.6429999999999999E-2</v>
      </c>
      <c r="W487">
        <v>-7.7826999999999993E-2</v>
      </c>
      <c r="X487">
        <v>-6.5409999999999999E-3</v>
      </c>
      <c r="Y487">
        <v>-3.2330999999999999E-2</v>
      </c>
      <c r="Z487">
        <v>-2.76E-2</v>
      </c>
      <c r="AA487">
        <v>-2.3387000000000002E-2</v>
      </c>
      <c r="AB487">
        <v>-6.6736000000000004E-2</v>
      </c>
    </row>
    <row r="488" spans="1:28" x14ac:dyDescent="0.2">
      <c r="A488">
        <v>19720731</v>
      </c>
      <c r="B488">
        <v>1972</v>
      </c>
      <c r="C488">
        <v>7</v>
      </c>
      <c r="D488">
        <v>-7.1082999999999993E-2</v>
      </c>
      <c r="E488">
        <v>-5.0696999999999999E-2</v>
      </c>
      <c r="F488">
        <v>-3.9662999999999997E-2</v>
      </c>
      <c r="G488">
        <v>-3.4495999999999999E-2</v>
      </c>
      <c r="H488">
        <v>-2.7841000000000001E-2</v>
      </c>
      <c r="I488">
        <v>-5.2662E-2</v>
      </c>
      <c r="J488">
        <v>-4.8438000000000002E-2</v>
      </c>
      <c r="K488">
        <v>-3.2931000000000002E-2</v>
      </c>
      <c r="L488">
        <v>-1.7204000000000001E-2</v>
      </c>
      <c r="M488">
        <v>-3.9095999999999999E-2</v>
      </c>
      <c r="N488">
        <v>-3.2476999999999999E-2</v>
      </c>
      <c r="O488">
        <v>-1.4751E-2</v>
      </c>
      <c r="P488">
        <v>-3.0768E-2</v>
      </c>
      <c r="Q488">
        <v>-6.4729999999999996E-3</v>
      </c>
      <c r="R488">
        <v>-1.0168999999999999E-2</v>
      </c>
      <c r="S488">
        <v>-3.5083000000000003E-2</v>
      </c>
      <c r="T488">
        <v>-4.0562000000000001E-2</v>
      </c>
      <c r="U488">
        <v>-2.0701000000000001E-2</v>
      </c>
      <c r="V488">
        <v>6.8999999999999997E-5</v>
      </c>
      <c r="W488">
        <v>-2.0854000000000001E-2</v>
      </c>
      <c r="X488">
        <v>1.6292999999999998E-2</v>
      </c>
      <c r="Y488">
        <v>-1.2429000000000001E-2</v>
      </c>
      <c r="Z488">
        <v>1.4920000000000001E-3</v>
      </c>
      <c r="AA488">
        <v>-1.2729000000000001E-2</v>
      </c>
      <c r="AB488">
        <v>-1.6451E-2</v>
      </c>
    </row>
    <row r="489" spans="1:28" x14ac:dyDescent="0.2">
      <c r="A489">
        <v>19720831</v>
      </c>
      <c r="B489">
        <v>1972</v>
      </c>
      <c r="C489">
        <v>8</v>
      </c>
      <c r="D489">
        <v>-1.6386000000000001E-2</v>
      </c>
      <c r="E489">
        <v>-2.4629999999999999E-2</v>
      </c>
      <c r="F489">
        <v>4.7470000000000004E-3</v>
      </c>
      <c r="G489">
        <v>-4.6999999999999999E-4</v>
      </c>
      <c r="H489">
        <v>2.2304000000000001E-2</v>
      </c>
      <c r="I489">
        <v>-5.2220000000000001E-3</v>
      </c>
      <c r="J489">
        <v>-1.6712999999999999E-2</v>
      </c>
      <c r="K489">
        <v>2.3175999999999999E-2</v>
      </c>
      <c r="L489">
        <v>1.4579999999999999E-2</v>
      </c>
      <c r="M489">
        <v>4.9896999999999997E-2</v>
      </c>
      <c r="N489">
        <v>3.0339999999999998E-3</v>
      </c>
      <c r="O489">
        <v>2.0877E-2</v>
      </c>
      <c r="P489">
        <v>2.8763E-2</v>
      </c>
      <c r="Q489">
        <v>5.3939000000000001E-2</v>
      </c>
      <c r="R489">
        <v>4.1215000000000002E-2</v>
      </c>
      <c r="S489">
        <v>-2.5799999999999998E-4</v>
      </c>
      <c r="T489">
        <v>2.8997999999999999E-2</v>
      </c>
      <c r="U489">
        <v>4.9341000000000003E-2</v>
      </c>
      <c r="V489">
        <v>5.2415000000000003E-2</v>
      </c>
      <c r="W489">
        <v>7.0680000000000007E-2</v>
      </c>
      <c r="X489">
        <v>6.6400000000000001E-3</v>
      </c>
      <c r="Y489">
        <v>6.8372000000000002E-2</v>
      </c>
      <c r="Z489">
        <v>7.1392999999999998E-2</v>
      </c>
      <c r="AA489">
        <v>8.9954999999999993E-2</v>
      </c>
      <c r="AB489">
        <v>6.1541999999999999E-2</v>
      </c>
    </row>
    <row r="490" spans="1:28" x14ac:dyDescent="0.2">
      <c r="A490">
        <v>19720929</v>
      </c>
      <c r="B490">
        <v>1972</v>
      </c>
      <c r="C490">
        <v>9</v>
      </c>
      <c r="D490">
        <v>-4.9183999999999999E-2</v>
      </c>
      <c r="E490">
        <v>-4.8493000000000001E-2</v>
      </c>
      <c r="F490">
        <v>-4.7702000000000001E-2</v>
      </c>
      <c r="G490">
        <v>-3.6990000000000002E-2</v>
      </c>
      <c r="H490">
        <v>-4.1984E-2</v>
      </c>
      <c r="I490">
        <v>-3.5157000000000001E-2</v>
      </c>
      <c r="J490">
        <v>-3.5498000000000002E-2</v>
      </c>
      <c r="K490">
        <v>-2.2165000000000001E-2</v>
      </c>
      <c r="L490">
        <v>-2.2407E-2</v>
      </c>
      <c r="M490">
        <v>-3.3147999999999997E-2</v>
      </c>
      <c r="N490">
        <v>-1.6826000000000001E-2</v>
      </c>
      <c r="O490">
        <v>-2.5298999999999999E-2</v>
      </c>
      <c r="P490">
        <v>-1.0278000000000001E-2</v>
      </c>
      <c r="Q490">
        <v>-1.9630999999999999E-2</v>
      </c>
      <c r="R490">
        <v>-2.6218999999999999E-2</v>
      </c>
      <c r="S490">
        <v>-1.8884000000000001E-2</v>
      </c>
      <c r="T490">
        <v>-3.1267000000000003E-2</v>
      </c>
      <c r="U490">
        <v>-7.0590000000000002E-3</v>
      </c>
      <c r="V490">
        <v>-2.3717999999999999E-2</v>
      </c>
      <c r="W490">
        <v>-3.9988000000000003E-2</v>
      </c>
      <c r="X490">
        <v>2.1250000000000002E-3</v>
      </c>
      <c r="Y490">
        <v>-1.7340000000000001E-2</v>
      </c>
      <c r="Z490">
        <v>-1.7357999999999998E-2</v>
      </c>
      <c r="AA490">
        <v>1.9613999999999999E-2</v>
      </c>
      <c r="AB490">
        <v>-3.7539999999999997E-2</v>
      </c>
    </row>
    <row r="491" spans="1:28" x14ac:dyDescent="0.2">
      <c r="A491">
        <v>19721031</v>
      </c>
      <c r="B491">
        <v>1972</v>
      </c>
      <c r="C491">
        <v>10</v>
      </c>
      <c r="D491">
        <v>-3.2704999999999998E-2</v>
      </c>
      <c r="E491">
        <v>-3.4743999999999997E-2</v>
      </c>
      <c r="F491">
        <v>-2.8225E-2</v>
      </c>
      <c r="G491">
        <v>-2.0670000000000001E-2</v>
      </c>
      <c r="H491">
        <v>-1.9279999999999999E-2</v>
      </c>
      <c r="I491">
        <v>-4.0425000000000003E-2</v>
      </c>
      <c r="J491">
        <v>-3.1819999999999999E-3</v>
      </c>
      <c r="K491">
        <v>1.3506000000000001E-2</v>
      </c>
      <c r="L491">
        <v>6.992E-3</v>
      </c>
      <c r="M491">
        <v>-6.5449999999999996E-3</v>
      </c>
      <c r="N491">
        <v>-2.7181E-2</v>
      </c>
      <c r="O491">
        <v>-9.5409999999999991E-3</v>
      </c>
      <c r="P491">
        <v>1.3596E-2</v>
      </c>
      <c r="Q491">
        <v>7.2550000000000002E-3</v>
      </c>
      <c r="R491">
        <v>3.1979999999999999E-3</v>
      </c>
      <c r="S491">
        <v>-1.5972E-2</v>
      </c>
      <c r="T491">
        <v>-5.9880000000000003E-3</v>
      </c>
      <c r="U491">
        <v>1.6455000000000001E-2</v>
      </c>
      <c r="V491">
        <v>2.3444E-2</v>
      </c>
      <c r="W491">
        <v>-9.554E-3</v>
      </c>
      <c r="X491">
        <v>9.8639999999999995E-3</v>
      </c>
      <c r="Y491">
        <v>1.0753E-2</v>
      </c>
      <c r="Z491">
        <v>2.1505E-2</v>
      </c>
      <c r="AA491">
        <v>2.3695000000000001E-2</v>
      </c>
      <c r="AB491">
        <v>1.057E-2</v>
      </c>
    </row>
    <row r="492" spans="1:28" x14ac:dyDescent="0.2">
      <c r="A492">
        <v>19721130</v>
      </c>
      <c r="B492">
        <v>1972</v>
      </c>
      <c r="C492">
        <v>11</v>
      </c>
      <c r="D492">
        <v>-4.5770000000000003E-3</v>
      </c>
      <c r="E492">
        <v>4.2471000000000002E-2</v>
      </c>
      <c r="F492">
        <v>4.5199000000000003E-2</v>
      </c>
      <c r="G492">
        <v>5.9879000000000002E-2</v>
      </c>
      <c r="H492">
        <v>6.0428999999999997E-2</v>
      </c>
      <c r="I492">
        <v>4.4635000000000001E-2</v>
      </c>
      <c r="J492">
        <v>4.9163999999999999E-2</v>
      </c>
      <c r="K492">
        <v>7.2107000000000004E-2</v>
      </c>
      <c r="L492">
        <v>4.3424999999999998E-2</v>
      </c>
      <c r="M492">
        <v>7.7099000000000001E-2</v>
      </c>
      <c r="N492">
        <v>3.0238999999999999E-2</v>
      </c>
      <c r="O492">
        <v>4.2227000000000001E-2</v>
      </c>
      <c r="P492">
        <v>6.5957000000000002E-2</v>
      </c>
      <c r="Q492">
        <v>7.5255000000000002E-2</v>
      </c>
      <c r="R492">
        <v>7.4313000000000004E-2</v>
      </c>
      <c r="S492">
        <v>6.6465999999999997E-2</v>
      </c>
      <c r="T492">
        <v>8.0087000000000005E-2</v>
      </c>
      <c r="U492">
        <v>6.5806000000000003E-2</v>
      </c>
      <c r="V492">
        <v>7.0591000000000001E-2</v>
      </c>
      <c r="W492">
        <v>0.110542</v>
      </c>
      <c r="X492">
        <v>1.5476999999999999E-2</v>
      </c>
      <c r="Y492">
        <v>6.6726999999999995E-2</v>
      </c>
      <c r="Z492">
        <v>6.8689E-2</v>
      </c>
      <c r="AA492">
        <v>8.0190999999999998E-2</v>
      </c>
      <c r="AB492">
        <v>0.138047</v>
      </c>
    </row>
    <row r="493" spans="1:28" x14ac:dyDescent="0.2">
      <c r="A493">
        <v>19721229</v>
      </c>
      <c r="B493">
        <v>1972</v>
      </c>
      <c r="C493">
        <v>12</v>
      </c>
      <c r="D493">
        <v>-1.9082999999999999E-2</v>
      </c>
      <c r="E493">
        <v>-2.5267000000000001E-2</v>
      </c>
      <c r="F493">
        <v>-3.2776E-2</v>
      </c>
      <c r="G493">
        <v>-2.5243000000000002E-2</v>
      </c>
      <c r="H493">
        <v>-1.4525E-2</v>
      </c>
      <c r="I493">
        <v>-6.3800000000000003E-3</v>
      </c>
      <c r="J493">
        <v>-2.7064000000000001E-2</v>
      </c>
      <c r="K493">
        <v>4.0540000000000003E-3</v>
      </c>
      <c r="L493">
        <v>-3.3763000000000001E-2</v>
      </c>
      <c r="M493">
        <v>-2.3314000000000001E-2</v>
      </c>
      <c r="N493">
        <v>1.0026999999999999E-2</v>
      </c>
      <c r="O493">
        <v>-4.1000000000000003E-3</v>
      </c>
      <c r="P493">
        <v>-6.7039999999999999E-3</v>
      </c>
      <c r="Q493">
        <v>-1.0676E-2</v>
      </c>
      <c r="R493">
        <v>-2.6231000000000001E-2</v>
      </c>
      <c r="S493">
        <v>5.5449999999999996E-3</v>
      </c>
      <c r="T493">
        <v>-1.0691000000000001E-2</v>
      </c>
      <c r="U493">
        <v>-1.1204E-2</v>
      </c>
      <c r="V493">
        <v>-1.4912E-2</v>
      </c>
      <c r="W493">
        <v>-4.4098999999999999E-2</v>
      </c>
      <c r="X493">
        <v>3.7104999999999999E-2</v>
      </c>
      <c r="Y493">
        <v>-1.227E-3</v>
      </c>
      <c r="Z493">
        <v>-7.4219999999999998E-3</v>
      </c>
      <c r="AA493">
        <v>3.5399999999999999E-4</v>
      </c>
      <c r="AB493">
        <v>-2.6384000000000001E-2</v>
      </c>
    </row>
    <row r="494" spans="1:28" x14ac:dyDescent="0.2">
      <c r="A494">
        <v>19730131</v>
      </c>
      <c r="B494">
        <v>1973</v>
      </c>
      <c r="C494">
        <v>1</v>
      </c>
      <c r="D494">
        <v>-8.0949999999999994E-2</v>
      </c>
      <c r="E494">
        <v>-4.5013999999999998E-2</v>
      </c>
      <c r="F494">
        <v>-3.2752000000000003E-2</v>
      </c>
      <c r="G494">
        <v>-3.5899E-2</v>
      </c>
      <c r="H494">
        <v>-1.3618E-2</v>
      </c>
      <c r="I494">
        <v>-0.106416</v>
      </c>
      <c r="J494">
        <v>-5.5263E-2</v>
      </c>
      <c r="K494">
        <v>-6.8586999999999995E-2</v>
      </c>
      <c r="L494">
        <v>-2.9315999999999998E-2</v>
      </c>
      <c r="M494">
        <v>-5.8796000000000001E-2</v>
      </c>
      <c r="N494">
        <v>-7.4914999999999995E-2</v>
      </c>
      <c r="O494">
        <v>-7.5619000000000006E-2</v>
      </c>
      <c r="P494">
        <v>-5.9721999999999997E-2</v>
      </c>
      <c r="Q494">
        <v>-3.6054999999999997E-2</v>
      </c>
      <c r="R494">
        <v>-4.9390999999999997E-2</v>
      </c>
      <c r="S494">
        <v>-6.4942E-2</v>
      </c>
      <c r="T494">
        <v>-7.2908000000000001E-2</v>
      </c>
      <c r="U494">
        <v>-5.8484000000000001E-2</v>
      </c>
      <c r="V494">
        <v>-3.4460999999999999E-2</v>
      </c>
      <c r="W494">
        <v>-4.2465999999999997E-2</v>
      </c>
      <c r="X494">
        <v>-1.546E-2</v>
      </c>
      <c r="Y494">
        <v>-4.0218999999999998E-2</v>
      </c>
      <c r="Z494">
        <v>-1.0017E-2</v>
      </c>
      <c r="AA494">
        <v>6.1440000000000002E-3</v>
      </c>
      <c r="AB494">
        <v>-4.3609000000000002E-2</v>
      </c>
    </row>
    <row r="495" spans="1:28" x14ac:dyDescent="0.2">
      <c r="A495">
        <v>19730228</v>
      </c>
      <c r="B495">
        <v>1973</v>
      </c>
      <c r="C495">
        <v>2</v>
      </c>
      <c r="D495">
        <v>-0.139399</v>
      </c>
      <c r="E495">
        <v>-8.9493000000000003E-2</v>
      </c>
      <c r="F495">
        <v>-8.276E-2</v>
      </c>
      <c r="G495">
        <v>-8.1874000000000002E-2</v>
      </c>
      <c r="H495">
        <v>-6.0266E-2</v>
      </c>
      <c r="I495">
        <v>-0.14016300000000001</v>
      </c>
      <c r="J495">
        <v>-7.9335000000000003E-2</v>
      </c>
      <c r="K495">
        <v>-7.7674999999999994E-2</v>
      </c>
      <c r="L495">
        <v>-5.6444000000000001E-2</v>
      </c>
      <c r="M495">
        <v>-5.5689000000000002E-2</v>
      </c>
      <c r="N495">
        <v>-0.109568</v>
      </c>
      <c r="O495">
        <v>-8.3544999999999994E-2</v>
      </c>
      <c r="P495">
        <v>-7.4951000000000004E-2</v>
      </c>
      <c r="Q495">
        <v>-3.1095999999999999E-2</v>
      </c>
      <c r="R495">
        <v>-7.2625999999999996E-2</v>
      </c>
      <c r="S495">
        <v>-8.4756999999999999E-2</v>
      </c>
      <c r="T495">
        <v>-7.4348999999999998E-2</v>
      </c>
      <c r="U495">
        <v>-4.6600999999999997E-2</v>
      </c>
      <c r="V495">
        <v>-3.6252E-2</v>
      </c>
      <c r="W495">
        <v>-2.0725E-2</v>
      </c>
      <c r="X495">
        <v>-2.1153999999999999E-2</v>
      </c>
      <c r="Y495">
        <v>-3.1593999999999997E-2</v>
      </c>
      <c r="Z495">
        <v>-4.8583000000000001E-2</v>
      </c>
      <c r="AA495">
        <v>-5.8820999999999998E-2</v>
      </c>
      <c r="AB495">
        <v>-3.3765000000000003E-2</v>
      </c>
    </row>
    <row r="496" spans="1:28" x14ac:dyDescent="0.2">
      <c r="A496">
        <v>19730330</v>
      </c>
      <c r="B496">
        <v>1973</v>
      </c>
      <c r="C496">
        <v>3</v>
      </c>
      <c r="D496">
        <v>-6.7903000000000005E-2</v>
      </c>
      <c r="E496">
        <v>-4.1652000000000002E-2</v>
      </c>
      <c r="F496">
        <v>-2.7311999999999999E-2</v>
      </c>
      <c r="G496">
        <v>-9.0650000000000001E-3</v>
      </c>
      <c r="H496">
        <v>-1.8051999999999999E-2</v>
      </c>
      <c r="I496">
        <v>-4.9387E-2</v>
      </c>
      <c r="J496">
        <v>-2.5696E-2</v>
      </c>
      <c r="K496">
        <v>-2.2391999999999999E-2</v>
      </c>
      <c r="L496">
        <v>-2.2935000000000001E-2</v>
      </c>
      <c r="M496">
        <v>-1.5299999999999999E-3</v>
      </c>
      <c r="N496">
        <v>-4.8994000000000003E-2</v>
      </c>
      <c r="O496">
        <v>-4.2397999999999998E-2</v>
      </c>
      <c r="P496">
        <v>-1.9479E-2</v>
      </c>
      <c r="Q496">
        <v>-1.8353000000000001E-2</v>
      </c>
      <c r="R496">
        <v>-2.0739999999999999E-3</v>
      </c>
      <c r="S496">
        <v>-3.9414999999999999E-2</v>
      </c>
      <c r="T496">
        <v>-4.0250000000000001E-2</v>
      </c>
      <c r="U496">
        <v>-1.6732E-2</v>
      </c>
      <c r="V496">
        <v>-2.3817999999999999E-2</v>
      </c>
      <c r="W496">
        <v>8.2140000000000008E-3</v>
      </c>
      <c r="X496">
        <v>-8.5590000000000006E-3</v>
      </c>
      <c r="Y496">
        <v>-9.9780000000000008E-3</v>
      </c>
      <c r="Z496">
        <v>1.8255E-2</v>
      </c>
      <c r="AA496">
        <v>1.8775E-2</v>
      </c>
      <c r="AB496">
        <v>1.5699000000000001E-2</v>
      </c>
    </row>
    <row r="497" spans="1:28" x14ac:dyDescent="0.2">
      <c r="A497">
        <v>19730430</v>
      </c>
      <c r="B497">
        <v>1973</v>
      </c>
      <c r="C497">
        <v>4</v>
      </c>
      <c r="D497">
        <v>-0.11773</v>
      </c>
      <c r="E497">
        <v>-9.9498000000000003E-2</v>
      </c>
      <c r="F497">
        <v>-6.2524999999999997E-2</v>
      </c>
      <c r="G497">
        <v>-6.3718999999999998E-2</v>
      </c>
      <c r="H497">
        <v>-5.4005999999999998E-2</v>
      </c>
      <c r="I497">
        <v>-0.142898</v>
      </c>
      <c r="J497">
        <v>-9.3108999999999997E-2</v>
      </c>
      <c r="K497">
        <v>-5.7118000000000002E-2</v>
      </c>
      <c r="L497">
        <v>-4.2590999999999997E-2</v>
      </c>
      <c r="M497">
        <v>-4.8822999999999998E-2</v>
      </c>
      <c r="N497">
        <v>-0.11232499999999999</v>
      </c>
      <c r="O497">
        <v>-6.2923000000000007E-2</v>
      </c>
      <c r="P497">
        <v>-3.9135999999999997E-2</v>
      </c>
      <c r="Q497">
        <v>-3.6767000000000001E-2</v>
      </c>
      <c r="R497">
        <v>-4.3035999999999998E-2</v>
      </c>
      <c r="S497">
        <v>-0.10972999999999999</v>
      </c>
      <c r="T497">
        <v>-8.1310999999999994E-2</v>
      </c>
      <c r="U497">
        <v>-2.9262E-2</v>
      </c>
      <c r="V497">
        <v>-2.8407000000000002E-2</v>
      </c>
      <c r="W497">
        <v>-4.6427000000000003E-2</v>
      </c>
      <c r="X497">
        <v>-5.9403999999999998E-2</v>
      </c>
      <c r="Y497">
        <v>-3.3792999999999997E-2</v>
      </c>
      <c r="Z497">
        <v>-2.1336000000000001E-2</v>
      </c>
      <c r="AA497">
        <v>-6.9210000000000001E-3</v>
      </c>
      <c r="AB497">
        <v>-2.7667000000000001E-2</v>
      </c>
    </row>
    <row r="498" spans="1:28" x14ac:dyDescent="0.2">
      <c r="A498">
        <v>19730531</v>
      </c>
      <c r="B498">
        <v>1973</v>
      </c>
      <c r="C498">
        <v>5</v>
      </c>
      <c r="D498">
        <v>-0.1106</v>
      </c>
      <c r="E498">
        <v>-0.110985</v>
      </c>
      <c r="F498">
        <v>-9.2077000000000006E-2</v>
      </c>
      <c r="G498">
        <v>-7.6609999999999998E-2</v>
      </c>
      <c r="H498">
        <v>-8.3008999999999999E-2</v>
      </c>
      <c r="I498">
        <v>-0.111832</v>
      </c>
      <c r="J498">
        <v>-9.3748999999999999E-2</v>
      </c>
      <c r="K498">
        <v>-7.7522999999999995E-2</v>
      </c>
      <c r="L498">
        <v>-6.2324999999999998E-2</v>
      </c>
      <c r="M498">
        <v>-9.0866000000000002E-2</v>
      </c>
      <c r="N498">
        <v>-9.1412999999999994E-2</v>
      </c>
      <c r="O498">
        <v>-8.4463999999999997E-2</v>
      </c>
      <c r="P498">
        <v>-4.5765E-2</v>
      </c>
      <c r="Q498">
        <v>-2.7948000000000001E-2</v>
      </c>
      <c r="R498">
        <v>-7.3208999999999996E-2</v>
      </c>
      <c r="S498">
        <v>-7.1497000000000005E-2</v>
      </c>
      <c r="T498">
        <v>-7.3865E-2</v>
      </c>
      <c r="U498">
        <v>-2.3338000000000001E-2</v>
      </c>
      <c r="V498">
        <v>-2.5361000000000002E-2</v>
      </c>
      <c r="W498">
        <v>-4.5470999999999998E-2</v>
      </c>
      <c r="X498">
        <v>1.8489999999999999E-3</v>
      </c>
      <c r="Y498">
        <v>-1.1660999999999999E-2</v>
      </c>
      <c r="Z498">
        <v>-9.0220000000000005E-3</v>
      </c>
      <c r="AA498">
        <v>-3.2684999999999999E-2</v>
      </c>
      <c r="AB498">
        <v>-5.6094999999999999E-2</v>
      </c>
    </row>
    <row r="499" spans="1:28" x14ac:dyDescent="0.2">
      <c r="A499">
        <v>19730629</v>
      </c>
      <c r="B499">
        <v>1973</v>
      </c>
      <c r="C499">
        <v>6</v>
      </c>
      <c r="D499">
        <v>-4.8488000000000003E-2</v>
      </c>
      <c r="E499">
        <v>-4.0557999999999997E-2</v>
      </c>
      <c r="F499">
        <v>-4.5719999999999997E-2</v>
      </c>
      <c r="G499">
        <v>-2.9288000000000002E-2</v>
      </c>
      <c r="H499">
        <v>-2.3581000000000001E-2</v>
      </c>
      <c r="I499">
        <v>-6.9644999999999999E-2</v>
      </c>
      <c r="J499">
        <v>-4.0516000000000003E-2</v>
      </c>
      <c r="K499">
        <v>-2.6886E-2</v>
      </c>
      <c r="L499">
        <v>-2.2349999999999998E-2</v>
      </c>
      <c r="M499">
        <v>-1.6032999999999999E-2</v>
      </c>
      <c r="N499">
        <v>-6.5217999999999998E-2</v>
      </c>
      <c r="O499">
        <v>-3.0550999999999998E-2</v>
      </c>
      <c r="P499">
        <v>-1.6211E-2</v>
      </c>
      <c r="Q499">
        <v>-9.3930000000000003E-3</v>
      </c>
      <c r="R499">
        <v>-2.9257999999999999E-2</v>
      </c>
      <c r="S499">
        <v>-4.6601999999999998E-2</v>
      </c>
      <c r="T499">
        <v>-3.8809000000000003E-2</v>
      </c>
      <c r="U499">
        <v>-3.0835000000000001E-2</v>
      </c>
      <c r="V499">
        <v>-9.3880000000000005E-3</v>
      </c>
      <c r="W499">
        <v>-3.7298999999999999E-2</v>
      </c>
      <c r="X499">
        <v>-3.79E-3</v>
      </c>
      <c r="Y499">
        <v>-3.555E-3</v>
      </c>
      <c r="Z499">
        <v>7.1190000000000003E-3</v>
      </c>
      <c r="AA499">
        <v>-6.8929999999999998E-3</v>
      </c>
      <c r="AB499">
        <v>-2.0291E-2</v>
      </c>
    </row>
    <row r="500" spans="1:28" x14ac:dyDescent="0.2">
      <c r="A500">
        <v>19730731</v>
      </c>
      <c r="B500">
        <v>1973</v>
      </c>
      <c r="C500">
        <v>7</v>
      </c>
      <c r="D500">
        <v>0.18890899999999999</v>
      </c>
      <c r="E500">
        <v>0.16087599999999999</v>
      </c>
      <c r="F500">
        <v>0.119724</v>
      </c>
      <c r="G500">
        <v>0.134686</v>
      </c>
      <c r="H500">
        <v>0.104146</v>
      </c>
      <c r="I500">
        <v>0.22006899999999999</v>
      </c>
      <c r="J500">
        <v>0.1341</v>
      </c>
      <c r="K500">
        <v>0.111516</v>
      </c>
      <c r="L500">
        <v>6.8422999999999998E-2</v>
      </c>
      <c r="M500">
        <v>9.8990999999999996E-2</v>
      </c>
      <c r="N500">
        <v>0.19395200000000001</v>
      </c>
      <c r="O500">
        <v>9.7057000000000004E-2</v>
      </c>
      <c r="P500">
        <v>7.0281999999999997E-2</v>
      </c>
      <c r="Q500">
        <v>2.1360000000000001E-2</v>
      </c>
      <c r="R500">
        <v>7.7096999999999999E-2</v>
      </c>
      <c r="S500">
        <v>0.152975</v>
      </c>
      <c r="T500">
        <v>9.0437000000000003E-2</v>
      </c>
      <c r="U500">
        <v>6.9643999999999998E-2</v>
      </c>
      <c r="V500">
        <v>3.0588000000000001E-2</v>
      </c>
      <c r="W500">
        <v>8.9159000000000002E-2</v>
      </c>
      <c r="X500">
        <v>5.4011999999999998E-2</v>
      </c>
      <c r="Y500">
        <v>5.4572000000000002E-2</v>
      </c>
      <c r="Z500">
        <v>-1.794E-3</v>
      </c>
      <c r="AA500">
        <v>1.9956999999999999E-2</v>
      </c>
      <c r="AB500">
        <v>4.2202000000000003E-2</v>
      </c>
    </row>
    <row r="501" spans="1:28" x14ac:dyDescent="0.2">
      <c r="A501">
        <v>19730831</v>
      </c>
      <c r="B501">
        <v>1973</v>
      </c>
      <c r="C501">
        <v>8</v>
      </c>
      <c r="D501">
        <v>-5.4961999999999997E-2</v>
      </c>
      <c r="E501">
        <v>-6.7877000000000007E-2</v>
      </c>
      <c r="F501">
        <v>-5.8182999999999999E-2</v>
      </c>
      <c r="G501">
        <v>-5.8733E-2</v>
      </c>
      <c r="H501">
        <v>-4.5135000000000002E-2</v>
      </c>
      <c r="I501">
        <v>-3.1254999999999998E-2</v>
      </c>
      <c r="J501">
        <v>-6.9885000000000003E-2</v>
      </c>
      <c r="K501">
        <v>-4.8099000000000003E-2</v>
      </c>
      <c r="L501">
        <v>-5.0745999999999999E-2</v>
      </c>
      <c r="M501">
        <v>-3.9994000000000002E-2</v>
      </c>
      <c r="N501">
        <v>-3.0109E-2</v>
      </c>
      <c r="O501">
        <v>-4.2509999999999999E-2</v>
      </c>
      <c r="P501">
        <v>-4.1312000000000001E-2</v>
      </c>
      <c r="Q501">
        <v>-2.4667999999999999E-2</v>
      </c>
      <c r="R501">
        <v>-7.7489999999999998E-3</v>
      </c>
      <c r="S501">
        <v>-2.6440999999999999E-2</v>
      </c>
      <c r="T501">
        <v>-8.1460000000000005E-3</v>
      </c>
      <c r="U501">
        <v>-2.1048000000000001E-2</v>
      </c>
      <c r="V501">
        <v>-3.0974000000000002E-2</v>
      </c>
      <c r="W501">
        <v>-1.108E-3</v>
      </c>
      <c r="X501">
        <v>-3.5473999999999999E-2</v>
      </c>
      <c r="Y501">
        <v>-2.4331999999999999E-2</v>
      </c>
      <c r="Z501">
        <v>-3.6971999999999998E-2</v>
      </c>
      <c r="AA501">
        <v>-2.3786999999999999E-2</v>
      </c>
      <c r="AB501">
        <v>7.8169999999999993E-3</v>
      </c>
    </row>
    <row r="502" spans="1:28" x14ac:dyDescent="0.2">
      <c r="A502">
        <v>19730928</v>
      </c>
      <c r="B502">
        <v>1973</v>
      </c>
      <c r="C502">
        <v>9</v>
      </c>
      <c r="D502">
        <v>0.11905399999999999</v>
      </c>
      <c r="E502">
        <v>0.114673</v>
      </c>
      <c r="F502">
        <v>6.7502999999999994E-2</v>
      </c>
      <c r="G502">
        <v>7.8247999999999998E-2</v>
      </c>
      <c r="H502">
        <v>7.0303000000000004E-2</v>
      </c>
      <c r="I502">
        <v>0.10979899999999999</v>
      </c>
      <c r="J502">
        <v>0.110725</v>
      </c>
      <c r="K502">
        <v>0.11545999999999999</v>
      </c>
      <c r="L502">
        <v>7.0591000000000001E-2</v>
      </c>
      <c r="M502">
        <v>0.10256999999999999</v>
      </c>
      <c r="N502">
        <v>0.11247699999999999</v>
      </c>
      <c r="O502">
        <v>0.101175</v>
      </c>
      <c r="P502">
        <v>0.10069699999999999</v>
      </c>
      <c r="Q502">
        <v>8.8721999999999995E-2</v>
      </c>
      <c r="R502">
        <v>0.104922</v>
      </c>
      <c r="S502">
        <v>9.9207000000000004E-2</v>
      </c>
      <c r="T502">
        <v>0.11699</v>
      </c>
      <c r="U502">
        <v>0.115886</v>
      </c>
      <c r="V502">
        <v>9.7743999999999998E-2</v>
      </c>
      <c r="W502">
        <v>0.105181</v>
      </c>
      <c r="X502">
        <v>-1.193E-3</v>
      </c>
      <c r="Y502">
        <v>7.7677999999999997E-2</v>
      </c>
      <c r="Z502">
        <v>8.7166999999999994E-2</v>
      </c>
      <c r="AA502">
        <v>8.5754999999999998E-2</v>
      </c>
      <c r="AB502">
        <v>8.2683000000000006E-2</v>
      </c>
    </row>
    <row r="503" spans="1:28" x14ac:dyDescent="0.2">
      <c r="A503">
        <v>19731031</v>
      </c>
      <c r="B503">
        <v>1973</v>
      </c>
      <c r="C503">
        <v>10</v>
      </c>
      <c r="D503">
        <v>-2.8121E-2</v>
      </c>
      <c r="E503">
        <v>5.3829999999999998E-3</v>
      </c>
      <c r="F503">
        <v>1.0526000000000001E-2</v>
      </c>
      <c r="G503">
        <v>2.967E-3</v>
      </c>
      <c r="H503">
        <v>1.2692E-2</v>
      </c>
      <c r="I503">
        <v>-3.0921000000000001E-2</v>
      </c>
      <c r="J503">
        <v>-3.3298000000000001E-2</v>
      </c>
      <c r="K503">
        <v>1.3691999999999999E-2</v>
      </c>
      <c r="L503">
        <v>1.1173000000000001E-2</v>
      </c>
      <c r="M503">
        <v>1.4504E-2</v>
      </c>
      <c r="N503">
        <v>-3.9385000000000003E-2</v>
      </c>
      <c r="O503">
        <v>2.5600000000000001E-2</v>
      </c>
      <c r="P503">
        <v>4.8799999999999998E-3</v>
      </c>
      <c r="Q503">
        <v>-5.3150000000000003E-3</v>
      </c>
      <c r="R503">
        <v>1.3554999999999999E-2</v>
      </c>
      <c r="S503">
        <v>-2.6307000000000001E-2</v>
      </c>
      <c r="T503">
        <v>-1.0833000000000001E-2</v>
      </c>
      <c r="U503">
        <v>1.2824E-2</v>
      </c>
      <c r="V503">
        <v>-4.2830000000000003E-3</v>
      </c>
      <c r="W503">
        <v>1.7874000000000001E-2</v>
      </c>
      <c r="X503">
        <v>4.5630000000000002E-3</v>
      </c>
      <c r="Y503">
        <v>-6.9629999999999996E-3</v>
      </c>
      <c r="Z503">
        <v>2.898E-3</v>
      </c>
      <c r="AA503">
        <v>-3.0110000000000001E-2</v>
      </c>
      <c r="AB503">
        <v>2.5475000000000001E-2</v>
      </c>
    </row>
    <row r="504" spans="1:28" x14ac:dyDescent="0.2">
      <c r="A504">
        <v>19731130</v>
      </c>
      <c r="B504">
        <v>1973</v>
      </c>
      <c r="C504">
        <v>11</v>
      </c>
      <c r="D504">
        <v>-0.24951200000000001</v>
      </c>
      <c r="E504">
        <v>-0.215644</v>
      </c>
      <c r="F504">
        <v>-0.18979699999999999</v>
      </c>
      <c r="G504">
        <v>-0.16733500000000001</v>
      </c>
      <c r="H504">
        <v>-0.180178</v>
      </c>
      <c r="I504">
        <v>-0.23430899999999999</v>
      </c>
      <c r="J504">
        <v>-0.20335</v>
      </c>
      <c r="K504">
        <v>-0.191332</v>
      </c>
      <c r="L504">
        <v>-0.156671</v>
      </c>
      <c r="M504">
        <v>-0.15942200000000001</v>
      </c>
      <c r="N504">
        <v>-0.229105</v>
      </c>
      <c r="O504">
        <v>-0.18182599999999999</v>
      </c>
      <c r="P504">
        <v>-0.159361</v>
      </c>
      <c r="Q504">
        <v>-0.122006</v>
      </c>
      <c r="R504">
        <v>-0.16084100000000001</v>
      </c>
      <c r="S504">
        <v>-0.203185</v>
      </c>
      <c r="T504">
        <v>-0.17283399999999999</v>
      </c>
      <c r="U504">
        <v>-0.14369499999999999</v>
      </c>
      <c r="V504">
        <v>-0.120881</v>
      </c>
      <c r="W504">
        <v>-0.148757</v>
      </c>
      <c r="X504">
        <v>-0.107072</v>
      </c>
      <c r="Y504">
        <v>-0.12720899999999999</v>
      </c>
      <c r="Z504">
        <v>-0.107978</v>
      </c>
      <c r="AA504">
        <v>-6.3256000000000007E-2</v>
      </c>
      <c r="AB504">
        <v>-8.2484000000000002E-2</v>
      </c>
    </row>
    <row r="505" spans="1:28" x14ac:dyDescent="0.2">
      <c r="A505">
        <v>19731231</v>
      </c>
      <c r="B505">
        <v>1973</v>
      </c>
      <c r="C505">
        <v>12</v>
      </c>
      <c r="D505">
        <v>-3.7317999999999997E-2</v>
      </c>
      <c r="E505">
        <v>-4.6434999999999997E-2</v>
      </c>
      <c r="F505">
        <v>-3.8024000000000002E-2</v>
      </c>
      <c r="G505">
        <v>-2.9114000000000001E-2</v>
      </c>
      <c r="H505">
        <v>-4.2016999999999999E-2</v>
      </c>
      <c r="I505">
        <v>-3.993E-3</v>
      </c>
      <c r="J505">
        <v>-4.7396000000000001E-2</v>
      </c>
      <c r="K505">
        <v>-6.7299999999999999E-3</v>
      </c>
      <c r="L505">
        <v>-1.2989000000000001E-2</v>
      </c>
      <c r="M505">
        <v>-8.8649999999999996E-3</v>
      </c>
      <c r="N505">
        <v>-1.4226000000000001E-2</v>
      </c>
      <c r="O505">
        <v>7.4720000000000003E-3</v>
      </c>
      <c r="P505">
        <v>6.6499999999999997E-3</v>
      </c>
      <c r="Q505">
        <v>6.0159999999999996E-3</v>
      </c>
      <c r="R505">
        <v>2.3633000000000001E-2</v>
      </c>
      <c r="S505">
        <v>1.3209999999999999E-3</v>
      </c>
      <c r="T505">
        <v>3.1593000000000003E-2</v>
      </c>
      <c r="U505">
        <v>6.7240999999999995E-2</v>
      </c>
      <c r="V505">
        <v>2.8844999999999999E-2</v>
      </c>
      <c r="W505">
        <v>6.5777000000000002E-2</v>
      </c>
      <c r="X505">
        <v>-2.0518000000000002E-2</v>
      </c>
      <c r="Y505">
        <v>8.7500000000000008E-3</v>
      </c>
      <c r="Z505">
        <v>7.2418999999999997E-2</v>
      </c>
      <c r="AA505">
        <v>5.0292000000000003E-2</v>
      </c>
      <c r="AB505">
        <v>0.111342</v>
      </c>
    </row>
    <row r="506" spans="1:28" x14ac:dyDescent="0.2">
      <c r="A506">
        <v>19740131</v>
      </c>
      <c r="B506">
        <v>1974</v>
      </c>
      <c r="C506">
        <v>1</v>
      </c>
      <c r="D506">
        <v>0.102564</v>
      </c>
      <c r="E506">
        <v>0.143733</v>
      </c>
      <c r="F506">
        <v>0.148456</v>
      </c>
      <c r="G506">
        <v>0.127882</v>
      </c>
      <c r="H506">
        <v>0.189135</v>
      </c>
      <c r="I506">
        <v>4.4891E-2</v>
      </c>
      <c r="J506">
        <v>0.115033</v>
      </c>
      <c r="K506">
        <v>9.2613000000000001E-2</v>
      </c>
      <c r="L506">
        <v>0.106806</v>
      </c>
      <c r="M506">
        <v>0.13462099999999999</v>
      </c>
      <c r="N506">
        <v>5.2387999999999997E-2</v>
      </c>
      <c r="O506">
        <v>4.3929000000000003E-2</v>
      </c>
      <c r="P506">
        <v>8.5097000000000006E-2</v>
      </c>
      <c r="Q506">
        <v>7.6649999999999996E-2</v>
      </c>
      <c r="R506">
        <v>0.115617</v>
      </c>
      <c r="S506">
        <v>-1.6397999999999999E-2</v>
      </c>
      <c r="T506">
        <v>2.1104000000000001E-2</v>
      </c>
      <c r="U506">
        <v>2.9239000000000001E-2</v>
      </c>
      <c r="V506">
        <v>7.7299999999999994E-2</v>
      </c>
      <c r="W506">
        <v>5.4814000000000002E-2</v>
      </c>
      <c r="X506">
        <v>-2.0147999999999999E-2</v>
      </c>
      <c r="Y506">
        <v>6.3969999999999999E-3</v>
      </c>
      <c r="Z506">
        <v>-2.8910999999999999E-2</v>
      </c>
      <c r="AA506">
        <v>7.4260000000000003E-3</v>
      </c>
      <c r="AB506">
        <v>-8.2399999999999997E-4</v>
      </c>
    </row>
    <row r="507" spans="1:28" x14ac:dyDescent="0.2">
      <c r="A507">
        <v>19740228</v>
      </c>
      <c r="B507">
        <v>1974</v>
      </c>
      <c r="C507">
        <v>2</v>
      </c>
      <c r="D507">
        <v>-4.3270000000000001E-3</v>
      </c>
      <c r="E507">
        <v>-8.116E-3</v>
      </c>
      <c r="F507">
        <v>-1.771E-3</v>
      </c>
      <c r="G507">
        <v>-1.933E-3</v>
      </c>
      <c r="H507">
        <v>1.1126E-2</v>
      </c>
      <c r="I507">
        <v>3.7910000000000001E-3</v>
      </c>
      <c r="J507">
        <v>1.2544E-2</v>
      </c>
      <c r="K507">
        <v>1.1686E-2</v>
      </c>
      <c r="L507">
        <v>1.8324E-2</v>
      </c>
      <c r="M507">
        <v>4.1293999999999997E-2</v>
      </c>
      <c r="N507">
        <v>-2.6032E-2</v>
      </c>
      <c r="O507">
        <v>1.0169999999999999E-3</v>
      </c>
      <c r="P507">
        <v>1.5935999999999999E-2</v>
      </c>
      <c r="Q507">
        <v>4.8310000000000002E-3</v>
      </c>
      <c r="R507">
        <v>2.3359999999999999E-2</v>
      </c>
      <c r="S507">
        <v>-2.3521E-2</v>
      </c>
      <c r="T507">
        <v>6.862E-3</v>
      </c>
      <c r="U507">
        <v>2.4059000000000001E-2</v>
      </c>
      <c r="V507">
        <v>1.8131999999999999E-2</v>
      </c>
      <c r="W507">
        <v>3.4911999999999999E-2</v>
      </c>
      <c r="X507">
        <v>-1.3480000000000001E-2</v>
      </c>
      <c r="Y507">
        <v>1.8055999999999999E-2</v>
      </c>
      <c r="Z507">
        <v>-9.469E-3</v>
      </c>
      <c r="AA507">
        <v>2.8152E-2</v>
      </c>
      <c r="AB507">
        <v>3.8127000000000001E-2</v>
      </c>
    </row>
    <row r="508" spans="1:28" x14ac:dyDescent="0.2">
      <c r="A508">
        <v>19740329</v>
      </c>
      <c r="B508">
        <v>1974</v>
      </c>
      <c r="C508">
        <v>3</v>
      </c>
      <c r="D508">
        <v>2.5469999999999998E-3</v>
      </c>
      <c r="E508">
        <v>-8.2939999999999993E-3</v>
      </c>
      <c r="F508">
        <v>5.1009999999999996E-3</v>
      </c>
      <c r="G508">
        <v>1.4239999999999999E-2</v>
      </c>
      <c r="H508">
        <v>1.9177E-2</v>
      </c>
      <c r="I508">
        <v>-1.6272999999999999E-2</v>
      </c>
      <c r="J508">
        <v>2.2277000000000002E-2</v>
      </c>
      <c r="K508">
        <v>-1.626E-2</v>
      </c>
      <c r="L508">
        <v>-9.7990000000000004E-3</v>
      </c>
      <c r="M508">
        <v>6.4949999999999999E-3</v>
      </c>
      <c r="N508">
        <v>-1.8103000000000001E-2</v>
      </c>
      <c r="O508">
        <v>-8.8129999999999997E-3</v>
      </c>
      <c r="P508">
        <v>-3.1133999999999998E-2</v>
      </c>
      <c r="Q508">
        <v>-1.5571E-2</v>
      </c>
      <c r="R508">
        <v>-1.0048E-2</v>
      </c>
      <c r="S508">
        <v>-2.5654E-2</v>
      </c>
      <c r="T508">
        <v>-3.5645999999999997E-2</v>
      </c>
      <c r="U508">
        <v>-4.7337999999999998E-2</v>
      </c>
      <c r="V508">
        <v>-2.9281000000000001E-2</v>
      </c>
      <c r="W508">
        <v>-2.2329999999999999E-2</v>
      </c>
      <c r="X508">
        <v>-1.5556E-2</v>
      </c>
      <c r="Y508">
        <v>-3.5372000000000001E-2</v>
      </c>
      <c r="Z508">
        <v>-2.3255000000000001E-2</v>
      </c>
      <c r="AA508">
        <v>-3.4810000000000001E-2</v>
      </c>
      <c r="AB508">
        <v>-4.7586999999999997E-2</v>
      </c>
    </row>
    <row r="509" spans="1:28" x14ac:dyDescent="0.2">
      <c r="A509">
        <v>19740430</v>
      </c>
      <c r="B509">
        <v>1974</v>
      </c>
      <c r="C509">
        <v>4</v>
      </c>
      <c r="D509">
        <v>-4.6938000000000001E-2</v>
      </c>
      <c r="E509">
        <v>-5.9534999999999998E-2</v>
      </c>
      <c r="F509">
        <v>-5.0726E-2</v>
      </c>
      <c r="G509">
        <v>-5.4536000000000001E-2</v>
      </c>
      <c r="H509">
        <v>-4.0188000000000001E-2</v>
      </c>
      <c r="I509">
        <v>-8.2904000000000005E-2</v>
      </c>
      <c r="J509">
        <v>-6.3535999999999995E-2</v>
      </c>
      <c r="K509">
        <v>-5.6876999999999997E-2</v>
      </c>
      <c r="L509">
        <v>-3.9690999999999997E-2</v>
      </c>
      <c r="M509">
        <v>-3.3808999999999999E-2</v>
      </c>
      <c r="N509">
        <v>-6.1983000000000003E-2</v>
      </c>
      <c r="O509">
        <v>-7.2097999999999995E-2</v>
      </c>
      <c r="P509">
        <v>-4.4075999999999997E-2</v>
      </c>
      <c r="Q509">
        <v>-5.9236999999999998E-2</v>
      </c>
      <c r="R509">
        <v>-2.3636999999999998E-2</v>
      </c>
      <c r="S509">
        <v>-6.9709999999999994E-2</v>
      </c>
      <c r="T509">
        <v>-6.8635000000000002E-2</v>
      </c>
      <c r="U509">
        <v>-5.9694999999999998E-2</v>
      </c>
      <c r="V509">
        <v>-6.6776000000000002E-2</v>
      </c>
      <c r="W509">
        <v>-1.6042000000000001E-2</v>
      </c>
      <c r="X509">
        <v>-3.0502000000000001E-2</v>
      </c>
      <c r="Y509">
        <v>-4.2441E-2</v>
      </c>
      <c r="Z509">
        <v>-5.0152000000000002E-2</v>
      </c>
      <c r="AA509">
        <v>-6.0677000000000002E-2</v>
      </c>
      <c r="AB509">
        <v>-5.4213999999999998E-2</v>
      </c>
    </row>
    <row r="510" spans="1:28" x14ac:dyDescent="0.2">
      <c r="A510">
        <v>19740531</v>
      </c>
      <c r="B510">
        <v>1974</v>
      </c>
      <c r="C510">
        <v>5</v>
      </c>
      <c r="D510">
        <v>-8.1479999999999997E-2</v>
      </c>
      <c r="E510">
        <v>-7.4370000000000006E-2</v>
      </c>
      <c r="F510">
        <v>-8.1868999999999997E-2</v>
      </c>
      <c r="G510">
        <v>-6.9097000000000006E-2</v>
      </c>
      <c r="H510">
        <v>-6.0332999999999998E-2</v>
      </c>
      <c r="I510">
        <v>-6.5461000000000005E-2</v>
      </c>
      <c r="J510">
        <v>-7.5708999999999999E-2</v>
      </c>
      <c r="K510">
        <v>-7.6929999999999998E-2</v>
      </c>
      <c r="L510">
        <v>-7.1150000000000005E-2</v>
      </c>
      <c r="M510">
        <v>-7.5688000000000005E-2</v>
      </c>
      <c r="N510">
        <v>-7.0539000000000004E-2</v>
      </c>
      <c r="O510">
        <v>-9.4032000000000004E-2</v>
      </c>
      <c r="P510">
        <v>-6.6910999999999998E-2</v>
      </c>
      <c r="Q510">
        <v>-7.0402000000000006E-2</v>
      </c>
      <c r="R510">
        <v>-8.2956000000000002E-2</v>
      </c>
      <c r="S510">
        <v>-6.3008999999999996E-2</v>
      </c>
      <c r="T510">
        <v>-8.8206000000000007E-2</v>
      </c>
      <c r="U510">
        <v>-5.3672999999999998E-2</v>
      </c>
      <c r="V510">
        <v>-6.0191000000000001E-2</v>
      </c>
      <c r="W510">
        <v>-7.2319999999999995E-2</v>
      </c>
      <c r="X510">
        <v>-3.8189999999999999E-3</v>
      </c>
      <c r="Y510">
        <v>-3.5371E-2</v>
      </c>
      <c r="Z510">
        <v>-5.6041000000000001E-2</v>
      </c>
      <c r="AA510">
        <v>-3.3270000000000001E-2</v>
      </c>
      <c r="AB510">
        <v>-7.8042E-2</v>
      </c>
    </row>
    <row r="511" spans="1:28" x14ac:dyDescent="0.2">
      <c r="A511">
        <v>19740628</v>
      </c>
      <c r="B511">
        <v>1974</v>
      </c>
      <c r="C511">
        <v>6</v>
      </c>
      <c r="D511">
        <v>-3.6129000000000001E-2</v>
      </c>
      <c r="E511">
        <v>-3.4238999999999999E-2</v>
      </c>
      <c r="F511">
        <v>-2.2221999999999999E-2</v>
      </c>
      <c r="G511">
        <v>-2.299E-2</v>
      </c>
      <c r="H511">
        <v>-1.4846E-2</v>
      </c>
      <c r="I511">
        <v>-3.7630999999999998E-2</v>
      </c>
      <c r="J511">
        <v>-3.1336999999999997E-2</v>
      </c>
      <c r="K511">
        <v>-2.7029000000000001E-2</v>
      </c>
      <c r="L511">
        <v>-5.5589999999999997E-3</v>
      </c>
      <c r="M511">
        <v>-4.7600000000000003E-3</v>
      </c>
      <c r="N511">
        <v>-4.5242999999999998E-2</v>
      </c>
      <c r="O511">
        <v>-2.6598E-2</v>
      </c>
      <c r="P511">
        <v>-3.4521000000000003E-2</v>
      </c>
      <c r="Q511">
        <v>-4.4023E-2</v>
      </c>
      <c r="R511">
        <v>-4.6080000000000001E-3</v>
      </c>
      <c r="S511">
        <v>-2.4341000000000002E-2</v>
      </c>
      <c r="T511">
        <v>-3.5980999999999999E-2</v>
      </c>
      <c r="U511">
        <v>-2.8008999999999999E-2</v>
      </c>
      <c r="V511">
        <v>-4.6133E-2</v>
      </c>
      <c r="W511">
        <v>-4.4312999999999998E-2</v>
      </c>
      <c r="X511">
        <v>-1.4878000000000001E-2</v>
      </c>
      <c r="Y511">
        <v>-2.7331999999999999E-2</v>
      </c>
      <c r="Z511">
        <v>-1.8008E-2</v>
      </c>
      <c r="AA511">
        <v>-2.1211000000000001E-2</v>
      </c>
      <c r="AB511">
        <v>1.5699000000000001E-2</v>
      </c>
    </row>
    <row r="512" spans="1:28" x14ac:dyDescent="0.2">
      <c r="A512">
        <v>19740731</v>
      </c>
      <c r="B512">
        <v>1974</v>
      </c>
      <c r="C512">
        <v>7</v>
      </c>
      <c r="D512">
        <v>-8.5456000000000004E-2</v>
      </c>
      <c r="E512">
        <v>-5.5625000000000001E-2</v>
      </c>
      <c r="F512">
        <v>-5.1822E-2</v>
      </c>
      <c r="G512">
        <v>-4.6131999999999999E-2</v>
      </c>
      <c r="H512">
        <v>-3.9571000000000002E-2</v>
      </c>
      <c r="I512">
        <v>-7.2553000000000006E-2</v>
      </c>
      <c r="J512">
        <v>-3.8593000000000002E-2</v>
      </c>
      <c r="K512">
        <v>-4.1338E-2</v>
      </c>
      <c r="L512">
        <v>-3.7250999999999999E-2</v>
      </c>
      <c r="M512">
        <v>-2.7829E-2</v>
      </c>
      <c r="N512">
        <v>-6.7226999999999995E-2</v>
      </c>
      <c r="O512">
        <v>-2.5964999999999998E-2</v>
      </c>
      <c r="P512">
        <v>-2.1291000000000001E-2</v>
      </c>
      <c r="Q512">
        <v>-3.1337999999999998E-2</v>
      </c>
      <c r="R512">
        <v>9.7269999999999995E-3</v>
      </c>
      <c r="S512">
        <v>-8.7235999999999994E-2</v>
      </c>
      <c r="T512">
        <v>-5.9336E-2</v>
      </c>
      <c r="U512">
        <v>-2.3244000000000001E-2</v>
      </c>
      <c r="V512">
        <v>-8.6809999999999995E-3</v>
      </c>
      <c r="W512">
        <v>-7.9699999999999997E-3</v>
      </c>
      <c r="X512">
        <v>-0.10992200000000001</v>
      </c>
      <c r="Y512">
        <v>-4.1501000000000003E-2</v>
      </c>
      <c r="Z512">
        <v>-3.6978999999999998E-2</v>
      </c>
      <c r="AA512">
        <v>-4.1022999999999997E-2</v>
      </c>
      <c r="AB512">
        <v>-5.1036999999999999E-2</v>
      </c>
    </row>
    <row r="513" spans="1:28" x14ac:dyDescent="0.2">
      <c r="A513">
        <v>19740830</v>
      </c>
      <c r="B513">
        <v>1974</v>
      </c>
      <c r="C513">
        <v>8</v>
      </c>
      <c r="D513">
        <v>-9.2343999999999996E-2</v>
      </c>
      <c r="E513">
        <v>-8.2372000000000001E-2</v>
      </c>
      <c r="F513">
        <v>-7.5534000000000004E-2</v>
      </c>
      <c r="G513">
        <v>-7.5219999999999995E-2</v>
      </c>
      <c r="H513">
        <v>-7.0444999999999994E-2</v>
      </c>
      <c r="I513">
        <v>-9.6908999999999995E-2</v>
      </c>
      <c r="J513">
        <v>-0.110387</v>
      </c>
      <c r="K513">
        <v>-6.3745999999999997E-2</v>
      </c>
      <c r="L513">
        <v>-7.8030000000000002E-2</v>
      </c>
      <c r="M513">
        <v>-5.4608999999999998E-2</v>
      </c>
      <c r="N513">
        <v>-0.10999100000000001</v>
      </c>
      <c r="O513">
        <v>-0.102247</v>
      </c>
      <c r="P513">
        <v>-6.6789000000000001E-2</v>
      </c>
      <c r="Q513">
        <v>-6.9036E-2</v>
      </c>
      <c r="R513">
        <v>-6.8740999999999997E-2</v>
      </c>
      <c r="S513">
        <v>-0.11751499999999999</v>
      </c>
      <c r="T513">
        <v>-8.7945999999999996E-2</v>
      </c>
      <c r="U513">
        <v>-8.3276000000000003E-2</v>
      </c>
      <c r="V513">
        <v>-6.7074999999999996E-2</v>
      </c>
      <c r="W513">
        <v>-6.1601000000000003E-2</v>
      </c>
      <c r="X513">
        <v>-9.9553000000000003E-2</v>
      </c>
      <c r="Y513">
        <v>-7.6289999999999997E-2</v>
      </c>
      <c r="Z513">
        <v>-4.514E-2</v>
      </c>
      <c r="AA513">
        <v>-7.7518000000000004E-2</v>
      </c>
      <c r="AB513">
        <v>-8.6429000000000006E-2</v>
      </c>
    </row>
    <row r="514" spans="1:28" x14ac:dyDescent="0.2">
      <c r="A514">
        <v>19740930</v>
      </c>
      <c r="B514">
        <v>1974</v>
      </c>
      <c r="C514">
        <v>9</v>
      </c>
      <c r="D514">
        <v>-0.13459199999999999</v>
      </c>
      <c r="E514">
        <v>-8.3223000000000005E-2</v>
      </c>
      <c r="F514">
        <v>-6.8004999999999996E-2</v>
      </c>
      <c r="G514">
        <v>-6.9356000000000001E-2</v>
      </c>
      <c r="H514">
        <v>-8.4588999999999998E-2</v>
      </c>
      <c r="I514">
        <v>-0.120908</v>
      </c>
      <c r="J514">
        <v>-7.0373000000000005E-2</v>
      </c>
      <c r="K514">
        <v>-8.1146999999999997E-2</v>
      </c>
      <c r="L514">
        <v>-7.6102000000000003E-2</v>
      </c>
      <c r="M514">
        <v>-7.1827000000000002E-2</v>
      </c>
      <c r="N514">
        <v>-0.13041</v>
      </c>
      <c r="O514">
        <v>-8.8580999999999993E-2</v>
      </c>
      <c r="P514">
        <v>-6.8666000000000005E-2</v>
      </c>
      <c r="Q514">
        <v>-4.6389E-2</v>
      </c>
      <c r="R514">
        <v>-6.4536999999999997E-2</v>
      </c>
      <c r="S514">
        <v>-0.11779199999999999</v>
      </c>
      <c r="T514">
        <v>-7.1296999999999999E-2</v>
      </c>
      <c r="U514">
        <v>-4.9879E-2</v>
      </c>
      <c r="V514">
        <v>-6.3369999999999996E-2</v>
      </c>
      <c r="W514">
        <v>-8.1214999999999996E-2</v>
      </c>
      <c r="X514">
        <v>-0.14752100000000001</v>
      </c>
      <c r="Y514">
        <v>-9.8504999999999995E-2</v>
      </c>
      <c r="Z514">
        <v>-4.8522000000000003E-2</v>
      </c>
      <c r="AA514">
        <v>-5.1296000000000001E-2</v>
      </c>
      <c r="AB514">
        <v>-6.6263000000000002E-2</v>
      </c>
    </row>
    <row r="515" spans="1:28" x14ac:dyDescent="0.2">
      <c r="A515">
        <v>19741031</v>
      </c>
      <c r="B515">
        <v>1974</v>
      </c>
      <c r="C515">
        <v>10</v>
      </c>
      <c r="D515">
        <v>0.169598</v>
      </c>
      <c r="E515">
        <v>7.1641999999999997E-2</v>
      </c>
      <c r="F515">
        <v>6.9584999999999994E-2</v>
      </c>
      <c r="G515">
        <v>7.8464000000000006E-2</v>
      </c>
      <c r="H515">
        <v>8.8334999999999997E-2</v>
      </c>
      <c r="I515">
        <v>0.16034699999999999</v>
      </c>
      <c r="J515">
        <v>0.107417</v>
      </c>
      <c r="K515">
        <v>7.5420000000000001E-2</v>
      </c>
      <c r="L515">
        <v>7.6497999999999997E-2</v>
      </c>
      <c r="M515">
        <v>6.4590999999999996E-2</v>
      </c>
      <c r="N515">
        <v>0.18637899999999999</v>
      </c>
      <c r="O515">
        <v>0.10755000000000001</v>
      </c>
      <c r="P515">
        <v>7.0551000000000003E-2</v>
      </c>
      <c r="Q515">
        <v>8.5552000000000003E-2</v>
      </c>
      <c r="R515">
        <v>0.10192900000000001</v>
      </c>
      <c r="S515">
        <v>0.21346799999999999</v>
      </c>
      <c r="T515">
        <v>0.13064600000000001</v>
      </c>
      <c r="U515">
        <v>0.11533400000000001</v>
      </c>
      <c r="V515">
        <v>9.6550999999999998E-2</v>
      </c>
      <c r="W515">
        <v>0.103515</v>
      </c>
      <c r="X515">
        <v>0.22339100000000001</v>
      </c>
      <c r="Y515">
        <v>0.13933200000000001</v>
      </c>
      <c r="Z515">
        <v>0.13399800000000001</v>
      </c>
      <c r="AA515">
        <v>0.10584499999999999</v>
      </c>
      <c r="AB515">
        <v>1.3135000000000001E-2</v>
      </c>
    </row>
    <row r="516" spans="1:28" x14ac:dyDescent="0.2">
      <c r="A516">
        <v>19741129</v>
      </c>
      <c r="B516">
        <v>1974</v>
      </c>
      <c r="C516">
        <v>11</v>
      </c>
      <c r="D516">
        <v>-6.0607000000000001E-2</v>
      </c>
      <c r="E516">
        <v>-5.5490999999999999E-2</v>
      </c>
      <c r="F516">
        <v>-5.0221000000000002E-2</v>
      </c>
      <c r="G516">
        <v>-5.2200000000000003E-2</v>
      </c>
      <c r="H516">
        <v>-6.8049999999999999E-2</v>
      </c>
      <c r="I516">
        <v>-5.2582999999999998E-2</v>
      </c>
      <c r="J516">
        <v>-4.5727999999999998E-2</v>
      </c>
      <c r="K516">
        <v>-3.8925000000000001E-2</v>
      </c>
      <c r="L516">
        <v>-5.2096000000000003E-2</v>
      </c>
      <c r="M516">
        <v>-6.9178000000000003E-2</v>
      </c>
      <c r="N516">
        <v>-4.4202999999999999E-2</v>
      </c>
      <c r="O516">
        <v>-4.0661999999999997E-2</v>
      </c>
      <c r="P516">
        <v>-2.9763000000000001E-2</v>
      </c>
      <c r="Q516">
        <v>-4.1514000000000002E-2</v>
      </c>
      <c r="R516">
        <v>-1.9392E-2</v>
      </c>
      <c r="S516">
        <v>-2.2110000000000001E-2</v>
      </c>
      <c r="T516">
        <v>-4.5230000000000001E-3</v>
      </c>
      <c r="U516">
        <v>-1.3884000000000001E-2</v>
      </c>
      <c r="V516">
        <v>-3.8484999999999998E-2</v>
      </c>
      <c r="W516">
        <v>-6.5950999999999996E-2</v>
      </c>
      <c r="X516">
        <v>-4.6107000000000002E-2</v>
      </c>
      <c r="Y516">
        <v>-3.2869000000000002E-2</v>
      </c>
      <c r="Z516">
        <v>-4.1058999999999998E-2</v>
      </c>
      <c r="AA516">
        <v>-2.3229E-2</v>
      </c>
      <c r="AB516">
        <v>-4.1064999999999997E-2</v>
      </c>
    </row>
    <row r="517" spans="1:28" x14ac:dyDescent="0.2">
      <c r="A517">
        <v>19741231</v>
      </c>
      <c r="B517">
        <v>1974</v>
      </c>
      <c r="C517">
        <v>12</v>
      </c>
      <c r="D517">
        <v>-7.1545999999999998E-2</v>
      </c>
      <c r="E517">
        <v>-8.0748E-2</v>
      </c>
      <c r="F517">
        <v>-7.3263999999999996E-2</v>
      </c>
      <c r="G517">
        <v>-7.4453000000000005E-2</v>
      </c>
      <c r="H517">
        <v>-9.3137999999999999E-2</v>
      </c>
      <c r="I517">
        <v>-6.2175000000000001E-2</v>
      </c>
      <c r="J517">
        <v>-6.1677999999999997E-2</v>
      </c>
      <c r="K517">
        <v>-5.9520999999999998E-2</v>
      </c>
      <c r="L517">
        <v>-6.7585000000000006E-2</v>
      </c>
      <c r="M517">
        <v>-5.7272000000000003E-2</v>
      </c>
      <c r="N517">
        <v>-5.6044999999999998E-2</v>
      </c>
      <c r="O517">
        <v>-4.3971999999999997E-2</v>
      </c>
      <c r="P517">
        <v>-4.1678E-2</v>
      </c>
      <c r="Q517">
        <v>-5.0989E-2</v>
      </c>
      <c r="R517">
        <v>-7.2346999999999995E-2</v>
      </c>
      <c r="S517">
        <v>-4.3958999999999998E-2</v>
      </c>
      <c r="T517">
        <v>-2.4841999999999999E-2</v>
      </c>
      <c r="U517">
        <v>-4.0839E-2</v>
      </c>
      <c r="V517">
        <v>-1.9956000000000002E-2</v>
      </c>
      <c r="W517">
        <v>-9.6518999999999994E-2</v>
      </c>
      <c r="X517">
        <v>-3.7991999999999998E-2</v>
      </c>
      <c r="Y517">
        <v>3.5630000000000002E-3</v>
      </c>
      <c r="Z517">
        <v>1.4302E-2</v>
      </c>
      <c r="AA517">
        <v>-1.0444E-2</v>
      </c>
      <c r="AB517">
        <v>1.8779000000000001E-2</v>
      </c>
    </row>
    <row r="518" spans="1:28" x14ac:dyDescent="0.2">
      <c r="A518">
        <v>19750131</v>
      </c>
      <c r="B518">
        <v>1975</v>
      </c>
      <c r="C518">
        <v>1</v>
      </c>
      <c r="D518">
        <v>0.25463999999999998</v>
      </c>
      <c r="E518">
        <v>0.29501699999999997</v>
      </c>
      <c r="F518">
        <v>0.28160800000000002</v>
      </c>
      <c r="G518">
        <v>0.27843899999999999</v>
      </c>
      <c r="H518">
        <v>0.33876299999999998</v>
      </c>
      <c r="I518">
        <v>0.21915799999999999</v>
      </c>
      <c r="J518">
        <v>0.26120199999999999</v>
      </c>
      <c r="K518">
        <v>0.26335799999999998</v>
      </c>
      <c r="L518">
        <v>0.27585599999999999</v>
      </c>
      <c r="M518">
        <v>0.29710900000000001</v>
      </c>
      <c r="N518">
        <v>0.19043199999999999</v>
      </c>
      <c r="O518">
        <v>0.24965599999999999</v>
      </c>
      <c r="P518">
        <v>0.219384</v>
      </c>
      <c r="Q518">
        <v>0.234015</v>
      </c>
      <c r="R518">
        <v>0.29203899999999999</v>
      </c>
      <c r="S518">
        <v>0.155163</v>
      </c>
      <c r="T518">
        <v>0.20444599999999999</v>
      </c>
      <c r="U518">
        <v>0.24013999999999999</v>
      </c>
      <c r="V518">
        <v>0.24360499999999999</v>
      </c>
      <c r="W518">
        <v>0.27898400000000001</v>
      </c>
      <c r="X518">
        <v>9.2216000000000006E-2</v>
      </c>
      <c r="Y518">
        <v>0.13896500000000001</v>
      </c>
      <c r="Z518">
        <v>0.137987</v>
      </c>
      <c r="AA518">
        <v>0.19762099999999999</v>
      </c>
      <c r="AB518">
        <v>0.156642</v>
      </c>
    </row>
    <row r="519" spans="1:28" x14ac:dyDescent="0.2">
      <c r="A519">
        <v>19750228</v>
      </c>
      <c r="B519">
        <v>1975</v>
      </c>
      <c r="C519">
        <v>2</v>
      </c>
      <c r="D519">
        <v>7.7488000000000001E-2</v>
      </c>
      <c r="E519">
        <v>5.3314E-2</v>
      </c>
      <c r="F519">
        <v>3.2365999999999999E-2</v>
      </c>
      <c r="G519">
        <v>3.4779999999999998E-2</v>
      </c>
      <c r="H519">
        <v>4.7729000000000001E-2</v>
      </c>
      <c r="I519">
        <v>9.0888999999999998E-2</v>
      </c>
      <c r="J519">
        <v>6.6231999999999999E-2</v>
      </c>
      <c r="K519">
        <v>1.5183E-2</v>
      </c>
      <c r="L519">
        <v>3.7159999999999999E-2</v>
      </c>
      <c r="M519">
        <v>1.9935999999999999E-2</v>
      </c>
      <c r="N519">
        <v>7.3174000000000003E-2</v>
      </c>
      <c r="O519">
        <v>3.1793000000000002E-2</v>
      </c>
      <c r="P519">
        <v>2.8330000000000001E-2</v>
      </c>
      <c r="Q519">
        <v>4.7012999999999999E-2</v>
      </c>
      <c r="R519">
        <v>4.6561999999999999E-2</v>
      </c>
      <c r="S519">
        <v>6.4626000000000003E-2</v>
      </c>
      <c r="T519">
        <v>2.368E-2</v>
      </c>
      <c r="U519">
        <v>1.9103999999999999E-2</v>
      </c>
      <c r="V519">
        <v>3.2327000000000002E-2</v>
      </c>
      <c r="W519">
        <v>2.5340999999999999E-2</v>
      </c>
      <c r="X519">
        <v>9.6448000000000006E-2</v>
      </c>
      <c r="Y519">
        <v>2.6481000000000001E-2</v>
      </c>
      <c r="Z519">
        <v>3.7918E-2</v>
      </c>
      <c r="AA519">
        <v>2.1076999999999999E-2</v>
      </c>
      <c r="AB519">
        <v>-3.2434999999999999E-2</v>
      </c>
    </row>
    <row r="520" spans="1:28" x14ac:dyDescent="0.2">
      <c r="A520">
        <v>19750331</v>
      </c>
      <c r="B520">
        <v>1975</v>
      </c>
      <c r="C520">
        <v>3</v>
      </c>
      <c r="D520">
        <v>8.9580999999999994E-2</v>
      </c>
      <c r="E520">
        <v>0.10625</v>
      </c>
      <c r="F520">
        <v>9.0278999999999998E-2</v>
      </c>
      <c r="G520">
        <v>7.8584000000000001E-2</v>
      </c>
      <c r="H520">
        <v>9.8831000000000002E-2</v>
      </c>
      <c r="I520">
        <v>6.3827999999999996E-2</v>
      </c>
      <c r="J520">
        <v>6.8249000000000004E-2</v>
      </c>
      <c r="K520">
        <v>7.1851999999999999E-2</v>
      </c>
      <c r="L520">
        <v>5.9316000000000001E-2</v>
      </c>
      <c r="M520">
        <v>8.2951999999999998E-2</v>
      </c>
      <c r="N520">
        <v>5.8778999999999998E-2</v>
      </c>
      <c r="O520">
        <v>6.8913000000000002E-2</v>
      </c>
      <c r="P520">
        <v>3.8114000000000002E-2</v>
      </c>
      <c r="Q520">
        <v>7.2969999999999993E-2</v>
      </c>
      <c r="R520">
        <v>5.3193999999999998E-2</v>
      </c>
      <c r="S520">
        <v>5.9709999999999999E-2</v>
      </c>
      <c r="T520">
        <v>6.4924999999999997E-2</v>
      </c>
      <c r="U520">
        <v>5.3464999999999999E-2</v>
      </c>
      <c r="V520">
        <v>5.3724000000000001E-2</v>
      </c>
      <c r="W520">
        <v>4.2132000000000003E-2</v>
      </c>
      <c r="X520">
        <v>2.6890000000000001E-2</v>
      </c>
      <c r="Y520">
        <v>1.6959999999999999E-2</v>
      </c>
      <c r="Z520">
        <v>-1.2179000000000001E-2</v>
      </c>
      <c r="AA520">
        <v>6.1962999999999997E-2</v>
      </c>
      <c r="AB520">
        <v>6.1512999999999998E-2</v>
      </c>
    </row>
    <row r="521" spans="1:28" x14ac:dyDescent="0.2">
      <c r="A521">
        <v>19750430</v>
      </c>
      <c r="B521">
        <v>1975</v>
      </c>
      <c r="C521">
        <v>4</v>
      </c>
      <c r="D521">
        <v>7.1189000000000002E-2</v>
      </c>
      <c r="E521">
        <v>6.3666E-2</v>
      </c>
      <c r="F521">
        <v>4.1667000000000003E-2</v>
      </c>
      <c r="G521">
        <v>2.9125000000000002E-2</v>
      </c>
      <c r="H521">
        <v>2.9485999999999998E-2</v>
      </c>
      <c r="I521">
        <v>6.4480999999999997E-2</v>
      </c>
      <c r="J521">
        <v>3.9597E-2</v>
      </c>
      <c r="K521">
        <v>2.7317000000000001E-2</v>
      </c>
      <c r="L521">
        <v>1.3665E-2</v>
      </c>
      <c r="M521">
        <v>4.1679000000000001E-2</v>
      </c>
      <c r="N521">
        <v>5.4490999999999998E-2</v>
      </c>
      <c r="O521">
        <v>5.2909999999999999E-2</v>
      </c>
      <c r="P521">
        <v>4.9522999999999998E-2</v>
      </c>
      <c r="Q521">
        <v>3.8621999999999997E-2</v>
      </c>
      <c r="R521">
        <v>3.2777000000000001E-2</v>
      </c>
      <c r="S521">
        <v>6.8986000000000006E-2</v>
      </c>
      <c r="T521">
        <v>3.1636999999999998E-2</v>
      </c>
      <c r="U521">
        <v>2.5072000000000001E-2</v>
      </c>
      <c r="V521">
        <v>6.0937999999999999E-2</v>
      </c>
      <c r="W521">
        <v>4.5109000000000003E-2</v>
      </c>
      <c r="X521">
        <v>5.6133000000000002E-2</v>
      </c>
      <c r="Y521">
        <v>4.7579999999999997E-2</v>
      </c>
      <c r="Z521">
        <v>9.0270000000000003E-3</v>
      </c>
      <c r="AA521">
        <v>5.2961000000000001E-2</v>
      </c>
      <c r="AB521">
        <v>5.0216999999999998E-2</v>
      </c>
    </row>
    <row r="522" spans="1:28" x14ac:dyDescent="0.2">
      <c r="A522">
        <v>19750530</v>
      </c>
      <c r="B522">
        <v>1975</v>
      </c>
      <c r="C522">
        <v>5</v>
      </c>
      <c r="D522">
        <v>0.11656</v>
      </c>
      <c r="E522">
        <v>0.111152</v>
      </c>
      <c r="F522">
        <v>8.4346000000000004E-2</v>
      </c>
      <c r="G522">
        <v>7.7439999999999995E-2</v>
      </c>
      <c r="H522">
        <v>6.7752999999999994E-2</v>
      </c>
      <c r="I522">
        <v>0.118185</v>
      </c>
      <c r="J522">
        <v>7.7692999999999998E-2</v>
      </c>
      <c r="K522">
        <v>7.1211999999999998E-2</v>
      </c>
      <c r="L522">
        <v>7.8658000000000006E-2</v>
      </c>
      <c r="M522">
        <v>7.8298999999999994E-2</v>
      </c>
      <c r="N522">
        <v>5.3810999999999998E-2</v>
      </c>
      <c r="O522">
        <v>8.1280000000000005E-2</v>
      </c>
      <c r="P522">
        <v>4.3232E-2</v>
      </c>
      <c r="Q522">
        <v>8.2408999999999996E-2</v>
      </c>
      <c r="R522">
        <v>1.2442999999999999E-2</v>
      </c>
      <c r="S522">
        <v>7.6428999999999997E-2</v>
      </c>
      <c r="T522">
        <v>5.9242000000000003E-2</v>
      </c>
      <c r="U522">
        <v>5.4595999999999999E-2</v>
      </c>
      <c r="V522">
        <v>4.1418999999999997E-2</v>
      </c>
      <c r="W522">
        <v>5.2503000000000001E-2</v>
      </c>
      <c r="X522">
        <v>4.9949E-2</v>
      </c>
      <c r="Y522">
        <v>8.5870000000000002E-2</v>
      </c>
      <c r="Z522">
        <v>4.7078000000000002E-2</v>
      </c>
      <c r="AA522">
        <v>-2.6909999999999998E-3</v>
      </c>
      <c r="AB522">
        <v>9.5560000000000003E-3</v>
      </c>
    </row>
    <row r="523" spans="1:28" x14ac:dyDescent="0.2">
      <c r="A523">
        <v>19750630</v>
      </c>
      <c r="B523">
        <v>1975</v>
      </c>
      <c r="C523">
        <v>6</v>
      </c>
      <c r="D523">
        <v>5.7418999999999998E-2</v>
      </c>
      <c r="E523">
        <v>7.6995999999999995E-2</v>
      </c>
      <c r="F523">
        <v>7.4918999999999999E-2</v>
      </c>
      <c r="G523">
        <v>8.9699000000000001E-2</v>
      </c>
      <c r="H523">
        <v>8.0586000000000005E-2</v>
      </c>
      <c r="I523">
        <v>9.7599000000000005E-2</v>
      </c>
      <c r="J523">
        <v>7.1042999999999995E-2</v>
      </c>
      <c r="K523">
        <v>6.7757999999999999E-2</v>
      </c>
      <c r="L523">
        <v>8.4582000000000004E-2</v>
      </c>
      <c r="M523">
        <v>2.8497999999999999E-2</v>
      </c>
      <c r="N523">
        <v>5.7203999999999998E-2</v>
      </c>
      <c r="O523">
        <v>5.1318999999999997E-2</v>
      </c>
      <c r="P523">
        <v>7.1956000000000006E-2</v>
      </c>
      <c r="Q523">
        <v>6.0290000000000003E-2</v>
      </c>
      <c r="R523">
        <v>4.7438000000000001E-2</v>
      </c>
      <c r="S523">
        <v>5.2735999999999998E-2</v>
      </c>
      <c r="T523">
        <v>7.8990000000000005E-2</v>
      </c>
      <c r="U523">
        <v>7.1000999999999995E-2</v>
      </c>
      <c r="V523">
        <v>0.105729</v>
      </c>
      <c r="W523">
        <v>8.1601000000000007E-2</v>
      </c>
      <c r="X523">
        <v>3.5594000000000001E-2</v>
      </c>
      <c r="Y523">
        <v>7.1224999999999997E-2</v>
      </c>
      <c r="Z523">
        <v>4.8434999999999999E-2</v>
      </c>
      <c r="AA523">
        <v>6.7519999999999997E-2</v>
      </c>
      <c r="AB523">
        <v>7.4250999999999998E-2</v>
      </c>
    </row>
    <row r="524" spans="1:28" x14ac:dyDescent="0.2">
      <c r="A524">
        <v>19750731</v>
      </c>
      <c r="B524">
        <v>1975</v>
      </c>
      <c r="C524">
        <v>7</v>
      </c>
      <c r="D524">
        <v>-1.5081000000000001E-2</v>
      </c>
      <c r="E524">
        <v>2.4030000000000002E-3</v>
      </c>
      <c r="F524">
        <v>-1.6403999999999998E-2</v>
      </c>
      <c r="G524">
        <v>-3.1580000000000002E-3</v>
      </c>
      <c r="H524">
        <v>-5.7910000000000001E-3</v>
      </c>
      <c r="I524">
        <v>-3.2466000000000002E-2</v>
      </c>
      <c r="J524">
        <v>-3.3517999999999999E-2</v>
      </c>
      <c r="K524">
        <v>-2.3528E-2</v>
      </c>
      <c r="L524">
        <v>-3.737E-2</v>
      </c>
      <c r="M524">
        <v>-4.0897000000000003E-2</v>
      </c>
      <c r="N524">
        <v>-5.2392000000000001E-2</v>
      </c>
      <c r="O524">
        <v>-3.4062000000000002E-2</v>
      </c>
      <c r="P524">
        <v>-3.5882999999999998E-2</v>
      </c>
      <c r="Q524">
        <v>-3.8179999999999999E-2</v>
      </c>
      <c r="R524">
        <v>-5.9722999999999998E-2</v>
      </c>
      <c r="S524">
        <v>-7.2952000000000003E-2</v>
      </c>
      <c r="T524">
        <v>-6.4003000000000004E-2</v>
      </c>
      <c r="U524">
        <v>-4.4571E-2</v>
      </c>
      <c r="V524">
        <v>-4.2823E-2</v>
      </c>
      <c r="W524">
        <v>-6.8382999999999999E-2</v>
      </c>
      <c r="X524">
        <v>-8.1480999999999998E-2</v>
      </c>
      <c r="Y524">
        <v>-4.172E-2</v>
      </c>
      <c r="Z524">
        <v>-4.4879000000000002E-2</v>
      </c>
      <c r="AA524">
        <v>-5.6732999999999999E-2</v>
      </c>
      <c r="AB524">
        <v>-1.5547999999999999E-2</v>
      </c>
    </row>
    <row r="525" spans="1:28" x14ac:dyDescent="0.2">
      <c r="A525">
        <v>19750829</v>
      </c>
      <c r="B525">
        <v>1975</v>
      </c>
      <c r="C525">
        <v>8</v>
      </c>
      <c r="D525">
        <v>-7.0396E-2</v>
      </c>
      <c r="E525">
        <v>-6.4153000000000002E-2</v>
      </c>
      <c r="F525">
        <v>-4.9114999999999999E-2</v>
      </c>
      <c r="G525">
        <v>-5.3608999999999997E-2</v>
      </c>
      <c r="H525">
        <v>-7.6231999999999994E-2</v>
      </c>
      <c r="I525">
        <v>-4.4232E-2</v>
      </c>
      <c r="J525">
        <v>-4.0564999999999997E-2</v>
      </c>
      <c r="K525">
        <v>-5.2498999999999997E-2</v>
      </c>
      <c r="L525">
        <v>-4.1696999999999998E-2</v>
      </c>
      <c r="M525">
        <v>-8.3446000000000006E-2</v>
      </c>
      <c r="N525">
        <v>-4.0071000000000002E-2</v>
      </c>
      <c r="O525">
        <v>-3.3355000000000003E-2</v>
      </c>
      <c r="P525">
        <v>-3.4555000000000002E-2</v>
      </c>
      <c r="Q525">
        <v>-4.2183999999999999E-2</v>
      </c>
      <c r="R525">
        <v>-5.6436E-2</v>
      </c>
      <c r="S525">
        <v>-4.5263999999999999E-2</v>
      </c>
      <c r="T525">
        <v>-3.5092999999999999E-2</v>
      </c>
      <c r="U525">
        <v>-2.7348999999999998E-2</v>
      </c>
      <c r="V525">
        <v>-2.4410999999999999E-2</v>
      </c>
      <c r="W525">
        <v>-6.9459999999999999E-3</v>
      </c>
      <c r="X525">
        <v>-2.0153000000000001E-2</v>
      </c>
      <c r="Y525">
        <v>-1.8044999999999999E-2</v>
      </c>
      <c r="Z525">
        <v>-1.8058000000000001E-2</v>
      </c>
      <c r="AA525">
        <v>2.2450999999999999E-2</v>
      </c>
      <c r="AB525">
        <v>-4.4637000000000003E-2</v>
      </c>
    </row>
    <row r="526" spans="1:28" x14ac:dyDescent="0.2">
      <c r="A526">
        <v>19750930</v>
      </c>
      <c r="B526">
        <v>1975</v>
      </c>
      <c r="C526">
        <v>9</v>
      </c>
      <c r="D526">
        <v>-5.3366999999999998E-2</v>
      </c>
      <c r="E526">
        <v>-2.3941E-2</v>
      </c>
      <c r="F526">
        <v>-3.3877999999999998E-2</v>
      </c>
      <c r="G526">
        <v>-2.9493999999999999E-2</v>
      </c>
      <c r="H526">
        <v>-3.9364999999999997E-2</v>
      </c>
      <c r="I526">
        <v>-3.3433999999999998E-2</v>
      </c>
      <c r="J526">
        <v>-4.0051000000000003E-2</v>
      </c>
      <c r="K526">
        <v>-3.5104000000000003E-2</v>
      </c>
      <c r="L526">
        <v>-3.3064999999999997E-2</v>
      </c>
      <c r="M526">
        <v>-4.9417999999999997E-2</v>
      </c>
      <c r="N526">
        <v>-5.2970000000000003E-2</v>
      </c>
      <c r="O526">
        <v>-2.8375000000000001E-2</v>
      </c>
      <c r="P526">
        <v>-3.9002000000000002E-2</v>
      </c>
      <c r="Q526">
        <v>-4.0253999999999998E-2</v>
      </c>
      <c r="R526">
        <v>-4.0280000000000003E-2</v>
      </c>
      <c r="S526">
        <v>-4.3998000000000002E-2</v>
      </c>
      <c r="T526">
        <v>-3.1586000000000003E-2</v>
      </c>
      <c r="U526">
        <v>-3.6371000000000001E-2</v>
      </c>
      <c r="V526">
        <v>-3.4298000000000002E-2</v>
      </c>
      <c r="W526">
        <v>-4.4542999999999999E-2</v>
      </c>
      <c r="X526">
        <v>-4.5286E-2</v>
      </c>
      <c r="Y526">
        <v>-1.3176999999999999E-2</v>
      </c>
      <c r="Z526">
        <v>-2.3715E-2</v>
      </c>
      <c r="AA526">
        <v>-4.3159999999999997E-2</v>
      </c>
      <c r="AB526">
        <v>-5.3541999999999999E-2</v>
      </c>
    </row>
    <row r="527" spans="1:28" x14ac:dyDescent="0.2">
      <c r="A527">
        <v>19751031</v>
      </c>
      <c r="B527">
        <v>1975</v>
      </c>
      <c r="C527">
        <v>10</v>
      </c>
      <c r="D527">
        <v>1.5010000000000001E-2</v>
      </c>
      <c r="E527">
        <v>1.4067E-2</v>
      </c>
      <c r="F527">
        <v>2.7206000000000001E-2</v>
      </c>
      <c r="G527">
        <v>2.7518000000000001E-2</v>
      </c>
      <c r="H527">
        <v>9.8650000000000005E-3</v>
      </c>
      <c r="I527">
        <v>2.1274999999999999E-2</v>
      </c>
      <c r="J527">
        <v>4.1319000000000002E-2</v>
      </c>
      <c r="K527">
        <v>1.5415E-2</v>
      </c>
      <c r="L527">
        <v>3.6721999999999998E-2</v>
      </c>
      <c r="M527">
        <v>4.8925999999999997E-2</v>
      </c>
      <c r="N527">
        <v>2.0254000000000001E-2</v>
      </c>
      <c r="O527">
        <v>3.8641000000000002E-2</v>
      </c>
      <c r="P527">
        <v>3.6006999999999997E-2</v>
      </c>
      <c r="Q527">
        <v>5.0908000000000002E-2</v>
      </c>
      <c r="R527">
        <v>3.741E-3</v>
      </c>
      <c r="S527">
        <v>5.6481999999999997E-2</v>
      </c>
      <c r="T527">
        <v>5.8909000000000003E-2</v>
      </c>
      <c r="U527">
        <v>6.9556999999999994E-2</v>
      </c>
      <c r="V527">
        <v>5.2263999999999998E-2</v>
      </c>
      <c r="W527">
        <v>6.9268999999999997E-2</v>
      </c>
      <c r="X527">
        <v>7.1756E-2</v>
      </c>
      <c r="Y527">
        <v>5.6507000000000002E-2</v>
      </c>
      <c r="Z527">
        <v>4.4429999999999997E-2</v>
      </c>
      <c r="AA527">
        <v>6.6968E-2</v>
      </c>
      <c r="AB527">
        <v>3.9011999999999998E-2</v>
      </c>
    </row>
    <row r="528" spans="1:28" x14ac:dyDescent="0.2">
      <c r="A528">
        <v>19751128</v>
      </c>
      <c r="B528">
        <v>1975</v>
      </c>
      <c r="C528">
        <v>11</v>
      </c>
      <c r="D528">
        <v>9.0700000000000004E-4</v>
      </c>
      <c r="E528">
        <v>2.0258999999999999E-2</v>
      </c>
      <c r="F528">
        <v>2.0036999999999999E-2</v>
      </c>
      <c r="G528">
        <v>2.4611000000000001E-2</v>
      </c>
      <c r="H528">
        <v>3.6778999999999999E-2</v>
      </c>
      <c r="I528">
        <v>-1.2E-5</v>
      </c>
      <c r="J528">
        <v>3.3033E-2</v>
      </c>
      <c r="K528">
        <v>1.9709000000000001E-2</v>
      </c>
      <c r="L528">
        <v>4.3198E-2</v>
      </c>
      <c r="M528">
        <v>3.8934000000000003E-2</v>
      </c>
      <c r="N528">
        <v>2.0053000000000001E-2</v>
      </c>
      <c r="O528">
        <v>2.8905E-2</v>
      </c>
      <c r="P528">
        <v>4.6924E-2</v>
      </c>
      <c r="Q528">
        <v>4.2070000000000003E-2</v>
      </c>
      <c r="R528">
        <v>1.1015E-2</v>
      </c>
      <c r="S528">
        <v>0.03</v>
      </c>
      <c r="T528">
        <v>3.8446000000000001E-2</v>
      </c>
      <c r="U528">
        <v>3.6644000000000003E-2</v>
      </c>
      <c r="V528">
        <v>7.7665999999999999E-2</v>
      </c>
      <c r="W528">
        <v>6.0416999999999998E-2</v>
      </c>
      <c r="X528">
        <v>3.3425000000000003E-2</v>
      </c>
      <c r="Y528">
        <v>2.2176999999999999E-2</v>
      </c>
      <c r="Z528">
        <v>3.0849999999999999E-2</v>
      </c>
      <c r="AA528">
        <v>2.8423E-2</v>
      </c>
      <c r="AB528">
        <v>4.6800000000000001E-2</v>
      </c>
    </row>
    <row r="529" spans="1:28" x14ac:dyDescent="0.2">
      <c r="A529">
        <v>19751231</v>
      </c>
      <c r="B529">
        <v>1975</v>
      </c>
      <c r="C529">
        <v>12</v>
      </c>
      <c r="D529">
        <v>-9.1339999999999998E-3</v>
      </c>
      <c r="E529">
        <v>-1.3296000000000001E-2</v>
      </c>
      <c r="F529">
        <v>-1.1325999999999999E-2</v>
      </c>
      <c r="G529">
        <v>-9.7970000000000002E-3</v>
      </c>
      <c r="H529">
        <v>-1.3809999999999999E-2</v>
      </c>
      <c r="I529">
        <v>-2.6644999999999999E-2</v>
      </c>
      <c r="J529">
        <v>-1.3736999999999999E-2</v>
      </c>
      <c r="K529">
        <v>6.8539999999999998E-3</v>
      </c>
      <c r="L529">
        <v>-7.4700000000000001E-3</v>
      </c>
      <c r="M529">
        <v>-2.0756E-2</v>
      </c>
      <c r="N529">
        <v>-9.6200000000000001E-3</v>
      </c>
      <c r="O529">
        <v>-7.5680000000000001E-3</v>
      </c>
      <c r="P529">
        <v>6.8890000000000002E-3</v>
      </c>
      <c r="Q529">
        <v>-3.4450000000000001E-3</v>
      </c>
      <c r="R529">
        <v>3.0623000000000001E-2</v>
      </c>
      <c r="S529">
        <v>-2.0934999999999999E-2</v>
      </c>
      <c r="T529">
        <v>7.8849999999999996E-3</v>
      </c>
      <c r="U529">
        <v>1.3300000000000001E-4</v>
      </c>
      <c r="V529">
        <v>-3.9329999999999999E-3</v>
      </c>
      <c r="W529">
        <v>-7.77E-3</v>
      </c>
      <c r="X529">
        <v>-2.6661000000000001E-2</v>
      </c>
      <c r="Y529">
        <v>8.8190000000000004E-3</v>
      </c>
      <c r="Z529">
        <v>2.96E-3</v>
      </c>
      <c r="AA529">
        <v>6.1310000000000002E-3</v>
      </c>
      <c r="AB529">
        <v>5.2476000000000002E-2</v>
      </c>
    </row>
    <row r="530" spans="1:28" x14ac:dyDescent="0.2">
      <c r="A530">
        <v>19760130</v>
      </c>
      <c r="B530">
        <v>1976</v>
      </c>
      <c r="C530">
        <v>1</v>
      </c>
      <c r="D530">
        <v>0.15866</v>
      </c>
      <c r="E530">
        <v>0.169289</v>
      </c>
      <c r="F530">
        <v>0.21340899999999999</v>
      </c>
      <c r="G530">
        <v>0.224443</v>
      </c>
      <c r="H530">
        <v>0.26955699999999999</v>
      </c>
      <c r="I530">
        <v>0.12874099999999999</v>
      </c>
      <c r="J530">
        <v>0.167156</v>
      </c>
      <c r="K530">
        <v>0.16697500000000001</v>
      </c>
      <c r="L530">
        <v>0.21237900000000001</v>
      </c>
      <c r="M530">
        <v>0.26766299999999998</v>
      </c>
      <c r="N530">
        <v>0.162131</v>
      </c>
      <c r="O530">
        <v>0.15074499999999999</v>
      </c>
      <c r="P530">
        <v>0.16944200000000001</v>
      </c>
      <c r="Q530">
        <v>0.18562600000000001</v>
      </c>
      <c r="R530">
        <v>0.22281899999999999</v>
      </c>
      <c r="S530">
        <v>0.12776999999999999</v>
      </c>
      <c r="T530">
        <v>0.13433600000000001</v>
      </c>
      <c r="U530">
        <v>0.163522</v>
      </c>
      <c r="V530">
        <v>0.18834200000000001</v>
      </c>
      <c r="W530">
        <v>0.225965</v>
      </c>
      <c r="X530">
        <v>0.110322</v>
      </c>
      <c r="Y530">
        <v>9.4908000000000006E-2</v>
      </c>
      <c r="Z530">
        <v>0.13949300000000001</v>
      </c>
      <c r="AA530">
        <v>0.17271300000000001</v>
      </c>
      <c r="AB530">
        <v>0.15163299999999999</v>
      </c>
    </row>
    <row r="531" spans="1:28" x14ac:dyDescent="0.2">
      <c r="A531">
        <v>19760227</v>
      </c>
      <c r="B531">
        <v>1976</v>
      </c>
      <c r="C531">
        <v>2</v>
      </c>
      <c r="D531">
        <v>9.8363000000000006E-2</v>
      </c>
      <c r="E531">
        <v>7.4578000000000005E-2</v>
      </c>
      <c r="F531">
        <v>0.103737</v>
      </c>
      <c r="G531">
        <v>0.12386999999999999</v>
      </c>
      <c r="H531">
        <v>0.158495</v>
      </c>
      <c r="I531">
        <v>7.5968999999999995E-2</v>
      </c>
      <c r="J531">
        <v>6.2859999999999999E-2</v>
      </c>
      <c r="K531">
        <v>7.3041999999999996E-2</v>
      </c>
      <c r="L531">
        <v>8.3371000000000001E-2</v>
      </c>
      <c r="M531">
        <v>0.115492</v>
      </c>
      <c r="N531">
        <v>3.9933000000000003E-2</v>
      </c>
      <c r="O531">
        <v>3.7608000000000003E-2</v>
      </c>
      <c r="P531">
        <v>5.4815000000000003E-2</v>
      </c>
      <c r="Q531">
        <v>7.3097999999999996E-2</v>
      </c>
      <c r="R531">
        <v>0.13263800000000001</v>
      </c>
      <c r="S531">
        <v>5.0819999999999997E-3</v>
      </c>
      <c r="T531">
        <v>3.2368000000000001E-2</v>
      </c>
      <c r="U531">
        <v>4.2813999999999998E-2</v>
      </c>
      <c r="V531">
        <v>5.3935999999999998E-2</v>
      </c>
      <c r="W531">
        <v>3.9372999999999998E-2</v>
      </c>
      <c r="X531">
        <v>-2.3126000000000001E-2</v>
      </c>
      <c r="Y531">
        <v>1.4027E-2</v>
      </c>
      <c r="Z531">
        <v>-8.8699999999999994E-3</v>
      </c>
      <c r="AA531">
        <v>-8.1220000000000007E-3</v>
      </c>
      <c r="AB531">
        <v>9.4384999999999997E-2</v>
      </c>
    </row>
    <row r="532" spans="1:28" x14ac:dyDescent="0.2">
      <c r="A532">
        <v>19760331</v>
      </c>
      <c r="B532">
        <v>1976</v>
      </c>
      <c r="C532">
        <v>3</v>
      </c>
      <c r="D532">
        <v>3.5632999999999998E-2</v>
      </c>
      <c r="E532">
        <v>2.2723E-2</v>
      </c>
      <c r="F532">
        <v>2.0693E-2</v>
      </c>
      <c r="G532">
        <v>7.4879999999999999E-3</v>
      </c>
      <c r="H532">
        <v>1.5162999999999999E-2</v>
      </c>
      <c r="I532">
        <v>1.2496999999999999E-2</v>
      </c>
      <c r="J532">
        <v>6.1510000000000002E-3</v>
      </c>
      <c r="K532">
        <v>2.7109999999999999E-3</v>
      </c>
      <c r="L532">
        <v>1.2057E-2</v>
      </c>
      <c r="M532">
        <v>2.3151999999999999E-2</v>
      </c>
      <c r="N532">
        <v>8.8789999999999997E-3</v>
      </c>
      <c r="O532">
        <v>8.6789999999999992E-3</v>
      </c>
      <c r="P532">
        <v>1.9009000000000002E-2</v>
      </c>
      <c r="Q532">
        <v>2.1228E-2</v>
      </c>
      <c r="R532">
        <v>1.9401000000000002E-2</v>
      </c>
      <c r="S532">
        <v>1.1057000000000001E-2</v>
      </c>
      <c r="T532">
        <v>2.2633E-2</v>
      </c>
      <c r="U532">
        <v>1.1313999999999999E-2</v>
      </c>
      <c r="V532">
        <v>1.4855999999999999E-2</v>
      </c>
      <c r="W532">
        <v>6.7990999999999996E-2</v>
      </c>
      <c r="X532">
        <v>2.9631000000000001E-2</v>
      </c>
      <c r="Y532">
        <v>3.5983000000000001E-2</v>
      </c>
      <c r="Z532">
        <v>3.4209000000000003E-2</v>
      </c>
      <c r="AA532">
        <v>2.6585999999999999E-2</v>
      </c>
      <c r="AB532">
        <v>-1.0107E-2</v>
      </c>
    </row>
    <row r="533" spans="1:28" x14ac:dyDescent="0.2">
      <c r="A533">
        <v>19760430</v>
      </c>
      <c r="B533">
        <v>1976</v>
      </c>
      <c r="C533">
        <v>4</v>
      </c>
      <c r="D533">
        <v>-1.4484E-2</v>
      </c>
      <c r="E533">
        <v>-7.8879999999999992E-3</v>
      </c>
      <c r="F533">
        <v>-2.7688999999999998E-2</v>
      </c>
      <c r="G533">
        <v>-1.1273999999999999E-2</v>
      </c>
      <c r="H533">
        <v>-1.6569E-2</v>
      </c>
      <c r="I533">
        <v>-9.7310000000000001E-3</v>
      </c>
      <c r="J533">
        <v>-1.7179E-2</v>
      </c>
      <c r="K533">
        <v>-7.7120000000000001E-3</v>
      </c>
      <c r="L533">
        <v>-8.2430000000000003E-3</v>
      </c>
      <c r="M533">
        <v>-1.5803000000000001E-2</v>
      </c>
      <c r="N533">
        <v>-1.5325E-2</v>
      </c>
      <c r="O533">
        <v>3.1300000000000002E-4</v>
      </c>
      <c r="P533">
        <v>-5.6579999999999998E-3</v>
      </c>
      <c r="Q533">
        <v>-1.1594E-2</v>
      </c>
      <c r="R533">
        <v>-4.9119999999999997E-3</v>
      </c>
      <c r="S533">
        <v>-1.4898E-2</v>
      </c>
      <c r="T533">
        <v>-1.3131E-2</v>
      </c>
      <c r="U533">
        <v>-6.7359999999999998E-3</v>
      </c>
      <c r="V533">
        <v>-2.1426000000000001E-2</v>
      </c>
      <c r="W533">
        <v>-3.7346999999999998E-2</v>
      </c>
      <c r="X533">
        <v>-2.2602000000000001E-2</v>
      </c>
      <c r="Y533">
        <v>2.9840000000000001E-3</v>
      </c>
      <c r="Z533">
        <v>1.8008E-2</v>
      </c>
      <c r="AA533">
        <v>7.1180000000000002E-3</v>
      </c>
      <c r="AB533">
        <v>1.1439E-2</v>
      </c>
    </row>
    <row r="534" spans="1:28" x14ac:dyDescent="0.2">
      <c r="A534">
        <v>19760528</v>
      </c>
      <c r="B534">
        <v>1976</v>
      </c>
      <c r="C534">
        <v>5</v>
      </c>
      <c r="D534">
        <v>-1.8225999999999999E-2</v>
      </c>
      <c r="E534">
        <v>-1.6871000000000001E-2</v>
      </c>
      <c r="F534">
        <v>-1.5343000000000001E-2</v>
      </c>
      <c r="G534">
        <v>-3.5381999999999997E-2</v>
      </c>
      <c r="H534">
        <v>-4.768E-2</v>
      </c>
      <c r="I534">
        <v>-9.8639999999999995E-3</v>
      </c>
      <c r="J534">
        <v>-1.9716000000000001E-2</v>
      </c>
      <c r="K534">
        <v>-6.8669999999999998E-3</v>
      </c>
      <c r="L534">
        <v>-2.6568000000000001E-2</v>
      </c>
      <c r="M534">
        <v>-4.3915000000000003E-2</v>
      </c>
      <c r="N534">
        <v>-1.7919000000000001E-2</v>
      </c>
      <c r="O534">
        <v>-1.3481E-2</v>
      </c>
      <c r="P534">
        <v>-1.635E-2</v>
      </c>
      <c r="Q534">
        <v>-1.4622E-2</v>
      </c>
      <c r="R534">
        <v>-3.1008999999999998E-2</v>
      </c>
      <c r="S534">
        <v>-2.1802999999999999E-2</v>
      </c>
      <c r="T534">
        <v>-1.2166E-2</v>
      </c>
      <c r="U534">
        <v>-1.0074E-2</v>
      </c>
      <c r="V534">
        <v>-3.4290000000000001E-2</v>
      </c>
      <c r="W534">
        <v>1.2323000000000001E-2</v>
      </c>
      <c r="X534">
        <v>-1.0609E-2</v>
      </c>
      <c r="Y534">
        <v>5.5120000000000004E-3</v>
      </c>
      <c r="Z534">
        <v>-8.7919999999999995E-3</v>
      </c>
      <c r="AA534">
        <v>-2.1734E-2</v>
      </c>
      <c r="AB534">
        <v>1.3821E-2</v>
      </c>
    </row>
    <row r="535" spans="1:28" x14ac:dyDescent="0.2">
      <c r="A535">
        <v>19760630</v>
      </c>
      <c r="B535">
        <v>1976</v>
      </c>
      <c r="C535">
        <v>6</v>
      </c>
      <c r="D535">
        <v>4.1824E-2</v>
      </c>
      <c r="E535">
        <v>2.2637999999999998E-2</v>
      </c>
      <c r="F535">
        <v>2.0830999999999999E-2</v>
      </c>
      <c r="G535">
        <v>3.1461999999999997E-2</v>
      </c>
      <c r="H535">
        <v>2.0364E-2</v>
      </c>
      <c r="I535">
        <v>2.3685999999999999E-2</v>
      </c>
      <c r="J535">
        <v>3.1475999999999997E-2</v>
      </c>
      <c r="K535">
        <v>3.6052000000000001E-2</v>
      </c>
      <c r="L535">
        <v>3.3524999999999999E-2</v>
      </c>
      <c r="M535">
        <v>6.2002000000000002E-2</v>
      </c>
      <c r="N535">
        <v>4.5587000000000003E-2</v>
      </c>
      <c r="O535">
        <v>5.2846999999999998E-2</v>
      </c>
      <c r="P535">
        <v>6.5870999999999999E-2</v>
      </c>
      <c r="Q535">
        <v>4.5268999999999997E-2</v>
      </c>
      <c r="R535">
        <v>8.1334000000000004E-2</v>
      </c>
      <c r="S535">
        <v>4.2389999999999997E-2</v>
      </c>
      <c r="T535">
        <v>4.9202999999999997E-2</v>
      </c>
      <c r="U535">
        <v>7.1692000000000006E-2</v>
      </c>
      <c r="V535">
        <v>7.9719999999999999E-2</v>
      </c>
      <c r="W535">
        <v>3.9052000000000003E-2</v>
      </c>
      <c r="X535">
        <v>4.4609999999999997E-2</v>
      </c>
      <c r="Y535">
        <v>3.9824999999999999E-2</v>
      </c>
      <c r="Z535">
        <v>5.6098000000000002E-2</v>
      </c>
      <c r="AA535">
        <v>5.8956000000000001E-2</v>
      </c>
      <c r="AB535">
        <v>2.9430999999999999E-2</v>
      </c>
    </row>
    <row r="536" spans="1:28" x14ac:dyDescent="0.2">
      <c r="A536">
        <v>19760730</v>
      </c>
      <c r="B536">
        <v>1976</v>
      </c>
      <c r="C536">
        <v>7</v>
      </c>
      <c r="D536">
        <v>-1.1214999999999999E-2</v>
      </c>
      <c r="E536">
        <v>-1.7815000000000001E-2</v>
      </c>
      <c r="F536">
        <v>7.6600000000000001E-3</v>
      </c>
      <c r="G536">
        <v>-2.9229999999999998E-3</v>
      </c>
      <c r="H536">
        <v>1.1297E-2</v>
      </c>
      <c r="I536">
        <v>-9.7859999999999996E-3</v>
      </c>
      <c r="J536">
        <v>-1.5709999999999999E-3</v>
      </c>
      <c r="K536">
        <v>2.6658000000000001E-2</v>
      </c>
      <c r="L536">
        <v>2.2899999999999999E-3</v>
      </c>
      <c r="M536">
        <v>1.444E-2</v>
      </c>
      <c r="N536">
        <v>-1.6264000000000001E-2</v>
      </c>
      <c r="O536">
        <v>-4.6979999999999999E-3</v>
      </c>
      <c r="P536">
        <v>4.4840000000000001E-3</v>
      </c>
      <c r="Q536">
        <v>7.7340000000000004E-3</v>
      </c>
      <c r="R536">
        <v>1.4959999999999999E-3</v>
      </c>
      <c r="S536">
        <v>-1.66E-2</v>
      </c>
      <c r="T536">
        <v>6.0650000000000001E-3</v>
      </c>
      <c r="U536">
        <v>4.5919999999999997E-3</v>
      </c>
      <c r="V536">
        <v>1.5539000000000001E-2</v>
      </c>
      <c r="W536">
        <v>1.3865000000000001E-2</v>
      </c>
      <c r="X536">
        <v>-1.6181999999999998E-2</v>
      </c>
      <c r="Y536">
        <v>1.931E-3</v>
      </c>
      <c r="Z536">
        <v>1.8240000000000001E-3</v>
      </c>
      <c r="AA536">
        <v>-6.6109999999999997E-3</v>
      </c>
      <c r="AB536">
        <v>2.6457000000000001E-2</v>
      </c>
    </row>
    <row r="537" spans="1:28" x14ac:dyDescent="0.2">
      <c r="A537">
        <v>19760831</v>
      </c>
      <c r="B537">
        <v>1976</v>
      </c>
      <c r="C537">
        <v>8</v>
      </c>
      <c r="D537">
        <v>-4.3283000000000002E-2</v>
      </c>
      <c r="E537">
        <v>-1.6341000000000001E-2</v>
      </c>
      <c r="F537">
        <v>-1.1832000000000001E-2</v>
      </c>
      <c r="G537">
        <v>-1.3991E-2</v>
      </c>
      <c r="H537">
        <v>-1.5681E-2</v>
      </c>
      <c r="I537">
        <v>-4.3168999999999999E-2</v>
      </c>
      <c r="J537">
        <v>-2.0119999999999999E-2</v>
      </c>
      <c r="K537">
        <v>-2.6301000000000001E-2</v>
      </c>
      <c r="L537">
        <v>-1.0246E-2</v>
      </c>
      <c r="M537">
        <v>-1.5719E-2</v>
      </c>
      <c r="N537">
        <v>-2.7237999999999998E-2</v>
      </c>
      <c r="O537">
        <v>-1.2773E-2</v>
      </c>
      <c r="P537">
        <v>-1.0234999999999999E-2</v>
      </c>
      <c r="Q537">
        <v>-2.5469999999999998E-3</v>
      </c>
      <c r="R537">
        <v>-4.0446999999999997E-2</v>
      </c>
      <c r="S537">
        <v>-2.7099999999999999E-2</v>
      </c>
      <c r="T537">
        <v>4.4580000000000002E-3</v>
      </c>
      <c r="U537">
        <v>1.5602E-2</v>
      </c>
      <c r="V537">
        <v>-1.2198000000000001E-2</v>
      </c>
      <c r="W537">
        <v>4.3239999999999997E-3</v>
      </c>
      <c r="X537">
        <v>-1.6999999999999999E-3</v>
      </c>
      <c r="Y537">
        <v>4.2180000000000004E-3</v>
      </c>
      <c r="Z537">
        <v>1.9477999999999999E-2</v>
      </c>
      <c r="AA537">
        <v>-8.9879999999999995E-3</v>
      </c>
      <c r="AB537">
        <v>1.0591E-2</v>
      </c>
    </row>
    <row r="538" spans="1:28" x14ac:dyDescent="0.2">
      <c r="A538">
        <v>19760930</v>
      </c>
      <c r="B538">
        <v>1976</v>
      </c>
      <c r="C538">
        <v>9</v>
      </c>
      <c r="D538">
        <v>2.2166000000000002E-2</v>
      </c>
      <c r="E538">
        <v>1.9359999999999999E-2</v>
      </c>
      <c r="F538">
        <v>1.0262E-2</v>
      </c>
      <c r="G538">
        <v>2.1751E-2</v>
      </c>
      <c r="H538">
        <v>1.9507E-2</v>
      </c>
      <c r="I538">
        <v>4.1640999999999997E-2</v>
      </c>
      <c r="J538">
        <v>4.1664E-2</v>
      </c>
      <c r="K538">
        <v>2.7091E-2</v>
      </c>
      <c r="L538">
        <v>3.2604000000000001E-2</v>
      </c>
      <c r="M538">
        <v>2.0272999999999999E-2</v>
      </c>
      <c r="N538">
        <v>3.5425999999999999E-2</v>
      </c>
      <c r="O538">
        <v>2.6863999999999999E-2</v>
      </c>
      <c r="P538">
        <v>2.5795999999999999E-2</v>
      </c>
      <c r="Q538">
        <v>2.8080000000000001E-2</v>
      </c>
      <c r="R538">
        <v>8.855E-3</v>
      </c>
      <c r="S538">
        <v>2.3539000000000001E-2</v>
      </c>
      <c r="T538">
        <v>2.1649999999999999E-2</v>
      </c>
      <c r="U538">
        <v>2.8811E-2</v>
      </c>
      <c r="V538">
        <v>2.8764999999999999E-2</v>
      </c>
      <c r="W538">
        <v>1.3082E-2</v>
      </c>
      <c r="X538">
        <v>1.5701E-2</v>
      </c>
      <c r="Y538">
        <v>4.3951999999999998E-2</v>
      </c>
      <c r="Z538">
        <v>3.2578999999999997E-2</v>
      </c>
      <c r="AA538">
        <v>3.9008000000000001E-2</v>
      </c>
      <c r="AB538">
        <v>-6.2269999999999999E-3</v>
      </c>
    </row>
    <row r="539" spans="1:28" x14ac:dyDescent="0.2">
      <c r="A539">
        <v>19761029</v>
      </c>
      <c r="B539">
        <v>1976</v>
      </c>
      <c r="C539">
        <v>10</v>
      </c>
      <c r="D539">
        <v>-2.7952999999999999E-2</v>
      </c>
      <c r="E539">
        <v>-1.4572999999999999E-2</v>
      </c>
      <c r="F539">
        <v>-1.5775000000000001E-2</v>
      </c>
      <c r="G539">
        <v>-1.5445E-2</v>
      </c>
      <c r="H539">
        <v>-2.3463999999999999E-2</v>
      </c>
      <c r="I539">
        <v>-2.8364E-2</v>
      </c>
      <c r="J539">
        <v>-3.1136E-2</v>
      </c>
      <c r="K539">
        <v>-2.3092000000000001E-2</v>
      </c>
      <c r="L539">
        <v>-1.4E-2</v>
      </c>
      <c r="M539">
        <v>-1.1058E-2</v>
      </c>
      <c r="N539">
        <v>-3.2689000000000003E-2</v>
      </c>
      <c r="O539">
        <v>-7.8600000000000002E-4</v>
      </c>
      <c r="P539">
        <v>-1.5968E-2</v>
      </c>
      <c r="Q539">
        <v>-1.0684000000000001E-2</v>
      </c>
      <c r="R539">
        <v>-3.6711000000000001E-2</v>
      </c>
      <c r="S539">
        <v>-2.3200999999999999E-2</v>
      </c>
      <c r="T539">
        <v>-1.5414000000000001E-2</v>
      </c>
      <c r="U539">
        <v>-1.1596E-2</v>
      </c>
      <c r="V539">
        <v>-1.6669E-2</v>
      </c>
      <c r="W539">
        <v>-2.946E-2</v>
      </c>
      <c r="X539">
        <v>-2.5131000000000001E-2</v>
      </c>
      <c r="Y539">
        <v>-2.4986999999999999E-2</v>
      </c>
      <c r="Z539">
        <v>-6.4790000000000004E-3</v>
      </c>
      <c r="AA539">
        <v>-3.2858999999999999E-2</v>
      </c>
      <c r="AB539">
        <v>-4.0106999999999997E-2</v>
      </c>
    </row>
    <row r="540" spans="1:28" x14ac:dyDescent="0.2">
      <c r="A540">
        <v>19761130</v>
      </c>
      <c r="B540">
        <v>1976</v>
      </c>
      <c r="C540">
        <v>11</v>
      </c>
      <c r="D540">
        <v>5.7175999999999998E-2</v>
      </c>
      <c r="E540">
        <v>3.2119000000000002E-2</v>
      </c>
      <c r="F540">
        <v>1.9168999999999999E-2</v>
      </c>
      <c r="G540">
        <v>2.3769999999999999E-2</v>
      </c>
      <c r="H540">
        <v>2.8015999999999999E-2</v>
      </c>
      <c r="I540">
        <v>3.1524000000000003E-2</v>
      </c>
      <c r="J540">
        <v>3.3552999999999999E-2</v>
      </c>
      <c r="K540">
        <v>2.7465E-2</v>
      </c>
      <c r="L540">
        <v>4.2057999999999998E-2</v>
      </c>
      <c r="M540">
        <v>5.0959999999999998E-2</v>
      </c>
      <c r="N540">
        <v>3.7492999999999999E-2</v>
      </c>
      <c r="O540">
        <v>3.3939999999999998E-2</v>
      </c>
      <c r="P540">
        <v>3.2523000000000003E-2</v>
      </c>
      <c r="Q540">
        <v>4.3507999999999998E-2</v>
      </c>
      <c r="R540">
        <v>7.1001999999999996E-2</v>
      </c>
      <c r="S540">
        <v>4.3082000000000002E-2</v>
      </c>
      <c r="T540">
        <v>3.3279000000000003E-2</v>
      </c>
      <c r="U540">
        <v>3.2844999999999999E-2</v>
      </c>
      <c r="V540">
        <v>1.8766000000000001E-2</v>
      </c>
      <c r="W540">
        <v>1.6837000000000001E-2</v>
      </c>
      <c r="X540">
        <v>-1.6614E-2</v>
      </c>
      <c r="Y540">
        <v>1.3669999999999999E-3</v>
      </c>
      <c r="Z540">
        <v>2.0816000000000001E-2</v>
      </c>
      <c r="AA540">
        <v>1.8357999999999999E-2</v>
      </c>
      <c r="AB540">
        <v>4.3513999999999997E-2</v>
      </c>
    </row>
    <row r="541" spans="1:28" x14ac:dyDescent="0.2">
      <c r="A541">
        <v>19761231</v>
      </c>
      <c r="B541">
        <v>1976</v>
      </c>
      <c r="C541">
        <v>12</v>
      </c>
      <c r="D541">
        <v>0.108366</v>
      </c>
      <c r="E541">
        <v>9.4599000000000003E-2</v>
      </c>
      <c r="F541">
        <v>9.5468999999999998E-2</v>
      </c>
      <c r="G541">
        <v>0.109611</v>
      </c>
      <c r="H541">
        <v>0.10032099999999999</v>
      </c>
      <c r="I541">
        <v>9.1762999999999997E-2</v>
      </c>
      <c r="J541">
        <v>9.3170000000000003E-2</v>
      </c>
      <c r="K541">
        <v>9.4946000000000003E-2</v>
      </c>
      <c r="L541">
        <v>9.5697000000000004E-2</v>
      </c>
      <c r="M541">
        <v>0.111847</v>
      </c>
      <c r="N541">
        <v>5.8250999999999997E-2</v>
      </c>
      <c r="O541">
        <v>9.4725000000000004E-2</v>
      </c>
      <c r="P541">
        <v>8.7883000000000003E-2</v>
      </c>
      <c r="Q541">
        <v>8.2680000000000003E-2</v>
      </c>
      <c r="R541">
        <v>8.2754999999999995E-2</v>
      </c>
      <c r="S541">
        <v>6.1409999999999999E-2</v>
      </c>
      <c r="T541">
        <v>6.9500999999999993E-2</v>
      </c>
      <c r="U541">
        <v>7.5036000000000005E-2</v>
      </c>
      <c r="V541">
        <v>9.4814999999999997E-2</v>
      </c>
      <c r="W541">
        <v>9.5147999999999996E-2</v>
      </c>
      <c r="X541">
        <v>3.9546999999999999E-2</v>
      </c>
      <c r="Y541">
        <v>7.2915999999999995E-2</v>
      </c>
      <c r="Z541">
        <v>5.6070000000000002E-2</v>
      </c>
      <c r="AA541">
        <v>7.7945E-2</v>
      </c>
      <c r="AB541">
        <v>7.5952000000000006E-2</v>
      </c>
    </row>
    <row r="542" spans="1:28" x14ac:dyDescent="0.2">
      <c r="A542">
        <v>19770131</v>
      </c>
      <c r="B542">
        <v>1977</v>
      </c>
      <c r="C542">
        <v>1</v>
      </c>
      <c r="D542">
        <v>2.8441000000000001E-2</v>
      </c>
      <c r="E542">
        <v>4.4290000000000003E-2</v>
      </c>
      <c r="F542">
        <v>2.6675000000000001E-2</v>
      </c>
      <c r="G542">
        <v>4.6181E-2</v>
      </c>
      <c r="H542">
        <v>5.7595E-2</v>
      </c>
      <c r="I542">
        <v>-2.823E-3</v>
      </c>
      <c r="J542">
        <v>2.2356999999999998E-2</v>
      </c>
      <c r="K542">
        <v>-6.5300000000000004E-4</v>
      </c>
      <c r="L542">
        <v>2.0468E-2</v>
      </c>
      <c r="M542">
        <v>3.3028000000000002E-2</v>
      </c>
      <c r="N542">
        <v>-2.3234000000000001E-2</v>
      </c>
      <c r="O542">
        <v>-9.7599999999999998E-4</v>
      </c>
      <c r="P542">
        <v>1.0709E-2</v>
      </c>
      <c r="Q542">
        <v>1.0725E-2</v>
      </c>
      <c r="R542">
        <v>6.1770000000000002E-3</v>
      </c>
      <c r="S542">
        <v>-4.4082000000000003E-2</v>
      </c>
      <c r="T542">
        <v>-2.6216E-2</v>
      </c>
      <c r="U542">
        <v>-2.5415E-2</v>
      </c>
      <c r="V542">
        <v>1.456E-3</v>
      </c>
      <c r="W542">
        <v>1.6004999999999998E-2</v>
      </c>
      <c r="X542">
        <v>-7.7617000000000005E-2</v>
      </c>
      <c r="Y542">
        <v>-3.3359E-2</v>
      </c>
      <c r="Z542">
        <v>-9.6120000000000008E-3</v>
      </c>
      <c r="AA542">
        <v>-1.7739999999999999E-2</v>
      </c>
      <c r="AB542">
        <v>-1.505E-3</v>
      </c>
    </row>
    <row r="543" spans="1:28" x14ac:dyDescent="0.2">
      <c r="A543">
        <v>19770228</v>
      </c>
      <c r="B543">
        <v>1977</v>
      </c>
      <c r="C543">
        <v>2</v>
      </c>
      <c r="D543">
        <v>-4.7959999999999999E-3</v>
      </c>
      <c r="E543">
        <v>-3.571E-3</v>
      </c>
      <c r="F543">
        <v>-4.6639999999999997E-3</v>
      </c>
      <c r="G543">
        <v>-4.1159999999999999E-3</v>
      </c>
      <c r="H543">
        <v>4.2040000000000003E-3</v>
      </c>
      <c r="I543">
        <v>-1.6618999999999998E-2</v>
      </c>
      <c r="J543">
        <v>-1.1582E-2</v>
      </c>
      <c r="K543">
        <v>-3.9480000000000001E-3</v>
      </c>
      <c r="L543">
        <v>1.096E-3</v>
      </c>
      <c r="M543">
        <v>-1.6029000000000002E-2</v>
      </c>
      <c r="N543">
        <v>-3.9895E-2</v>
      </c>
      <c r="O543">
        <v>-1.1483999999999999E-2</v>
      </c>
      <c r="P543">
        <v>-2.3539000000000001E-2</v>
      </c>
      <c r="Q543">
        <v>3.356E-3</v>
      </c>
      <c r="R543">
        <v>-3.5618999999999998E-2</v>
      </c>
      <c r="S543">
        <v>-3.0269000000000001E-2</v>
      </c>
      <c r="T543">
        <v>-1.9956000000000002E-2</v>
      </c>
      <c r="U543">
        <v>-2.0410000000000001E-2</v>
      </c>
      <c r="V543">
        <v>-1.9088999999999998E-2</v>
      </c>
      <c r="W543">
        <v>-2.2099000000000001E-2</v>
      </c>
      <c r="X543">
        <v>-1.2470999999999999E-2</v>
      </c>
      <c r="Y543">
        <v>-3.2899999999999999E-2</v>
      </c>
      <c r="Z543">
        <v>-8.0400000000000003E-3</v>
      </c>
      <c r="AA543">
        <v>-2.0809000000000001E-2</v>
      </c>
      <c r="AB543">
        <v>-9.3390000000000001E-3</v>
      </c>
    </row>
    <row r="544" spans="1:28" x14ac:dyDescent="0.2">
      <c r="A544">
        <v>19770331</v>
      </c>
      <c r="B544">
        <v>1977</v>
      </c>
      <c r="C544">
        <v>3</v>
      </c>
      <c r="D544">
        <v>7.2000000000000005E-4</v>
      </c>
      <c r="E544">
        <v>3.153E-3</v>
      </c>
      <c r="F544">
        <v>1.4862999999999999E-2</v>
      </c>
      <c r="G544">
        <v>1.4505000000000001E-2</v>
      </c>
      <c r="H544">
        <v>1.3217E-2</v>
      </c>
      <c r="I544">
        <v>3.81E-3</v>
      </c>
      <c r="J544">
        <v>-5.6010000000000001E-3</v>
      </c>
      <c r="K544">
        <v>1.3258000000000001E-2</v>
      </c>
      <c r="L544">
        <v>-3.307E-3</v>
      </c>
      <c r="M544">
        <v>-5.777E-3</v>
      </c>
      <c r="N544">
        <v>-7.4299999999999995E-4</v>
      </c>
      <c r="O544">
        <v>1.4212000000000001E-2</v>
      </c>
      <c r="P544">
        <v>-2.5300000000000001E-3</v>
      </c>
      <c r="Q544">
        <v>2.4810000000000001E-3</v>
      </c>
      <c r="R544">
        <v>3.0019999999999999E-3</v>
      </c>
      <c r="S544">
        <v>-1.8620000000000001E-2</v>
      </c>
      <c r="T544">
        <v>2.928E-3</v>
      </c>
      <c r="U544">
        <v>8.2269999999999999E-3</v>
      </c>
      <c r="V544">
        <v>5.6499999999999996E-3</v>
      </c>
      <c r="W544">
        <v>4.9322999999999999E-2</v>
      </c>
      <c r="X544">
        <v>-1.5959000000000001E-2</v>
      </c>
      <c r="Y544">
        <v>-1.823E-2</v>
      </c>
      <c r="Z544">
        <v>-1.217E-2</v>
      </c>
      <c r="AA544">
        <v>-9.0050000000000009E-3</v>
      </c>
      <c r="AB544">
        <v>2.2139999999999998E-3</v>
      </c>
    </row>
    <row r="545" spans="1:28" x14ac:dyDescent="0.2">
      <c r="A545">
        <v>19770429</v>
      </c>
      <c r="B545">
        <v>1977</v>
      </c>
      <c r="C545">
        <v>4</v>
      </c>
      <c r="D545">
        <v>1.2529E-2</v>
      </c>
      <c r="E545">
        <v>2.464E-3</v>
      </c>
      <c r="F545">
        <v>1.8154E-2</v>
      </c>
      <c r="G545">
        <v>2.6564000000000001E-2</v>
      </c>
      <c r="H545">
        <v>2.5260000000000001E-2</v>
      </c>
      <c r="I545">
        <v>1.1783E-2</v>
      </c>
      <c r="J545">
        <v>1.4244E-2</v>
      </c>
      <c r="K545">
        <v>1.2019999999999999E-2</v>
      </c>
      <c r="L545">
        <v>2.3115E-2</v>
      </c>
      <c r="M545">
        <v>2.8712999999999999E-2</v>
      </c>
      <c r="N545">
        <v>4.7920000000000003E-3</v>
      </c>
      <c r="O545">
        <v>8.116E-3</v>
      </c>
      <c r="P545">
        <v>1.9757E-2</v>
      </c>
      <c r="Q545">
        <v>2.6179000000000001E-2</v>
      </c>
      <c r="R545">
        <v>2.2762999999999999E-2</v>
      </c>
      <c r="S545">
        <v>-4.5979999999999997E-3</v>
      </c>
      <c r="T545">
        <v>2.0438000000000001E-2</v>
      </c>
      <c r="U545">
        <v>2.5995000000000001E-2</v>
      </c>
      <c r="V545">
        <v>3.0755000000000001E-2</v>
      </c>
      <c r="W545">
        <v>2.7234000000000001E-2</v>
      </c>
      <c r="X545">
        <v>-2.2075000000000001E-2</v>
      </c>
      <c r="Y545">
        <v>2.1642000000000002E-2</v>
      </c>
      <c r="Z545">
        <v>1.3946E-2</v>
      </c>
      <c r="AA545">
        <v>3.9954999999999997E-2</v>
      </c>
      <c r="AB545">
        <v>5.9926E-2</v>
      </c>
    </row>
    <row r="546" spans="1:28" x14ac:dyDescent="0.2">
      <c r="A546">
        <v>19770531</v>
      </c>
      <c r="B546">
        <v>1977</v>
      </c>
      <c r="C546">
        <v>5</v>
      </c>
      <c r="D546">
        <v>-1.77E-2</v>
      </c>
      <c r="E546">
        <v>-3.5349999999999999E-3</v>
      </c>
      <c r="F546">
        <v>4.5729999999999998E-3</v>
      </c>
      <c r="G546">
        <v>1.0579999999999999E-3</v>
      </c>
      <c r="H546">
        <v>1.3073E-2</v>
      </c>
      <c r="I546">
        <v>8.8699999999999994E-3</v>
      </c>
      <c r="J546">
        <v>-1.1757999999999999E-2</v>
      </c>
      <c r="K546">
        <v>-6.339E-3</v>
      </c>
      <c r="L546">
        <v>1.0238000000000001E-2</v>
      </c>
      <c r="M546">
        <v>-1.7812999999999999E-2</v>
      </c>
      <c r="N546">
        <v>-8.6160000000000004E-3</v>
      </c>
      <c r="O546">
        <v>2.0279999999999999E-3</v>
      </c>
      <c r="P546">
        <v>5.535E-3</v>
      </c>
      <c r="Q546">
        <v>6.9940000000000002E-3</v>
      </c>
      <c r="R546">
        <v>2.9359999999999998E-3</v>
      </c>
      <c r="S546">
        <v>-5.012E-3</v>
      </c>
      <c r="T546">
        <v>-8.2299999999999995E-3</v>
      </c>
      <c r="U546">
        <v>1.6100000000000001E-4</v>
      </c>
      <c r="V546">
        <v>-1.2715000000000001E-2</v>
      </c>
      <c r="W546">
        <v>-1.2978999999999999E-2</v>
      </c>
      <c r="X546">
        <v>-2.3956999999999999E-2</v>
      </c>
      <c r="Y546">
        <v>-8.2570000000000005E-3</v>
      </c>
      <c r="Z546">
        <v>6.7650000000000002E-3</v>
      </c>
      <c r="AA546">
        <v>-1.9318999999999999E-2</v>
      </c>
      <c r="AB546">
        <v>-3.0131000000000002E-2</v>
      </c>
    </row>
    <row r="547" spans="1:28" x14ac:dyDescent="0.2">
      <c r="A547">
        <v>19770630</v>
      </c>
      <c r="B547">
        <v>1977</v>
      </c>
      <c r="C547">
        <v>6</v>
      </c>
      <c r="D547">
        <v>5.8033000000000001E-2</v>
      </c>
      <c r="E547">
        <v>6.6386000000000001E-2</v>
      </c>
      <c r="F547">
        <v>7.0362999999999995E-2</v>
      </c>
      <c r="G547">
        <v>5.6679E-2</v>
      </c>
      <c r="H547">
        <v>7.2592000000000004E-2</v>
      </c>
      <c r="I547">
        <v>8.6323999999999998E-2</v>
      </c>
      <c r="J547">
        <v>6.0016E-2</v>
      </c>
      <c r="K547">
        <v>6.3555E-2</v>
      </c>
      <c r="L547">
        <v>6.046E-2</v>
      </c>
      <c r="M547">
        <v>8.5358000000000003E-2</v>
      </c>
      <c r="N547">
        <v>8.8386999999999993E-2</v>
      </c>
      <c r="O547">
        <v>6.3284000000000007E-2</v>
      </c>
      <c r="P547">
        <v>6.1338999999999998E-2</v>
      </c>
      <c r="Q547">
        <v>4.6134000000000001E-2</v>
      </c>
      <c r="R547">
        <v>6.2836000000000003E-2</v>
      </c>
      <c r="S547">
        <v>6.2907000000000005E-2</v>
      </c>
      <c r="T547">
        <v>5.1249000000000003E-2</v>
      </c>
      <c r="U547">
        <v>4.8431000000000002E-2</v>
      </c>
      <c r="V547">
        <v>4.8131E-2</v>
      </c>
      <c r="W547">
        <v>6.1772000000000001E-2</v>
      </c>
      <c r="X547">
        <v>5.9968E-2</v>
      </c>
      <c r="Y547">
        <v>3.9593999999999997E-2</v>
      </c>
      <c r="Z547">
        <v>3.0467999999999999E-2</v>
      </c>
      <c r="AA547">
        <v>4.9689999999999998E-2</v>
      </c>
      <c r="AB547">
        <v>1.992E-2</v>
      </c>
    </row>
    <row r="548" spans="1:28" x14ac:dyDescent="0.2">
      <c r="A548">
        <v>19770729</v>
      </c>
      <c r="B548">
        <v>1977</v>
      </c>
      <c r="C548">
        <v>7</v>
      </c>
      <c r="D548">
        <v>1.1745999999999999E-2</v>
      </c>
      <c r="E548">
        <v>9.2379999999999997E-3</v>
      </c>
      <c r="F548">
        <v>1.061E-2</v>
      </c>
      <c r="G548">
        <v>5.9779999999999998E-3</v>
      </c>
      <c r="H548">
        <v>1.1842E-2</v>
      </c>
      <c r="I548">
        <v>-1.2905E-2</v>
      </c>
      <c r="J548">
        <v>-8.3500000000000002E-4</v>
      </c>
      <c r="K548">
        <v>-6.6540000000000002E-3</v>
      </c>
      <c r="L548">
        <v>8.8570000000000003E-3</v>
      </c>
      <c r="M548">
        <v>2.3609999999999998E-3</v>
      </c>
      <c r="N548">
        <v>3.1399999999999999E-4</v>
      </c>
      <c r="O548">
        <v>-6.4999999999999994E-5</v>
      </c>
      <c r="P548">
        <v>-1.1341E-2</v>
      </c>
      <c r="Q548">
        <v>-1.3275E-2</v>
      </c>
      <c r="R548">
        <v>-6.4180000000000001E-3</v>
      </c>
      <c r="S548">
        <v>-1.0429000000000001E-2</v>
      </c>
      <c r="T548">
        <v>-3.1571000000000002E-2</v>
      </c>
      <c r="U548">
        <v>-6.1799999999999997E-3</v>
      </c>
      <c r="V548">
        <v>-1.1048000000000001E-2</v>
      </c>
      <c r="W548">
        <v>-4.3787E-2</v>
      </c>
      <c r="X548">
        <v>-1.1963E-2</v>
      </c>
      <c r="Y548">
        <v>-2.7149E-2</v>
      </c>
      <c r="Z548">
        <v>-8.6680000000000004E-3</v>
      </c>
      <c r="AA548">
        <v>-4.5100000000000001E-4</v>
      </c>
      <c r="AB548">
        <v>-4.8730000000000002E-2</v>
      </c>
    </row>
    <row r="549" spans="1:28" x14ac:dyDescent="0.2">
      <c r="A549">
        <v>19770831</v>
      </c>
      <c r="B549">
        <v>1977</v>
      </c>
      <c r="C549">
        <v>8</v>
      </c>
      <c r="D549">
        <v>1.0246E-2</v>
      </c>
      <c r="E549">
        <v>-3.4399999999999999E-3</v>
      </c>
      <c r="F549">
        <v>-4.1929999999999997E-3</v>
      </c>
      <c r="G549">
        <v>-1.3299E-2</v>
      </c>
      <c r="H549">
        <v>-1.6725E-2</v>
      </c>
      <c r="I549">
        <v>6.1640000000000002E-3</v>
      </c>
      <c r="J549">
        <v>-8.1069999999999996E-3</v>
      </c>
      <c r="K549">
        <v>-1.5110999999999999E-2</v>
      </c>
      <c r="L549">
        <v>-9.2720000000000007E-3</v>
      </c>
      <c r="M549">
        <v>-1.4374E-2</v>
      </c>
      <c r="N549">
        <v>1.8584E-2</v>
      </c>
      <c r="O549">
        <v>-1.2328E-2</v>
      </c>
      <c r="P549">
        <v>-7.7759999999999999E-3</v>
      </c>
      <c r="Q549">
        <v>-5.4440000000000001E-3</v>
      </c>
      <c r="R549">
        <v>-1.3649E-2</v>
      </c>
      <c r="S549">
        <v>-1.4281E-2</v>
      </c>
      <c r="T549">
        <v>-1.0782999999999999E-2</v>
      </c>
      <c r="U549">
        <v>-1.9445E-2</v>
      </c>
      <c r="V549">
        <v>-2.0750999999999999E-2</v>
      </c>
      <c r="W549">
        <v>-3.7553000000000003E-2</v>
      </c>
      <c r="X549">
        <v>1.1893000000000001E-2</v>
      </c>
      <c r="Y549">
        <v>-3.5328999999999999E-2</v>
      </c>
      <c r="Z549">
        <v>-2.8999E-2</v>
      </c>
      <c r="AA549">
        <v>-4.8583000000000001E-2</v>
      </c>
      <c r="AB549">
        <v>-4.2043999999999998E-2</v>
      </c>
    </row>
    <row r="550" spans="1:28" x14ac:dyDescent="0.2">
      <c r="A550">
        <v>19770930</v>
      </c>
      <c r="B550">
        <v>1977</v>
      </c>
      <c r="C550">
        <v>9</v>
      </c>
      <c r="D550">
        <v>2.3053000000000001E-2</v>
      </c>
      <c r="E550">
        <v>2.3165999999999999E-2</v>
      </c>
      <c r="F550">
        <v>8.5579999999999996E-3</v>
      </c>
      <c r="G550">
        <v>1.8692E-2</v>
      </c>
      <c r="H550">
        <v>1.3646999999999999E-2</v>
      </c>
      <c r="I550">
        <v>1.3039E-2</v>
      </c>
      <c r="J550">
        <v>9.8639999999999995E-3</v>
      </c>
      <c r="K550">
        <v>1.7423000000000001E-2</v>
      </c>
      <c r="L550">
        <v>1.5920000000000001E-3</v>
      </c>
      <c r="M550">
        <v>-1.4283000000000001E-2</v>
      </c>
      <c r="N550">
        <v>2.1281999999999999E-2</v>
      </c>
      <c r="O550">
        <v>1.4777999999999999E-2</v>
      </c>
      <c r="P550">
        <v>1.1698999999999999E-2</v>
      </c>
      <c r="Q550">
        <v>2.921E-3</v>
      </c>
      <c r="R550">
        <v>2.6480000000000002E-3</v>
      </c>
      <c r="S550">
        <v>1.0066E-2</v>
      </c>
      <c r="T550">
        <v>8.7000000000000001E-4</v>
      </c>
      <c r="U550">
        <v>7.4799999999999997E-3</v>
      </c>
      <c r="V550">
        <v>4.8260000000000004E-3</v>
      </c>
      <c r="W550">
        <v>-1.0462000000000001E-2</v>
      </c>
      <c r="X550">
        <v>-8.6250000000000007E-3</v>
      </c>
      <c r="Y550">
        <v>-8.1460000000000005E-3</v>
      </c>
      <c r="Z550">
        <v>2.2043E-2</v>
      </c>
      <c r="AA550">
        <v>4.4920000000000003E-3</v>
      </c>
      <c r="AB550">
        <v>-1.1150000000000001E-3</v>
      </c>
    </row>
    <row r="551" spans="1:28" x14ac:dyDescent="0.2">
      <c r="A551">
        <v>19771031</v>
      </c>
      <c r="B551">
        <v>1977</v>
      </c>
      <c r="C551">
        <v>10</v>
      </c>
      <c r="D551">
        <v>-4.5727999999999998E-2</v>
      </c>
      <c r="E551">
        <v>-2.6483E-2</v>
      </c>
      <c r="F551">
        <v>-2.1503999999999999E-2</v>
      </c>
      <c r="G551">
        <v>-1.2463999999999999E-2</v>
      </c>
      <c r="H551">
        <v>-2.1843000000000001E-2</v>
      </c>
      <c r="I551">
        <v>-5.253E-2</v>
      </c>
      <c r="J551">
        <v>-2.5687999999999999E-2</v>
      </c>
      <c r="K551">
        <v>-3.9662999999999997E-2</v>
      </c>
      <c r="L551">
        <v>1.81E-3</v>
      </c>
      <c r="M551">
        <v>-1.6181999999999998E-2</v>
      </c>
      <c r="N551">
        <v>-3.4263000000000002E-2</v>
      </c>
      <c r="O551">
        <v>-2.1149000000000001E-2</v>
      </c>
      <c r="P551">
        <v>-2.4244999999999999E-2</v>
      </c>
      <c r="Q551">
        <v>-2.4715999999999998E-2</v>
      </c>
      <c r="R551">
        <v>-2.5558000000000001E-2</v>
      </c>
      <c r="S551">
        <v>-3.9822000000000003E-2</v>
      </c>
      <c r="T551">
        <v>-3.049E-2</v>
      </c>
      <c r="U551">
        <v>-2.9027000000000001E-2</v>
      </c>
      <c r="V551">
        <v>-3.9870999999999997E-2</v>
      </c>
      <c r="W551">
        <v>-4.8797E-2</v>
      </c>
      <c r="X551">
        <v>-4.4006000000000003E-2</v>
      </c>
      <c r="Y551">
        <v>-4.1258999999999997E-2</v>
      </c>
      <c r="Z551">
        <v>-5.0564999999999999E-2</v>
      </c>
      <c r="AA551">
        <v>-2.4555E-2</v>
      </c>
      <c r="AB551">
        <v>-3.5958999999999998E-2</v>
      </c>
    </row>
    <row r="552" spans="1:28" x14ac:dyDescent="0.2">
      <c r="A552">
        <v>19771130</v>
      </c>
      <c r="B552">
        <v>1977</v>
      </c>
      <c r="C552">
        <v>11</v>
      </c>
      <c r="D552">
        <v>9.5089000000000007E-2</v>
      </c>
      <c r="E552">
        <v>8.5915000000000005E-2</v>
      </c>
      <c r="F552">
        <v>8.2549999999999998E-2</v>
      </c>
      <c r="G552">
        <v>6.5682000000000004E-2</v>
      </c>
      <c r="H552">
        <v>9.1239000000000001E-2</v>
      </c>
      <c r="I552">
        <v>8.3765999999999993E-2</v>
      </c>
      <c r="J552">
        <v>9.5038999999999998E-2</v>
      </c>
      <c r="K552">
        <v>8.8396000000000002E-2</v>
      </c>
      <c r="L552">
        <v>7.0476999999999998E-2</v>
      </c>
      <c r="M552">
        <v>8.2614000000000007E-2</v>
      </c>
      <c r="N552">
        <v>6.8293999999999994E-2</v>
      </c>
      <c r="O552">
        <v>7.6007000000000005E-2</v>
      </c>
      <c r="P552">
        <v>5.9810000000000002E-2</v>
      </c>
      <c r="Q552">
        <v>6.148E-2</v>
      </c>
      <c r="R552">
        <v>8.5861999999999994E-2</v>
      </c>
      <c r="S552">
        <v>7.2807999999999998E-2</v>
      </c>
      <c r="T552">
        <v>6.0437999999999999E-2</v>
      </c>
      <c r="U552">
        <v>5.5042000000000001E-2</v>
      </c>
      <c r="V552">
        <v>7.0831000000000005E-2</v>
      </c>
      <c r="W552">
        <v>7.1663000000000004E-2</v>
      </c>
      <c r="X552">
        <v>3.5349999999999999E-2</v>
      </c>
      <c r="Y552">
        <v>3.3069000000000001E-2</v>
      </c>
      <c r="Z552">
        <v>3.0315000000000002E-2</v>
      </c>
      <c r="AA552">
        <v>2.9132999999999999E-2</v>
      </c>
      <c r="AB552">
        <v>4.6905000000000002E-2</v>
      </c>
    </row>
    <row r="553" spans="1:28" x14ac:dyDescent="0.2">
      <c r="A553">
        <v>19771230</v>
      </c>
      <c r="B553">
        <v>1977</v>
      </c>
      <c r="C553">
        <v>12</v>
      </c>
      <c r="D553">
        <v>4.7944000000000001E-2</v>
      </c>
      <c r="E553">
        <v>3.5325000000000002E-2</v>
      </c>
      <c r="F553">
        <v>2.6551000000000002E-2</v>
      </c>
      <c r="G553">
        <v>2.6689000000000001E-2</v>
      </c>
      <c r="H553">
        <v>1.7656999999999999E-2</v>
      </c>
      <c r="I553">
        <v>3.0596000000000002E-2</v>
      </c>
      <c r="J553">
        <v>1.9361E-2</v>
      </c>
      <c r="K553">
        <v>4.8729999999999997E-3</v>
      </c>
      <c r="L553">
        <v>5.3179999999999998E-3</v>
      </c>
      <c r="M553">
        <v>1.6271000000000001E-2</v>
      </c>
      <c r="N553">
        <v>1.5325999999999999E-2</v>
      </c>
      <c r="O553">
        <v>6.8430000000000001E-3</v>
      </c>
      <c r="P553">
        <v>1.7735000000000001E-2</v>
      </c>
      <c r="Q553">
        <v>1.0321E-2</v>
      </c>
      <c r="R553">
        <v>1.1405E-2</v>
      </c>
      <c r="S553">
        <v>4.4409999999999996E-3</v>
      </c>
      <c r="T553">
        <v>8.2249999999999997E-3</v>
      </c>
      <c r="U553">
        <v>5.9959999999999996E-3</v>
      </c>
      <c r="V553">
        <v>-2.4949999999999998E-3</v>
      </c>
      <c r="W553">
        <v>-6.0289999999999996E-3</v>
      </c>
      <c r="X553">
        <v>8.8599999999999996E-4</v>
      </c>
      <c r="Y553">
        <v>1.1143999999999999E-2</v>
      </c>
      <c r="Z553">
        <v>1.1733E-2</v>
      </c>
      <c r="AA553">
        <v>3.8960000000000002E-3</v>
      </c>
      <c r="AB553">
        <v>1.3481E-2</v>
      </c>
    </row>
    <row r="554" spans="1:28" x14ac:dyDescent="0.2">
      <c r="A554">
        <v>19780131</v>
      </c>
      <c r="B554">
        <v>1978</v>
      </c>
      <c r="C554">
        <v>1</v>
      </c>
      <c r="D554">
        <v>-1.1776E-2</v>
      </c>
      <c r="E554">
        <v>-3.2786000000000003E-2</v>
      </c>
      <c r="F554">
        <v>-1.3733E-2</v>
      </c>
      <c r="G554">
        <v>-1.1305000000000001E-2</v>
      </c>
      <c r="H554">
        <v>2.3630000000000001E-3</v>
      </c>
      <c r="I554">
        <v>-5.3589999999999999E-2</v>
      </c>
      <c r="J554">
        <v>-5.7229000000000002E-2</v>
      </c>
      <c r="K554">
        <v>-2.5249000000000001E-2</v>
      </c>
      <c r="L554">
        <v>-1.8511E-2</v>
      </c>
      <c r="M554">
        <v>-2.4220999999999999E-2</v>
      </c>
      <c r="N554">
        <v>-6.9276000000000004E-2</v>
      </c>
      <c r="O554">
        <v>-5.2511000000000002E-2</v>
      </c>
      <c r="P554">
        <v>-3.3298000000000001E-2</v>
      </c>
      <c r="Q554">
        <v>-3.4964000000000002E-2</v>
      </c>
      <c r="R554">
        <v>-6.2680000000000001E-3</v>
      </c>
      <c r="S554">
        <v>-6.0495E-2</v>
      </c>
      <c r="T554">
        <v>-6.2084E-2</v>
      </c>
      <c r="U554">
        <v>-5.7644000000000001E-2</v>
      </c>
      <c r="V554">
        <v>-3.8802999999999997E-2</v>
      </c>
      <c r="W554">
        <v>-1.6951000000000001E-2</v>
      </c>
      <c r="X554">
        <v>-6.2199999999999998E-2</v>
      </c>
      <c r="Y554">
        <v>-7.2234999999999994E-2</v>
      </c>
      <c r="Z554">
        <v>-5.3948999999999997E-2</v>
      </c>
      <c r="AA554">
        <v>-4.9747E-2</v>
      </c>
      <c r="AB554">
        <v>-2.9302999999999999E-2</v>
      </c>
    </row>
    <row r="555" spans="1:28" x14ac:dyDescent="0.2">
      <c r="A555">
        <v>19780228</v>
      </c>
      <c r="B555">
        <v>1978</v>
      </c>
      <c r="C555">
        <v>2</v>
      </c>
      <c r="D555">
        <v>3.2715000000000001E-2</v>
      </c>
      <c r="E555">
        <v>3.1251000000000001E-2</v>
      </c>
      <c r="F555">
        <v>3.9449999999999999E-2</v>
      </c>
      <c r="G555">
        <v>3.2761999999999999E-2</v>
      </c>
      <c r="H555">
        <v>3.5482E-2</v>
      </c>
      <c r="I555">
        <v>1.6988E-2</v>
      </c>
      <c r="J555">
        <v>1.5807000000000002E-2</v>
      </c>
      <c r="K555">
        <v>9.9290000000000003E-3</v>
      </c>
      <c r="L555">
        <v>2.2981999999999999E-2</v>
      </c>
      <c r="M555">
        <v>5.483E-3</v>
      </c>
      <c r="N555">
        <v>5.7429999999999998E-3</v>
      </c>
      <c r="O555">
        <v>1.6820999999999999E-2</v>
      </c>
      <c r="P555">
        <v>5.6670000000000002E-3</v>
      </c>
      <c r="Q555">
        <v>6.5799999999999999E-3</v>
      </c>
      <c r="R555">
        <v>1.1946E-2</v>
      </c>
      <c r="S555">
        <v>-1.2389000000000001E-2</v>
      </c>
      <c r="T555">
        <v>-6.1669999999999997E-3</v>
      </c>
      <c r="U555">
        <v>-7.0479999999999996E-3</v>
      </c>
      <c r="V555">
        <v>1.0286E-2</v>
      </c>
      <c r="W555">
        <v>-2.2620999999999999E-2</v>
      </c>
      <c r="X555">
        <v>-3.0734000000000001E-2</v>
      </c>
      <c r="Y555">
        <v>-1.5254999999999999E-2</v>
      </c>
      <c r="Z555">
        <v>2.3916E-2</v>
      </c>
      <c r="AA555">
        <v>-9.8329999999999997E-3</v>
      </c>
      <c r="AB555">
        <v>-3.6242000000000003E-2</v>
      </c>
    </row>
    <row r="556" spans="1:28" x14ac:dyDescent="0.2">
      <c r="A556">
        <v>19780331</v>
      </c>
      <c r="B556">
        <v>1978</v>
      </c>
      <c r="C556">
        <v>3</v>
      </c>
      <c r="D556">
        <v>8.3185999999999996E-2</v>
      </c>
      <c r="E556">
        <v>7.3469000000000007E-2</v>
      </c>
      <c r="F556">
        <v>7.979E-2</v>
      </c>
      <c r="G556">
        <v>6.8491999999999997E-2</v>
      </c>
      <c r="H556">
        <v>8.2054000000000002E-2</v>
      </c>
      <c r="I556">
        <v>6.0925E-2</v>
      </c>
      <c r="J556">
        <v>5.9211E-2</v>
      </c>
      <c r="K556">
        <v>7.5496999999999995E-2</v>
      </c>
      <c r="L556">
        <v>6.3095999999999999E-2</v>
      </c>
      <c r="M556">
        <v>7.6156000000000001E-2</v>
      </c>
      <c r="N556">
        <v>5.5058999999999997E-2</v>
      </c>
      <c r="O556">
        <v>5.7246999999999999E-2</v>
      </c>
      <c r="P556">
        <v>4.7932000000000002E-2</v>
      </c>
      <c r="Q556">
        <v>4.7133000000000001E-2</v>
      </c>
      <c r="R556">
        <v>8.2755999999999996E-2</v>
      </c>
      <c r="S556">
        <v>4.9715000000000002E-2</v>
      </c>
      <c r="T556">
        <v>4.8719999999999999E-2</v>
      </c>
      <c r="U556">
        <v>4.8708000000000001E-2</v>
      </c>
      <c r="V556">
        <v>4.4708999999999999E-2</v>
      </c>
      <c r="W556">
        <v>4.8519E-2</v>
      </c>
      <c r="X556">
        <v>1.1521999999999999E-2</v>
      </c>
      <c r="Y556">
        <v>3.9531999999999998E-2</v>
      </c>
      <c r="Z556">
        <v>3.0098E-2</v>
      </c>
      <c r="AA556">
        <v>2.8707E-2</v>
      </c>
      <c r="AB556">
        <v>3.3966999999999997E-2</v>
      </c>
    </row>
    <row r="557" spans="1:28" x14ac:dyDescent="0.2">
      <c r="A557">
        <v>19780428</v>
      </c>
      <c r="B557">
        <v>1978</v>
      </c>
      <c r="C557">
        <v>4</v>
      </c>
      <c r="D557">
        <v>0.102561</v>
      </c>
      <c r="E557">
        <v>8.9042999999999997E-2</v>
      </c>
      <c r="F557">
        <v>8.3537E-2</v>
      </c>
      <c r="G557">
        <v>7.2469000000000006E-2</v>
      </c>
      <c r="H557">
        <v>8.4130999999999997E-2</v>
      </c>
      <c r="I557">
        <v>0.100796</v>
      </c>
      <c r="J557">
        <v>7.4690000000000006E-2</v>
      </c>
      <c r="K557">
        <v>8.3748000000000003E-2</v>
      </c>
      <c r="L557">
        <v>7.2098999999999996E-2</v>
      </c>
      <c r="M557">
        <v>6.5555000000000002E-2</v>
      </c>
      <c r="N557">
        <v>0.100082</v>
      </c>
      <c r="O557">
        <v>8.4746000000000002E-2</v>
      </c>
      <c r="P557">
        <v>7.7188999999999994E-2</v>
      </c>
      <c r="Q557">
        <v>4.9160000000000002E-2</v>
      </c>
      <c r="R557">
        <v>6.6776000000000002E-2</v>
      </c>
      <c r="S557">
        <v>8.6321999999999996E-2</v>
      </c>
      <c r="T557">
        <v>7.2967000000000004E-2</v>
      </c>
      <c r="U557">
        <v>5.3152999999999999E-2</v>
      </c>
      <c r="V557">
        <v>5.6350999999999998E-2</v>
      </c>
      <c r="W557">
        <v>8.5570999999999994E-2</v>
      </c>
      <c r="X557">
        <v>0.118524</v>
      </c>
      <c r="Y557">
        <v>8.5836999999999997E-2</v>
      </c>
      <c r="Z557">
        <v>4.6698999999999997E-2</v>
      </c>
      <c r="AA557">
        <v>5.0728000000000002E-2</v>
      </c>
      <c r="AB557">
        <v>5.2775000000000002E-2</v>
      </c>
    </row>
    <row r="558" spans="1:28" x14ac:dyDescent="0.2">
      <c r="A558">
        <v>19780531</v>
      </c>
      <c r="B558">
        <v>1978</v>
      </c>
      <c r="C558">
        <v>5</v>
      </c>
      <c r="D558">
        <v>8.4503999999999996E-2</v>
      </c>
      <c r="E558">
        <v>6.2232000000000003E-2</v>
      </c>
      <c r="F558">
        <v>8.8820999999999997E-2</v>
      </c>
      <c r="G558">
        <v>6.3566999999999999E-2</v>
      </c>
      <c r="H558">
        <v>8.0734E-2</v>
      </c>
      <c r="I558">
        <v>7.1131E-2</v>
      </c>
      <c r="J558">
        <v>7.5160000000000005E-2</v>
      </c>
      <c r="K558">
        <v>4.8092000000000003E-2</v>
      </c>
      <c r="L558">
        <v>4.1690999999999999E-2</v>
      </c>
      <c r="M558">
        <v>5.3999999999999999E-2</v>
      </c>
      <c r="N558">
        <v>6.3467999999999997E-2</v>
      </c>
      <c r="O558">
        <v>5.2965999999999999E-2</v>
      </c>
      <c r="P558">
        <v>5.3342000000000001E-2</v>
      </c>
      <c r="Q558">
        <v>2.1675E-2</v>
      </c>
      <c r="R558">
        <v>3.8976999999999998E-2</v>
      </c>
      <c r="S558">
        <v>4.7176000000000003E-2</v>
      </c>
      <c r="T558">
        <v>3.8922999999999999E-2</v>
      </c>
      <c r="U558">
        <v>1.3077E-2</v>
      </c>
      <c r="V558">
        <v>2.4282000000000001E-2</v>
      </c>
      <c r="W558">
        <v>3.7529E-2</v>
      </c>
      <c r="X558">
        <v>1.3861999999999999E-2</v>
      </c>
      <c r="Y558">
        <v>1.3629E-2</v>
      </c>
      <c r="Z558">
        <v>-2.4000000000000001E-4</v>
      </c>
      <c r="AA558">
        <v>1.0508E-2</v>
      </c>
      <c r="AB558">
        <v>1.9845999999999999E-2</v>
      </c>
    </row>
    <row r="559" spans="1:28" x14ac:dyDescent="0.2">
      <c r="A559">
        <v>19780630</v>
      </c>
      <c r="B559">
        <v>1978</v>
      </c>
      <c r="C559">
        <v>6</v>
      </c>
      <c r="D559">
        <v>7.7689999999999999E-3</v>
      </c>
      <c r="E559">
        <v>9.1269999999999997E-3</v>
      </c>
      <c r="F559">
        <v>-1.176E-3</v>
      </c>
      <c r="G559">
        <v>2.0929999999999998E-3</v>
      </c>
      <c r="H559">
        <v>2.5959999999999998E-3</v>
      </c>
      <c r="I559">
        <v>-1.2211E-2</v>
      </c>
      <c r="J559">
        <v>-2.7286000000000001E-2</v>
      </c>
      <c r="K559">
        <v>5.7479999999999996E-3</v>
      </c>
      <c r="L559">
        <v>3.3000000000000002E-2</v>
      </c>
      <c r="M559">
        <v>-1.33E-3</v>
      </c>
      <c r="N559">
        <v>-7.7530000000000003E-3</v>
      </c>
      <c r="O559">
        <v>-9.6150000000000003E-3</v>
      </c>
      <c r="P559">
        <v>4.3049999999999998E-3</v>
      </c>
      <c r="Q559">
        <v>9.1039999999999992E-3</v>
      </c>
      <c r="R559">
        <v>1.2291E-2</v>
      </c>
      <c r="S559">
        <v>-1.0602E-2</v>
      </c>
      <c r="T559">
        <v>-5.6600000000000001E-3</v>
      </c>
      <c r="U559">
        <v>2.0569999999999998E-3</v>
      </c>
      <c r="V559">
        <v>1.781E-3</v>
      </c>
      <c r="W559">
        <v>-6.3619999999999996E-3</v>
      </c>
      <c r="X559">
        <v>-1.1984E-2</v>
      </c>
      <c r="Y559">
        <v>-3.0322000000000002E-2</v>
      </c>
      <c r="Z559">
        <v>-1.9778E-2</v>
      </c>
      <c r="AA559">
        <v>-1.7974E-2</v>
      </c>
      <c r="AB559">
        <v>-8.0890000000000007E-3</v>
      </c>
    </row>
    <row r="560" spans="1:28" x14ac:dyDescent="0.2">
      <c r="A560">
        <v>19780731</v>
      </c>
      <c r="B560">
        <v>1978</v>
      </c>
      <c r="C560">
        <v>7</v>
      </c>
      <c r="D560">
        <v>6.6969000000000001E-2</v>
      </c>
      <c r="E560">
        <v>5.9678000000000002E-2</v>
      </c>
      <c r="F560">
        <v>5.9887000000000003E-2</v>
      </c>
      <c r="G560">
        <v>4.9987999999999998E-2</v>
      </c>
      <c r="H560">
        <v>4.7174000000000001E-2</v>
      </c>
      <c r="I560">
        <v>7.9773999999999998E-2</v>
      </c>
      <c r="J560">
        <v>5.8807999999999999E-2</v>
      </c>
      <c r="K560">
        <v>4.9850999999999999E-2</v>
      </c>
      <c r="L560">
        <v>5.9570999999999999E-2</v>
      </c>
      <c r="M560">
        <v>7.1184999999999998E-2</v>
      </c>
      <c r="N560">
        <v>6.6025E-2</v>
      </c>
      <c r="O560">
        <v>4.8647000000000003E-2</v>
      </c>
      <c r="P560">
        <v>4.5777999999999999E-2</v>
      </c>
      <c r="Q560">
        <v>4.2709999999999998E-2</v>
      </c>
      <c r="R560">
        <v>3.9669000000000003E-2</v>
      </c>
      <c r="S560">
        <v>6.2274999999999997E-2</v>
      </c>
      <c r="T560">
        <v>5.7868999999999997E-2</v>
      </c>
      <c r="U560">
        <v>6.5405000000000005E-2</v>
      </c>
      <c r="V560">
        <v>5.7156999999999999E-2</v>
      </c>
      <c r="W560">
        <v>0.101997</v>
      </c>
      <c r="X560">
        <v>7.4523000000000006E-2</v>
      </c>
      <c r="Y560">
        <v>4.8156999999999998E-2</v>
      </c>
      <c r="Z560">
        <v>3.6485999999999998E-2</v>
      </c>
      <c r="AA560">
        <v>4.4396999999999999E-2</v>
      </c>
      <c r="AB560">
        <v>4.7713999999999999E-2</v>
      </c>
    </row>
    <row r="561" spans="1:28" x14ac:dyDescent="0.2">
      <c r="A561">
        <v>19780831</v>
      </c>
      <c r="B561">
        <v>1978</v>
      </c>
      <c r="C561">
        <v>8</v>
      </c>
      <c r="D561">
        <v>9.8118999999999998E-2</v>
      </c>
      <c r="E561">
        <v>9.5750000000000002E-2</v>
      </c>
      <c r="F561">
        <v>8.5989999999999997E-2</v>
      </c>
      <c r="G561">
        <v>7.8085000000000002E-2</v>
      </c>
      <c r="H561">
        <v>0.102272</v>
      </c>
      <c r="I561">
        <v>9.0318999999999997E-2</v>
      </c>
      <c r="J561">
        <v>7.1736999999999995E-2</v>
      </c>
      <c r="K561">
        <v>9.3451999999999993E-2</v>
      </c>
      <c r="L561">
        <v>7.1201E-2</v>
      </c>
      <c r="M561">
        <v>9.6187999999999996E-2</v>
      </c>
      <c r="N561">
        <v>7.9564999999999997E-2</v>
      </c>
      <c r="O561">
        <v>8.43E-2</v>
      </c>
      <c r="P561">
        <v>6.7670999999999995E-2</v>
      </c>
      <c r="Q561">
        <v>4.8744999999999997E-2</v>
      </c>
      <c r="R561">
        <v>9.7731999999999999E-2</v>
      </c>
      <c r="S561">
        <v>7.7254000000000003E-2</v>
      </c>
      <c r="T561">
        <v>6.2168000000000001E-2</v>
      </c>
      <c r="U561">
        <v>4.1102E-2</v>
      </c>
      <c r="V561">
        <v>4.1340000000000002E-2</v>
      </c>
      <c r="W561">
        <v>2.8684999999999999E-2</v>
      </c>
      <c r="X561">
        <v>2.5815999999999999E-2</v>
      </c>
      <c r="Y561">
        <v>3.3834000000000003E-2</v>
      </c>
      <c r="Z561">
        <v>4.3987999999999999E-2</v>
      </c>
      <c r="AA561">
        <v>2.8216999999999999E-2</v>
      </c>
      <c r="AB561">
        <v>1.7669999999999999E-3</v>
      </c>
    </row>
    <row r="562" spans="1:28" x14ac:dyDescent="0.2">
      <c r="A562">
        <v>19780929</v>
      </c>
      <c r="B562">
        <v>1978</v>
      </c>
      <c r="C562">
        <v>9</v>
      </c>
      <c r="D562">
        <v>-9.7520000000000003E-3</v>
      </c>
      <c r="E562">
        <v>1.1460000000000001E-3</v>
      </c>
      <c r="F562">
        <v>-1.7056000000000002E-2</v>
      </c>
      <c r="G562">
        <v>-1.6180000000000001E-3</v>
      </c>
      <c r="H562">
        <v>2.0790000000000001E-3</v>
      </c>
      <c r="I562">
        <v>-1.8186000000000001E-2</v>
      </c>
      <c r="J562">
        <v>-1.3198E-2</v>
      </c>
      <c r="K562">
        <v>-1.61E-2</v>
      </c>
      <c r="L562">
        <v>4.8279999999999998E-3</v>
      </c>
      <c r="M562">
        <v>-1.7670000000000002E-2</v>
      </c>
      <c r="N562">
        <v>-3.1865999999999998E-2</v>
      </c>
      <c r="O562">
        <v>-6.9709999999999998E-3</v>
      </c>
      <c r="P562">
        <v>-1.5082999999999999E-2</v>
      </c>
      <c r="Q562">
        <v>-2.9390000000000002E-3</v>
      </c>
      <c r="R562">
        <v>-9.1079999999999998E-3</v>
      </c>
      <c r="S562">
        <v>-3.3020000000000001E-2</v>
      </c>
      <c r="T562">
        <v>-2.2613999999999999E-2</v>
      </c>
      <c r="U562">
        <v>6.2750000000000002E-3</v>
      </c>
      <c r="V562">
        <v>-4.0000000000000003E-5</v>
      </c>
      <c r="W562">
        <v>-1.2022E-2</v>
      </c>
      <c r="X562">
        <v>-3.2346E-2</v>
      </c>
      <c r="Y562">
        <v>3.4619999999999998E-3</v>
      </c>
      <c r="Z562">
        <v>1.9120999999999999E-2</v>
      </c>
      <c r="AA562">
        <v>3.346E-3</v>
      </c>
      <c r="AB562">
        <v>9.4070000000000004E-3</v>
      </c>
    </row>
    <row r="563" spans="1:28" x14ac:dyDescent="0.2">
      <c r="A563">
        <v>19781031</v>
      </c>
      <c r="B563">
        <v>1978</v>
      </c>
      <c r="C563">
        <v>10</v>
      </c>
      <c r="D563">
        <v>-0.26709500000000003</v>
      </c>
      <c r="E563">
        <v>-0.23294200000000001</v>
      </c>
      <c r="F563">
        <v>-0.21853500000000001</v>
      </c>
      <c r="G563">
        <v>-0.18504699999999999</v>
      </c>
      <c r="H563">
        <v>-0.21434800000000001</v>
      </c>
      <c r="I563">
        <v>-0.24760099999999999</v>
      </c>
      <c r="J563">
        <v>-0.18750500000000001</v>
      </c>
      <c r="K563">
        <v>-0.18420900000000001</v>
      </c>
      <c r="L563">
        <v>-0.14860599999999999</v>
      </c>
      <c r="M563">
        <v>-0.19245100000000001</v>
      </c>
      <c r="N563">
        <v>-0.193687</v>
      </c>
      <c r="O563">
        <v>-0.18901499999999999</v>
      </c>
      <c r="P563">
        <v>-0.13560800000000001</v>
      </c>
      <c r="Q563">
        <v>-0.14432900000000001</v>
      </c>
      <c r="R563">
        <v>-0.19855200000000001</v>
      </c>
      <c r="S563">
        <v>-0.15745799999999999</v>
      </c>
      <c r="T563">
        <v>-0.133829</v>
      </c>
      <c r="U563">
        <v>-0.13501199999999999</v>
      </c>
      <c r="V563">
        <v>-0.117634</v>
      </c>
      <c r="W563">
        <v>-0.14980599999999999</v>
      </c>
      <c r="X563">
        <v>-8.3288000000000001E-2</v>
      </c>
      <c r="Y563">
        <v>-9.4588000000000005E-2</v>
      </c>
      <c r="Z563">
        <v>-7.0919999999999997E-2</v>
      </c>
      <c r="AA563">
        <v>-9.2310000000000003E-2</v>
      </c>
      <c r="AB563">
        <v>-0.121532</v>
      </c>
    </row>
    <row r="564" spans="1:28" x14ac:dyDescent="0.2">
      <c r="A564">
        <v>19781130</v>
      </c>
      <c r="B564">
        <v>1978</v>
      </c>
      <c r="C564">
        <v>11</v>
      </c>
      <c r="D564">
        <v>8.6923E-2</v>
      </c>
      <c r="E564">
        <v>7.4396000000000004E-2</v>
      </c>
      <c r="F564">
        <v>6.6049999999999998E-2</v>
      </c>
      <c r="G564">
        <v>4.3822E-2</v>
      </c>
      <c r="H564">
        <v>4.3324000000000001E-2</v>
      </c>
      <c r="I564">
        <v>0.112704</v>
      </c>
      <c r="J564">
        <v>5.6050000000000003E-2</v>
      </c>
      <c r="K564">
        <v>4.2421E-2</v>
      </c>
      <c r="L564">
        <v>2.9332E-2</v>
      </c>
      <c r="M564">
        <v>6.1539999999999997E-2</v>
      </c>
      <c r="N564">
        <v>7.3214000000000001E-2</v>
      </c>
      <c r="O564">
        <v>5.2560999999999997E-2</v>
      </c>
      <c r="P564">
        <v>3.7283999999999998E-2</v>
      </c>
      <c r="Q564">
        <v>3.0846999999999999E-2</v>
      </c>
      <c r="R564">
        <v>3.3112999999999997E-2</v>
      </c>
      <c r="S564">
        <v>4.6295999999999997E-2</v>
      </c>
      <c r="T564">
        <v>2.666E-2</v>
      </c>
      <c r="U564">
        <v>3.2048E-2</v>
      </c>
      <c r="V564">
        <v>1.917E-2</v>
      </c>
      <c r="W564">
        <v>2.8042000000000001E-2</v>
      </c>
      <c r="X564">
        <v>2.4967E-2</v>
      </c>
      <c r="Y564">
        <v>2.7917999999999998E-2</v>
      </c>
      <c r="Z564">
        <v>3.7187999999999999E-2</v>
      </c>
      <c r="AA564">
        <v>3.7305999999999999E-2</v>
      </c>
      <c r="AB564">
        <v>2.6505999999999998E-2</v>
      </c>
    </row>
    <row r="565" spans="1:28" x14ac:dyDescent="0.2">
      <c r="A565">
        <v>19781229</v>
      </c>
      <c r="B565">
        <v>1978</v>
      </c>
      <c r="C565">
        <v>12</v>
      </c>
      <c r="D565">
        <v>3.5320999999999998E-2</v>
      </c>
      <c r="E565">
        <v>3.2618000000000001E-2</v>
      </c>
      <c r="F565">
        <v>2.5413000000000002E-2</v>
      </c>
      <c r="G565">
        <v>9.2770000000000005E-3</v>
      </c>
      <c r="H565">
        <v>6.4250000000000002E-3</v>
      </c>
      <c r="I565">
        <v>2.9867000000000001E-2</v>
      </c>
      <c r="J565">
        <v>3.2636999999999999E-2</v>
      </c>
      <c r="K565">
        <v>1.8461999999999999E-2</v>
      </c>
      <c r="L565">
        <v>2.5000999999999999E-2</v>
      </c>
      <c r="M565">
        <v>1.8446000000000001E-2</v>
      </c>
      <c r="N565">
        <v>2.9173000000000001E-2</v>
      </c>
      <c r="O565">
        <v>1.6576E-2</v>
      </c>
      <c r="P565">
        <v>4.7070000000000002E-3</v>
      </c>
      <c r="Q565">
        <v>1.4421E-2</v>
      </c>
      <c r="R565">
        <v>3.2077000000000001E-2</v>
      </c>
      <c r="S565">
        <v>1.0843E-2</v>
      </c>
      <c r="T565">
        <v>1.5755999999999999E-2</v>
      </c>
      <c r="U565">
        <v>1.2315E-2</v>
      </c>
      <c r="V565">
        <v>8.6420000000000004E-3</v>
      </c>
      <c r="W565">
        <v>3.0070000000000001E-3</v>
      </c>
      <c r="X565">
        <v>3.5237999999999998E-2</v>
      </c>
      <c r="Y565">
        <v>1.1487000000000001E-2</v>
      </c>
      <c r="Z565">
        <v>4.1619999999999999E-3</v>
      </c>
      <c r="AA565">
        <v>8.8099999999999995E-4</v>
      </c>
      <c r="AB565">
        <v>-6.1879999999999999E-3</v>
      </c>
    </row>
    <row r="566" spans="1:28" x14ac:dyDescent="0.2">
      <c r="A566">
        <v>19790131</v>
      </c>
      <c r="B566">
        <v>1979</v>
      </c>
      <c r="C566">
        <v>1</v>
      </c>
      <c r="D566">
        <v>9.9174999999999999E-2</v>
      </c>
      <c r="E566">
        <v>9.9848999999999993E-2</v>
      </c>
      <c r="F566">
        <v>8.6005999999999999E-2</v>
      </c>
      <c r="G566">
        <v>0.104564</v>
      </c>
      <c r="H566">
        <v>0.118538</v>
      </c>
      <c r="I566">
        <v>8.5962999999999998E-2</v>
      </c>
      <c r="J566">
        <v>8.3565E-2</v>
      </c>
      <c r="K566">
        <v>8.0320000000000003E-2</v>
      </c>
      <c r="L566">
        <v>7.1648000000000003E-2</v>
      </c>
      <c r="M566">
        <v>0.10391599999999999</v>
      </c>
      <c r="N566">
        <v>6.8224999999999994E-2</v>
      </c>
      <c r="O566">
        <v>7.1346999999999994E-2</v>
      </c>
      <c r="P566">
        <v>7.4343000000000006E-2</v>
      </c>
      <c r="Q566">
        <v>7.0660000000000001E-2</v>
      </c>
      <c r="R566">
        <v>9.6448000000000006E-2</v>
      </c>
      <c r="S566">
        <v>5.8379E-2</v>
      </c>
      <c r="T566">
        <v>5.3577E-2</v>
      </c>
      <c r="U566">
        <v>6.0976000000000002E-2</v>
      </c>
      <c r="V566">
        <v>8.5348999999999994E-2</v>
      </c>
      <c r="W566">
        <v>6.4148999999999998E-2</v>
      </c>
      <c r="X566">
        <v>2.2329000000000002E-2</v>
      </c>
      <c r="Y566">
        <v>5.015E-2</v>
      </c>
      <c r="Z566">
        <v>4.2032E-2</v>
      </c>
      <c r="AA566">
        <v>5.3449999999999998E-2</v>
      </c>
      <c r="AB566">
        <v>7.7113000000000001E-2</v>
      </c>
    </row>
    <row r="567" spans="1:28" x14ac:dyDescent="0.2">
      <c r="A567">
        <v>19790228</v>
      </c>
      <c r="B567">
        <v>1979</v>
      </c>
      <c r="C567">
        <v>2</v>
      </c>
      <c r="D567">
        <v>-2.9123E-2</v>
      </c>
      <c r="E567">
        <v>-3.5267E-2</v>
      </c>
      <c r="F567">
        <v>-2.7428999999999999E-2</v>
      </c>
      <c r="G567">
        <v>-2.6748999999999998E-2</v>
      </c>
      <c r="H567">
        <v>-1.4231000000000001E-2</v>
      </c>
      <c r="I567">
        <v>-2.9804000000000001E-2</v>
      </c>
      <c r="J567">
        <v>-3.0561999999999999E-2</v>
      </c>
      <c r="K567">
        <v>-2.9638999999999999E-2</v>
      </c>
      <c r="L567">
        <v>-3.0789E-2</v>
      </c>
      <c r="M567">
        <v>-2.3814999999999999E-2</v>
      </c>
      <c r="N567">
        <v>-4.8055E-2</v>
      </c>
      <c r="O567">
        <v>-1.9193999999999999E-2</v>
      </c>
      <c r="P567">
        <v>-2.4435999999999999E-2</v>
      </c>
      <c r="Q567">
        <v>-1.4015E-2</v>
      </c>
      <c r="R567">
        <v>-8.7880000000000007E-3</v>
      </c>
      <c r="S567">
        <v>-4.3174999999999998E-2</v>
      </c>
      <c r="T567">
        <v>-3.5448E-2</v>
      </c>
      <c r="U567">
        <v>-3.2856999999999997E-2</v>
      </c>
      <c r="V567">
        <v>-3.0842999999999999E-2</v>
      </c>
      <c r="W567">
        <v>-4.3924999999999999E-2</v>
      </c>
      <c r="X567">
        <v>-3.9996999999999998E-2</v>
      </c>
      <c r="Y567">
        <v>-2.3355000000000001E-2</v>
      </c>
      <c r="Z567">
        <v>-2.2329999999999999E-2</v>
      </c>
      <c r="AA567">
        <v>-1.8350999999999999E-2</v>
      </c>
      <c r="AB567">
        <v>-2.9935E-2</v>
      </c>
    </row>
    <row r="568" spans="1:28" x14ac:dyDescent="0.2">
      <c r="A568">
        <v>19790330</v>
      </c>
      <c r="B568">
        <v>1979</v>
      </c>
      <c r="C568">
        <v>3</v>
      </c>
      <c r="D568">
        <v>0.12023300000000001</v>
      </c>
      <c r="E568">
        <v>9.5665E-2</v>
      </c>
      <c r="F568">
        <v>8.0019000000000007E-2</v>
      </c>
      <c r="G568">
        <v>7.1723999999999996E-2</v>
      </c>
      <c r="H568">
        <v>8.4639000000000006E-2</v>
      </c>
      <c r="I568">
        <v>0.124468</v>
      </c>
      <c r="J568">
        <v>8.8497000000000006E-2</v>
      </c>
      <c r="K568">
        <v>8.6107000000000003E-2</v>
      </c>
      <c r="L568">
        <v>7.1956999999999993E-2</v>
      </c>
      <c r="M568">
        <v>8.2868999999999998E-2</v>
      </c>
      <c r="N568">
        <v>0.10600800000000001</v>
      </c>
      <c r="O568">
        <v>9.3278E-2</v>
      </c>
      <c r="P568">
        <v>6.6975999999999994E-2</v>
      </c>
      <c r="Q568">
        <v>8.9803999999999995E-2</v>
      </c>
      <c r="R568">
        <v>0.12936600000000001</v>
      </c>
      <c r="S568">
        <v>7.5755000000000003E-2</v>
      </c>
      <c r="T568">
        <v>7.8264E-2</v>
      </c>
      <c r="U568">
        <v>7.2055999999999995E-2</v>
      </c>
      <c r="V568">
        <v>7.6832999999999999E-2</v>
      </c>
      <c r="W568">
        <v>9.8477999999999996E-2</v>
      </c>
      <c r="X568">
        <v>4.9294999999999999E-2</v>
      </c>
      <c r="Y568">
        <v>6.3007999999999995E-2</v>
      </c>
      <c r="Z568">
        <v>4.8341000000000002E-2</v>
      </c>
      <c r="AA568">
        <v>6.1688E-2</v>
      </c>
      <c r="AB568">
        <v>6.4912999999999998E-2</v>
      </c>
    </row>
    <row r="569" spans="1:28" x14ac:dyDescent="0.2">
      <c r="A569">
        <v>19790430</v>
      </c>
      <c r="B569">
        <v>1979</v>
      </c>
      <c r="C569">
        <v>4</v>
      </c>
      <c r="D569">
        <v>3.1569E-2</v>
      </c>
      <c r="E569">
        <v>2.6977999999999999E-2</v>
      </c>
      <c r="F569">
        <v>2.2397E-2</v>
      </c>
      <c r="G569">
        <v>3.1199999999999999E-2</v>
      </c>
      <c r="H569">
        <v>3.3987999999999997E-2</v>
      </c>
      <c r="I569">
        <v>1.6149E-2</v>
      </c>
      <c r="J569">
        <v>2.9876E-2</v>
      </c>
      <c r="K569">
        <v>2.4336E-2</v>
      </c>
      <c r="L569">
        <v>2.9544999999999998E-2</v>
      </c>
      <c r="M569">
        <v>2.0247000000000001E-2</v>
      </c>
      <c r="N569">
        <v>1.536E-2</v>
      </c>
      <c r="O569">
        <v>1.2482999999999999E-2</v>
      </c>
      <c r="P569">
        <v>2.1824E-2</v>
      </c>
      <c r="Q569">
        <v>1.9390000000000001E-2</v>
      </c>
      <c r="R569">
        <v>3.9132E-2</v>
      </c>
      <c r="S569">
        <v>1.9493E-2</v>
      </c>
      <c r="T569">
        <v>8.9739999999999993E-3</v>
      </c>
      <c r="U569">
        <v>1.2614999999999999E-2</v>
      </c>
      <c r="V569">
        <v>6.7470000000000004E-3</v>
      </c>
      <c r="W569">
        <v>1.6871000000000001E-2</v>
      </c>
      <c r="X569">
        <v>-1.8900000000000001E-4</v>
      </c>
      <c r="Y569">
        <v>6.143E-3</v>
      </c>
      <c r="Z569">
        <v>-2.1289999999999998E-3</v>
      </c>
      <c r="AA569">
        <v>1.4533000000000001E-2</v>
      </c>
      <c r="AB569">
        <v>-9.4140000000000005E-3</v>
      </c>
    </row>
    <row r="570" spans="1:28" x14ac:dyDescent="0.2">
      <c r="A570">
        <v>19790531</v>
      </c>
      <c r="B570">
        <v>1979</v>
      </c>
      <c r="C570">
        <v>5</v>
      </c>
      <c r="D570">
        <v>-2.7947E-2</v>
      </c>
      <c r="E570">
        <v>-7.6150000000000002E-3</v>
      </c>
      <c r="F570">
        <v>-1.8963000000000001E-2</v>
      </c>
      <c r="G570">
        <v>5.3462999999999997E-2</v>
      </c>
      <c r="H570">
        <v>-1.1185E-2</v>
      </c>
      <c r="I570">
        <v>-2.3338000000000001E-2</v>
      </c>
      <c r="J570">
        <v>-1.6473000000000002E-2</v>
      </c>
      <c r="K570">
        <v>-4.6179999999999997E-3</v>
      </c>
      <c r="L570">
        <v>-2.7829999999999999E-3</v>
      </c>
      <c r="M570">
        <v>-7.2129999999999998E-3</v>
      </c>
      <c r="N570">
        <v>-3.6512999999999997E-2</v>
      </c>
      <c r="O570">
        <v>-2.7182000000000001E-2</v>
      </c>
      <c r="P570">
        <v>-5.5539999999999999E-3</v>
      </c>
      <c r="Q570">
        <v>5.2900000000000004E-3</v>
      </c>
      <c r="R570">
        <v>-2.0990999999999999E-2</v>
      </c>
      <c r="S570">
        <v>-2.862E-3</v>
      </c>
      <c r="T570">
        <v>-1.4912E-2</v>
      </c>
      <c r="U570">
        <v>-1.6379000000000001E-2</v>
      </c>
      <c r="V570">
        <v>-9.953E-3</v>
      </c>
      <c r="W570">
        <v>-1.0181000000000001E-2</v>
      </c>
      <c r="X570">
        <v>-2.1260000000000001E-2</v>
      </c>
      <c r="Y570">
        <v>-8.1670000000000006E-3</v>
      </c>
      <c r="Z570">
        <v>-1.3396E-2</v>
      </c>
      <c r="AA570">
        <v>-1.7936000000000001E-2</v>
      </c>
      <c r="AB570">
        <v>-1.3349E-2</v>
      </c>
    </row>
    <row r="571" spans="1:28" x14ac:dyDescent="0.2">
      <c r="A571">
        <v>19790629</v>
      </c>
      <c r="B571">
        <v>1979</v>
      </c>
      <c r="C571">
        <v>6</v>
      </c>
      <c r="D571">
        <v>6.0152999999999998E-2</v>
      </c>
      <c r="E571">
        <v>5.6795999999999999E-2</v>
      </c>
      <c r="F571">
        <v>5.0118000000000003E-2</v>
      </c>
      <c r="G571">
        <v>4.8044999999999997E-2</v>
      </c>
      <c r="H571">
        <v>5.3443999999999998E-2</v>
      </c>
      <c r="I571">
        <v>7.4664999999999995E-2</v>
      </c>
      <c r="J571">
        <v>5.7176999999999999E-2</v>
      </c>
      <c r="K571">
        <v>3.9516999999999997E-2</v>
      </c>
      <c r="L571">
        <v>5.6391999999999998E-2</v>
      </c>
      <c r="M571">
        <v>8.7978000000000001E-2</v>
      </c>
      <c r="N571">
        <v>3.6396999999999999E-2</v>
      </c>
      <c r="O571">
        <v>4.8932999999999997E-2</v>
      </c>
      <c r="P571">
        <v>5.7433999999999999E-2</v>
      </c>
      <c r="Q571">
        <v>6.3863000000000003E-2</v>
      </c>
      <c r="R571">
        <v>6.8311999999999998E-2</v>
      </c>
      <c r="S571">
        <v>5.2455000000000002E-2</v>
      </c>
      <c r="T571">
        <v>7.2035000000000002E-2</v>
      </c>
      <c r="U571">
        <v>6.7391999999999994E-2</v>
      </c>
      <c r="V571">
        <v>7.4468000000000006E-2</v>
      </c>
      <c r="W571">
        <v>6.1969999999999997E-2</v>
      </c>
      <c r="X571">
        <v>2.2332000000000001E-2</v>
      </c>
      <c r="Y571">
        <v>4.9283E-2</v>
      </c>
      <c r="Z571">
        <v>4.9105000000000003E-2</v>
      </c>
      <c r="AA571">
        <v>6.5463999999999994E-2</v>
      </c>
      <c r="AB571">
        <v>2.8405E-2</v>
      </c>
    </row>
    <row r="572" spans="1:28" x14ac:dyDescent="0.2">
      <c r="A572">
        <v>19790731</v>
      </c>
      <c r="B572">
        <v>1979</v>
      </c>
      <c r="C572">
        <v>7</v>
      </c>
      <c r="D572">
        <v>2.2768E-2</v>
      </c>
      <c r="E572">
        <v>2.9198999999999999E-2</v>
      </c>
      <c r="F572">
        <v>2.3283999999999999E-2</v>
      </c>
      <c r="G572">
        <v>3.2539999999999999E-2</v>
      </c>
      <c r="H572">
        <v>2.1023E-2</v>
      </c>
      <c r="I572">
        <v>1.9959000000000001E-2</v>
      </c>
      <c r="J572">
        <v>2.4655E-2</v>
      </c>
      <c r="K572">
        <v>3.4632000000000003E-2</v>
      </c>
      <c r="L572">
        <v>4.8833000000000001E-2</v>
      </c>
      <c r="M572">
        <v>3.6319999999999998E-2</v>
      </c>
      <c r="N572">
        <v>3.1384000000000002E-2</v>
      </c>
      <c r="O572">
        <v>4.0051000000000003E-2</v>
      </c>
      <c r="P572">
        <v>4.2854999999999997E-2</v>
      </c>
      <c r="Q572">
        <v>2.7803000000000001E-2</v>
      </c>
      <c r="R572">
        <v>5.0907000000000001E-2</v>
      </c>
      <c r="S572">
        <v>1.5343000000000001E-2</v>
      </c>
      <c r="T572">
        <v>3.4339000000000001E-2</v>
      </c>
      <c r="U572">
        <v>2.9530000000000001E-2</v>
      </c>
      <c r="V572">
        <v>2.3139E-2</v>
      </c>
      <c r="W572">
        <v>3.1365999999999998E-2</v>
      </c>
      <c r="X572">
        <v>-4.3429999999999996E-3</v>
      </c>
      <c r="Y572">
        <v>1.6723999999999999E-2</v>
      </c>
      <c r="Z572">
        <v>1.5665999999999999E-2</v>
      </c>
      <c r="AA572">
        <v>1.1875999999999999E-2</v>
      </c>
      <c r="AB572">
        <v>3.6669E-2</v>
      </c>
    </row>
    <row r="573" spans="1:28" x14ac:dyDescent="0.2">
      <c r="A573">
        <v>19790831</v>
      </c>
      <c r="B573">
        <v>1979</v>
      </c>
      <c r="C573">
        <v>8</v>
      </c>
      <c r="D573">
        <v>8.9330000000000007E-2</v>
      </c>
      <c r="E573">
        <v>9.0360999999999997E-2</v>
      </c>
      <c r="F573">
        <v>6.4464999999999995E-2</v>
      </c>
      <c r="G573">
        <v>6.898E-2</v>
      </c>
      <c r="H573">
        <v>8.0778000000000003E-2</v>
      </c>
      <c r="I573">
        <v>8.5574999999999998E-2</v>
      </c>
      <c r="J573">
        <v>8.5773000000000002E-2</v>
      </c>
      <c r="K573">
        <v>7.3763999999999996E-2</v>
      </c>
      <c r="L573">
        <v>6.4579999999999999E-2</v>
      </c>
      <c r="M573">
        <v>7.2523000000000004E-2</v>
      </c>
      <c r="N573">
        <v>9.2577999999999994E-2</v>
      </c>
      <c r="O573">
        <v>7.9340999999999995E-2</v>
      </c>
      <c r="P573">
        <v>5.8736999999999998E-2</v>
      </c>
      <c r="Q573">
        <v>5.416E-2</v>
      </c>
      <c r="R573">
        <v>6.5352999999999994E-2</v>
      </c>
      <c r="S573">
        <v>8.5649000000000003E-2</v>
      </c>
      <c r="T573">
        <v>6.0483000000000002E-2</v>
      </c>
      <c r="U573">
        <v>6.7879999999999996E-2</v>
      </c>
      <c r="V573">
        <v>5.0887000000000002E-2</v>
      </c>
      <c r="W573">
        <v>7.8720999999999999E-2</v>
      </c>
      <c r="X573">
        <v>6.2300000000000001E-2</v>
      </c>
      <c r="Y573">
        <v>7.1476999999999999E-2</v>
      </c>
      <c r="Z573">
        <v>4.3497000000000001E-2</v>
      </c>
      <c r="AA573">
        <v>5.3809999999999997E-2</v>
      </c>
      <c r="AB573">
        <v>5.3039000000000003E-2</v>
      </c>
    </row>
    <row r="574" spans="1:28" x14ac:dyDescent="0.2">
      <c r="A574">
        <v>19790928</v>
      </c>
      <c r="B574">
        <v>1979</v>
      </c>
      <c r="C574">
        <v>9</v>
      </c>
      <c r="D574">
        <v>-1.091E-3</v>
      </c>
      <c r="E574">
        <v>-5.0720000000000001E-3</v>
      </c>
      <c r="F574">
        <v>-1.5835999999999999E-2</v>
      </c>
      <c r="G574">
        <v>-4.2630000000000003E-3</v>
      </c>
      <c r="H574">
        <v>-9.7429999999999999E-3</v>
      </c>
      <c r="I574">
        <v>7.0800000000000004E-3</v>
      </c>
      <c r="J574">
        <v>6.6169999999999996E-3</v>
      </c>
      <c r="K574">
        <v>-2.1999999999999999E-2</v>
      </c>
      <c r="L574">
        <v>-1.6399E-2</v>
      </c>
      <c r="M574">
        <v>-1.8003000000000002E-2</v>
      </c>
      <c r="N574">
        <v>1.2814000000000001E-2</v>
      </c>
      <c r="O574">
        <v>-7.1100000000000004E-4</v>
      </c>
      <c r="P574">
        <v>-1.3003000000000001E-2</v>
      </c>
      <c r="Q574">
        <v>-3.0720999999999998E-2</v>
      </c>
      <c r="R574">
        <v>-1.5983000000000001E-2</v>
      </c>
      <c r="S574">
        <v>-4.2849999999999997E-3</v>
      </c>
      <c r="T574">
        <v>1.142E-3</v>
      </c>
      <c r="U574">
        <v>-1.191E-3</v>
      </c>
      <c r="V574">
        <v>-1.9900999999999999E-2</v>
      </c>
      <c r="W574">
        <v>-1.7108999999999999E-2</v>
      </c>
      <c r="X574">
        <v>-1.7646999999999999E-2</v>
      </c>
      <c r="Y574">
        <v>7.9240000000000005E-3</v>
      </c>
      <c r="Z574">
        <v>1.6685999999999999E-2</v>
      </c>
      <c r="AA574">
        <v>8.3540000000000003E-3</v>
      </c>
      <c r="AB574">
        <v>4.9150000000000001E-3</v>
      </c>
    </row>
    <row r="575" spans="1:28" x14ac:dyDescent="0.2">
      <c r="A575">
        <v>19791031</v>
      </c>
      <c r="B575">
        <v>1979</v>
      </c>
      <c r="C575">
        <v>10</v>
      </c>
      <c r="D575">
        <v>-0.11039300000000001</v>
      </c>
      <c r="E575">
        <v>-9.8960000000000006E-2</v>
      </c>
      <c r="F575">
        <v>-0.11118400000000001</v>
      </c>
      <c r="G575">
        <v>-9.5392000000000005E-2</v>
      </c>
      <c r="H575">
        <v>-0.11523899999999999</v>
      </c>
      <c r="I575">
        <v>-8.9368000000000003E-2</v>
      </c>
      <c r="J575">
        <v>-0.104917</v>
      </c>
      <c r="K575">
        <v>-0.11589000000000001</v>
      </c>
      <c r="L575">
        <v>-0.120558</v>
      </c>
      <c r="M575">
        <v>-0.11490300000000001</v>
      </c>
      <c r="N575">
        <v>-8.2029000000000005E-2</v>
      </c>
      <c r="O575">
        <v>-8.2811999999999997E-2</v>
      </c>
      <c r="P575">
        <v>-0.104009</v>
      </c>
      <c r="Q575">
        <v>-7.3797000000000001E-2</v>
      </c>
      <c r="R575">
        <v>-0.123515</v>
      </c>
      <c r="S575">
        <v>-7.5880000000000003E-2</v>
      </c>
      <c r="T575">
        <v>-7.5547000000000003E-2</v>
      </c>
      <c r="U575">
        <v>-8.2658999999999996E-2</v>
      </c>
      <c r="V575">
        <v>-0.10101</v>
      </c>
      <c r="W575">
        <v>-0.106222</v>
      </c>
      <c r="X575">
        <v>-6.2444E-2</v>
      </c>
      <c r="Y575">
        <v>-5.6278000000000002E-2</v>
      </c>
      <c r="Z575">
        <v>-5.5934999999999999E-2</v>
      </c>
      <c r="AA575">
        <v>-7.1066000000000004E-2</v>
      </c>
      <c r="AB575">
        <v>-7.1668999999999997E-2</v>
      </c>
    </row>
    <row r="576" spans="1:28" x14ac:dyDescent="0.2">
      <c r="A576">
        <v>19791130</v>
      </c>
      <c r="B576">
        <v>1979</v>
      </c>
      <c r="C576">
        <v>11</v>
      </c>
      <c r="D576">
        <v>0.110359</v>
      </c>
      <c r="E576">
        <v>8.5831000000000005E-2</v>
      </c>
      <c r="F576">
        <v>6.2903000000000001E-2</v>
      </c>
      <c r="G576">
        <v>5.1110999999999997E-2</v>
      </c>
      <c r="H576">
        <v>6.4831E-2</v>
      </c>
      <c r="I576">
        <v>0.111759</v>
      </c>
      <c r="J576">
        <v>7.6476000000000002E-2</v>
      </c>
      <c r="K576">
        <v>6.4902000000000001E-2</v>
      </c>
      <c r="L576">
        <v>7.7745999999999996E-2</v>
      </c>
      <c r="M576">
        <v>7.4093000000000006E-2</v>
      </c>
      <c r="N576">
        <v>0.11838</v>
      </c>
      <c r="O576">
        <v>7.0790000000000006E-2</v>
      </c>
      <c r="P576">
        <v>6.7339999999999997E-2</v>
      </c>
      <c r="Q576">
        <v>7.0287000000000002E-2</v>
      </c>
      <c r="R576">
        <v>5.3918000000000001E-2</v>
      </c>
      <c r="S576">
        <v>9.8695000000000005E-2</v>
      </c>
      <c r="T576">
        <v>7.3843000000000006E-2</v>
      </c>
      <c r="U576">
        <v>7.5684000000000001E-2</v>
      </c>
      <c r="V576">
        <v>5.9769999999999997E-2</v>
      </c>
      <c r="W576">
        <v>5.9336E-2</v>
      </c>
      <c r="X576">
        <v>5.2332999999999998E-2</v>
      </c>
      <c r="Y576">
        <v>7.1293999999999996E-2</v>
      </c>
      <c r="Z576">
        <v>4.3540000000000002E-2</v>
      </c>
      <c r="AA576">
        <v>7.1726999999999999E-2</v>
      </c>
      <c r="AB576">
        <v>1.0008E-2</v>
      </c>
    </row>
    <row r="577" spans="1:28" x14ac:dyDescent="0.2">
      <c r="A577">
        <v>19791231</v>
      </c>
      <c r="B577">
        <v>1979</v>
      </c>
      <c r="C577">
        <v>12</v>
      </c>
      <c r="D577">
        <v>0.11418200000000001</v>
      </c>
      <c r="E577">
        <v>8.4082000000000004E-2</v>
      </c>
      <c r="F577">
        <v>5.8387000000000001E-2</v>
      </c>
      <c r="G577">
        <v>6.5804000000000001E-2</v>
      </c>
      <c r="H577">
        <v>5.1892000000000001E-2</v>
      </c>
      <c r="I577">
        <v>8.6158999999999999E-2</v>
      </c>
      <c r="J577">
        <v>6.2521999999999994E-2</v>
      </c>
      <c r="K577">
        <v>5.7153000000000002E-2</v>
      </c>
      <c r="L577">
        <v>3.6881999999999998E-2</v>
      </c>
      <c r="M577">
        <v>5.0970000000000001E-2</v>
      </c>
      <c r="N577">
        <v>5.5345999999999999E-2</v>
      </c>
      <c r="O577">
        <v>3.2071000000000002E-2</v>
      </c>
      <c r="P577">
        <v>2.8282999999999999E-2</v>
      </c>
      <c r="Q577">
        <v>1.9906E-2</v>
      </c>
      <c r="R577">
        <v>7.8803999999999999E-2</v>
      </c>
      <c r="S577">
        <v>4.5738000000000001E-2</v>
      </c>
      <c r="T577">
        <v>4.0856000000000003E-2</v>
      </c>
      <c r="U577">
        <v>2.2453000000000001E-2</v>
      </c>
      <c r="V577">
        <v>2.0572E-2</v>
      </c>
      <c r="W577">
        <v>4.2755000000000001E-2</v>
      </c>
      <c r="X577">
        <v>1.7342E-2</v>
      </c>
      <c r="Y577">
        <v>3.6985999999999998E-2</v>
      </c>
      <c r="Z577">
        <v>-4.8500000000000003E-4</v>
      </c>
      <c r="AA577">
        <v>8.4419999999999999E-3</v>
      </c>
      <c r="AB577">
        <v>2.2697999999999999E-2</v>
      </c>
    </row>
    <row r="578" spans="1:28" x14ac:dyDescent="0.2">
      <c r="A578">
        <v>19800131</v>
      </c>
      <c r="B578">
        <v>1980</v>
      </c>
      <c r="C578">
        <v>1</v>
      </c>
      <c r="D578">
        <v>0.12914100000000001</v>
      </c>
      <c r="E578">
        <v>0.10416</v>
      </c>
      <c r="F578">
        <v>8.6599999999999996E-2</v>
      </c>
      <c r="G578">
        <v>8.8678999999999994E-2</v>
      </c>
      <c r="H578">
        <v>0.109277</v>
      </c>
      <c r="I578">
        <v>6.9143999999999997E-2</v>
      </c>
      <c r="J578">
        <v>7.6734999999999998E-2</v>
      </c>
      <c r="K578">
        <v>6.1899000000000003E-2</v>
      </c>
      <c r="L578">
        <v>4.6116999999999998E-2</v>
      </c>
      <c r="M578">
        <v>9.1895000000000004E-2</v>
      </c>
      <c r="N578">
        <v>5.2803000000000003E-2</v>
      </c>
      <c r="O578">
        <v>6.7291000000000004E-2</v>
      </c>
      <c r="P578">
        <v>7.0763999999999994E-2</v>
      </c>
      <c r="Q578">
        <v>6.1150999999999997E-2</v>
      </c>
      <c r="R578">
        <v>8.9087E-2</v>
      </c>
      <c r="S578">
        <v>7.6466999999999993E-2</v>
      </c>
      <c r="T578">
        <v>6.9245000000000001E-2</v>
      </c>
      <c r="U578">
        <v>6.6156999999999994E-2</v>
      </c>
      <c r="V578">
        <v>8.1679999999999999E-3</v>
      </c>
      <c r="W578">
        <v>7.9922000000000007E-2</v>
      </c>
      <c r="X578">
        <v>3.3355999999999997E-2</v>
      </c>
      <c r="Y578">
        <v>7.3008000000000003E-2</v>
      </c>
      <c r="Z578">
        <v>5.8210999999999999E-2</v>
      </c>
      <c r="AA578">
        <v>7.8196000000000002E-2</v>
      </c>
      <c r="AB578">
        <v>0.102286</v>
      </c>
    </row>
    <row r="579" spans="1:28" x14ac:dyDescent="0.2">
      <c r="A579">
        <v>19800229</v>
      </c>
      <c r="B579">
        <v>1980</v>
      </c>
      <c r="C579">
        <v>2</v>
      </c>
      <c r="D579">
        <v>5.6369999999999996E-3</v>
      </c>
      <c r="E579">
        <v>-4.1089999999999998E-3</v>
      </c>
      <c r="F579">
        <v>-2.0184000000000001E-2</v>
      </c>
      <c r="G579">
        <v>-2.1409000000000001E-2</v>
      </c>
      <c r="H579">
        <v>-2.0138E-2</v>
      </c>
      <c r="I579">
        <v>-1.3398E-2</v>
      </c>
      <c r="J579">
        <v>-5.8609999999999999E-3</v>
      </c>
      <c r="K579">
        <v>-2.7279000000000001E-2</v>
      </c>
      <c r="L579">
        <v>-4.5062999999999999E-2</v>
      </c>
      <c r="M579">
        <v>-1.0687E-2</v>
      </c>
      <c r="N579">
        <v>-1.206E-2</v>
      </c>
      <c r="O579">
        <v>-3.3272999999999997E-2</v>
      </c>
      <c r="P579">
        <v>-4.4271999999999999E-2</v>
      </c>
      <c r="Q579">
        <v>-4.2784999999999997E-2</v>
      </c>
      <c r="R579">
        <v>-2.7282000000000001E-2</v>
      </c>
      <c r="S579">
        <v>-2.5291999999999999E-2</v>
      </c>
      <c r="T579">
        <v>-1.2347E-2</v>
      </c>
      <c r="U579">
        <v>-3.0254E-2</v>
      </c>
      <c r="V579">
        <v>-4.7976999999999999E-2</v>
      </c>
      <c r="W579">
        <v>-1.5240999999999999E-2</v>
      </c>
      <c r="X579">
        <v>-4.4911E-2</v>
      </c>
      <c r="Y579">
        <v>9.5949999999999994E-3</v>
      </c>
      <c r="Z579">
        <v>4.1442E-2</v>
      </c>
      <c r="AA579">
        <v>1.6081999999999999E-2</v>
      </c>
      <c r="AB579">
        <v>2.4902000000000001E-2</v>
      </c>
    </row>
    <row r="580" spans="1:28" x14ac:dyDescent="0.2">
      <c r="A580">
        <v>19800331</v>
      </c>
      <c r="B580">
        <v>1980</v>
      </c>
      <c r="C580">
        <v>3</v>
      </c>
      <c r="D580">
        <v>-0.221053</v>
      </c>
      <c r="E580">
        <v>-0.19430900000000001</v>
      </c>
      <c r="F580">
        <v>-0.17292299999999999</v>
      </c>
      <c r="G580">
        <v>-0.15539600000000001</v>
      </c>
      <c r="H580">
        <v>-0.176209</v>
      </c>
      <c r="I580">
        <v>-0.19233600000000001</v>
      </c>
      <c r="J580">
        <v>-0.16378400000000001</v>
      </c>
      <c r="K580">
        <v>-0.167687</v>
      </c>
      <c r="L580">
        <v>-0.147091</v>
      </c>
      <c r="M580">
        <v>-0.17507800000000001</v>
      </c>
      <c r="N580">
        <v>-0.15775500000000001</v>
      </c>
      <c r="O580">
        <v>-0.15104100000000001</v>
      </c>
      <c r="P580">
        <v>-0.16295999999999999</v>
      </c>
      <c r="Q580">
        <v>-0.130552</v>
      </c>
      <c r="R580">
        <v>-0.18764900000000001</v>
      </c>
      <c r="S580">
        <v>-0.120466</v>
      </c>
      <c r="T580">
        <v>-0.14283199999999999</v>
      </c>
      <c r="U580">
        <v>-0.13098399999999999</v>
      </c>
      <c r="V580">
        <v>-0.111162</v>
      </c>
      <c r="W580">
        <v>-0.16775399999999999</v>
      </c>
      <c r="X580">
        <v>-6.1712999999999997E-2</v>
      </c>
      <c r="Y580">
        <v>-0.11231099999999999</v>
      </c>
      <c r="Z580">
        <v>-9.7631999999999997E-2</v>
      </c>
      <c r="AA580">
        <v>-0.11287</v>
      </c>
      <c r="AB580">
        <v>-0.128861</v>
      </c>
    </row>
    <row r="581" spans="1:28" x14ac:dyDescent="0.2">
      <c r="A581">
        <v>19800430</v>
      </c>
      <c r="B581">
        <v>1980</v>
      </c>
      <c r="C581">
        <v>4</v>
      </c>
      <c r="D581">
        <v>6.2780000000000002E-2</v>
      </c>
      <c r="E581">
        <v>6.5240999999999993E-2</v>
      </c>
      <c r="F581">
        <v>6.6541000000000003E-2</v>
      </c>
      <c r="G581">
        <v>5.1147999999999999E-2</v>
      </c>
      <c r="H581">
        <v>6.1700999999999999E-2</v>
      </c>
      <c r="I581">
        <v>6.1463999999999998E-2</v>
      </c>
      <c r="J581">
        <v>4.9179E-2</v>
      </c>
      <c r="K581">
        <v>6.1369E-2</v>
      </c>
      <c r="L581">
        <v>8.0989000000000005E-2</v>
      </c>
      <c r="M581">
        <v>3.5798000000000003E-2</v>
      </c>
      <c r="N581">
        <v>6.9192000000000004E-2</v>
      </c>
      <c r="O581">
        <v>6.8197999999999995E-2</v>
      </c>
      <c r="P581">
        <v>7.2452000000000003E-2</v>
      </c>
      <c r="Q581">
        <v>9.4308000000000003E-2</v>
      </c>
      <c r="R581">
        <v>5.9188999999999999E-2</v>
      </c>
      <c r="S581">
        <v>4.8135999999999998E-2</v>
      </c>
      <c r="T581">
        <v>6.6965999999999998E-2</v>
      </c>
      <c r="U581">
        <v>7.3429999999999995E-2</v>
      </c>
      <c r="V581">
        <v>8.7536000000000003E-2</v>
      </c>
      <c r="W581">
        <v>6.6971000000000003E-2</v>
      </c>
      <c r="X581">
        <v>2.9680999999999999E-2</v>
      </c>
      <c r="Y581">
        <v>3.5081000000000001E-2</v>
      </c>
      <c r="Z581">
        <v>5.4469999999999998E-2</v>
      </c>
      <c r="AA581">
        <v>7.8772999999999996E-2</v>
      </c>
      <c r="AB581">
        <v>2.8631E-2</v>
      </c>
    </row>
    <row r="582" spans="1:28" x14ac:dyDescent="0.2">
      <c r="A582">
        <v>19800530</v>
      </c>
      <c r="B582">
        <v>1980</v>
      </c>
      <c r="C582">
        <v>5</v>
      </c>
      <c r="D582">
        <v>7.0655999999999997E-2</v>
      </c>
      <c r="E582">
        <v>6.4047999999999994E-2</v>
      </c>
      <c r="F582">
        <v>6.9041000000000005E-2</v>
      </c>
      <c r="G582">
        <v>6.5461000000000005E-2</v>
      </c>
      <c r="H582">
        <v>7.6923000000000005E-2</v>
      </c>
      <c r="I582">
        <v>9.1534000000000004E-2</v>
      </c>
      <c r="J582">
        <v>0.103959</v>
      </c>
      <c r="K582">
        <v>6.9736000000000006E-2</v>
      </c>
      <c r="L582">
        <v>8.0545000000000005E-2</v>
      </c>
      <c r="M582">
        <v>0.101036</v>
      </c>
      <c r="N582">
        <v>7.1066000000000004E-2</v>
      </c>
      <c r="O582">
        <v>6.8032999999999996E-2</v>
      </c>
      <c r="P582">
        <v>8.6925000000000002E-2</v>
      </c>
      <c r="Q582">
        <v>7.9827999999999996E-2</v>
      </c>
      <c r="R582">
        <v>8.9940000000000006E-2</v>
      </c>
      <c r="S582">
        <v>7.6133999999999993E-2</v>
      </c>
      <c r="T582">
        <v>7.7870999999999996E-2</v>
      </c>
      <c r="U582">
        <v>9.5697000000000004E-2</v>
      </c>
      <c r="V582">
        <v>7.1969000000000005E-2</v>
      </c>
      <c r="W582">
        <v>9.0255000000000002E-2</v>
      </c>
      <c r="X582">
        <v>4.9534000000000002E-2</v>
      </c>
      <c r="Y582">
        <v>5.1371E-2</v>
      </c>
      <c r="Z582">
        <v>5.2172999999999997E-2</v>
      </c>
      <c r="AA582">
        <v>4.1517999999999999E-2</v>
      </c>
      <c r="AB582">
        <v>6.1383E-2</v>
      </c>
    </row>
    <row r="583" spans="1:28" x14ac:dyDescent="0.2">
      <c r="A583">
        <v>19800630</v>
      </c>
      <c r="B583">
        <v>1980</v>
      </c>
      <c r="C583">
        <v>6</v>
      </c>
      <c r="D583">
        <v>4.9619000000000003E-2</v>
      </c>
      <c r="E583">
        <v>3.567E-2</v>
      </c>
      <c r="F583">
        <v>4.0300000000000002E-2</v>
      </c>
      <c r="G583">
        <v>4.3022999999999999E-2</v>
      </c>
      <c r="H583">
        <v>5.1987999999999999E-2</v>
      </c>
      <c r="I583">
        <v>4.3336E-2</v>
      </c>
      <c r="J583">
        <v>6.6854999999999998E-2</v>
      </c>
      <c r="K583">
        <v>4.0634000000000003E-2</v>
      </c>
      <c r="L583">
        <v>5.5689000000000002E-2</v>
      </c>
      <c r="M583">
        <v>2.0801E-2</v>
      </c>
      <c r="N583">
        <v>5.2779E-2</v>
      </c>
      <c r="O583">
        <v>5.8268E-2</v>
      </c>
      <c r="P583">
        <v>4.0194000000000001E-2</v>
      </c>
      <c r="Q583">
        <v>4.7292000000000001E-2</v>
      </c>
      <c r="R583">
        <v>2.3807999999999999E-2</v>
      </c>
      <c r="S583">
        <v>5.7318000000000001E-2</v>
      </c>
      <c r="T583">
        <v>3.9383000000000001E-2</v>
      </c>
      <c r="U583">
        <v>4.6869000000000001E-2</v>
      </c>
      <c r="V583">
        <v>3.1758000000000002E-2</v>
      </c>
      <c r="W583">
        <v>4.7947999999999998E-2</v>
      </c>
      <c r="X583">
        <v>2.2471999999999999E-2</v>
      </c>
      <c r="Y583">
        <v>4.1716000000000003E-2</v>
      </c>
      <c r="Z583">
        <v>2.0326E-2</v>
      </c>
      <c r="AA583">
        <v>4.7128000000000003E-2</v>
      </c>
      <c r="AB583">
        <v>2.49E-3</v>
      </c>
    </row>
    <row r="584" spans="1:28" x14ac:dyDescent="0.2">
      <c r="A584">
        <v>19800731</v>
      </c>
      <c r="B584">
        <v>1980</v>
      </c>
      <c r="C584">
        <v>7</v>
      </c>
      <c r="D584">
        <v>0.1221</v>
      </c>
      <c r="E584">
        <v>0.12570100000000001</v>
      </c>
      <c r="F584">
        <v>0.10344</v>
      </c>
      <c r="G584">
        <v>8.566E-2</v>
      </c>
      <c r="H584">
        <v>9.017E-2</v>
      </c>
      <c r="I584">
        <v>0.14397599999999999</v>
      </c>
      <c r="J584">
        <v>0.114217</v>
      </c>
      <c r="K584">
        <v>9.9527000000000004E-2</v>
      </c>
      <c r="L584">
        <v>7.5101000000000001E-2</v>
      </c>
      <c r="M584">
        <v>7.5114E-2</v>
      </c>
      <c r="N584">
        <v>0.132328</v>
      </c>
      <c r="O584">
        <v>8.1646999999999997E-2</v>
      </c>
      <c r="P584">
        <v>9.4654000000000002E-2</v>
      </c>
      <c r="Q584">
        <v>5.4981000000000002E-2</v>
      </c>
      <c r="R584">
        <v>7.0161000000000001E-2</v>
      </c>
      <c r="S584">
        <v>0.110819</v>
      </c>
      <c r="T584">
        <v>9.5162999999999998E-2</v>
      </c>
      <c r="U584">
        <v>8.1389000000000003E-2</v>
      </c>
      <c r="V584">
        <v>2.7924999999999998E-2</v>
      </c>
      <c r="W584">
        <v>4.7216000000000001E-2</v>
      </c>
      <c r="X584">
        <v>0.11187900000000001</v>
      </c>
      <c r="Y584">
        <v>5.8681999999999998E-2</v>
      </c>
      <c r="Z584">
        <v>3.0738000000000001E-2</v>
      </c>
      <c r="AA584">
        <v>3.4562000000000002E-2</v>
      </c>
      <c r="AB584">
        <v>5.1539000000000001E-2</v>
      </c>
    </row>
    <row r="585" spans="1:28" x14ac:dyDescent="0.2">
      <c r="A585">
        <v>19800829</v>
      </c>
      <c r="B585">
        <v>1980</v>
      </c>
      <c r="C585">
        <v>8</v>
      </c>
      <c r="D585">
        <v>0.114511</v>
      </c>
      <c r="E585">
        <v>8.8778999999999997E-2</v>
      </c>
      <c r="F585">
        <v>7.3773000000000005E-2</v>
      </c>
      <c r="G585">
        <v>6.8963999999999998E-2</v>
      </c>
      <c r="H585">
        <v>5.1704E-2</v>
      </c>
      <c r="I585">
        <v>8.2945000000000005E-2</v>
      </c>
      <c r="J585">
        <v>7.4218999999999993E-2</v>
      </c>
      <c r="K585">
        <v>3.9031000000000003E-2</v>
      </c>
      <c r="L585">
        <v>3.1491999999999999E-2</v>
      </c>
      <c r="M585">
        <v>3.7603999999999999E-2</v>
      </c>
      <c r="N585">
        <v>6.7340999999999998E-2</v>
      </c>
      <c r="O585">
        <v>6.3306000000000001E-2</v>
      </c>
      <c r="P585">
        <v>2.2588E-2</v>
      </c>
      <c r="Q585">
        <v>1.8867999999999999E-2</v>
      </c>
      <c r="R585">
        <v>8.7010000000000004E-3</v>
      </c>
      <c r="S585">
        <v>4.6626000000000001E-2</v>
      </c>
      <c r="T585">
        <v>2.3947E-2</v>
      </c>
      <c r="U585">
        <v>2.5617999999999998E-2</v>
      </c>
      <c r="V585">
        <v>4.8799999999999999E-4</v>
      </c>
      <c r="W585">
        <v>5.868E-3</v>
      </c>
      <c r="X585">
        <v>2.0542000000000001E-2</v>
      </c>
      <c r="Y585">
        <v>9.7549999999999998E-3</v>
      </c>
      <c r="Z585">
        <v>1.3896E-2</v>
      </c>
      <c r="AA585">
        <v>1.9722E-2</v>
      </c>
      <c r="AB585">
        <v>1.2400000000000001E-4</v>
      </c>
    </row>
    <row r="586" spans="1:28" x14ac:dyDescent="0.2">
      <c r="A586">
        <v>19800930</v>
      </c>
      <c r="B586">
        <v>1980</v>
      </c>
      <c r="C586">
        <v>9</v>
      </c>
      <c r="D586">
        <v>6.6021999999999997E-2</v>
      </c>
      <c r="E586">
        <v>2.8386999999999999E-2</v>
      </c>
      <c r="F586">
        <v>2.7415999999999999E-2</v>
      </c>
      <c r="G586">
        <v>1.4919999999999999E-2</v>
      </c>
      <c r="H586">
        <v>2.9283E-2</v>
      </c>
      <c r="I586">
        <v>4.5844999999999997E-2</v>
      </c>
      <c r="J586">
        <v>3.7638999999999999E-2</v>
      </c>
      <c r="K586">
        <v>3.6413000000000001E-2</v>
      </c>
      <c r="L586">
        <v>9.2580000000000006E-3</v>
      </c>
      <c r="M586">
        <v>8.9580000000000007E-3</v>
      </c>
      <c r="N586">
        <v>5.7589000000000001E-2</v>
      </c>
      <c r="O586">
        <v>2.3064999999999999E-2</v>
      </c>
      <c r="P586">
        <v>2.9864999999999999E-2</v>
      </c>
      <c r="Q586">
        <v>1.3671000000000001E-2</v>
      </c>
      <c r="R586">
        <v>-1.2973E-2</v>
      </c>
      <c r="S586">
        <v>5.7555000000000002E-2</v>
      </c>
      <c r="T586">
        <v>4.2768E-2</v>
      </c>
      <c r="U586">
        <v>1.2825E-2</v>
      </c>
      <c r="V586">
        <v>5.1209999999999997E-3</v>
      </c>
      <c r="W586">
        <v>2.4239999999999999E-3</v>
      </c>
      <c r="X586">
        <v>3.1026000000000001E-2</v>
      </c>
      <c r="Y586">
        <v>5.9180000000000003E-2</v>
      </c>
      <c r="Z586">
        <v>3.4952999999999998E-2</v>
      </c>
      <c r="AA586">
        <v>-1.2584E-2</v>
      </c>
      <c r="AB586">
        <v>9.68E-4</v>
      </c>
    </row>
    <row r="587" spans="1:28" x14ac:dyDescent="0.2">
      <c r="A587">
        <v>19801031</v>
      </c>
      <c r="B587">
        <v>1980</v>
      </c>
      <c r="C587">
        <v>10</v>
      </c>
      <c r="D587">
        <v>7.6275999999999997E-2</v>
      </c>
      <c r="E587">
        <v>5.5620000000000003E-2</v>
      </c>
      <c r="F587">
        <v>4.2862999999999998E-2</v>
      </c>
      <c r="G587">
        <v>3.5777000000000003E-2</v>
      </c>
      <c r="H587">
        <v>2.1871000000000002E-2</v>
      </c>
      <c r="I587">
        <v>6.7513000000000004E-2</v>
      </c>
      <c r="J587">
        <v>2.0594000000000001E-2</v>
      </c>
      <c r="K587">
        <v>1.0614999999999999E-2</v>
      </c>
      <c r="L587">
        <v>3.3648999999999998E-2</v>
      </c>
      <c r="M587">
        <v>1.0056000000000001E-2</v>
      </c>
      <c r="N587">
        <v>2.6790000000000001E-2</v>
      </c>
      <c r="O587">
        <v>2.3792000000000001E-2</v>
      </c>
      <c r="P587">
        <v>3.0648999999999999E-2</v>
      </c>
      <c r="Q587">
        <v>1.3886000000000001E-2</v>
      </c>
      <c r="R587">
        <v>2.4598999999999999E-2</v>
      </c>
      <c r="S587">
        <v>2.3053000000000001E-2</v>
      </c>
      <c r="T587">
        <v>2.8223999999999999E-2</v>
      </c>
      <c r="U587">
        <v>-8.6300000000000005E-3</v>
      </c>
      <c r="V587">
        <v>-1.4263E-2</v>
      </c>
      <c r="W587">
        <v>-1.5590000000000001E-3</v>
      </c>
      <c r="X587">
        <v>5.6480000000000002E-3</v>
      </c>
      <c r="Y587">
        <v>4.0906999999999999E-2</v>
      </c>
      <c r="Z587">
        <v>5.0785999999999998E-2</v>
      </c>
      <c r="AA587">
        <v>-1.8706E-2</v>
      </c>
      <c r="AB587">
        <v>6.6730000000000001E-3</v>
      </c>
    </row>
    <row r="588" spans="1:28" x14ac:dyDescent="0.2">
      <c r="A588">
        <v>19801128</v>
      </c>
      <c r="B588">
        <v>1980</v>
      </c>
      <c r="C588">
        <v>11</v>
      </c>
      <c r="D588">
        <v>0.16193299999999999</v>
      </c>
      <c r="E588">
        <v>6.2163999999999997E-2</v>
      </c>
      <c r="F588">
        <v>6.0840999999999999E-2</v>
      </c>
      <c r="G588">
        <v>6.6819999999999996E-3</v>
      </c>
      <c r="H588">
        <v>1.7228E-2</v>
      </c>
      <c r="I588">
        <v>0.13608700000000001</v>
      </c>
      <c r="J588">
        <v>7.4428999999999995E-2</v>
      </c>
      <c r="K588">
        <v>4.3471999999999997E-2</v>
      </c>
      <c r="L588">
        <v>6.5980999999999998E-2</v>
      </c>
      <c r="M588">
        <v>3.3574E-2</v>
      </c>
      <c r="N588">
        <v>0.116087</v>
      </c>
      <c r="O588">
        <v>7.0304000000000005E-2</v>
      </c>
      <c r="P588">
        <v>3.7503000000000002E-2</v>
      </c>
      <c r="Q588">
        <v>2.3236E-2</v>
      </c>
      <c r="R588">
        <v>1.7056000000000002E-2</v>
      </c>
      <c r="S588">
        <v>0.13247100000000001</v>
      </c>
      <c r="T588">
        <v>0.143399</v>
      </c>
      <c r="U588">
        <v>4.5316000000000002E-2</v>
      </c>
      <c r="V588">
        <v>3.0102E-2</v>
      </c>
      <c r="W588">
        <v>9.2879999999999994E-3</v>
      </c>
      <c r="X588">
        <v>0.105958</v>
      </c>
      <c r="Y588">
        <v>0.145006</v>
      </c>
      <c r="Z588">
        <v>0.19233800000000001</v>
      </c>
      <c r="AA588">
        <v>5.0497E-2</v>
      </c>
      <c r="AB588">
        <v>3.9162000000000002E-2</v>
      </c>
    </row>
    <row r="589" spans="1:28" x14ac:dyDescent="0.2">
      <c r="A589">
        <v>19801231</v>
      </c>
      <c r="B589">
        <v>1980</v>
      </c>
      <c r="C589">
        <v>12</v>
      </c>
      <c r="D589">
        <v>-6.3232999999999998E-2</v>
      </c>
      <c r="E589">
        <v>-5.6145E-2</v>
      </c>
      <c r="F589">
        <v>-3.5635E-2</v>
      </c>
      <c r="G589">
        <v>-2.8420999999999998E-2</v>
      </c>
      <c r="H589">
        <v>-3.4653999999999997E-2</v>
      </c>
      <c r="I589">
        <v>-5.1859000000000002E-2</v>
      </c>
      <c r="J589">
        <v>-2.3542E-2</v>
      </c>
      <c r="K589">
        <v>-1.9487000000000001E-2</v>
      </c>
      <c r="L589">
        <v>-1.4447E-2</v>
      </c>
      <c r="M589">
        <v>-7.62E-3</v>
      </c>
      <c r="N589">
        <v>-3.8744000000000001E-2</v>
      </c>
      <c r="O589">
        <v>-3.1288999999999997E-2</v>
      </c>
      <c r="P589">
        <v>-5.509E-3</v>
      </c>
      <c r="Q589">
        <v>-1.1494000000000001E-2</v>
      </c>
      <c r="R589">
        <v>-3.1410000000000001E-3</v>
      </c>
      <c r="S589">
        <v>-3.6221000000000003E-2</v>
      </c>
      <c r="T589">
        <v>-4.5901999999999998E-2</v>
      </c>
      <c r="U589">
        <v>-6.7819999999999998E-3</v>
      </c>
      <c r="V589">
        <v>5.5669999999999999E-3</v>
      </c>
      <c r="W589">
        <v>-4.1609999999999998E-3</v>
      </c>
      <c r="X589">
        <v>9.5399999999999999E-4</v>
      </c>
      <c r="Y589">
        <v>-5.6370000000000003E-2</v>
      </c>
      <c r="Z589">
        <v>-5.9566000000000001E-2</v>
      </c>
      <c r="AA589">
        <v>-1.3532000000000001E-2</v>
      </c>
      <c r="AB589">
        <v>-2.127E-3</v>
      </c>
    </row>
    <row r="590" spans="1:28" x14ac:dyDescent="0.2">
      <c r="A590">
        <v>19810130</v>
      </c>
      <c r="B590">
        <v>1981</v>
      </c>
      <c r="C590">
        <v>1</v>
      </c>
      <c r="D590">
        <v>-4.5279E-2</v>
      </c>
      <c r="E590">
        <v>-2.1979999999999999E-3</v>
      </c>
      <c r="F590">
        <v>1.7222999999999999E-2</v>
      </c>
      <c r="G590">
        <v>1.8567E-2</v>
      </c>
      <c r="H590">
        <v>3.2310999999999999E-2</v>
      </c>
      <c r="I590">
        <v>-4.9179E-2</v>
      </c>
      <c r="J590">
        <v>-2.0119999999999999E-3</v>
      </c>
      <c r="K590">
        <v>9.41E-4</v>
      </c>
      <c r="L590">
        <v>1.6971E-2</v>
      </c>
      <c r="M590">
        <v>3.3515999999999997E-2</v>
      </c>
      <c r="N590">
        <v>-4.3442000000000001E-2</v>
      </c>
      <c r="O590">
        <v>-1.6331999999999999E-2</v>
      </c>
      <c r="P590">
        <v>-1.1363E-2</v>
      </c>
      <c r="Q590">
        <v>1.9854E-2</v>
      </c>
      <c r="R590">
        <v>2.9111999999999999E-2</v>
      </c>
      <c r="S590">
        <v>-6.6919000000000006E-2</v>
      </c>
      <c r="T590">
        <v>-3.3917000000000003E-2</v>
      </c>
      <c r="U590">
        <v>-6.5069999999999998E-3</v>
      </c>
      <c r="V590">
        <v>6.757E-3</v>
      </c>
      <c r="W590">
        <v>1.5124E-2</v>
      </c>
      <c r="X590">
        <v>-6.0726000000000002E-2</v>
      </c>
      <c r="Y590">
        <v>-7.5056999999999999E-2</v>
      </c>
      <c r="Z590">
        <v>-6.6319000000000003E-2</v>
      </c>
      <c r="AA590">
        <v>-5.9599999999999996E-4</v>
      </c>
      <c r="AB590">
        <v>2.2706E-2</v>
      </c>
    </row>
    <row r="591" spans="1:28" x14ac:dyDescent="0.2">
      <c r="A591">
        <v>19810227</v>
      </c>
      <c r="B591">
        <v>1981</v>
      </c>
      <c r="C591">
        <v>2</v>
      </c>
      <c r="D591">
        <v>-3.3410000000000002E-2</v>
      </c>
      <c r="E591">
        <v>7.0600000000000003E-4</v>
      </c>
      <c r="F591">
        <v>9.6469999999999993E-3</v>
      </c>
      <c r="G591">
        <v>2.2745000000000001E-2</v>
      </c>
      <c r="H591">
        <v>2.4584000000000002E-2</v>
      </c>
      <c r="I591">
        <v>-4.352E-3</v>
      </c>
      <c r="J591">
        <v>1.5030999999999999E-2</v>
      </c>
      <c r="K591">
        <v>2.9840999999999999E-2</v>
      </c>
      <c r="L591">
        <v>3.5032000000000001E-2</v>
      </c>
      <c r="M591">
        <v>3.7843000000000002E-2</v>
      </c>
      <c r="N591">
        <v>2.2775E-2</v>
      </c>
      <c r="O591">
        <v>2.3762999999999999E-2</v>
      </c>
      <c r="P591">
        <v>3.8554999999999999E-2</v>
      </c>
      <c r="Q591">
        <v>-6.6100000000000002E-4</v>
      </c>
      <c r="R591">
        <v>1.4898E-2</v>
      </c>
      <c r="S591">
        <v>1.4282E-2</v>
      </c>
      <c r="T591">
        <v>2.9201999999999999E-2</v>
      </c>
      <c r="U591">
        <v>4.2949000000000001E-2</v>
      </c>
      <c r="V591">
        <v>1.3728000000000001E-2</v>
      </c>
      <c r="W591">
        <v>3.6630000000000003E-2</v>
      </c>
      <c r="X591">
        <v>3.2787999999999998E-2</v>
      </c>
      <c r="Y591">
        <v>1.9692999999999999E-2</v>
      </c>
      <c r="Z591">
        <v>-6.6E-3</v>
      </c>
      <c r="AA591">
        <v>3.0668999999999998E-2</v>
      </c>
      <c r="AB591">
        <v>-4.7320000000000001E-3</v>
      </c>
    </row>
    <row r="592" spans="1:28" x14ac:dyDescent="0.2">
      <c r="A592">
        <v>19810331</v>
      </c>
      <c r="B592">
        <v>1981</v>
      </c>
      <c r="C592">
        <v>3</v>
      </c>
      <c r="D592">
        <v>7.3030999999999999E-2</v>
      </c>
      <c r="E592">
        <v>9.5069000000000001E-2</v>
      </c>
      <c r="F592">
        <v>8.5554000000000005E-2</v>
      </c>
      <c r="G592">
        <v>9.1964000000000004E-2</v>
      </c>
      <c r="H592">
        <v>7.3426000000000005E-2</v>
      </c>
      <c r="I592">
        <v>7.9904000000000003E-2</v>
      </c>
      <c r="J592">
        <v>8.1903000000000004E-2</v>
      </c>
      <c r="K592">
        <v>8.2198999999999994E-2</v>
      </c>
      <c r="L592">
        <v>7.6329999999999995E-2</v>
      </c>
      <c r="M592">
        <v>7.6062000000000005E-2</v>
      </c>
      <c r="N592">
        <v>7.6648999999999995E-2</v>
      </c>
      <c r="O592">
        <v>7.7332999999999999E-2</v>
      </c>
      <c r="P592">
        <v>7.5014999999999998E-2</v>
      </c>
      <c r="Q592">
        <v>9.1495000000000007E-2</v>
      </c>
      <c r="R592">
        <v>7.0280999999999996E-2</v>
      </c>
      <c r="S592">
        <v>8.8895000000000002E-2</v>
      </c>
      <c r="T592">
        <v>6.3126000000000002E-2</v>
      </c>
      <c r="U592">
        <v>9.0944999999999998E-2</v>
      </c>
      <c r="V592">
        <v>7.1695999999999996E-2</v>
      </c>
      <c r="W592">
        <v>7.6235999999999998E-2</v>
      </c>
      <c r="X592">
        <v>2.9721000000000001E-2</v>
      </c>
      <c r="Y592">
        <v>3.1655999999999997E-2</v>
      </c>
      <c r="Z592">
        <v>-4.2180000000000004E-3</v>
      </c>
      <c r="AA592">
        <v>3.9884000000000003E-2</v>
      </c>
      <c r="AB592">
        <v>8.1855999999999998E-2</v>
      </c>
    </row>
    <row r="593" spans="1:28" x14ac:dyDescent="0.2">
      <c r="A593">
        <v>19810430</v>
      </c>
      <c r="B593">
        <v>1981</v>
      </c>
      <c r="C593">
        <v>4</v>
      </c>
      <c r="D593">
        <v>3.0513999999999999E-2</v>
      </c>
      <c r="E593">
        <v>4.7255999999999999E-2</v>
      </c>
      <c r="F593">
        <v>3.6678000000000002E-2</v>
      </c>
      <c r="G593">
        <v>4.7023000000000002E-2</v>
      </c>
      <c r="H593">
        <v>5.5424000000000001E-2</v>
      </c>
      <c r="I593">
        <v>1.6150999999999999E-2</v>
      </c>
      <c r="J593">
        <v>3.6169E-2</v>
      </c>
      <c r="K593">
        <v>3.6865000000000002E-2</v>
      </c>
      <c r="L593">
        <v>3.7522E-2</v>
      </c>
      <c r="M593">
        <v>3.7851000000000003E-2</v>
      </c>
      <c r="N593">
        <v>2.0933E-2</v>
      </c>
      <c r="O593">
        <v>3.4174999999999997E-2</v>
      </c>
      <c r="P593">
        <v>1.5159000000000001E-2</v>
      </c>
      <c r="Q593">
        <v>9.7800000000000005E-3</v>
      </c>
      <c r="R593">
        <v>4.0187E-2</v>
      </c>
      <c r="S593">
        <v>2.7300000000000002E-4</v>
      </c>
      <c r="T593">
        <v>-7.5960000000000003E-3</v>
      </c>
      <c r="U593">
        <v>3.9630000000000004E-3</v>
      </c>
      <c r="V593">
        <v>2.611E-3</v>
      </c>
      <c r="W593">
        <v>1.6922E-2</v>
      </c>
      <c r="X593">
        <v>-2.7168000000000001E-2</v>
      </c>
      <c r="Y593">
        <v>-4.301E-2</v>
      </c>
      <c r="Z593">
        <v>-2.9731E-2</v>
      </c>
      <c r="AA593">
        <v>2.2707999999999999E-2</v>
      </c>
      <c r="AB593">
        <v>-2.9635000000000002E-2</v>
      </c>
    </row>
    <row r="594" spans="1:28" x14ac:dyDescent="0.2">
      <c r="A594">
        <v>19810529</v>
      </c>
      <c r="B594">
        <v>1981</v>
      </c>
      <c r="C594">
        <v>5</v>
      </c>
      <c r="D594">
        <v>5.0035000000000003E-2</v>
      </c>
      <c r="E594">
        <v>5.0087E-2</v>
      </c>
      <c r="F594">
        <v>4.4006999999999998E-2</v>
      </c>
      <c r="G594">
        <v>2.6563E-2</v>
      </c>
      <c r="H594">
        <v>2.7002999999999999E-2</v>
      </c>
      <c r="I594">
        <v>6.2467000000000002E-2</v>
      </c>
      <c r="J594">
        <v>2.2627999999999999E-2</v>
      </c>
      <c r="K594">
        <v>2.6339000000000001E-2</v>
      </c>
      <c r="L594">
        <v>3.5179999999999999E-3</v>
      </c>
      <c r="M594">
        <v>2.3234999999999999E-2</v>
      </c>
      <c r="N594">
        <v>2.1731E-2</v>
      </c>
      <c r="O594">
        <v>3.8186999999999999E-2</v>
      </c>
      <c r="P594">
        <v>2.8126999999999999E-2</v>
      </c>
      <c r="Q594">
        <v>1.4423999999999999E-2</v>
      </c>
      <c r="R594">
        <v>5.5497999999999999E-2</v>
      </c>
      <c r="S594">
        <v>3.6174999999999999E-2</v>
      </c>
      <c r="T594">
        <v>1.6383999999999999E-2</v>
      </c>
      <c r="U594">
        <v>2.2627999999999999E-2</v>
      </c>
      <c r="V594">
        <v>1.089E-2</v>
      </c>
      <c r="W594">
        <v>3.3265999999999997E-2</v>
      </c>
      <c r="X594">
        <v>1.6341999999999999E-2</v>
      </c>
      <c r="Y594">
        <v>-2.1621000000000001E-2</v>
      </c>
      <c r="Z594">
        <v>-2.0974E-2</v>
      </c>
      <c r="AA594">
        <v>3.6199000000000002E-2</v>
      </c>
      <c r="AB594">
        <v>7.424E-3</v>
      </c>
    </row>
    <row r="595" spans="1:28" x14ac:dyDescent="0.2">
      <c r="A595">
        <v>19810630</v>
      </c>
      <c r="B595">
        <v>1981</v>
      </c>
      <c r="C595">
        <v>6</v>
      </c>
      <c r="D595">
        <v>-7.1437E-2</v>
      </c>
      <c r="E595">
        <v>-3.6600000000000001E-3</v>
      </c>
      <c r="F595">
        <v>1.2324E-2</v>
      </c>
      <c r="G595">
        <v>2.7317000000000001E-2</v>
      </c>
      <c r="H595">
        <v>1.141E-2</v>
      </c>
      <c r="I595">
        <v>-7.0403999999999994E-2</v>
      </c>
      <c r="J595">
        <v>-5.5510000000000004E-3</v>
      </c>
      <c r="K595">
        <v>-6.4700000000000001E-3</v>
      </c>
      <c r="L595">
        <v>-1.547E-3</v>
      </c>
      <c r="M595">
        <v>1.8235000000000001E-2</v>
      </c>
      <c r="N595">
        <v>-5.0743999999999997E-2</v>
      </c>
      <c r="O595">
        <v>-1.3029999999999999E-3</v>
      </c>
      <c r="P595">
        <v>-3.8630000000000001E-3</v>
      </c>
      <c r="Q595">
        <v>2.1666999999999999E-2</v>
      </c>
      <c r="R595">
        <v>-2.2314000000000001E-2</v>
      </c>
      <c r="S595">
        <v>-5.2188999999999999E-2</v>
      </c>
      <c r="T595">
        <v>-1.6431000000000001E-2</v>
      </c>
      <c r="U595">
        <v>6.221E-3</v>
      </c>
      <c r="V595">
        <v>2.6519000000000001E-2</v>
      </c>
      <c r="W595">
        <v>-4.9150000000000001E-3</v>
      </c>
      <c r="X595">
        <v>-4.4195999999999999E-2</v>
      </c>
      <c r="Y595">
        <v>1.1393E-2</v>
      </c>
      <c r="Z595">
        <v>3.4834999999999998E-2</v>
      </c>
      <c r="AA595">
        <v>-6.3369999999999998E-3</v>
      </c>
      <c r="AB595">
        <v>5.7780000000000001E-3</v>
      </c>
    </row>
    <row r="596" spans="1:28" x14ac:dyDescent="0.2">
      <c r="A596">
        <v>19810731</v>
      </c>
      <c r="B596">
        <v>1981</v>
      </c>
      <c r="C596">
        <v>7</v>
      </c>
      <c r="D596">
        <v>-4.4745E-2</v>
      </c>
      <c r="E596">
        <v>-3.4373000000000001E-2</v>
      </c>
      <c r="F596">
        <v>-2.7751999999999999E-2</v>
      </c>
      <c r="G596">
        <v>-2.1926000000000001E-2</v>
      </c>
      <c r="H596">
        <v>-2.2866999999999998E-2</v>
      </c>
      <c r="I596">
        <v>-2.5468999999999999E-2</v>
      </c>
      <c r="J596">
        <v>-3.4590000000000003E-2</v>
      </c>
      <c r="K596">
        <v>-5.8399999999999997E-3</v>
      </c>
      <c r="L596">
        <v>-1.5322000000000001E-2</v>
      </c>
      <c r="M596">
        <v>-1.9831000000000001E-2</v>
      </c>
      <c r="N596">
        <v>-1.1927E-2</v>
      </c>
      <c r="O596">
        <v>-2.0778000000000001E-2</v>
      </c>
      <c r="P596">
        <v>-2.9687999999999999E-2</v>
      </c>
      <c r="Q596">
        <v>-2.9679000000000001E-2</v>
      </c>
      <c r="R596">
        <v>-3.6510000000000002E-3</v>
      </c>
      <c r="S596">
        <v>2.0437E-2</v>
      </c>
      <c r="T596">
        <v>-1.0296E-2</v>
      </c>
      <c r="U596">
        <v>-2.3428000000000001E-2</v>
      </c>
      <c r="V596">
        <v>-2.5752000000000001E-2</v>
      </c>
      <c r="W596">
        <v>-3.3042000000000002E-2</v>
      </c>
      <c r="X596">
        <v>1.7278999999999999E-2</v>
      </c>
      <c r="Y596">
        <v>2.8065E-2</v>
      </c>
      <c r="Z596">
        <v>-2.1069000000000001E-2</v>
      </c>
      <c r="AA596">
        <v>-2.1007999999999999E-2</v>
      </c>
      <c r="AB596">
        <v>6.0270000000000002E-3</v>
      </c>
    </row>
    <row r="597" spans="1:28" x14ac:dyDescent="0.2">
      <c r="A597">
        <v>19810831</v>
      </c>
      <c r="B597">
        <v>1981</v>
      </c>
      <c r="C597">
        <v>8</v>
      </c>
      <c r="D597">
        <v>-0.12789200000000001</v>
      </c>
      <c r="E597">
        <v>-8.5861999999999994E-2</v>
      </c>
      <c r="F597">
        <v>-7.3326000000000002E-2</v>
      </c>
      <c r="G597">
        <v>-5.7026E-2</v>
      </c>
      <c r="H597">
        <v>-4.9689999999999998E-2</v>
      </c>
      <c r="I597">
        <v>-0.104002</v>
      </c>
      <c r="J597">
        <v>-8.0595E-2</v>
      </c>
      <c r="K597">
        <v>-4.8723000000000002E-2</v>
      </c>
      <c r="L597">
        <v>-5.2076999999999998E-2</v>
      </c>
      <c r="M597">
        <v>-5.6208000000000001E-2</v>
      </c>
      <c r="N597">
        <v>-8.5943000000000006E-2</v>
      </c>
      <c r="O597">
        <v>-6.0188999999999999E-2</v>
      </c>
      <c r="P597">
        <v>-5.5095999999999999E-2</v>
      </c>
      <c r="Q597">
        <v>-5.6147000000000002E-2</v>
      </c>
      <c r="R597">
        <v>-3.4007999999999997E-2</v>
      </c>
      <c r="S597">
        <v>-6.8607000000000001E-2</v>
      </c>
      <c r="T597">
        <v>-6.1783999999999999E-2</v>
      </c>
      <c r="U597">
        <v>-3.8359999999999998E-2</v>
      </c>
      <c r="V597">
        <v>-5.2950999999999998E-2</v>
      </c>
      <c r="W597">
        <v>-3.2275999999999999E-2</v>
      </c>
      <c r="X597">
        <v>-6.1433000000000001E-2</v>
      </c>
      <c r="Y597">
        <v>-6.7002000000000006E-2</v>
      </c>
      <c r="Z597">
        <v>-5.6989999999999999E-2</v>
      </c>
      <c r="AA597">
        <v>-5.2076999999999998E-2</v>
      </c>
      <c r="AB597">
        <v>-3.9269999999999999E-3</v>
      </c>
    </row>
    <row r="598" spans="1:28" x14ac:dyDescent="0.2">
      <c r="A598">
        <v>19810930</v>
      </c>
      <c r="B598">
        <v>1981</v>
      </c>
      <c r="C598">
        <v>9</v>
      </c>
      <c r="D598">
        <v>-0.135186</v>
      </c>
      <c r="E598">
        <v>-8.3829000000000001E-2</v>
      </c>
      <c r="F598">
        <v>-7.4190000000000006E-2</v>
      </c>
      <c r="G598">
        <v>-6.4692E-2</v>
      </c>
      <c r="H598">
        <v>-6.3112000000000001E-2</v>
      </c>
      <c r="I598">
        <v>-0.102271</v>
      </c>
      <c r="J598">
        <v>-6.8945000000000006E-2</v>
      </c>
      <c r="K598">
        <v>-6.4074999999999993E-2</v>
      </c>
      <c r="L598">
        <v>-3.1335000000000002E-2</v>
      </c>
      <c r="M598">
        <v>-5.5552999999999998E-2</v>
      </c>
      <c r="N598">
        <v>-9.3121999999999996E-2</v>
      </c>
      <c r="O598">
        <v>-5.8383999999999998E-2</v>
      </c>
      <c r="P598">
        <v>-5.9896999999999999E-2</v>
      </c>
      <c r="Q598">
        <v>-1.6948999999999999E-2</v>
      </c>
      <c r="R598">
        <v>-3.9144999999999999E-2</v>
      </c>
      <c r="S598">
        <v>-9.3024999999999997E-2</v>
      </c>
      <c r="T598">
        <v>-8.0007999999999996E-2</v>
      </c>
      <c r="U598">
        <v>-6.5936999999999996E-2</v>
      </c>
      <c r="V598">
        <v>-3.7159999999999999E-2</v>
      </c>
      <c r="W598">
        <v>-4.3617999999999997E-2</v>
      </c>
      <c r="X598">
        <v>-6.3760999999999998E-2</v>
      </c>
      <c r="Y598">
        <v>-5.9497000000000001E-2</v>
      </c>
      <c r="Z598">
        <v>-5.9470000000000002E-2</v>
      </c>
      <c r="AA598">
        <v>-2.5649000000000002E-2</v>
      </c>
      <c r="AB598">
        <v>4.7980000000000002E-3</v>
      </c>
    </row>
    <row r="599" spans="1:28" x14ac:dyDescent="0.2">
      <c r="A599">
        <v>19811030</v>
      </c>
      <c r="B599">
        <v>1981</v>
      </c>
      <c r="C599">
        <v>10</v>
      </c>
      <c r="D599">
        <v>0.10430200000000001</v>
      </c>
      <c r="E599">
        <v>8.1322000000000005E-2</v>
      </c>
      <c r="F599">
        <v>8.3880999999999997E-2</v>
      </c>
      <c r="G599">
        <v>7.0112999999999995E-2</v>
      </c>
      <c r="H599">
        <v>4.9491E-2</v>
      </c>
      <c r="I599">
        <v>0.111444</v>
      </c>
      <c r="J599">
        <v>6.633E-2</v>
      </c>
      <c r="K599">
        <v>6.8915000000000004E-2</v>
      </c>
      <c r="L599">
        <v>7.5232999999999994E-2</v>
      </c>
      <c r="M599">
        <v>6.0790999999999998E-2</v>
      </c>
      <c r="N599">
        <v>0.109749</v>
      </c>
      <c r="O599">
        <v>5.0306999999999998E-2</v>
      </c>
      <c r="P599">
        <v>7.2459999999999997E-2</v>
      </c>
      <c r="Q599">
        <v>5.0183999999999999E-2</v>
      </c>
      <c r="R599">
        <v>4.3927000000000001E-2</v>
      </c>
      <c r="S599">
        <v>0.102795</v>
      </c>
      <c r="T599">
        <v>7.4791999999999997E-2</v>
      </c>
      <c r="U599">
        <v>5.1062999999999997E-2</v>
      </c>
      <c r="V599">
        <v>4.1359E-2</v>
      </c>
      <c r="W599">
        <v>3.6878000000000001E-2</v>
      </c>
      <c r="X599">
        <v>7.8403E-2</v>
      </c>
      <c r="Y599">
        <v>7.6569999999999999E-2</v>
      </c>
      <c r="Z599">
        <v>2.7706000000000001E-2</v>
      </c>
      <c r="AA599">
        <v>1.3946999999999999E-2</v>
      </c>
      <c r="AB599">
        <v>4.8069000000000001E-2</v>
      </c>
    </row>
    <row r="600" spans="1:28" x14ac:dyDescent="0.2">
      <c r="A600">
        <v>19811130</v>
      </c>
      <c r="B600">
        <v>1981</v>
      </c>
      <c r="C600">
        <v>11</v>
      </c>
      <c r="D600">
        <v>-1.2370000000000001E-2</v>
      </c>
      <c r="E600">
        <v>2.3498000000000002E-2</v>
      </c>
      <c r="F600">
        <v>3.977E-2</v>
      </c>
      <c r="G600">
        <v>2.6404E-2</v>
      </c>
      <c r="H600">
        <v>4.0738000000000003E-2</v>
      </c>
      <c r="I600">
        <v>1.4626999999999999E-2</v>
      </c>
      <c r="J600">
        <v>5.5766999999999997E-2</v>
      </c>
      <c r="K600">
        <v>4.6403E-2</v>
      </c>
      <c r="L600">
        <v>6.0621000000000001E-2</v>
      </c>
      <c r="M600">
        <v>5.5714E-2</v>
      </c>
      <c r="N600">
        <v>5.0350000000000004E-3</v>
      </c>
      <c r="O600">
        <v>2.7046000000000001E-2</v>
      </c>
      <c r="P600">
        <v>4.3647999999999999E-2</v>
      </c>
      <c r="Q600">
        <v>2.8523E-2</v>
      </c>
      <c r="R600">
        <v>5.3544000000000001E-2</v>
      </c>
      <c r="S600">
        <v>3.6077999999999999E-2</v>
      </c>
      <c r="T600">
        <v>4.7182000000000002E-2</v>
      </c>
      <c r="U600">
        <v>2.6232999999999999E-2</v>
      </c>
      <c r="V600">
        <v>7.2541999999999995E-2</v>
      </c>
      <c r="W600">
        <v>4.7421999999999999E-2</v>
      </c>
      <c r="X600">
        <v>3.6479999999999999E-2</v>
      </c>
      <c r="Y600">
        <v>5.7391999999999999E-2</v>
      </c>
      <c r="Z600">
        <v>5.3101000000000002E-2</v>
      </c>
      <c r="AA600">
        <v>4.2228000000000002E-2</v>
      </c>
      <c r="AB600">
        <v>3.7671000000000003E-2</v>
      </c>
    </row>
    <row r="601" spans="1:28" x14ac:dyDescent="0.2">
      <c r="A601">
        <v>19811231</v>
      </c>
      <c r="B601">
        <v>1981</v>
      </c>
      <c r="C601">
        <v>12</v>
      </c>
      <c r="D601">
        <v>-4.0801999999999998E-2</v>
      </c>
      <c r="E601">
        <v>-2.1190000000000001E-2</v>
      </c>
      <c r="F601">
        <v>-5.8219999999999999E-3</v>
      </c>
      <c r="G601">
        <v>-4.5599999999999998E-3</v>
      </c>
      <c r="H601">
        <v>-1.1325999999999999E-2</v>
      </c>
      <c r="I601">
        <v>-1.6861000000000001E-2</v>
      </c>
      <c r="J601">
        <v>-4.6109999999999996E-3</v>
      </c>
      <c r="K601">
        <v>-1.9588999999999999E-2</v>
      </c>
      <c r="L601">
        <v>-2.4368000000000001E-2</v>
      </c>
      <c r="M601">
        <v>-1.6236E-2</v>
      </c>
      <c r="N601">
        <v>-1.9906E-2</v>
      </c>
      <c r="O601">
        <v>-1.9795E-2</v>
      </c>
      <c r="P601">
        <v>-1.0462000000000001E-2</v>
      </c>
      <c r="Q601">
        <v>-1.2054E-2</v>
      </c>
      <c r="R601">
        <v>-3.1408999999999999E-2</v>
      </c>
      <c r="S601">
        <v>-3.2410000000000001E-2</v>
      </c>
      <c r="T601">
        <v>-2.1887E-2</v>
      </c>
      <c r="U601">
        <v>-1.4876E-2</v>
      </c>
      <c r="V601">
        <v>-2.6568000000000001E-2</v>
      </c>
      <c r="W601">
        <v>-2.3695999999999998E-2</v>
      </c>
      <c r="X601">
        <v>-2.9264999999999999E-2</v>
      </c>
      <c r="Y601">
        <v>-3.4171E-2</v>
      </c>
      <c r="Z601">
        <v>-3.8331999999999998E-2</v>
      </c>
      <c r="AA601">
        <v>-1.9265000000000001E-2</v>
      </c>
      <c r="AB601">
        <v>-1.7944999999999999E-2</v>
      </c>
    </row>
    <row r="602" spans="1:28" x14ac:dyDescent="0.2">
      <c r="A602">
        <v>19820129</v>
      </c>
      <c r="B602">
        <v>1982</v>
      </c>
      <c r="C602">
        <v>1</v>
      </c>
      <c r="D602">
        <v>-3.0766999999999999E-2</v>
      </c>
      <c r="E602">
        <v>-5.5180000000000003E-3</v>
      </c>
      <c r="F602">
        <v>-1.7061E-2</v>
      </c>
      <c r="G602">
        <v>-1.4475E-2</v>
      </c>
      <c r="H602">
        <v>-2.591E-3</v>
      </c>
      <c r="I602">
        <v>-5.5280999999999997E-2</v>
      </c>
      <c r="J602">
        <v>-2.9309999999999999E-2</v>
      </c>
      <c r="K602">
        <v>-4.2500000000000003E-2</v>
      </c>
      <c r="L602">
        <v>-2.9492000000000001E-2</v>
      </c>
      <c r="M602">
        <v>2.4139999999999999E-3</v>
      </c>
      <c r="N602">
        <v>-6.3114000000000003E-2</v>
      </c>
      <c r="O602">
        <v>-3.2217999999999997E-2</v>
      </c>
      <c r="P602">
        <v>-4.8675000000000003E-2</v>
      </c>
      <c r="Q602">
        <v>-2.2265E-2</v>
      </c>
      <c r="R602">
        <v>1.4239E-2</v>
      </c>
      <c r="S602">
        <v>-6.6075999999999996E-2</v>
      </c>
      <c r="T602">
        <v>-4.3012000000000002E-2</v>
      </c>
      <c r="U602">
        <v>-3.7131999999999998E-2</v>
      </c>
      <c r="V602">
        <v>-1.4825E-2</v>
      </c>
      <c r="W602">
        <v>-1.7062999999999998E-2</v>
      </c>
      <c r="X602">
        <v>-2.5070000000000001E-3</v>
      </c>
      <c r="Y602">
        <v>-3.8524000000000003E-2</v>
      </c>
      <c r="Z602">
        <v>-2.5975999999999999E-2</v>
      </c>
      <c r="AA602">
        <v>-1.3566999999999999E-2</v>
      </c>
      <c r="AB602">
        <v>1.4328E-2</v>
      </c>
    </row>
    <row r="603" spans="1:28" x14ac:dyDescent="0.2">
      <c r="A603">
        <v>19820226</v>
      </c>
      <c r="B603">
        <v>1982</v>
      </c>
      <c r="C603">
        <v>2</v>
      </c>
      <c r="D603">
        <v>-7.8849000000000002E-2</v>
      </c>
      <c r="E603">
        <v>-4.0936E-2</v>
      </c>
      <c r="F603">
        <v>-2.9416000000000001E-2</v>
      </c>
      <c r="G603">
        <v>-2.7453999999999999E-2</v>
      </c>
      <c r="H603">
        <v>-9.0589999999999993E-3</v>
      </c>
      <c r="I603">
        <v>-7.3591000000000004E-2</v>
      </c>
      <c r="J603">
        <v>-4.4110999999999997E-2</v>
      </c>
      <c r="K603">
        <v>-4.2735000000000002E-2</v>
      </c>
      <c r="L603">
        <v>-9.7280000000000005E-3</v>
      </c>
      <c r="M603">
        <v>-4.9909999999999998E-3</v>
      </c>
      <c r="N603">
        <v>-8.0643999999999993E-2</v>
      </c>
      <c r="O603">
        <v>-2.4428999999999999E-2</v>
      </c>
      <c r="P603">
        <v>-1.4886E-2</v>
      </c>
      <c r="Q603">
        <v>-3.125E-2</v>
      </c>
      <c r="R603">
        <v>4.4079999999999996E-3</v>
      </c>
      <c r="S603">
        <v>-6.8936999999999998E-2</v>
      </c>
      <c r="T603">
        <v>-6.5001000000000003E-2</v>
      </c>
      <c r="U603">
        <v>-3.3165E-2</v>
      </c>
      <c r="V603">
        <v>-1.7639999999999999E-3</v>
      </c>
      <c r="W603">
        <v>6.9740000000000002E-3</v>
      </c>
      <c r="X603">
        <v>-7.4232999999999993E-2</v>
      </c>
      <c r="Y603">
        <v>-7.3650999999999994E-2</v>
      </c>
      <c r="Z603">
        <v>-2.6471999999999999E-2</v>
      </c>
      <c r="AA603">
        <v>-1.1844E-2</v>
      </c>
      <c r="AB603">
        <v>-3.9196000000000002E-2</v>
      </c>
    </row>
    <row r="604" spans="1:28" x14ac:dyDescent="0.2">
      <c r="A604">
        <v>19820331</v>
      </c>
      <c r="B604">
        <v>1982</v>
      </c>
      <c r="C604">
        <v>3</v>
      </c>
      <c r="D604">
        <v>-1.9479E-2</v>
      </c>
      <c r="E604">
        <v>-3.666E-3</v>
      </c>
      <c r="F604">
        <v>-1.2175E-2</v>
      </c>
      <c r="G604">
        <v>-2.8630000000000001E-3</v>
      </c>
      <c r="H604">
        <v>1.263E-3</v>
      </c>
      <c r="I604">
        <v>-3.6920000000000001E-2</v>
      </c>
      <c r="J604">
        <v>4.8700000000000002E-4</v>
      </c>
      <c r="K604">
        <v>-1.1749000000000001E-2</v>
      </c>
      <c r="L604">
        <v>1.7461000000000001E-2</v>
      </c>
      <c r="M604">
        <v>1.8519000000000001E-2</v>
      </c>
      <c r="N604">
        <v>-2.3411999999999999E-2</v>
      </c>
      <c r="O604">
        <v>-1.738E-3</v>
      </c>
      <c r="P604">
        <v>1.2911000000000001E-2</v>
      </c>
      <c r="Q604">
        <v>-3.5279999999999999E-3</v>
      </c>
      <c r="R604">
        <v>2.8518999999999999E-2</v>
      </c>
      <c r="S604">
        <v>-3.0307000000000001E-2</v>
      </c>
      <c r="T604">
        <v>-1.4626999999999999E-2</v>
      </c>
      <c r="U604">
        <v>-2.604E-3</v>
      </c>
      <c r="V604">
        <v>1.2210000000000001E-3</v>
      </c>
      <c r="W604">
        <v>1.0514000000000001E-2</v>
      </c>
      <c r="X604">
        <v>-3.4956000000000001E-2</v>
      </c>
      <c r="Y604">
        <v>4.4079999999999996E-3</v>
      </c>
      <c r="Z604">
        <v>-1.4777999999999999E-2</v>
      </c>
      <c r="AA604">
        <v>2.681E-2</v>
      </c>
      <c r="AB604">
        <v>2.036E-2</v>
      </c>
    </row>
    <row r="605" spans="1:28" x14ac:dyDescent="0.2">
      <c r="A605">
        <v>19820430</v>
      </c>
      <c r="B605">
        <v>1982</v>
      </c>
      <c r="C605">
        <v>4</v>
      </c>
      <c r="D605">
        <v>6.4859E-2</v>
      </c>
      <c r="E605">
        <v>6.2539999999999998E-2</v>
      </c>
      <c r="F605">
        <v>5.0292999999999997E-2</v>
      </c>
      <c r="G605">
        <v>5.0369999999999998E-2</v>
      </c>
      <c r="H605">
        <v>4.5206000000000003E-2</v>
      </c>
      <c r="I605">
        <v>6.7055000000000003E-2</v>
      </c>
      <c r="J605">
        <v>6.9425000000000001E-2</v>
      </c>
      <c r="K605">
        <v>5.6808999999999998E-2</v>
      </c>
      <c r="L605">
        <v>4.3944999999999998E-2</v>
      </c>
      <c r="M605">
        <v>4.1959000000000003E-2</v>
      </c>
      <c r="N605">
        <v>6.3002000000000002E-2</v>
      </c>
      <c r="O605">
        <v>5.7638000000000002E-2</v>
      </c>
      <c r="P605">
        <v>4.5122000000000002E-2</v>
      </c>
      <c r="Q605">
        <v>5.0088000000000001E-2</v>
      </c>
      <c r="R605">
        <v>4.8446000000000003E-2</v>
      </c>
      <c r="S605">
        <v>6.0685000000000003E-2</v>
      </c>
      <c r="T605">
        <v>4.9836999999999999E-2</v>
      </c>
      <c r="U605">
        <v>4.5045000000000002E-2</v>
      </c>
      <c r="V605">
        <v>3.8012999999999998E-2</v>
      </c>
      <c r="W605">
        <v>5.0230999999999998E-2</v>
      </c>
      <c r="X605">
        <v>6.6392999999999994E-2</v>
      </c>
      <c r="Y605">
        <v>3.9276999999999999E-2</v>
      </c>
      <c r="Z605">
        <v>2.7113999999999999E-2</v>
      </c>
      <c r="AA605">
        <v>3.4341000000000003E-2</v>
      </c>
      <c r="AB605">
        <v>5.463E-3</v>
      </c>
    </row>
    <row r="606" spans="1:28" x14ac:dyDescent="0.2">
      <c r="A606">
        <v>19820528</v>
      </c>
      <c r="B606">
        <v>1982</v>
      </c>
      <c r="C606">
        <v>5</v>
      </c>
      <c r="D606">
        <v>-3.1597E-2</v>
      </c>
      <c r="E606">
        <v>-1.6719999999999999E-2</v>
      </c>
      <c r="F606">
        <v>8.2000000000000001E-5</v>
      </c>
      <c r="G606">
        <v>-8.5529999999999998E-3</v>
      </c>
      <c r="H606">
        <v>-7.0829999999999999E-3</v>
      </c>
      <c r="I606">
        <v>-3.9572000000000003E-2</v>
      </c>
      <c r="J606">
        <v>-3.9888E-2</v>
      </c>
      <c r="K606">
        <v>-2.6785E-2</v>
      </c>
      <c r="L606">
        <v>-1.9231999999999999E-2</v>
      </c>
      <c r="M606">
        <v>-1.9871E-2</v>
      </c>
      <c r="N606">
        <v>-3.5531E-2</v>
      </c>
      <c r="O606">
        <v>-2.0778999999999999E-2</v>
      </c>
      <c r="P606">
        <v>-3.2788999999999999E-2</v>
      </c>
      <c r="Q606">
        <v>-1.2494E-2</v>
      </c>
      <c r="R606">
        <v>-1.1502999999999999E-2</v>
      </c>
      <c r="S606">
        <v>-4.7941999999999999E-2</v>
      </c>
      <c r="T606">
        <v>-4.3538E-2</v>
      </c>
      <c r="U606">
        <v>-3.6919E-2</v>
      </c>
      <c r="V606">
        <v>-4.1293000000000003E-2</v>
      </c>
      <c r="W606">
        <v>-2.7761999999999998E-2</v>
      </c>
      <c r="X606">
        <v>-4.0252000000000003E-2</v>
      </c>
      <c r="Y606">
        <v>-1.771E-2</v>
      </c>
      <c r="Z606">
        <v>-1.8592000000000001E-2</v>
      </c>
      <c r="AA606">
        <v>-2.9420000000000002E-2</v>
      </c>
      <c r="AB606">
        <v>-1.2579999999999999E-2</v>
      </c>
    </row>
    <row r="607" spans="1:28" x14ac:dyDescent="0.2">
      <c r="A607">
        <v>19820630</v>
      </c>
      <c r="B607">
        <v>1982</v>
      </c>
      <c r="C607">
        <v>6</v>
      </c>
      <c r="D607">
        <v>-4.4371000000000001E-2</v>
      </c>
      <c r="E607">
        <v>-3.0231999999999998E-2</v>
      </c>
      <c r="F607">
        <v>-2.5745000000000001E-2</v>
      </c>
      <c r="G607">
        <v>-1.1913999999999999E-2</v>
      </c>
      <c r="H607">
        <v>-1.2529999999999999E-2</v>
      </c>
      <c r="I607">
        <v>-4.1724999999999998E-2</v>
      </c>
      <c r="J607">
        <v>-1.3289E-2</v>
      </c>
      <c r="K607">
        <v>-1.506E-2</v>
      </c>
      <c r="L607">
        <v>-5.2529999999999999E-3</v>
      </c>
      <c r="M607">
        <v>-1.2855E-2</v>
      </c>
      <c r="N607">
        <v>-4.1022999999999997E-2</v>
      </c>
      <c r="O607">
        <v>-5.7809999999999997E-3</v>
      </c>
      <c r="P607">
        <v>-4.9360000000000003E-3</v>
      </c>
      <c r="Q607">
        <v>-2.1207E-2</v>
      </c>
      <c r="R607">
        <v>-1.9067000000000001E-2</v>
      </c>
      <c r="S607">
        <v>-4.4814E-2</v>
      </c>
      <c r="T607">
        <v>-3.1068999999999999E-2</v>
      </c>
      <c r="U607">
        <v>-7.7169999999999999E-3</v>
      </c>
      <c r="V607">
        <v>-1.2697E-2</v>
      </c>
      <c r="W607">
        <v>5.0509999999999999E-3</v>
      </c>
      <c r="X607">
        <v>-2.8518999999999999E-2</v>
      </c>
      <c r="Y607">
        <v>-1.0779E-2</v>
      </c>
      <c r="Z607">
        <v>-6.2230000000000002E-3</v>
      </c>
      <c r="AA607">
        <v>-1.8381999999999999E-2</v>
      </c>
      <c r="AB607">
        <v>-2.8774999999999998E-2</v>
      </c>
    </row>
    <row r="608" spans="1:28" x14ac:dyDescent="0.2">
      <c r="A608">
        <v>19820730</v>
      </c>
      <c r="B608">
        <v>1982</v>
      </c>
      <c r="C608">
        <v>7</v>
      </c>
      <c r="D608">
        <v>-3.8191000000000003E-2</v>
      </c>
      <c r="E608">
        <v>-2.4936E-2</v>
      </c>
      <c r="F608">
        <v>3.1779999999999998E-3</v>
      </c>
      <c r="G608">
        <v>-7.685E-3</v>
      </c>
      <c r="H608">
        <v>-4.2459999999999998E-3</v>
      </c>
      <c r="I608">
        <v>-3.2833000000000001E-2</v>
      </c>
      <c r="J608">
        <v>1.2976E-2</v>
      </c>
      <c r="K608">
        <v>-3.6570000000000001E-3</v>
      </c>
      <c r="L608">
        <v>-1.967E-3</v>
      </c>
      <c r="M608">
        <v>-1.0635E-2</v>
      </c>
      <c r="N608">
        <v>-1.8502000000000001E-2</v>
      </c>
      <c r="O608">
        <v>-5.2859999999999999E-3</v>
      </c>
      <c r="P608">
        <v>-2.3535E-2</v>
      </c>
      <c r="Q608">
        <v>-3.4202000000000003E-2</v>
      </c>
      <c r="R608">
        <v>-1.4832E-2</v>
      </c>
      <c r="S608">
        <v>-1.3756000000000001E-2</v>
      </c>
      <c r="T608">
        <v>-4.0745000000000003E-2</v>
      </c>
      <c r="U608">
        <v>-2.9312999999999999E-2</v>
      </c>
      <c r="V608">
        <v>-3.3397000000000003E-2</v>
      </c>
      <c r="W608">
        <v>-2.8108999999999999E-2</v>
      </c>
      <c r="X608">
        <v>6.3590000000000001E-3</v>
      </c>
      <c r="Y608">
        <v>-3.7663000000000002E-2</v>
      </c>
      <c r="Z608">
        <v>-4.437E-2</v>
      </c>
      <c r="AA608">
        <v>-1.9918999999999999E-2</v>
      </c>
      <c r="AB608">
        <v>-1.8293E-2</v>
      </c>
    </row>
    <row r="609" spans="1:28" x14ac:dyDescent="0.2">
      <c r="A609">
        <v>19820831</v>
      </c>
      <c r="B609">
        <v>1982</v>
      </c>
      <c r="C609">
        <v>8</v>
      </c>
      <c r="D609">
        <v>4.8870999999999998E-2</v>
      </c>
      <c r="E609">
        <v>7.1078000000000002E-2</v>
      </c>
      <c r="F609">
        <v>6.7973000000000006E-2</v>
      </c>
      <c r="G609">
        <v>5.1121E-2</v>
      </c>
      <c r="H609">
        <v>5.6479000000000001E-2</v>
      </c>
      <c r="I609">
        <v>7.9019000000000006E-2</v>
      </c>
      <c r="J609">
        <v>8.4996000000000002E-2</v>
      </c>
      <c r="K609">
        <v>9.9737999999999993E-2</v>
      </c>
      <c r="L609">
        <v>7.9533999999999994E-2</v>
      </c>
      <c r="M609">
        <v>8.4352999999999997E-2</v>
      </c>
      <c r="N609">
        <v>0.108374</v>
      </c>
      <c r="O609">
        <v>0.112605</v>
      </c>
      <c r="P609">
        <v>0.11554399999999999</v>
      </c>
      <c r="Q609">
        <v>0.113804</v>
      </c>
      <c r="R609">
        <v>0.107568</v>
      </c>
      <c r="S609">
        <v>0.12094000000000001</v>
      </c>
      <c r="T609">
        <v>0.128492</v>
      </c>
      <c r="U609">
        <v>0.105516</v>
      </c>
      <c r="V609">
        <v>0.125113</v>
      </c>
      <c r="W609">
        <v>0.14008899999999999</v>
      </c>
      <c r="X609">
        <v>0.112424</v>
      </c>
      <c r="Y609">
        <v>0.118461</v>
      </c>
      <c r="Z609">
        <v>0.13005900000000001</v>
      </c>
      <c r="AA609">
        <v>0.13775699999999999</v>
      </c>
      <c r="AB609">
        <v>0.124624</v>
      </c>
    </row>
    <row r="610" spans="1:28" x14ac:dyDescent="0.2">
      <c r="A610">
        <v>19820930</v>
      </c>
      <c r="B610">
        <v>1982</v>
      </c>
      <c r="C610">
        <v>9</v>
      </c>
      <c r="D610">
        <v>2.2221000000000001E-2</v>
      </c>
      <c r="E610">
        <v>2.5610000000000001E-2</v>
      </c>
      <c r="F610">
        <v>5.6961999999999999E-2</v>
      </c>
      <c r="G610">
        <v>3.8636999999999998E-2</v>
      </c>
      <c r="H610">
        <v>4.3536999999999999E-2</v>
      </c>
      <c r="I610">
        <v>2.6594E-2</v>
      </c>
      <c r="J610">
        <v>2.3556000000000001E-2</v>
      </c>
      <c r="K610">
        <v>5.0153000000000003E-2</v>
      </c>
      <c r="L610">
        <v>5.5635999999999998E-2</v>
      </c>
      <c r="M610">
        <v>5.7699E-2</v>
      </c>
      <c r="N610">
        <v>3.1655999999999997E-2</v>
      </c>
      <c r="O610">
        <v>5.5454000000000003E-2</v>
      </c>
      <c r="P610">
        <v>4.3324000000000001E-2</v>
      </c>
      <c r="Q610">
        <v>4.0694000000000001E-2</v>
      </c>
      <c r="R610">
        <v>2.2558999999999999E-2</v>
      </c>
      <c r="S610">
        <v>2.7372E-2</v>
      </c>
      <c r="T610">
        <v>2.2013000000000001E-2</v>
      </c>
      <c r="U610">
        <v>7.6590000000000005E-2</v>
      </c>
      <c r="V610">
        <v>2.7122E-2</v>
      </c>
      <c r="W610">
        <v>-2.7700000000000001E-4</v>
      </c>
      <c r="X610">
        <v>1.6767000000000001E-2</v>
      </c>
      <c r="Y610">
        <v>2.0403000000000001E-2</v>
      </c>
      <c r="Z610">
        <v>1.1920999999999999E-2</v>
      </c>
      <c r="AA610">
        <v>-1.3159999999999999E-3</v>
      </c>
      <c r="AB610">
        <v>1.622E-3</v>
      </c>
    </row>
    <row r="611" spans="1:28" x14ac:dyDescent="0.2">
      <c r="A611">
        <v>19821029</v>
      </c>
      <c r="B611">
        <v>1982</v>
      </c>
      <c r="C611">
        <v>10</v>
      </c>
      <c r="D611">
        <v>0.17699599999999999</v>
      </c>
      <c r="E611">
        <v>0.13564200000000001</v>
      </c>
      <c r="F611">
        <v>0.133823</v>
      </c>
      <c r="G611">
        <v>0.12590399999999999</v>
      </c>
      <c r="H611">
        <v>0.116429</v>
      </c>
      <c r="I611">
        <v>0.17205000000000001</v>
      </c>
      <c r="J611">
        <v>0.125338</v>
      </c>
      <c r="K611">
        <v>0.13428899999999999</v>
      </c>
      <c r="L611">
        <v>0.10054399999999999</v>
      </c>
      <c r="M611">
        <v>0.113826</v>
      </c>
      <c r="N611">
        <v>0.151504</v>
      </c>
      <c r="O611">
        <v>0.135959</v>
      </c>
      <c r="P611">
        <v>0.12557499999999999</v>
      </c>
      <c r="Q611">
        <v>0.13272600000000001</v>
      </c>
      <c r="R611">
        <v>0.131409</v>
      </c>
      <c r="S611">
        <v>0.155691</v>
      </c>
      <c r="T611">
        <v>0.14896799999999999</v>
      </c>
      <c r="U611">
        <v>0.124058</v>
      </c>
      <c r="V611">
        <v>0.126337</v>
      </c>
      <c r="W611">
        <v>0.12833</v>
      </c>
      <c r="X611">
        <v>0.115235</v>
      </c>
      <c r="Y611">
        <v>0.112694</v>
      </c>
      <c r="Z611">
        <v>0.103866</v>
      </c>
      <c r="AA611">
        <v>0.11308699999999999</v>
      </c>
      <c r="AB611">
        <v>5.9471000000000003E-2</v>
      </c>
    </row>
    <row r="612" spans="1:28" x14ac:dyDescent="0.2">
      <c r="A612">
        <v>19821130</v>
      </c>
      <c r="B612">
        <v>1982</v>
      </c>
      <c r="C612">
        <v>11</v>
      </c>
      <c r="D612">
        <v>9.0407000000000001E-2</v>
      </c>
      <c r="E612">
        <v>0.104057</v>
      </c>
      <c r="F612">
        <v>0.11608400000000001</v>
      </c>
      <c r="G612">
        <v>0.105171</v>
      </c>
      <c r="H612">
        <v>0.10440099999999999</v>
      </c>
      <c r="I612">
        <v>9.7392000000000006E-2</v>
      </c>
      <c r="J612">
        <v>8.8775999999999994E-2</v>
      </c>
      <c r="K612">
        <v>8.0457000000000001E-2</v>
      </c>
      <c r="L612">
        <v>7.8248999999999999E-2</v>
      </c>
      <c r="M612">
        <v>8.5679000000000005E-2</v>
      </c>
      <c r="N612">
        <v>0.105173</v>
      </c>
      <c r="O612">
        <v>8.6401000000000006E-2</v>
      </c>
      <c r="P612">
        <v>6.4233999999999999E-2</v>
      </c>
      <c r="Q612">
        <v>5.8251999999999998E-2</v>
      </c>
      <c r="R612">
        <v>8.2044000000000006E-2</v>
      </c>
      <c r="S612">
        <v>7.3319999999999996E-2</v>
      </c>
      <c r="T612">
        <v>6.9830000000000003E-2</v>
      </c>
      <c r="U612">
        <v>4.4333999999999998E-2</v>
      </c>
      <c r="V612">
        <v>5.4045000000000003E-2</v>
      </c>
      <c r="W612">
        <v>7.2973999999999997E-2</v>
      </c>
      <c r="X612">
        <v>7.2305999999999995E-2</v>
      </c>
      <c r="Y612">
        <v>3.9565999999999997E-2</v>
      </c>
      <c r="Z612">
        <v>1.2593999999999999E-2</v>
      </c>
      <c r="AA612">
        <v>2.9626E-2</v>
      </c>
      <c r="AB612">
        <v>1.6746E-2</v>
      </c>
    </row>
    <row r="613" spans="1:28" x14ac:dyDescent="0.2">
      <c r="A613">
        <v>19821231</v>
      </c>
      <c r="B613">
        <v>1982</v>
      </c>
      <c r="C613">
        <v>12</v>
      </c>
      <c r="D613">
        <v>2.5593000000000001E-2</v>
      </c>
      <c r="E613">
        <v>2.2918999999999998E-2</v>
      </c>
      <c r="F613">
        <v>1.9477000000000001E-2</v>
      </c>
      <c r="G613">
        <v>2.3553000000000001E-2</v>
      </c>
      <c r="H613">
        <v>2.4188999999999999E-2</v>
      </c>
      <c r="I613">
        <v>-3.7079999999999999E-3</v>
      </c>
      <c r="J613">
        <v>2.5447999999999998E-2</v>
      </c>
      <c r="K613">
        <v>1.0654E-2</v>
      </c>
      <c r="L613">
        <v>4.712E-3</v>
      </c>
      <c r="M613">
        <v>9.1280000000000007E-3</v>
      </c>
      <c r="N613">
        <v>6.1159999999999999E-3</v>
      </c>
      <c r="O613">
        <v>4.8529999999999997E-3</v>
      </c>
      <c r="P613">
        <v>-6.3309999999999998E-3</v>
      </c>
      <c r="Q613">
        <v>1.274E-3</v>
      </c>
      <c r="R613">
        <v>2.5950999999999998E-2</v>
      </c>
      <c r="S613">
        <v>7.9249999999999998E-3</v>
      </c>
      <c r="T613">
        <v>1.3849999999999999E-3</v>
      </c>
      <c r="U613">
        <v>2.4677999999999999E-2</v>
      </c>
      <c r="V613">
        <v>2.3240000000000001E-3</v>
      </c>
      <c r="W613">
        <v>2.6453000000000001E-2</v>
      </c>
      <c r="X613">
        <v>2.3542E-2</v>
      </c>
      <c r="Y613">
        <v>-1.15E-4</v>
      </c>
      <c r="Z613">
        <v>1.1476999999999999E-2</v>
      </c>
      <c r="AA613">
        <v>3.8939999999999999E-3</v>
      </c>
      <c r="AB613">
        <v>5.9236999999999998E-2</v>
      </c>
    </row>
    <row r="614" spans="1:28" x14ac:dyDescent="0.2">
      <c r="A614">
        <v>19830131</v>
      </c>
      <c r="B614">
        <v>1983</v>
      </c>
      <c r="C614">
        <v>1</v>
      </c>
      <c r="D614">
        <v>0.13550999999999999</v>
      </c>
      <c r="E614">
        <v>8.4848999999999994E-2</v>
      </c>
      <c r="F614">
        <v>8.8766999999999999E-2</v>
      </c>
      <c r="G614">
        <v>9.0743000000000004E-2</v>
      </c>
      <c r="H614">
        <v>7.1308999999999997E-2</v>
      </c>
      <c r="I614">
        <v>7.9271999999999995E-2</v>
      </c>
      <c r="J614">
        <v>8.2903000000000004E-2</v>
      </c>
      <c r="K614">
        <v>3.5396999999999998E-2</v>
      </c>
      <c r="L614">
        <v>4.7788999999999998E-2</v>
      </c>
      <c r="M614">
        <v>4.793E-2</v>
      </c>
      <c r="N614">
        <v>6.3743999999999995E-2</v>
      </c>
      <c r="O614">
        <v>2.9451999999999999E-2</v>
      </c>
      <c r="P614">
        <v>4.129E-2</v>
      </c>
      <c r="Q614">
        <v>3.1012999999999999E-2</v>
      </c>
      <c r="R614">
        <v>3.9904000000000002E-2</v>
      </c>
      <c r="S614">
        <v>5.0992000000000003E-2</v>
      </c>
      <c r="T614">
        <v>3.4320999999999997E-2</v>
      </c>
      <c r="U614">
        <v>2.7910999999999998E-2</v>
      </c>
      <c r="V614">
        <v>2.4782999999999999E-2</v>
      </c>
      <c r="W614">
        <v>2.0805000000000001E-2</v>
      </c>
      <c r="X614">
        <v>2.1044E-2</v>
      </c>
      <c r="Y614">
        <v>3.0868E-2</v>
      </c>
      <c r="Z614">
        <v>3.7726000000000003E-2</v>
      </c>
      <c r="AA614">
        <v>6.0894999999999998E-2</v>
      </c>
      <c r="AB614">
        <v>2.7654999999999999E-2</v>
      </c>
    </row>
    <row r="615" spans="1:28" x14ac:dyDescent="0.2">
      <c r="A615">
        <v>19830228</v>
      </c>
      <c r="B615">
        <v>1983</v>
      </c>
      <c r="C615">
        <v>2</v>
      </c>
      <c r="D615">
        <v>3.1848000000000001E-2</v>
      </c>
      <c r="E615">
        <v>4.6036000000000001E-2</v>
      </c>
      <c r="F615">
        <v>8.0773999999999999E-2</v>
      </c>
      <c r="G615">
        <v>7.5056999999999999E-2</v>
      </c>
      <c r="H615">
        <v>8.9409000000000002E-2</v>
      </c>
      <c r="I615">
        <v>5.1508999999999999E-2</v>
      </c>
      <c r="J615">
        <v>4.9556000000000003E-2</v>
      </c>
      <c r="K615">
        <v>7.9278000000000001E-2</v>
      </c>
      <c r="L615">
        <v>5.7893E-2</v>
      </c>
      <c r="M615">
        <v>5.3273000000000001E-2</v>
      </c>
      <c r="N615">
        <v>5.2166999999999998E-2</v>
      </c>
      <c r="O615">
        <v>4.8786999999999997E-2</v>
      </c>
      <c r="P615">
        <v>5.2819999999999999E-2</v>
      </c>
      <c r="Q615">
        <v>4.4484000000000003E-2</v>
      </c>
      <c r="R615">
        <v>5.1199000000000001E-2</v>
      </c>
      <c r="S615">
        <v>4.8585000000000003E-2</v>
      </c>
      <c r="T615">
        <v>2.9014999999999999E-2</v>
      </c>
      <c r="U615">
        <v>2.6244E-2</v>
      </c>
      <c r="V615">
        <v>3.3170999999999999E-2</v>
      </c>
      <c r="W615">
        <v>4.4774000000000001E-2</v>
      </c>
      <c r="X615">
        <v>2.3931999999999998E-2</v>
      </c>
      <c r="Y615">
        <v>3.8857000000000003E-2</v>
      </c>
      <c r="Z615">
        <v>3.1667000000000001E-2</v>
      </c>
      <c r="AA615">
        <v>1.1324000000000001E-2</v>
      </c>
      <c r="AB615">
        <v>2.4050999999999999E-2</v>
      </c>
    </row>
    <row r="616" spans="1:28" x14ac:dyDescent="0.2">
      <c r="A616">
        <v>19830331</v>
      </c>
      <c r="B616">
        <v>1983</v>
      </c>
      <c r="C616">
        <v>3</v>
      </c>
      <c r="D616">
        <v>2.7897999999999999E-2</v>
      </c>
      <c r="E616">
        <v>5.7070999999999997E-2</v>
      </c>
      <c r="F616">
        <v>6.6145999999999996E-2</v>
      </c>
      <c r="G616">
        <v>4.5208999999999999E-2</v>
      </c>
      <c r="H616">
        <v>7.5714000000000004E-2</v>
      </c>
      <c r="I616">
        <v>1.9286000000000001E-2</v>
      </c>
      <c r="J616">
        <v>3.7250999999999999E-2</v>
      </c>
      <c r="K616">
        <v>6.6138000000000002E-2</v>
      </c>
      <c r="L616">
        <v>7.1042999999999995E-2</v>
      </c>
      <c r="M616">
        <v>4.8527000000000001E-2</v>
      </c>
      <c r="N616">
        <v>2.1007999999999999E-2</v>
      </c>
      <c r="O616">
        <v>6.4752000000000004E-2</v>
      </c>
      <c r="P616">
        <v>4.9237999999999997E-2</v>
      </c>
      <c r="Q616">
        <v>7.7880000000000005E-2</v>
      </c>
      <c r="R616">
        <v>4.6955999999999998E-2</v>
      </c>
      <c r="S616">
        <v>6.5160000000000001E-3</v>
      </c>
      <c r="T616">
        <v>2.6598E-2</v>
      </c>
      <c r="U616">
        <v>4.6309000000000003E-2</v>
      </c>
      <c r="V616">
        <v>5.5412000000000003E-2</v>
      </c>
      <c r="W616">
        <v>5.1437999999999998E-2</v>
      </c>
      <c r="X616">
        <v>3.3111000000000002E-2</v>
      </c>
      <c r="Y616">
        <v>2.6373000000000001E-2</v>
      </c>
      <c r="Z616">
        <v>4.1459000000000003E-2</v>
      </c>
      <c r="AA616">
        <v>3.4662999999999999E-2</v>
      </c>
      <c r="AB616">
        <v>1.8321E-2</v>
      </c>
    </row>
    <row r="617" spans="1:28" x14ac:dyDescent="0.2">
      <c r="A617">
        <v>19830429</v>
      </c>
      <c r="B617">
        <v>1983</v>
      </c>
      <c r="C617">
        <v>4</v>
      </c>
      <c r="D617">
        <v>7.3582999999999996E-2</v>
      </c>
      <c r="E617">
        <v>7.4091000000000004E-2</v>
      </c>
      <c r="F617">
        <v>8.6574999999999999E-2</v>
      </c>
      <c r="G617">
        <v>9.5420000000000005E-2</v>
      </c>
      <c r="H617">
        <v>9.0012999999999996E-2</v>
      </c>
      <c r="I617">
        <v>7.9389000000000001E-2</v>
      </c>
      <c r="J617">
        <v>8.3294999999999994E-2</v>
      </c>
      <c r="K617">
        <v>8.8682999999999998E-2</v>
      </c>
      <c r="L617">
        <v>7.8145000000000006E-2</v>
      </c>
      <c r="M617">
        <v>7.8201999999999994E-2</v>
      </c>
      <c r="N617">
        <v>6.6229999999999997E-2</v>
      </c>
      <c r="O617">
        <v>7.3345999999999995E-2</v>
      </c>
      <c r="P617">
        <v>7.2595999999999994E-2</v>
      </c>
      <c r="Q617">
        <v>6.4272999999999997E-2</v>
      </c>
      <c r="R617">
        <v>6.5489000000000006E-2</v>
      </c>
      <c r="S617">
        <v>5.0465000000000003E-2</v>
      </c>
      <c r="T617">
        <v>5.7408000000000001E-2</v>
      </c>
      <c r="U617">
        <v>7.6009999999999994E-2</v>
      </c>
      <c r="V617">
        <v>6.9734000000000004E-2</v>
      </c>
      <c r="W617">
        <v>6.2267000000000003E-2</v>
      </c>
      <c r="X617">
        <v>6.6211000000000006E-2</v>
      </c>
      <c r="Y617">
        <v>6.0388999999999998E-2</v>
      </c>
      <c r="Z617">
        <v>8.7682999999999997E-2</v>
      </c>
      <c r="AA617">
        <v>9.0264999999999998E-2</v>
      </c>
      <c r="AB617">
        <v>7.2350999999999999E-2</v>
      </c>
    </row>
    <row r="618" spans="1:28" x14ac:dyDescent="0.2">
      <c r="A618">
        <v>19830531</v>
      </c>
      <c r="B618">
        <v>1983</v>
      </c>
      <c r="C618">
        <v>5</v>
      </c>
      <c r="D618">
        <v>0.119633</v>
      </c>
      <c r="E618">
        <v>0.102918</v>
      </c>
      <c r="F618">
        <v>8.4075999999999998E-2</v>
      </c>
      <c r="G618">
        <v>8.5405999999999996E-2</v>
      </c>
      <c r="H618">
        <v>7.9053999999999999E-2</v>
      </c>
      <c r="I618">
        <v>5.4875E-2</v>
      </c>
      <c r="J618">
        <v>6.4410999999999996E-2</v>
      </c>
      <c r="K618">
        <v>5.2108000000000002E-2</v>
      </c>
      <c r="L618">
        <v>3.3230999999999997E-2</v>
      </c>
      <c r="M618">
        <v>5.3469000000000003E-2</v>
      </c>
      <c r="N618">
        <v>5.7382000000000002E-2</v>
      </c>
      <c r="O618">
        <v>5.3358999999999997E-2</v>
      </c>
      <c r="P618">
        <v>2.4854999999999999E-2</v>
      </c>
      <c r="Q618">
        <v>2.1765E-2</v>
      </c>
      <c r="R618">
        <v>1.3691E-2</v>
      </c>
      <c r="S618">
        <v>4.7024000000000003E-2</v>
      </c>
      <c r="T618">
        <v>5.5010999999999997E-2</v>
      </c>
      <c r="U618">
        <v>4.7560999999999999E-2</v>
      </c>
      <c r="V618">
        <v>1.8703999999999998E-2</v>
      </c>
      <c r="W618">
        <v>1.0414E-2</v>
      </c>
      <c r="X618">
        <v>-1.0199E-2</v>
      </c>
      <c r="Y618">
        <v>-2.1419000000000001E-2</v>
      </c>
      <c r="Z618">
        <v>-4.6990000000000001E-3</v>
      </c>
      <c r="AA618">
        <v>-1.6135E-2</v>
      </c>
      <c r="AB618">
        <v>1.1688E-2</v>
      </c>
    </row>
    <row r="619" spans="1:28" x14ac:dyDescent="0.2">
      <c r="A619">
        <v>19830630</v>
      </c>
      <c r="B619">
        <v>1983</v>
      </c>
      <c r="C619">
        <v>6</v>
      </c>
      <c r="D619">
        <v>4.1301999999999998E-2</v>
      </c>
      <c r="E619">
        <v>6.8476999999999996E-2</v>
      </c>
      <c r="F619">
        <v>3.8108999999999997E-2</v>
      </c>
      <c r="G619">
        <v>2.8781000000000001E-2</v>
      </c>
      <c r="H619">
        <v>4.2895000000000003E-2</v>
      </c>
      <c r="I619">
        <v>6.8624000000000004E-2</v>
      </c>
      <c r="J619">
        <v>5.3310000000000003E-2</v>
      </c>
      <c r="K619">
        <v>1.4543E-2</v>
      </c>
      <c r="L619">
        <v>2.6682999999999998E-2</v>
      </c>
      <c r="M619">
        <v>3.875E-2</v>
      </c>
      <c r="N619">
        <v>4.7438000000000001E-2</v>
      </c>
      <c r="O619">
        <v>5.4689000000000002E-2</v>
      </c>
      <c r="P619">
        <v>4.8265000000000002E-2</v>
      </c>
      <c r="Q619">
        <v>1.3572000000000001E-2</v>
      </c>
      <c r="R619">
        <v>1.5876000000000001E-2</v>
      </c>
      <c r="S619">
        <v>6.4634999999999998E-2</v>
      </c>
      <c r="T619">
        <v>4.7312E-2</v>
      </c>
      <c r="U619">
        <v>4.1404000000000003E-2</v>
      </c>
      <c r="V619">
        <v>-1.353E-2</v>
      </c>
      <c r="W619">
        <v>1.8766000000000001E-2</v>
      </c>
      <c r="X619">
        <v>5.9020999999999997E-2</v>
      </c>
      <c r="Y619">
        <v>5.3249999999999999E-2</v>
      </c>
      <c r="Z619">
        <v>2.7962000000000001E-2</v>
      </c>
      <c r="AA619">
        <v>1.6660000000000001E-2</v>
      </c>
      <c r="AB619">
        <v>6.5319999999999996E-3</v>
      </c>
    </row>
    <row r="620" spans="1:28" x14ac:dyDescent="0.2">
      <c r="A620">
        <v>19830729</v>
      </c>
      <c r="B620">
        <v>1983</v>
      </c>
      <c r="C620">
        <v>7</v>
      </c>
      <c r="D620">
        <v>-6.1163000000000002E-2</v>
      </c>
      <c r="E620">
        <v>-2.2273000000000001E-2</v>
      </c>
      <c r="F620">
        <v>-9.7560000000000008E-3</v>
      </c>
      <c r="G620">
        <v>8.2470000000000009E-3</v>
      </c>
      <c r="H620">
        <v>7.3879999999999996E-3</v>
      </c>
      <c r="I620">
        <v>-7.2224999999999998E-2</v>
      </c>
      <c r="J620">
        <v>-4.5482000000000002E-2</v>
      </c>
      <c r="K620">
        <v>-8.4539999999999997E-3</v>
      </c>
      <c r="L620">
        <v>1.6617E-2</v>
      </c>
      <c r="M620">
        <v>9.5729999999999999E-3</v>
      </c>
      <c r="N620">
        <v>-6.2612000000000001E-2</v>
      </c>
      <c r="O620">
        <v>-3.0622E-2</v>
      </c>
      <c r="P620">
        <v>2.6837E-2</v>
      </c>
      <c r="Q620">
        <v>9.7599999999999996E-3</v>
      </c>
      <c r="R620">
        <v>6.6119999999999998E-3</v>
      </c>
      <c r="S620">
        <v>-4.2897999999999999E-2</v>
      </c>
      <c r="T620">
        <v>-3.7149000000000001E-2</v>
      </c>
      <c r="U620">
        <v>-4.7014E-2</v>
      </c>
      <c r="V620">
        <v>-8.2730000000000008E-3</v>
      </c>
      <c r="W620">
        <v>-5.6979999999999999E-3</v>
      </c>
      <c r="X620">
        <v>-4.8416000000000001E-2</v>
      </c>
      <c r="Y620">
        <v>-5.9171000000000001E-2</v>
      </c>
      <c r="Z620">
        <v>-3.1616999999999999E-2</v>
      </c>
      <c r="AA620">
        <v>-5.6309999999999997E-3</v>
      </c>
      <c r="AB620">
        <v>-2.1701000000000002E-2</v>
      </c>
    </row>
    <row r="621" spans="1:28" x14ac:dyDescent="0.2">
      <c r="A621">
        <v>19830831</v>
      </c>
      <c r="B621">
        <v>1983</v>
      </c>
      <c r="C621">
        <v>8</v>
      </c>
      <c r="D621">
        <v>-6.0336000000000001E-2</v>
      </c>
      <c r="E621">
        <v>-3.9516999999999997E-2</v>
      </c>
      <c r="F621">
        <v>-2.3060000000000001E-2</v>
      </c>
      <c r="G621">
        <v>-3.6032000000000002E-2</v>
      </c>
      <c r="H621">
        <v>-1.1424999999999999E-2</v>
      </c>
      <c r="I621">
        <v>-5.3884000000000001E-2</v>
      </c>
      <c r="J621">
        <v>-3.3604000000000002E-2</v>
      </c>
      <c r="K621">
        <v>-2.8192999999999999E-2</v>
      </c>
      <c r="L621">
        <v>-1.0933999999999999E-2</v>
      </c>
      <c r="M621">
        <v>7.4739999999999997E-3</v>
      </c>
      <c r="N621">
        <v>-3.7607000000000002E-2</v>
      </c>
      <c r="O621">
        <v>-4.3341999999999999E-2</v>
      </c>
      <c r="P621">
        <v>-1.5037999999999999E-2</v>
      </c>
      <c r="Q621">
        <v>-8.5810000000000001E-3</v>
      </c>
      <c r="R621">
        <v>2.6893E-2</v>
      </c>
      <c r="S621">
        <v>-2.9080999999999999E-2</v>
      </c>
      <c r="T621">
        <v>-1.7149999999999999E-2</v>
      </c>
      <c r="U621">
        <v>-4.8999999999999998E-4</v>
      </c>
      <c r="V621">
        <v>2.7841000000000001E-2</v>
      </c>
      <c r="W621">
        <v>3.6887000000000003E-2</v>
      </c>
      <c r="X621">
        <v>-6.5919999999999998E-3</v>
      </c>
      <c r="Y621">
        <v>-3.8560000000000001E-3</v>
      </c>
      <c r="Z621">
        <v>1.4829999999999999E-3</v>
      </c>
      <c r="AA621">
        <v>4.4549999999999999E-2</v>
      </c>
      <c r="AB621">
        <v>6.6197000000000006E-2</v>
      </c>
    </row>
    <row r="622" spans="1:28" x14ac:dyDescent="0.2">
      <c r="A622">
        <v>19830930</v>
      </c>
      <c r="B622">
        <v>1983</v>
      </c>
      <c r="C622">
        <v>9</v>
      </c>
      <c r="D622">
        <v>-3.0956000000000001E-2</v>
      </c>
      <c r="E622">
        <v>2.0530000000000001E-3</v>
      </c>
      <c r="F622">
        <v>6.9470000000000001E-3</v>
      </c>
      <c r="G622">
        <v>1.4825E-2</v>
      </c>
      <c r="H622">
        <v>1.6389999999999998E-2</v>
      </c>
      <c r="I622">
        <v>1.132E-2</v>
      </c>
      <c r="J622">
        <v>1.388E-2</v>
      </c>
      <c r="K622">
        <v>3.9653000000000001E-2</v>
      </c>
      <c r="L622">
        <v>4.8394E-2</v>
      </c>
      <c r="M622">
        <v>3.6416999999999998E-2</v>
      </c>
      <c r="N622">
        <v>1.8294000000000001E-2</v>
      </c>
      <c r="O622">
        <v>4.1006000000000001E-2</v>
      </c>
      <c r="P622">
        <v>2.8586E-2</v>
      </c>
      <c r="Q622">
        <v>4.9452000000000003E-2</v>
      </c>
      <c r="R622">
        <v>6.7709000000000005E-2</v>
      </c>
      <c r="S622">
        <v>3.5793999999999999E-2</v>
      </c>
      <c r="T622">
        <v>1.8964999999999999E-2</v>
      </c>
      <c r="U622">
        <v>2.971E-2</v>
      </c>
      <c r="V622">
        <v>2.6695E-2</v>
      </c>
      <c r="W622">
        <v>1.5007E-2</v>
      </c>
      <c r="X622">
        <v>2.8709999999999999E-2</v>
      </c>
      <c r="Y622">
        <v>1.9983999999999998E-2</v>
      </c>
      <c r="Z622">
        <v>1.993E-2</v>
      </c>
      <c r="AA622">
        <v>-1.1194000000000001E-2</v>
      </c>
      <c r="AB622">
        <v>5.0439999999999999E-3</v>
      </c>
    </row>
    <row r="623" spans="1:28" x14ac:dyDescent="0.2">
      <c r="A623">
        <v>19831031</v>
      </c>
      <c r="B623">
        <v>1983</v>
      </c>
      <c r="C623">
        <v>10</v>
      </c>
      <c r="D623">
        <v>-0.105029</v>
      </c>
      <c r="E623">
        <v>-6.2491999999999999E-2</v>
      </c>
      <c r="F623">
        <v>-4.9865E-2</v>
      </c>
      <c r="G623">
        <v>-3.6199000000000002E-2</v>
      </c>
      <c r="H623">
        <v>-2.9267000000000001E-2</v>
      </c>
      <c r="I623">
        <v>-0.101852</v>
      </c>
      <c r="J623">
        <v>-7.3152999999999996E-2</v>
      </c>
      <c r="K623">
        <v>-4.0891999999999998E-2</v>
      </c>
      <c r="L623">
        <v>-1.7658E-2</v>
      </c>
      <c r="M623">
        <v>-3.0700999999999999E-2</v>
      </c>
      <c r="N623">
        <v>-8.2949999999999996E-2</v>
      </c>
      <c r="O623">
        <v>-4.6026999999999998E-2</v>
      </c>
      <c r="P623">
        <v>-2.8299999999999999E-2</v>
      </c>
      <c r="Q623">
        <v>-6.8519999999999996E-3</v>
      </c>
      <c r="R623">
        <v>-1.7183E-2</v>
      </c>
      <c r="S623">
        <v>-7.0996000000000004E-2</v>
      </c>
      <c r="T623">
        <v>-2.7824000000000002E-2</v>
      </c>
      <c r="U623">
        <v>-1.8879E-2</v>
      </c>
      <c r="V623">
        <v>-1.729E-2</v>
      </c>
      <c r="W623">
        <v>-4.1660000000000004E-3</v>
      </c>
      <c r="X623">
        <v>-2.4922E-2</v>
      </c>
      <c r="Y623">
        <v>-2.2755999999999998E-2</v>
      </c>
      <c r="Z623">
        <v>-6.4199999999999999E-4</v>
      </c>
      <c r="AA623">
        <v>-1.712E-3</v>
      </c>
      <c r="AB623">
        <v>-6.7369999999999999E-3</v>
      </c>
    </row>
    <row r="624" spans="1:28" x14ac:dyDescent="0.2">
      <c r="A624">
        <v>19831130</v>
      </c>
      <c r="B624">
        <v>1983</v>
      </c>
      <c r="C624">
        <v>11</v>
      </c>
      <c r="D624">
        <v>3.6457999999999997E-2</v>
      </c>
      <c r="E624">
        <v>3.6555999999999998E-2</v>
      </c>
      <c r="F624">
        <v>3.4230999999999998E-2</v>
      </c>
      <c r="G624">
        <v>2.7734999999999999E-2</v>
      </c>
      <c r="H624">
        <v>4.3893000000000001E-2</v>
      </c>
      <c r="I624">
        <v>5.7660999999999997E-2</v>
      </c>
      <c r="J624">
        <v>5.1945999999999999E-2</v>
      </c>
      <c r="K624">
        <v>4.7752999999999997E-2</v>
      </c>
      <c r="L624">
        <v>5.2386000000000002E-2</v>
      </c>
      <c r="M624">
        <v>4.8035000000000001E-2</v>
      </c>
      <c r="N624">
        <v>6.1932000000000001E-2</v>
      </c>
      <c r="O624">
        <v>4.3831000000000002E-2</v>
      </c>
      <c r="P624">
        <v>4.6338999999999998E-2</v>
      </c>
      <c r="Q624">
        <v>4.1090000000000002E-2</v>
      </c>
      <c r="R624">
        <v>3.9486E-2</v>
      </c>
      <c r="S624">
        <v>5.7216999999999997E-2</v>
      </c>
      <c r="T624">
        <v>2.7267E-2</v>
      </c>
      <c r="U624">
        <v>4.5155000000000001E-2</v>
      </c>
      <c r="V624">
        <v>4.8514000000000002E-2</v>
      </c>
      <c r="W624">
        <v>3.7992999999999999E-2</v>
      </c>
      <c r="X624">
        <v>1.1974E-2</v>
      </c>
      <c r="Y624">
        <v>2.9471000000000001E-2</v>
      </c>
      <c r="Z624">
        <v>2.8000000000000001E-2</v>
      </c>
      <c r="AA624">
        <v>1.5768000000000001E-2</v>
      </c>
      <c r="AB624">
        <v>6.2090000000000001E-3</v>
      </c>
    </row>
    <row r="625" spans="1:28" x14ac:dyDescent="0.2">
      <c r="A625">
        <v>19831230</v>
      </c>
      <c r="B625">
        <v>1983</v>
      </c>
      <c r="C625">
        <v>12</v>
      </c>
      <c r="D625">
        <v>-5.1998000000000003E-2</v>
      </c>
      <c r="E625">
        <v>-1.2899000000000001E-2</v>
      </c>
      <c r="F625">
        <v>-6.4970000000000002E-3</v>
      </c>
      <c r="G625">
        <v>-3.1840000000000002E-3</v>
      </c>
      <c r="H625">
        <v>7.3990000000000002E-3</v>
      </c>
      <c r="I625">
        <v>-3.0932000000000001E-2</v>
      </c>
      <c r="J625">
        <v>-1.187E-2</v>
      </c>
      <c r="K625">
        <v>7.4799999999999997E-4</v>
      </c>
      <c r="L625">
        <v>-1.0629999999999999E-3</v>
      </c>
      <c r="M625">
        <v>1.03E-4</v>
      </c>
      <c r="N625">
        <v>-3.1789999999999999E-2</v>
      </c>
      <c r="O625">
        <v>-1.2161E-2</v>
      </c>
      <c r="P625">
        <v>-1.5740000000000001E-3</v>
      </c>
      <c r="Q625">
        <v>-1.0593999999999999E-2</v>
      </c>
      <c r="R625">
        <v>1.2711999999999999E-2</v>
      </c>
      <c r="S625">
        <v>-3.4727000000000001E-2</v>
      </c>
      <c r="T625">
        <v>-5.3930000000000002E-3</v>
      </c>
      <c r="U625">
        <v>-2.8007000000000001E-2</v>
      </c>
      <c r="V625">
        <v>-1.7462999999999999E-2</v>
      </c>
      <c r="W625">
        <v>-5.3610000000000003E-3</v>
      </c>
      <c r="X625">
        <v>-4.2099999999999999E-4</v>
      </c>
      <c r="Y625">
        <v>1.766E-3</v>
      </c>
      <c r="Z625">
        <v>-2.3629000000000001E-2</v>
      </c>
      <c r="AA625">
        <v>-8.3789999999999993E-3</v>
      </c>
      <c r="AB625">
        <v>5.4089999999999997E-3</v>
      </c>
    </row>
    <row r="626" spans="1:28" x14ac:dyDescent="0.2">
      <c r="A626">
        <v>19840131</v>
      </c>
      <c r="B626">
        <v>1984</v>
      </c>
      <c r="C626">
        <v>1</v>
      </c>
      <c r="D626">
        <v>-2.0115999999999998E-2</v>
      </c>
      <c r="E626">
        <v>-8.7340000000000004E-3</v>
      </c>
      <c r="F626">
        <v>-7.4100000000000001E-4</v>
      </c>
      <c r="G626">
        <v>1.2266000000000001E-2</v>
      </c>
      <c r="H626">
        <v>3.1643999999999999E-2</v>
      </c>
      <c r="I626">
        <v>-6.3152E-2</v>
      </c>
      <c r="J626">
        <v>-1.3854999999999999E-2</v>
      </c>
      <c r="K626">
        <v>-3.686E-3</v>
      </c>
      <c r="L626">
        <v>2.5049999999999998E-3</v>
      </c>
      <c r="M626">
        <v>3.6839999999999998E-2</v>
      </c>
      <c r="N626">
        <v>-6.9955000000000003E-2</v>
      </c>
      <c r="O626">
        <v>-4.6202E-2</v>
      </c>
      <c r="P626">
        <v>-2.3747999999999998E-2</v>
      </c>
      <c r="Q626">
        <v>3.676E-3</v>
      </c>
      <c r="R626">
        <v>-1.635E-3</v>
      </c>
      <c r="S626">
        <v>-7.6441999999999996E-2</v>
      </c>
      <c r="T626">
        <v>-3.4791999999999997E-2</v>
      </c>
      <c r="U626">
        <v>-1.4701000000000001E-2</v>
      </c>
      <c r="V626">
        <v>-3.7239999999999999E-3</v>
      </c>
      <c r="W626">
        <v>4.633E-3</v>
      </c>
      <c r="X626">
        <v>-5.6925999999999997E-2</v>
      </c>
      <c r="Y626">
        <v>-7.3740000000000003E-3</v>
      </c>
      <c r="Z626">
        <v>1.0511E-2</v>
      </c>
      <c r="AA626">
        <v>1.7076999999999998E-2</v>
      </c>
      <c r="AB626">
        <v>6.9788000000000003E-2</v>
      </c>
    </row>
    <row r="627" spans="1:28" x14ac:dyDescent="0.2">
      <c r="A627">
        <v>19840229</v>
      </c>
      <c r="B627">
        <v>1984</v>
      </c>
      <c r="C627">
        <v>2</v>
      </c>
      <c r="D627">
        <v>-7.5021000000000004E-2</v>
      </c>
      <c r="E627">
        <v>-6.8789000000000003E-2</v>
      </c>
      <c r="F627">
        <v>-5.3156000000000002E-2</v>
      </c>
      <c r="G627">
        <v>-4.2481999999999999E-2</v>
      </c>
      <c r="H627">
        <v>-4.589E-2</v>
      </c>
      <c r="I627">
        <v>-7.1848999999999996E-2</v>
      </c>
      <c r="J627">
        <v>-6.0034999999999998E-2</v>
      </c>
      <c r="K627">
        <v>-3.8664999999999998E-2</v>
      </c>
      <c r="L627">
        <v>-3.2079000000000003E-2</v>
      </c>
      <c r="M627">
        <v>-3.8951E-2</v>
      </c>
      <c r="N627">
        <v>-6.7913000000000001E-2</v>
      </c>
      <c r="O627">
        <v>-7.1378999999999998E-2</v>
      </c>
      <c r="P627">
        <v>-4.6962999999999998E-2</v>
      </c>
      <c r="Q627">
        <v>-4.6677999999999997E-2</v>
      </c>
      <c r="R627">
        <v>-2.3368E-2</v>
      </c>
      <c r="S627">
        <v>-5.6883000000000003E-2</v>
      </c>
      <c r="T627">
        <v>-5.7450000000000001E-2</v>
      </c>
      <c r="U627">
        <v>-5.5146000000000001E-2</v>
      </c>
      <c r="V627">
        <v>-3.2023999999999997E-2</v>
      </c>
      <c r="W627">
        <v>-4.6989999999999997E-2</v>
      </c>
      <c r="X627">
        <v>-3.7677000000000002E-2</v>
      </c>
      <c r="Y627">
        <v>-5.9990000000000002E-2</v>
      </c>
      <c r="Z627">
        <v>-4.4235999999999998E-2</v>
      </c>
      <c r="AA627">
        <v>-2.2313E-2</v>
      </c>
      <c r="AB627">
        <v>6.7889999999999999E-3</v>
      </c>
    </row>
    <row r="628" spans="1:28" x14ac:dyDescent="0.2">
      <c r="A628">
        <v>19840330</v>
      </c>
      <c r="B628">
        <v>1984</v>
      </c>
      <c r="C628">
        <v>3</v>
      </c>
      <c r="D628">
        <v>-1.0898E-2</v>
      </c>
      <c r="E628">
        <v>1.4397999999999999E-2</v>
      </c>
      <c r="F628">
        <v>5.7970000000000001E-3</v>
      </c>
      <c r="G628">
        <v>1.6136000000000001E-2</v>
      </c>
      <c r="H628">
        <v>2.1394E-2</v>
      </c>
      <c r="I628">
        <v>-2.7920000000000002E-3</v>
      </c>
      <c r="J628">
        <v>1.3046E-2</v>
      </c>
      <c r="K628">
        <v>9.495E-3</v>
      </c>
      <c r="L628">
        <v>1.2267E-2</v>
      </c>
      <c r="M628">
        <v>1.9505999999999999E-2</v>
      </c>
      <c r="N628">
        <v>6.2249999999999996E-3</v>
      </c>
      <c r="O628">
        <v>1.4558E-2</v>
      </c>
      <c r="P628">
        <v>2.317E-2</v>
      </c>
      <c r="Q628">
        <v>1.3561999999999999E-2</v>
      </c>
      <c r="R628">
        <v>3.3602E-2</v>
      </c>
      <c r="S628">
        <v>5.7759999999999999E-3</v>
      </c>
      <c r="T628">
        <v>7.9430000000000004E-3</v>
      </c>
      <c r="U628">
        <v>2.4684000000000001E-2</v>
      </c>
      <c r="V628">
        <v>1.5358E-2</v>
      </c>
      <c r="W628">
        <v>4.2433999999999999E-2</v>
      </c>
      <c r="X628">
        <v>1.7899000000000002E-2</v>
      </c>
      <c r="Y628">
        <v>2.9505E-2</v>
      </c>
      <c r="Z628">
        <v>6.29E-4</v>
      </c>
      <c r="AA628">
        <v>1.8523000000000001E-2</v>
      </c>
      <c r="AB628">
        <v>-1.4558E-2</v>
      </c>
    </row>
    <row r="629" spans="1:28" x14ac:dyDescent="0.2">
      <c r="A629">
        <v>19840430</v>
      </c>
      <c r="B629">
        <v>1984</v>
      </c>
      <c r="C629">
        <v>4</v>
      </c>
      <c r="D629">
        <v>-4.0571000000000003E-2</v>
      </c>
      <c r="E629">
        <v>-1.8141000000000001E-2</v>
      </c>
      <c r="F629">
        <v>-7.1640000000000002E-3</v>
      </c>
      <c r="G629">
        <v>-7.7999999999999999E-5</v>
      </c>
      <c r="H629">
        <v>-9.5270000000000007E-3</v>
      </c>
      <c r="I629">
        <v>-1.2839E-2</v>
      </c>
      <c r="J629">
        <v>1.468E-2</v>
      </c>
      <c r="K629">
        <v>6.4970000000000002E-3</v>
      </c>
      <c r="L629">
        <v>1.433E-3</v>
      </c>
      <c r="M629">
        <v>-1.1554E-2</v>
      </c>
      <c r="N629">
        <v>-4.0000000000000003E-5</v>
      </c>
      <c r="O629">
        <v>1.1004999999999999E-2</v>
      </c>
      <c r="P629">
        <v>-7.6000000000000004E-4</v>
      </c>
      <c r="Q629">
        <v>-1.2132E-2</v>
      </c>
      <c r="R629">
        <v>1.565E-3</v>
      </c>
      <c r="S629">
        <v>-1.3193E-2</v>
      </c>
      <c r="T629">
        <v>-5.4289999999999998E-3</v>
      </c>
      <c r="U629">
        <v>-5.6600000000000001E-3</v>
      </c>
      <c r="V629">
        <v>-2.5335E-2</v>
      </c>
      <c r="W629">
        <v>-1.8442E-2</v>
      </c>
      <c r="X629">
        <v>1.4271000000000001E-2</v>
      </c>
      <c r="Y629">
        <v>-3.9620000000000002E-3</v>
      </c>
      <c r="Z629">
        <v>1.3179E-2</v>
      </c>
      <c r="AA629">
        <v>1.5755000000000002E-2</v>
      </c>
      <c r="AB629">
        <v>2.4264999999999998E-2</v>
      </c>
    </row>
    <row r="630" spans="1:28" x14ac:dyDescent="0.2">
      <c r="A630">
        <v>19840531</v>
      </c>
      <c r="B630">
        <v>1984</v>
      </c>
      <c r="C630">
        <v>5</v>
      </c>
      <c r="D630">
        <v>-6.1856000000000001E-2</v>
      </c>
      <c r="E630">
        <v>-4.7354E-2</v>
      </c>
      <c r="F630">
        <v>-4.9095E-2</v>
      </c>
      <c r="G630">
        <v>-3.4694999999999997E-2</v>
      </c>
      <c r="H630">
        <v>-3.5996E-2</v>
      </c>
      <c r="I630">
        <v>-6.1029E-2</v>
      </c>
      <c r="J630">
        <v>-4.9342999999999998E-2</v>
      </c>
      <c r="K630">
        <v>-5.0030999999999999E-2</v>
      </c>
      <c r="L630">
        <v>-4.0059999999999998E-2</v>
      </c>
      <c r="M630">
        <v>-4.1257000000000002E-2</v>
      </c>
      <c r="N630">
        <v>-5.8839000000000002E-2</v>
      </c>
      <c r="O630">
        <v>-5.5802999999999998E-2</v>
      </c>
      <c r="P630">
        <v>-5.6301999999999998E-2</v>
      </c>
      <c r="Q630">
        <v>-4.0440999999999998E-2</v>
      </c>
      <c r="R630">
        <v>-6.4848000000000003E-2</v>
      </c>
      <c r="S630">
        <v>-3.9516999999999997E-2</v>
      </c>
      <c r="T630">
        <v>-3.9343999999999997E-2</v>
      </c>
      <c r="U630">
        <v>-5.1575999999999997E-2</v>
      </c>
      <c r="V630">
        <v>-5.2956000000000003E-2</v>
      </c>
      <c r="W630">
        <v>-7.5473999999999999E-2</v>
      </c>
      <c r="X630">
        <v>-5.2046000000000002E-2</v>
      </c>
      <c r="Y630">
        <v>-3.3456E-2</v>
      </c>
      <c r="Z630">
        <v>-6.1994E-2</v>
      </c>
      <c r="AA630">
        <v>-4.1387E-2</v>
      </c>
      <c r="AB630">
        <v>-6.0545000000000002E-2</v>
      </c>
    </row>
    <row r="631" spans="1:28" x14ac:dyDescent="0.2">
      <c r="A631">
        <v>19840629</v>
      </c>
      <c r="B631">
        <v>1984</v>
      </c>
      <c r="C631">
        <v>6</v>
      </c>
      <c r="D631">
        <v>1.0685E-2</v>
      </c>
      <c r="E631">
        <v>3.4058999999999999E-2</v>
      </c>
      <c r="F631">
        <v>2.1751E-2</v>
      </c>
      <c r="G631">
        <v>1.5817999999999999E-2</v>
      </c>
      <c r="H631">
        <v>1.3089E-2</v>
      </c>
      <c r="I631">
        <v>3.9808999999999997E-2</v>
      </c>
      <c r="J631">
        <v>4.6926000000000002E-2</v>
      </c>
      <c r="K631">
        <v>1.9106000000000001E-2</v>
      </c>
      <c r="L631">
        <v>2.7866999999999999E-2</v>
      </c>
      <c r="M631">
        <v>1.1270000000000001E-2</v>
      </c>
      <c r="N631">
        <v>6.4230999999999996E-2</v>
      </c>
      <c r="O631">
        <v>5.0075000000000001E-2</v>
      </c>
      <c r="P631">
        <v>9.7160000000000007E-3</v>
      </c>
      <c r="Q631">
        <v>1.5661999999999999E-2</v>
      </c>
      <c r="R631">
        <v>-5.4079999999999996E-3</v>
      </c>
      <c r="S631">
        <v>5.9832999999999997E-2</v>
      </c>
      <c r="T631">
        <v>4.5538000000000002E-2</v>
      </c>
      <c r="U631">
        <v>1.7846999999999998E-2</v>
      </c>
      <c r="V631">
        <v>1.9470000000000001E-2</v>
      </c>
      <c r="W631">
        <v>2.5471000000000001E-2</v>
      </c>
      <c r="X631">
        <v>3.4785999999999997E-2</v>
      </c>
      <c r="Y631">
        <v>5.3655000000000001E-2</v>
      </c>
      <c r="Z631">
        <v>2.0771999999999999E-2</v>
      </c>
      <c r="AA631">
        <v>-1.2005999999999999E-2</v>
      </c>
      <c r="AB631">
        <v>5.3402999999999999E-2</v>
      </c>
    </row>
    <row r="632" spans="1:28" x14ac:dyDescent="0.2">
      <c r="A632">
        <v>19840731</v>
      </c>
      <c r="B632">
        <v>1984</v>
      </c>
      <c r="C632">
        <v>7</v>
      </c>
      <c r="D632">
        <v>-7.2186E-2</v>
      </c>
      <c r="E632">
        <v>-5.2090999999999998E-2</v>
      </c>
      <c r="F632">
        <v>-4.4125999999999999E-2</v>
      </c>
      <c r="G632">
        <v>-1.8641999999999999E-2</v>
      </c>
      <c r="H632">
        <v>-2.1583000000000001E-2</v>
      </c>
      <c r="I632">
        <v>-5.3408999999999998E-2</v>
      </c>
      <c r="J632">
        <v>-5.6252000000000003E-2</v>
      </c>
      <c r="K632">
        <v>-1.3925E-2</v>
      </c>
      <c r="L632">
        <v>-3.8678999999999998E-2</v>
      </c>
      <c r="M632">
        <v>-3.6762000000000003E-2</v>
      </c>
      <c r="N632">
        <v>-3.6658999999999997E-2</v>
      </c>
      <c r="O632">
        <v>-3.2753999999999998E-2</v>
      </c>
      <c r="P632">
        <v>-2.9322999999999998E-2</v>
      </c>
      <c r="Q632">
        <v>-3.0234E-2</v>
      </c>
      <c r="R632">
        <v>-9.9539999999999993E-3</v>
      </c>
      <c r="S632">
        <v>-3.5473999999999999E-2</v>
      </c>
      <c r="T632">
        <v>-5.0595000000000001E-2</v>
      </c>
      <c r="U632">
        <v>-2.5121999999999998E-2</v>
      </c>
      <c r="V632">
        <v>-4.6038000000000003E-2</v>
      </c>
      <c r="W632">
        <v>-4.9350000000000002E-3</v>
      </c>
      <c r="X632">
        <v>3.1099999999999999E-3</v>
      </c>
      <c r="Y632">
        <v>-1.4370000000000001E-2</v>
      </c>
      <c r="Z632">
        <v>1.0039999999999999E-3</v>
      </c>
      <c r="AA632">
        <v>-3.2247999999999999E-2</v>
      </c>
      <c r="AB632">
        <v>-2.3278E-2</v>
      </c>
    </row>
    <row r="633" spans="1:28" x14ac:dyDescent="0.2">
      <c r="A633">
        <v>19840831</v>
      </c>
      <c r="B633">
        <v>1984</v>
      </c>
      <c r="C633">
        <v>8</v>
      </c>
      <c r="D633">
        <v>0.115226</v>
      </c>
      <c r="E633">
        <v>0.116443</v>
      </c>
      <c r="F633">
        <v>8.6254999999999998E-2</v>
      </c>
      <c r="G633">
        <v>7.2095999999999993E-2</v>
      </c>
      <c r="H633">
        <v>8.6470000000000005E-2</v>
      </c>
      <c r="I633">
        <v>0.157886</v>
      </c>
      <c r="J633">
        <v>0.105507</v>
      </c>
      <c r="K633">
        <v>9.9017999999999995E-2</v>
      </c>
      <c r="L633">
        <v>9.4192999999999999E-2</v>
      </c>
      <c r="M633">
        <v>0.103092</v>
      </c>
      <c r="N633">
        <v>0.154053</v>
      </c>
      <c r="O633">
        <v>0.13114799999999999</v>
      </c>
      <c r="P633">
        <v>0.10666299999999999</v>
      </c>
      <c r="Q633">
        <v>0.120613</v>
      </c>
      <c r="R633">
        <v>9.4157000000000005E-2</v>
      </c>
      <c r="S633">
        <v>0.12826499999999999</v>
      </c>
      <c r="T633">
        <v>0.13435900000000001</v>
      </c>
      <c r="U633">
        <v>0.124254</v>
      </c>
      <c r="V633">
        <v>0.112484</v>
      </c>
      <c r="W633">
        <v>9.9793999999999994E-2</v>
      </c>
      <c r="X633">
        <v>0.107691</v>
      </c>
      <c r="Y633">
        <v>0.10172</v>
      </c>
      <c r="Z633">
        <v>0.105129</v>
      </c>
      <c r="AA633">
        <v>0.11408</v>
      </c>
      <c r="AB633">
        <v>0.125003</v>
      </c>
    </row>
    <row r="634" spans="1:28" x14ac:dyDescent="0.2">
      <c r="A634">
        <v>19840928</v>
      </c>
      <c r="B634">
        <v>1984</v>
      </c>
      <c r="C634">
        <v>9</v>
      </c>
      <c r="D634">
        <v>-2.6089999999999999E-2</v>
      </c>
      <c r="E634">
        <v>-1.5006E-2</v>
      </c>
      <c r="F634">
        <v>5.9820000000000003E-3</v>
      </c>
      <c r="G634">
        <v>1.2841E-2</v>
      </c>
      <c r="H634">
        <v>2.4028000000000001E-2</v>
      </c>
      <c r="I634">
        <v>-5.4579000000000003E-2</v>
      </c>
      <c r="J634">
        <v>2.5799999999999998E-3</v>
      </c>
      <c r="K634">
        <v>1.9977000000000002E-2</v>
      </c>
      <c r="L634">
        <v>1.519E-2</v>
      </c>
      <c r="M634">
        <v>3.2233999999999999E-2</v>
      </c>
      <c r="N634">
        <v>-4.0585000000000003E-2</v>
      </c>
      <c r="O634">
        <v>1.7992000000000001E-2</v>
      </c>
      <c r="P634">
        <v>1.7919000000000001E-2</v>
      </c>
      <c r="Q634">
        <v>2.2759000000000001E-2</v>
      </c>
      <c r="R634">
        <v>3.4278999999999997E-2</v>
      </c>
      <c r="S634">
        <v>-1.4722000000000001E-2</v>
      </c>
      <c r="T634">
        <v>-1.5740000000000001E-2</v>
      </c>
      <c r="U634">
        <v>6.5929999999999999E-3</v>
      </c>
      <c r="V634">
        <v>1.4496E-2</v>
      </c>
      <c r="W634">
        <v>4.4734000000000003E-2</v>
      </c>
      <c r="X634">
        <v>-2.7789000000000001E-2</v>
      </c>
      <c r="Y634">
        <v>-1.6865000000000002E-2</v>
      </c>
      <c r="Z634">
        <v>-4.1320000000000003E-3</v>
      </c>
      <c r="AA634">
        <v>1.9203000000000001E-2</v>
      </c>
      <c r="AB634">
        <v>3.2439000000000003E-2</v>
      </c>
    </row>
    <row r="635" spans="1:28" x14ac:dyDescent="0.2">
      <c r="A635">
        <v>19841031</v>
      </c>
      <c r="B635">
        <v>1984</v>
      </c>
      <c r="C635">
        <v>10</v>
      </c>
      <c r="D635">
        <v>-3.8226000000000003E-2</v>
      </c>
      <c r="E635">
        <v>-1.3259E-2</v>
      </c>
      <c r="F635">
        <v>-2.0968000000000001E-2</v>
      </c>
      <c r="G635">
        <v>-1.5695000000000001E-2</v>
      </c>
      <c r="H635">
        <v>-1.2851E-2</v>
      </c>
      <c r="I635">
        <v>-3.0407E-2</v>
      </c>
      <c r="J635">
        <v>-1.7211000000000001E-2</v>
      </c>
      <c r="K635">
        <v>-2.3630000000000001E-3</v>
      </c>
      <c r="L635">
        <v>9.0840000000000001E-3</v>
      </c>
      <c r="M635">
        <v>9.9950000000000004E-3</v>
      </c>
      <c r="N635">
        <v>-1.7437000000000001E-2</v>
      </c>
      <c r="O635">
        <v>-6.0309999999999999E-3</v>
      </c>
      <c r="P635">
        <v>1.5984999999999999E-2</v>
      </c>
      <c r="Q635">
        <v>-1.8074E-2</v>
      </c>
      <c r="R635">
        <v>1.4921E-2</v>
      </c>
      <c r="S635">
        <v>-4.3200000000000001E-3</v>
      </c>
      <c r="T635">
        <v>-1.4899999999999999E-4</v>
      </c>
      <c r="U635">
        <v>6.914E-3</v>
      </c>
      <c r="V635">
        <v>1.9980000000000002E-3</v>
      </c>
      <c r="W635">
        <v>1.6903999999999999E-2</v>
      </c>
      <c r="X635">
        <v>8.7989999999999995E-3</v>
      </c>
      <c r="Y635">
        <v>2.8554E-2</v>
      </c>
      <c r="Z635">
        <v>1.5231E-2</v>
      </c>
      <c r="AA635">
        <v>-6.6759999999999996E-3</v>
      </c>
      <c r="AB635">
        <v>-1.5842999999999999E-2</v>
      </c>
    </row>
    <row r="636" spans="1:28" x14ac:dyDescent="0.2">
      <c r="A636">
        <v>19841130</v>
      </c>
      <c r="B636">
        <v>1984</v>
      </c>
      <c r="C636">
        <v>11</v>
      </c>
      <c r="D636">
        <v>-5.7831E-2</v>
      </c>
      <c r="E636">
        <v>-3.9224000000000002E-2</v>
      </c>
      <c r="F636">
        <v>-1.255E-2</v>
      </c>
      <c r="G636">
        <v>-1.5913E-2</v>
      </c>
      <c r="H636">
        <v>-9.3220000000000004E-3</v>
      </c>
      <c r="I636">
        <v>-5.8256000000000002E-2</v>
      </c>
      <c r="J636">
        <v>-2.1343000000000001E-2</v>
      </c>
      <c r="K636">
        <v>-3.8419999999999999E-3</v>
      </c>
      <c r="L636">
        <v>4.4000000000000002E-4</v>
      </c>
      <c r="M636">
        <v>1.2456999999999999E-2</v>
      </c>
      <c r="N636">
        <v>-4.1312000000000001E-2</v>
      </c>
      <c r="O636">
        <v>6.378E-3</v>
      </c>
      <c r="P636">
        <v>1.3356E-2</v>
      </c>
      <c r="Q636">
        <v>1.2807000000000001E-2</v>
      </c>
      <c r="R636">
        <v>1.874E-2</v>
      </c>
      <c r="S636">
        <v>-3.5069000000000003E-2</v>
      </c>
      <c r="T636">
        <v>-5.1729999999999996E-3</v>
      </c>
      <c r="U636">
        <v>-1.0007E-2</v>
      </c>
      <c r="V636">
        <v>5.7540000000000004E-3</v>
      </c>
      <c r="W636">
        <v>2.0313000000000001E-2</v>
      </c>
      <c r="X636">
        <v>-2.4611000000000001E-2</v>
      </c>
      <c r="Y636">
        <v>-9.7050000000000001E-3</v>
      </c>
      <c r="Z636">
        <v>-1.8127999999999998E-2</v>
      </c>
      <c r="AA636">
        <v>-5.8859999999999997E-3</v>
      </c>
      <c r="AB636">
        <v>1.4331999999999999E-2</v>
      </c>
    </row>
    <row r="637" spans="1:28" x14ac:dyDescent="0.2">
      <c r="A637">
        <v>19841231</v>
      </c>
      <c r="B637">
        <v>1984</v>
      </c>
      <c r="C637">
        <v>12</v>
      </c>
      <c r="D637">
        <v>5.8539999999999998E-3</v>
      </c>
      <c r="E637">
        <v>7.4089999999999998E-3</v>
      </c>
      <c r="F637">
        <v>9.0189999999999992E-3</v>
      </c>
      <c r="G637">
        <v>4.9290000000000002E-3</v>
      </c>
      <c r="H637">
        <v>7.5880000000000001E-3</v>
      </c>
      <c r="I637">
        <v>2.0029000000000002E-2</v>
      </c>
      <c r="J637">
        <v>2.2627999999999999E-2</v>
      </c>
      <c r="K637">
        <v>1.6715000000000001E-2</v>
      </c>
      <c r="L637">
        <v>2.5349E-2</v>
      </c>
      <c r="M637">
        <v>2.5666999999999999E-2</v>
      </c>
      <c r="N637">
        <v>4.4604999999999999E-2</v>
      </c>
      <c r="O637">
        <v>3.5677E-2</v>
      </c>
      <c r="P637">
        <v>8.6719999999999992E-3</v>
      </c>
      <c r="Q637">
        <v>1.6514999999999998E-2</v>
      </c>
      <c r="R637">
        <v>2.1568E-2</v>
      </c>
      <c r="S637">
        <v>3.3047E-2</v>
      </c>
      <c r="T637">
        <v>1.9265999999999998E-2</v>
      </c>
      <c r="U637">
        <v>2.2277000000000002E-2</v>
      </c>
      <c r="V637">
        <v>2.9184999999999999E-2</v>
      </c>
      <c r="W637">
        <v>3.5313999999999998E-2</v>
      </c>
      <c r="X637">
        <v>2.5832999999999998E-2</v>
      </c>
      <c r="Y637">
        <v>2.3699000000000001E-2</v>
      </c>
      <c r="Z637">
        <v>2.9073999999999999E-2</v>
      </c>
      <c r="AA637">
        <v>3.117E-2</v>
      </c>
      <c r="AB637">
        <v>1.2161999999999999E-2</v>
      </c>
    </row>
    <row r="638" spans="1:28" x14ac:dyDescent="0.2">
      <c r="A638">
        <v>19850131</v>
      </c>
      <c r="B638">
        <v>1985</v>
      </c>
      <c r="C638">
        <v>1</v>
      </c>
      <c r="D638">
        <v>0.160884</v>
      </c>
      <c r="E638">
        <v>0.144286</v>
      </c>
      <c r="F638">
        <v>0.106003</v>
      </c>
      <c r="G638">
        <v>0.101315</v>
      </c>
      <c r="H638">
        <v>8.4870000000000001E-2</v>
      </c>
      <c r="I638">
        <v>0.16172</v>
      </c>
      <c r="J638">
        <v>0.13059100000000001</v>
      </c>
      <c r="K638">
        <v>8.9758000000000004E-2</v>
      </c>
      <c r="L638">
        <v>9.9612000000000006E-2</v>
      </c>
      <c r="M638">
        <v>8.7142999999999998E-2</v>
      </c>
      <c r="N638">
        <v>0.13764899999999999</v>
      </c>
      <c r="O638">
        <v>0.1028</v>
      </c>
      <c r="P638">
        <v>9.7520999999999997E-2</v>
      </c>
      <c r="Q638">
        <v>8.8259000000000004E-2</v>
      </c>
      <c r="R638">
        <v>7.9382999999999995E-2</v>
      </c>
      <c r="S638">
        <v>0.122224</v>
      </c>
      <c r="T638">
        <v>0.12865199999999999</v>
      </c>
      <c r="U638">
        <v>8.4275000000000003E-2</v>
      </c>
      <c r="V638">
        <v>8.1526000000000001E-2</v>
      </c>
      <c r="W638">
        <v>6.4024999999999999E-2</v>
      </c>
      <c r="X638">
        <v>9.5369999999999996E-2</v>
      </c>
      <c r="Y638">
        <v>7.9573000000000005E-2</v>
      </c>
      <c r="Z638">
        <v>7.6769000000000004E-2</v>
      </c>
      <c r="AA638">
        <v>6.8028000000000005E-2</v>
      </c>
      <c r="AB638">
        <v>4.2824000000000001E-2</v>
      </c>
    </row>
    <row r="639" spans="1:28" x14ac:dyDescent="0.2">
      <c r="A639">
        <v>19850228</v>
      </c>
      <c r="B639">
        <v>1985</v>
      </c>
      <c r="C639">
        <v>2</v>
      </c>
      <c r="D639">
        <v>3.6669E-2</v>
      </c>
      <c r="E639">
        <v>5.0398999999999999E-2</v>
      </c>
      <c r="F639">
        <v>3.4263000000000002E-2</v>
      </c>
      <c r="G639">
        <v>2.7473000000000001E-2</v>
      </c>
      <c r="H639">
        <v>3.7328E-2</v>
      </c>
      <c r="I639">
        <v>2.7987000000000001E-2</v>
      </c>
      <c r="J639">
        <v>3.1483999999999998E-2</v>
      </c>
      <c r="K639">
        <v>2.6773000000000002E-2</v>
      </c>
      <c r="L639">
        <v>1.9129E-2</v>
      </c>
      <c r="M639">
        <v>9.3959999999999998E-3</v>
      </c>
      <c r="N639">
        <v>2.1387E-2</v>
      </c>
      <c r="O639">
        <v>9.2339999999999992E-3</v>
      </c>
      <c r="P639">
        <v>1.4533000000000001E-2</v>
      </c>
      <c r="Q639">
        <v>1.6676E-2</v>
      </c>
      <c r="R639">
        <v>-6.1339999999999997E-3</v>
      </c>
      <c r="S639">
        <v>2.7195E-2</v>
      </c>
      <c r="T639">
        <v>-1.0891E-2</v>
      </c>
      <c r="U639">
        <v>2.0029000000000002E-2</v>
      </c>
      <c r="V639">
        <v>2.5273E-2</v>
      </c>
      <c r="W639">
        <v>1.1719E-2</v>
      </c>
      <c r="X639">
        <v>1.8519999999999999E-3</v>
      </c>
      <c r="Y639">
        <v>2.6773000000000002E-2</v>
      </c>
      <c r="Z639">
        <v>1.6664999999999999E-2</v>
      </c>
      <c r="AA639">
        <v>2.5326000000000001E-2</v>
      </c>
      <c r="AB639">
        <v>2.7163E-2</v>
      </c>
    </row>
    <row r="640" spans="1:28" x14ac:dyDescent="0.2">
      <c r="A640">
        <v>19850329</v>
      </c>
      <c r="B640">
        <v>1985</v>
      </c>
      <c r="C640">
        <v>3</v>
      </c>
      <c r="D640">
        <v>-2.6289E-2</v>
      </c>
      <c r="E640">
        <v>-2.9805999999999999E-2</v>
      </c>
      <c r="F640">
        <v>-1.5316E-2</v>
      </c>
      <c r="G640">
        <v>-1.2538000000000001E-2</v>
      </c>
      <c r="H640">
        <v>-2.578E-3</v>
      </c>
      <c r="I640">
        <v>-4.8363000000000003E-2</v>
      </c>
      <c r="J640">
        <v>-3.5132999999999998E-2</v>
      </c>
      <c r="K640">
        <v>-7.0270000000000003E-3</v>
      </c>
      <c r="L640">
        <v>3.5999999999999999E-3</v>
      </c>
      <c r="M640">
        <v>3.0903E-2</v>
      </c>
      <c r="N640">
        <v>-4.3229999999999998E-2</v>
      </c>
      <c r="O640">
        <v>-1.2376E-2</v>
      </c>
      <c r="P640">
        <v>-2.0347000000000001E-2</v>
      </c>
      <c r="Q640">
        <v>1.1107000000000001E-2</v>
      </c>
      <c r="R640">
        <v>3.7345000000000003E-2</v>
      </c>
      <c r="S640">
        <v>-2.7064999999999999E-2</v>
      </c>
      <c r="T640">
        <v>-2.3914999999999999E-2</v>
      </c>
      <c r="U640">
        <v>1.0369999999999999E-3</v>
      </c>
      <c r="V640">
        <v>9.5820000000000002E-3</v>
      </c>
      <c r="W640">
        <v>4.3028999999999998E-2</v>
      </c>
      <c r="X640">
        <v>-1.5582E-2</v>
      </c>
      <c r="Y640">
        <v>1.0404E-2</v>
      </c>
      <c r="Z640">
        <v>-5.8609999999999999E-3</v>
      </c>
      <c r="AA640">
        <v>1.2452E-2</v>
      </c>
      <c r="AB640">
        <v>1.5492000000000001E-2</v>
      </c>
    </row>
    <row r="641" spans="1:28" x14ac:dyDescent="0.2">
      <c r="A641">
        <v>19850430</v>
      </c>
      <c r="B641">
        <v>1985</v>
      </c>
      <c r="C641">
        <v>4</v>
      </c>
      <c r="D641">
        <v>-2.2159999999999999E-2</v>
      </c>
      <c r="E641">
        <v>-1.7956E-2</v>
      </c>
      <c r="F641">
        <v>1.944E-3</v>
      </c>
      <c r="G641">
        <v>3.7810000000000001E-3</v>
      </c>
      <c r="H641">
        <v>2.7499999999999998E-3</v>
      </c>
      <c r="I641">
        <v>-3.2421999999999999E-2</v>
      </c>
      <c r="J641">
        <v>-1.2878000000000001E-2</v>
      </c>
      <c r="K641">
        <v>-3.4889999999999999E-3</v>
      </c>
      <c r="L641">
        <v>2.6702E-2</v>
      </c>
      <c r="M641">
        <v>7.4619999999999999E-3</v>
      </c>
      <c r="N641">
        <v>-1.2309E-2</v>
      </c>
      <c r="O641">
        <v>-1.2978E-2</v>
      </c>
      <c r="P641">
        <v>-3.9569999999999996E-3</v>
      </c>
      <c r="Q641">
        <v>2.6119E-2</v>
      </c>
      <c r="R641">
        <v>1.5041000000000001E-2</v>
      </c>
      <c r="S641">
        <v>-1.2818E-2</v>
      </c>
      <c r="T641">
        <v>-3.2953999999999997E-2</v>
      </c>
      <c r="U641">
        <v>5.1679999999999999E-3</v>
      </c>
      <c r="V641">
        <v>7.9699999999999997E-3</v>
      </c>
      <c r="W641">
        <v>1.0626E-2</v>
      </c>
      <c r="X641">
        <v>-1.6826000000000001E-2</v>
      </c>
      <c r="Y641">
        <v>-2.4059000000000001E-2</v>
      </c>
      <c r="Z641">
        <v>-1.3912000000000001E-2</v>
      </c>
      <c r="AA641">
        <v>1.3393E-2</v>
      </c>
      <c r="AB641">
        <v>3.0328999999999998E-2</v>
      </c>
    </row>
    <row r="642" spans="1:28" x14ac:dyDescent="0.2">
      <c r="A642">
        <v>19850531</v>
      </c>
      <c r="B642">
        <v>1985</v>
      </c>
      <c r="C642">
        <v>5</v>
      </c>
      <c r="D642">
        <v>2.5198000000000002E-2</v>
      </c>
      <c r="E642">
        <v>3.9416E-2</v>
      </c>
      <c r="F642">
        <v>3.7879000000000003E-2</v>
      </c>
      <c r="G642">
        <v>2.6925000000000001E-2</v>
      </c>
      <c r="H642">
        <v>1.1057000000000001E-2</v>
      </c>
      <c r="I642">
        <v>4.0918000000000003E-2</v>
      </c>
      <c r="J642">
        <v>4.1322999999999999E-2</v>
      </c>
      <c r="K642">
        <v>3.1227999999999999E-2</v>
      </c>
      <c r="L642">
        <v>5.5959000000000002E-2</v>
      </c>
      <c r="M642">
        <v>2.9322000000000001E-2</v>
      </c>
      <c r="N642">
        <v>6.2280000000000002E-2</v>
      </c>
      <c r="O642">
        <v>5.5093999999999997E-2</v>
      </c>
      <c r="P642">
        <v>3.1084000000000001E-2</v>
      </c>
      <c r="Q642">
        <v>4.7972000000000001E-2</v>
      </c>
      <c r="R642">
        <v>4.1973999999999997E-2</v>
      </c>
      <c r="S642">
        <v>6.7230999999999999E-2</v>
      </c>
      <c r="T642">
        <v>5.7265999999999997E-2</v>
      </c>
      <c r="U642">
        <v>5.6413999999999999E-2</v>
      </c>
      <c r="V642">
        <v>4.4441000000000001E-2</v>
      </c>
      <c r="W642">
        <v>6.4994999999999997E-2</v>
      </c>
      <c r="X642">
        <v>5.6998E-2</v>
      </c>
      <c r="Y642">
        <v>7.5155E-2</v>
      </c>
      <c r="Z642">
        <v>8.8873999999999995E-2</v>
      </c>
      <c r="AA642">
        <v>5.3874999999999999E-2</v>
      </c>
      <c r="AB642">
        <v>4.5905000000000001E-2</v>
      </c>
    </row>
    <row r="643" spans="1:28" x14ac:dyDescent="0.2">
      <c r="A643">
        <v>19850628</v>
      </c>
      <c r="B643">
        <v>1985</v>
      </c>
      <c r="C643">
        <v>6</v>
      </c>
      <c r="D643">
        <v>5.8809999999999999E-3</v>
      </c>
      <c r="E643">
        <v>5.3800000000000002E-3</v>
      </c>
      <c r="F643">
        <v>8.0400000000000003E-3</v>
      </c>
      <c r="G643">
        <v>1.3814E-2</v>
      </c>
      <c r="H643">
        <v>4.5579000000000001E-2</v>
      </c>
      <c r="I643">
        <v>7.3990000000000002E-3</v>
      </c>
      <c r="J643">
        <v>2.2988999999999999E-2</v>
      </c>
      <c r="K643">
        <v>2.4046999999999999E-2</v>
      </c>
      <c r="L643">
        <v>3.1308999999999997E-2</v>
      </c>
      <c r="M643">
        <v>3.4847999999999997E-2</v>
      </c>
      <c r="N643">
        <v>2.5562000000000001E-2</v>
      </c>
      <c r="O643">
        <v>1.8519999999999998E-2</v>
      </c>
      <c r="P643">
        <v>4.3174999999999998E-2</v>
      </c>
      <c r="Q643">
        <v>2.6315999999999999E-2</v>
      </c>
      <c r="R643">
        <v>3.3625000000000002E-2</v>
      </c>
      <c r="S643">
        <v>1.9859000000000002E-2</v>
      </c>
      <c r="T643">
        <v>1.7711000000000001E-2</v>
      </c>
      <c r="U643">
        <v>2.2634999999999999E-2</v>
      </c>
      <c r="V643">
        <v>3.5638000000000003E-2</v>
      </c>
      <c r="W643">
        <v>8.992E-3</v>
      </c>
      <c r="X643">
        <v>6.7190000000000001E-3</v>
      </c>
      <c r="Y643">
        <v>2.8833999999999999E-2</v>
      </c>
      <c r="Z643">
        <v>1.4546999999999999E-2</v>
      </c>
      <c r="AA643">
        <v>2.9949999999999998E-3</v>
      </c>
      <c r="AB643">
        <v>2.3283000000000002E-2</v>
      </c>
    </row>
    <row r="644" spans="1:28" x14ac:dyDescent="0.2">
      <c r="A644">
        <v>19850731</v>
      </c>
      <c r="B644">
        <v>1985</v>
      </c>
      <c r="C644">
        <v>7</v>
      </c>
      <c r="D644">
        <v>2.4006E-2</v>
      </c>
      <c r="E644">
        <v>3.2524999999999998E-2</v>
      </c>
      <c r="F644">
        <v>2.2769000000000001E-2</v>
      </c>
      <c r="G644">
        <v>1.5606999999999999E-2</v>
      </c>
      <c r="H644">
        <v>2.3026000000000001E-2</v>
      </c>
      <c r="I644">
        <v>3.1926999999999997E-2</v>
      </c>
      <c r="J644">
        <v>3.5073E-2</v>
      </c>
      <c r="K644">
        <v>5.0743000000000003E-2</v>
      </c>
      <c r="L644">
        <v>-1.544E-3</v>
      </c>
      <c r="M644">
        <v>3.738E-3</v>
      </c>
      <c r="N644">
        <v>1.2257000000000001E-2</v>
      </c>
      <c r="O644">
        <v>2.6074E-2</v>
      </c>
      <c r="P644">
        <v>1.4370000000000001E-2</v>
      </c>
      <c r="Q644">
        <v>9.7640000000000001E-3</v>
      </c>
      <c r="R644">
        <v>1.9564999999999999E-2</v>
      </c>
      <c r="S644">
        <v>-4.7949999999999998E-3</v>
      </c>
      <c r="T644">
        <v>3.9649999999999998E-3</v>
      </c>
      <c r="U644">
        <v>1.1462999999999999E-2</v>
      </c>
      <c r="V644">
        <v>-2.1051E-2</v>
      </c>
      <c r="W644">
        <v>7.0650000000000001E-3</v>
      </c>
      <c r="X644">
        <v>5.5469999999999998E-3</v>
      </c>
      <c r="Y644">
        <v>-3.6189999999999998E-3</v>
      </c>
      <c r="Z644">
        <v>-1.9597E-2</v>
      </c>
      <c r="AA644">
        <v>-1.5004999999999999E-2</v>
      </c>
      <c r="AB644">
        <v>-2.3639E-2</v>
      </c>
    </row>
    <row r="645" spans="1:28" x14ac:dyDescent="0.2">
      <c r="A645">
        <v>19850830</v>
      </c>
      <c r="B645">
        <v>1985</v>
      </c>
      <c r="C645">
        <v>8</v>
      </c>
      <c r="D645">
        <v>-1.5994999999999999E-2</v>
      </c>
      <c r="E645">
        <v>-1.1816999999999999E-2</v>
      </c>
      <c r="F645">
        <v>-5.9829999999999996E-3</v>
      </c>
      <c r="G645">
        <v>2.212E-3</v>
      </c>
      <c r="H645">
        <v>-1.1067E-2</v>
      </c>
      <c r="I645">
        <v>-2.0296000000000002E-2</v>
      </c>
      <c r="J645">
        <v>-9.5519999999999997E-3</v>
      </c>
      <c r="K645">
        <v>7.7289999999999998E-3</v>
      </c>
      <c r="L645">
        <v>3.2420000000000001E-3</v>
      </c>
      <c r="M645">
        <v>2.3960000000000001E-3</v>
      </c>
      <c r="N645">
        <v>-2.4716999999999999E-2</v>
      </c>
      <c r="O645">
        <v>-5.8979999999999996E-3</v>
      </c>
      <c r="P645">
        <v>-2.0739999999999999E-3</v>
      </c>
      <c r="Q645">
        <v>-4.4819999999999999E-3</v>
      </c>
      <c r="R645">
        <v>2.8119999999999998E-3</v>
      </c>
      <c r="S645">
        <v>-1.7152000000000001E-2</v>
      </c>
      <c r="T645">
        <v>-3.173E-3</v>
      </c>
      <c r="U645">
        <v>1.1073E-2</v>
      </c>
      <c r="V645">
        <v>-2.6559999999999999E-3</v>
      </c>
      <c r="W645">
        <v>2.5690000000000001E-3</v>
      </c>
      <c r="X645">
        <v>-1.8147E-2</v>
      </c>
      <c r="Y645">
        <v>2.2800000000000001E-4</v>
      </c>
      <c r="Z645">
        <v>-5.2220000000000001E-3</v>
      </c>
      <c r="AA645">
        <v>3.9509999999999997E-3</v>
      </c>
      <c r="AB645">
        <v>7.9480000000000002E-3</v>
      </c>
    </row>
    <row r="646" spans="1:28" x14ac:dyDescent="0.2">
      <c r="A646">
        <v>19850930</v>
      </c>
      <c r="B646">
        <v>1985</v>
      </c>
      <c r="C646">
        <v>9</v>
      </c>
      <c r="D646">
        <v>-8.0549999999999997E-2</v>
      </c>
      <c r="E646">
        <v>-5.7923000000000002E-2</v>
      </c>
      <c r="F646">
        <v>-4.9014000000000002E-2</v>
      </c>
      <c r="G646">
        <v>-3.8918000000000001E-2</v>
      </c>
      <c r="H646">
        <v>-4.0583000000000001E-2</v>
      </c>
      <c r="I646">
        <v>-7.5437000000000004E-2</v>
      </c>
      <c r="J646">
        <v>-6.1726999999999997E-2</v>
      </c>
      <c r="K646">
        <v>-3.3010999999999999E-2</v>
      </c>
      <c r="L646">
        <v>-3.6955000000000002E-2</v>
      </c>
      <c r="M646">
        <v>-5.5081999999999999E-2</v>
      </c>
      <c r="N646">
        <v>-6.8667000000000006E-2</v>
      </c>
      <c r="O646">
        <v>-4.2804000000000002E-2</v>
      </c>
      <c r="P646">
        <v>-3.2571999999999997E-2</v>
      </c>
      <c r="Q646">
        <v>-3.7994E-2</v>
      </c>
      <c r="R646">
        <v>-2.9489000000000001E-2</v>
      </c>
      <c r="S646">
        <v>-4.9828999999999998E-2</v>
      </c>
      <c r="T646">
        <v>-4.0696000000000003E-2</v>
      </c>
      <c r="U646">
        <v>-4.7743000000000001E-2</v>
      </c>
      <c r="V646">
        <v>-6.3534999999999994E-2</v>
      </c>
      <c r="W646">
        <v>-4.9012E-2</v>
      </c>
      <c r="X646">
        <v>-3.6497000000000002E-2</v>
      </c>
      <c r="Y646">
        <v>-2.4480999999999999E-2</v>
      </c>
      <c r="Z646">
        <v>-1.8155999999999999E-2</v>
      </c>
      <c r="AA646">
        <v>-3.2714E-2</v>
      </c>
      <c r="AB646">
        <v>-4.0215000000000001E-2</v>
      </c>
    </row>
    <row r="647" spans="1:28" x14ac:dyDescent="0.2">
      <c r="A647">
        <v>19851031</v>
      </c>
      <c r="B647">
        <v>1985</v>
      </c>
      <c r="C647">
        <v>10</v>
      </c>
      <c r="D647">
        <v>6.764E-3</v>
      </c>
      <c r="E647">
        <v>1.7523E-2</v>
      </c>
      <c r="F647">
        <v>3.6724E-2</v>
      </c>
      <c r="G647">
        <v>3.3466000000000003E-2</v>
      </c>
      <c r="H647">
        <v>1.7603000000000001E-2</v>
      </c>
      <c r="I647">
        <v>3.8239000000000002E-2</v>
      </c>
      <c r="J647">
        <v>3.8564000000000001E-2</v>
      </c>
      <c r="K647">
        <v>4.1105999999999997E-2</v>
      </c>
      <c r="L647">
        <v>5.7105000000000003E-2</v>
      </c>
      <c r="M647">
        <v>2.8154999999999999E-2</v>
      </c>
      <c r="N647">
        <v>3.9454000000000003E-2</v>
      </c>
      <c r="O647">
        <v>4.2286999999999998E-2</v>
      </c>
      <c r="P647">
        <v>4.3876999999999999E-2</v>
      </c>
      <c r="Q647">
        <v>2.4062E-2</v>
      </c>
      <c r="R647">
        <v>2.8250999999999998E-2</v>
      </c>
      <c r="S647">
        <v>5.672E-2</v>
      </c>
      <c r="T647">
        <v>5.2771999999999999E-2</v>
      </c>
      <c r="U647">
        <v>4.2488999999999999E-2</v>
      </c>
      <c r="V647">
        <v>5.5030999999999997E-2</v>
      </c>
      <c r="W647">
        <v>5.5800000000000002E-2</v>
      </c>
      <c r="X647">
        <v>3.6334999999999999E-2</v>
      </c>
      <c r="Y647">
        <v>4.4144999999999997E-2</v>
      </c>
      <c r="Z647">
        <v>4.8369000000000002E-2</v>
      </c>
      <c r="AA647">
        <v>5.883E-2</v>
      </c>
      <c r="AB647">
        <v>6.3014000000000001E-2</v>
      </c>
    </row>
    <row r="648" spans="1:28" x14ac:dyDescent="0.2">
      <c r="A648">
        <v>19851129</v>
      </c>
      <c r="B648">
        <v>1985</v>
      </c>
      <c r="C648">
        <v>11</v>
      </c>
      <c r="D648">
        <v>5.4691999999999998E-2</v>
      </c>
      <c r="E648">
        <v>6.5268999999999994E-2</v>
      </c>
      <c r="F648">
        <v>6.361E-2</v>
      </c>
      <c r="G648">
        <v>5.0390999999999998E-2</v>
      </c>
      <c r="H648">
        <v>4.9109E-2</v>
      </c>
      <c r="I648">
        <v>9.2898999999999995E-2</v>
      </c>
      <c r="J648">
        <v>7.1632000000000001E-2</v>
      </c>
      <c r="K648">
        <v>8.1758999999999998E-2</v>
      </c>
      <c r="L648">
        <v>7.1404999999999996E-2</v>
      </c>
      <c r="M648">
        <v>6.4363000000000004E-2</v>
      </c>
      <c r="N648">
        <v>7.7577999999999994E-2</v>
      </c>
      <c r="O648">
        <v>7.2168999999999997E-2</v>
      </c>
      <c r="P648">
        <v>5.8437000000000003E-2</v>
      </c>
      <c r="Q648">
        <v>6.5561999999999995E-2</v>
      </c>
      <c r="R648">
        <v>6.5064999999999998E-2</v>
      </c>
      <c r="S648">
        <v>8.6015999999999995E-2</v>
      </c>
      <c r="T648">
        <v>6.9591E-2</v>
      </c>
      <c r="U648">
        <v>8.2871E-2</v>
      </c>
      <c r="V648">
        <v>5.4984999999999999E-2</v>
      </c>
      <c r="W648">
        <v>5.4803999999999999E-2</v>
      </c>
      <c r="X648">
        <v>0.100728</v>
      </c>
      <c r="Y648">
        <v>8.1686999999999996E-2</v>
      </c>
      <c r="Z648">
        <v>7.6442999999999997E-2</v>
      </c>
      <c r="AA648">
        <v>3.9433000000000003E-2</v>
      </c>
      <c r="AB648">
        <v>4.6884000000000002E-2</v>
      </c>
    </row>
    <row r="649" spans="1:28" x14ac:dyDescent="0.2">
      <c r="A649">
        <v>19851231</v>
      </c>
      <c r="B649">
        <v>1985</v>
      </c>
      <c r="C649">
        <v>12</v>
      </c>
      <c r="D649">
        <v>3.6755000000000003E-2</v>
      </c>
      <c r="E649">
        <v>5.0847000000000003E-2</v>
      </c>
      <c r="F649">
        <v>4.0371999999999998E-2</v>
      </c>
      <c r="G649">
        <v>4.0646000000000002E-2</v>
      </c>
      <c r="H649">
        <v>3.3938999999999997E-2</v>
      </c>
      <c r="I649">
        <v>5.2130000000000003E-2</v>
      </c>
      <c r="J649">
        <v>4.4880000000000003E-2</v>
      </c>
      <c r="K649">
        <v>5.0729000000000003E-2</v>
      </c>
      <c r="L649">
        <v>3.9405999999999997E-2</v>
      </c>
      <c r="M649">
        <v>3.3170000000000001E-3</v>
      </c>
      <c r="N649">
        <v>5.6765999999999997E-2</v>
      </c>
      <c r="O649">
        <v>4.6379999999999998E-2</v>
      </c>
      <c r="P649">
        <v>2.4760999999999998E-2</v>
      </c>
      <c r="Q649">
        <v>2.6619E-2</v>
      </c>
      <c r="R649">
        <v>5.4051000000000002E-2</v>
      </c>
      <c r="S649">
        <v>3.7393000000000003E-2</v>
      </c>
      <c r="T649">
        <v>4.4409999999999998E-2</v>
      </c>
      <c r="U649">
        <v>2.8271999999999999E-2</v>
      </c>
      <c r="V649">
        <v>4.9700000000000001E-2</v>
      </c>
      <c r="W649">
        <v>5.1781000000000001E-2</v>
      </c>
      <c r="X649">
        <v>6.8784999999999999E-2</v>
      </c>
      <c r="Y649">
        <v>3.7451999999999999E-2</v>
      </c>
      <c r="Z649">
        <v>4.9903999999999997E-2</v>
      </c>
      <c r="AA649">
        <v>3.0814999999999999E-2</v>
      </c>
      <c r="AB649">
        <v>4.3461E-2</v>
      </c>
    </row>
    <row r="650" spans="1:28" x14ac:dyDescent="0.2">
      <c r="A650">
        <v>19860131</v>
      </c>
      <c r="B650">
        <v>1986</v>
      </c>
      <c r="C650">
        <v>1</v>
      </c>
      <c r="D650">
        <v>3.8767999999999997E-2</v>
      </c>
      <c r="E650">
        <v>2.2759999999999999E-2</v>
      </c>
      <c r="F650">
        <v>2.1839999999999998E-2</v>
      </c>
      <c r="G650">
        <v>1.9956999999999999E-2</v>
      </c>
      <c r="H650">
        <v>3.0179999999999998E-2</v>
      </c>
      <c r="I650">
        <v>9.1009999999999997E-3</v>
      </c>
      <c r="J650">
        <v>1.8377999999999999E-2</v>
      </c>
      <c r="K650">
        <v>1.3918E-2</v>
      </c>
      <c r="L650">
        <v>2.1789999999999999E-3</v>
      </c>
      <c r="M650">
        <v>2.6044999999999999E-2</v>
      </c>
      <c r="N650">
        <v>1.8700999999999999E-2</v>
      </c>
      <c r="O650">
        <v>2.7504000000000001E-2</v>
      </c>
      <c r="P650">
        <v>1.2449999999999999E-2</v>
      </c>
      <c r="Q650">
        <v>2.4976000000000002E-2</v>
      </c>
      <c r="R650">
        <v>3.0741999999999998E-2</v>
      </c>
      <c r="S650">
        <v>1.1339E-2</v>
      </c>
      <c r="T650">
        <v>4.8009999999999997E-3</v>
      </c>
      <c r="U650">
        <v>1.8553E-2</v>
      </c>
      <c r="V650">
        <v>2.7210000000000002E-2</v>
      </c>
      <c r="W650">
        <v>3.5298999999999997E-2</v>
      </c>
      <c r="X650">
        <v>3.7429999999999998E-3</v>
      </c>
      <c r="Y650">
        <v>1.3436999999999999E-2</v>
      </c>
      <c r="Z650">
        <v>1.5618999999999999E-2</v>
      </c>
      <c r="AA650">
        <v>-1.4396000000000001E-2</v>
      </c>
      <c r="AB650">
        <v>1.4470999999999999E-2</v>
      </c>
    </row>
    <row r="651" spans="1:28" x14ac:dyDescent="0.2">
      <c r="A651">
        <v>19860228</v>
      </c>
      <c r="B651">
        <v>1986</v>
      </c>
      <c r="C651">
        <v>2</v>
      </c>
      <c r="D651">
        <v>5.8999999999999997E-2</v>
      </c>
      <c r="E651">
        <v>6.3514000000000001E-2</v>
      </c>
      <c r="F651">
        <v>6.6120999999999999E-2</v>
      </c>
      <c r="G651">
        <v>8.0384999999999998E-2</v>
      </c>
      <c r="H651">
        <v>5.3594000000000003E-2</v>
      </c>
      <c r="I651">
        <v>7.8087000000000004E-2</v>
      </c>
      <c r="J651">
        <v>7.0026000000000005E-2</v>
      </c>
      <c r="K651">
        <v>6.6793000000000005E-2</v>
      </c>
      <c r="L651">
        <v>9.5825999999999995E-2</v>
      </c>
      <c r="M651">
        <v>3.909E-2</v>
      </c>
      <c r="N651">
        <v>6.9491999999999998E-2</v>
      </c>
      <c r="O651">
        <v>9.2648999999999995E-2</v>
      </c>
      <c r="P651">
        <v>7.8576999999999994E-2</v>
      </c>
      <c r="Q651">
        <v>7.0984000000000005E-2</v>
      </c>
      <c r="R651">
        <v>6.5387000000000001E-2</v>
      </c>
      <c r="S651">
        <v>7.9972000000000001E-2</v>
      </c>
      <c r="T651">
        <v>9.4212000000000004E-2</v>
      </c>
      <c r="U651">
        <v>7.0058999999999996E-2</v>
      </c>
      <c r="V651">
        <v>7.2551000000000004E-2</v>
      </c>
      <c r="W651">
        <v>7.6759999999999995E-2</v>
      </c>
      <c r="X651">
        <v>7.5827000000000006E-2</v>
      </c>
      <c r="Y651">
        <v>0.101226</v>
      </c>
      <c r="Z651">
        <v>8.6434999999999998E-2</v>
      </c>
      <c r="AA651">
        <v>6.4682000000000003E-2</v>
      </c>
      <c r="AB651">
        <v>7.1859999999999993E-2</v>
      </c>
    </row>
    <row r="652" spans="1:28" x14ac:dyDescent="0.2">
      <c r="A652">
        <v>19860331</v>
      </c>
      <c r="B652">
        <v>1986</v>
      </c>
      <c r="C652">
        <v>3</v>
      </c>
      <c r="D652">
        <v>4.7556000000000001E-2</v>
      </c>
      <c r="E652">
        <v>5.6399999999999999E-2</v>
      </c>
      <c r="F652">
        <v>4.9147999999999997E-2</v>
      </c>
      <c r="G652">
        <v>4.82E-2</v>
      </c>
      <c r="H652">
        <v>6.2611E-2</v>
      </c>
      <c r="I652">
        <v>3.7110999999999998E-2</v>
      </c>
      <c r="J652">
        <v>5.117E-2</v>
      </c>
      <c r="K652">
        <v>5.8700000000000002E-2</v>
      </c>
      <c r="L652">
        <v>5.0637000000000001E-2</v>
      </c>
      <c r="M652">
        <v>6.3723000000000002E-2</v>
      </c>
      <c r="N652">
        <v>4.8645000000000001E-2</v>
      </c>
      <c r="O652">
        <v>7.1898000000000004E-2</v>
      </c>
      <c r="P652">
        <v>5.3850000000000002E-2</v>
      </c>
      <c r="Q652">
        <v>5.8698E-2</v>
      </c>
      <c r="R652">
        <v>5.6753999999999999E-2</v>
      </c>
      <c r="S652">
        <v>5.5848000000000002E-2</v>
      </c>
      <c r="T652">
        <v>5.2231E-2</v>
      </c>
      <c r="U652">
        <v>6.6131999999999996E-2</v>
      </c>
      <c r="V652">
        <v>4.0467000000000003E-2</v>
      </c>
      <c r="W652">
        <v>4.6332999999999999E-2</v>
      </c>
      <c r="X652">
        <v>5.9560000000000002E-2</v>
      </c>
      <c r="Y652">
        <v>7.3229000000000002E-2</v>
      </c>
      <c r="Z652">
        <v>5.4372999999999998E-2</v>
      </c>
      <c r="AA652">
        <v>4.8378999999999998E-2</v>
      </c>
      <c r="AB652">
        <v>4.4592E-2</v>
      </c>
    </row>
    <row r="653" spans="1:28" x14ac:dyDescent="0.2">
      <c r="A653">
        <v>19860430</v>
      </c>
      <c r="B653">
        <v>1986</v>
      </c>
      <c r="C653">
        <v>4</v>
      </c>
      <c r="D653">
        <v>2.6277999999999999E-2</v>
      </c>
      <c r="E653">
        <v>2.2669000000000002E-2</v>
      </c>
      <c r="F653">
        <v>1.4437E-2</v>
      </c>
      <c r="G653">
        <v>1.755E-3</v>
      </c>
      <c r="H653">
        <v>4.7809999999999997E-3</v>
      </c>
      <c r="I653">
        <v>2.1583999999999999E-2</v>
      </c>
      <c r="J653">
        <v>2.1652999999999999E-2</v>
      </c>
      <c r="K653">
        <v>1.0790000000000001E-3</v>
      </c>
      <c r="L653">
        <v>8.633E-3</v>
      </c>
      <c r="M653">
        <v>-1.9456999999999999E-2</v>
      </c>
      <c r="N653">
        <v>2.1779E-2</v>
      </c>
      <c r="O653">
        <v>2.1749000000000001E-2</v>
      </c>
      <c r="P653">
        <v>1.0925000000000001E-2</v>
      </c>
      <c r="Q653">
        <v>1.2411E-2</v>
      </c>
      <c r="R653">
        <v>-1.5394E-2</v>
      </c>
      <c r="S653">
        <v>1.9387999999999999E-2</v>
      </c>
      <c r="T653">
        <v>-3.392E-3</v>
      </c>
      <c r="U653">
        <v>-1.7829999999999999E-2</v>
      </c>
      <c r="V653">
        <v>-2.5066000000000001E-2</v>
      </c>
      <c r="W653">
        <v>-4.8730000000000002E-2</v>
      </c>
      <c r="X653">
        <v>3.2460000000000002E-3</v>
      </c>
      <c r="Y653">
        <v>-9.7750000000000007E-3</v>
      </c>
      <c r="Z653">
        <v>-2.3217999999999999E-2</v>
      </c>
      <c r="AA653">
        <v>-2.6988000000000002E-2</v>
      </c>
      <c r="AB653">
        <v>-2.7394000000000002E-2</v>
      </c>
    </row>
    <row r="654" spans="1:28" x14ac:dyDescent="0.2">
      <c r="A654">
        <v>19860530</v>
      </c>
      <c r="B654">
        <v>1986</v>
      </c>
      <c r="C654">
        <v>5</v>
      </c>
      <c r="D654">
        <v>4.1674999999999997E-2</v>
      </c>
      <c r="E654">
        <v>3.4736000000000003E-2</v>
      </c>
      <c r="F654">
        <v>4.0846E-2</v>
      </c>
      <c r="G654">
        <v>3.8147E-2</v>
      </c>
      <c r="H654">
        <v>4.0322999999999998E-2</v>
      </c>
      <c r="I654">
        <v>3.3966000000000003E-2</v>
      </c>
      <c r="J654">
        <v>2.4331999999999999E-2</v>
      </c>
      <c r="K654">
        <v>5.2331999999999997E-2</v>
      </c>
      <c r="L654">
        <v>4.2610000000000002E-2</v>
      </c>
      <c r="M654">
        <v>2.964E-2</v>
      </c>
      <c r="N654">
        <v>6.1759000000000001E-2</v>
      </c>
      <c r="O654">
        <v>4.2569999999999997E-2</v>
      </c>
      <c r="P654">
        <v>5.9068000000000002E-2</v>
      </c>
      <c r="Q654">
        <v>5.2178000000000002E-2</v>
      </c>
      <c r="R654">
        <v>3.1906999999999998E-2</v>
      </c>
      <c r="S654">
        <v>6.3022999999999996E-2</v>
      </c>
      <c r="T654">
        <v>3.9688000000000001E-2</v>
      </c>
      <c r="U654">
        <v>5.6522999999999997E-2</v>
      </c>
      <c r="V654">
        <v>4.4088000000000002E-2</v>
      </c>
      <c r="W654">
        <v>4.4338000000000002E-2</v>
      </c>
      <c r="X654">
        <v>5.1454E-2</v>
      </c>
      <c r="Y654">
        <v>6.3138E-2</v>
      </c>
      <c r="Z654">
        <v>3.5581000000000002E-2</v>
      </c>
      <c r="AA654">
        <v>6.5075999999999995E-2</v>
      </c>
      <c r="AB654">
        <v>5.6036999999999997E-2</v>
      </c>
    </row>
    <row r="655" spans="1:28" x14ac:dyDescent="0.2">
      <c r="A655">
        <v>19860630</v>
      </c>
      <c r="B655">
        <v>1986</v>
      </c>
      <c r="C655">
        <v>6</v>
      </c>
      <c r="D655">
        <v>1.7949999999999999E-3</v>
      </c>
      <c r="E655">
        <v>-1.405E-2</v>
      </c>
      <c r="F655">
        <v>-4.1180000000000001E-3</v>
      </c>
      <c r="G655">
        <v>1.2539E-2</v>
      </c>
      <c r="H655">
        <v>2.3505000000000002E-2</v>
      </c>
      <c r="I655">
        <v>6.0489999999999997E-3</v>
      </c>
      <c r="J655">
        <v>1.3339999999999999E-3</v>
      </c>
      <c r="K655">
        <v>2.6078E-2</v>
      </c>
      <c r="L655">
        <v>1.6454E-2</v>
      </c>
      <c r="M655">
        <v>2.418E-2</v>
      </c>
      <c r="N655">
        <v>1.1719E-2</v>
      </c>
      <c r="O655">
        <v>-6.8890000000000002E-3</v>
      </c>
      <c r="P655">
        <v>2.0646000000000001E-2</v>
      </c>
      <c r="Q655">
        <v>6.1960000000000001E-3</v>
      </c>
      <c r="R655">
        <v>2.5855E-2</v>
      </c>
      <c r="S655">
        <v>1.4638E-2</v>
      </c>
      <c r="T655">
        <v>1.0293999999999999E-2</v>
      </c>
      <c r="U655">
        <v>1.0449999999999999E-3</v>
      </c>
      <c r="V655">
        <v>3.7680999999999999E-2</v>
      </c>
      <c r="W655">
        <v>1.3991999999999999E-2</v>
      </c>
      <c r="X655">
        <v>2.1689E-2</v>
      </c>
      <c r="Y655">
        <v>2.0792000000000001E-2</v>
      </c>
      <c r="Z655">
        <v>1.1353E-2</v>
      </c>
      <c r="AA655">
        <v>6.8100000000000001E-3</v>
      </c>
      <c r="AB655">
        <v>2.9898999999999998E-2</v>
      </c>
    </row>
    <row r="656" spans="1:28" x14ac:dyDescent="0.2">
      <c r="A656">
        <v>19860731</v>
      </c>
      <c r="B656">
        <v>1986</v>
      </c>
      <c r="C656">
        <v>7</v>
      </c>
      <c r="D656">
        <v>-0.101357</v>
      </c>
      <c r="E656">
        <v>-8.8831999999999994E-2</v>
      </c>
      <c r="F656">
        <v>-8.0879999999999994E-2</v>
      </c>
      <c r="G656">
        <v>-6.0595999999999997E-2</v>
      </c>
      <c r="H656">
        <v>-8.7375999999999995E-2</v>
      </c>
      <c r="I656">
        <v>-0.114943</v>
      </c>
      <c r="J656">
        <v>-9.9926000000000001E-2</v>
      </c>
      <c r="K656">
        <v>-8.7264999999999995E-2</v>
      </c>
      <c r="L656">
        <v>-4.6802999999999997E-2</v>
      </c>
      <c r="M656">
        <v>-7.0961999999999997E-2</v>
      </c>
      <c r="N656">
        <v>-9.6777000000000002E-2</v>
      </c>
      <c r="O656">
        <v>-7.9805000000000001E-2</v>
      </c>
      <c r="P656">
        <v>-8.0828999999999998E-2</v>
      </c>
      <c r="Q656">
        <v>-5.9825000000000003E-2</v>
      </c>
      <c r="R656">
        <v>-5.2928000000000003E-2</v>
      </c>
      <c r="S656">
        <v>-8.7903999999999996E-2</v>
      </c>
      <c r="T656">
        <v>-7.6105999999999993E-2</v>
      </c>
      <c r="U656">
        <v>-7.1159E-2</v>
      </c>
      <c r="V656">
        <v>-3.9740999999999999E-2</v>
      </c>
      <c r="W656">
        <v>-4.4741000000000003E-2</v>
      </c>
      <c r="X656">
        <v>-7.0383000000000001E-2</v>
      </c>
      <c r="Y656">
        <v>-5.9131000000000003E-2</v>
      </c>
      <c r="Z656">
        <v>-4.8675000000000003E-2</v>
      </c>
      <c r="AA656">
        <v>-2.6422000000000001E-2</v>
      </c>
      <c r="AB656">
        <v>-2.6119E-2</v>
      </c>
    </row>
    <row r="657" spans="1:28" x14ac:dyDescent="0.2">
      <c r="A657">
        <v>19860829</v>
      </c>
      <c r="B657">
        <v>1986</v>
      </c>
      <c r="C657">
        <v>8</v>
      </c>
      <c r="D657">
        <v>3.2550000000000001E-3</v>
      </c>
      <c r="E657">
        <v>5.6839999999999998E-3</v>
      </c>
      <c r="F657">
        <v>2.0013E-2</v>
      </c>
      <c r="G657">
        <v>1.8881999999999999E-2</v>
      </c>
      <c r="H657">
        <v>1.7878000000000002E-2</v>
      </c>
      <c r="I657">
        <v>2.3397999999999999E-2</v>
      </c>
      <c r="J657">
        <v>4.4767000000000001E-2</v>
      </c>
      <c r="K657">
        <v>4.0182000000000002E-2</v>
      </c>
      <c r="L657">
        <v>5.7384999999999999E-2</v>
      </c>
      <c r="M657">
        <v>4.8314000000000003E-2</v>
      </c>
      <c r="N657">
        <v>4.4351000000000002E-2</v>
      </c>
      <c r="O657">
        <v>3.4785999999999997E-2</v>
      </c>
      <c r="P657">
        <v>6.0489000000000001E-2</v>
      </c>
      <c r="Q657">
        <v>7.2918999999999998E-2</v>
      </c>
      <c r="R657">
        <v>8.5597000000000006E-2</v>
      </c>
      <c r="S657">
        <v>4.5090999999999999E-2</v>
      </c>
      <c r="T657">
        <v>6.5430000000000002E-2</v>
      </c>
      <c r="U657">
        <v>7.1763999999999994E-2</v>
      </c>
      <c r="V657">
        <v>0.101323</v>
      </c>
      <c r="W657">
        <v>9.4551999999999997E-2</v>
      </c>
      <c r="X657">
        <v>4.5085E-2</v>
      </c>
      <c r="Y657">
        <v>6.5004000000000006E-2</v>
      </c>
      <c r="Z657">
        <v>6.1566999999999997E-2</v>
      </c>
      <c r="AA657">
        <v>0.10213700000000001</v>
      </c>
      <c r="AB657">
        <v>0.107879</v>
      </c>
    </row>
    <row r="658" spans="1:28" x14ac:dyDescent="0.2">
      <c r="A658">
        <v>19860930</v>
      </c>
      <c r="B658">
        <v>1986</v>
      </c>
      <c r="C658">
        <v>9</v>
      </c>
      <c r="D658">
        <v>-7.9559000000000005E-2</v>
      </c>
      <c r="E658">
        <v>-6.3950999999999994E-2</v>
      </c>
      <c r="F658">
        <v>-5.5559999999999998E-2</v>
      </c>
      <c r="G658">
        <v>-4.4720000000000003E-2</v>
      </c>
      <c r="H658">
        <v>-3.1446000000000002E-2</v>
      </c>
      <c r="I658">
        <v>-8.8173000000000001E-2</v>
      </c>
      <c r="J658">
        <v>-6.3911999999999997E-2</v>
      </c>
      <c r="K658">
        <v>-4.8006E-2</v>
      </c>
      <c r="L658">
        <v>-2.6634000000000001E-2</v>
      </c>
      <c r="M658">
        <v>-5.8824000000000001E-2</v>
      </c>
      <c r="N658">
        <v>-8.0532999999999993E-2</v>
      </c>
      <c r="O658">
        <v>-7.8380000000000005E-2</v>
      </c>
      <c r="P658">
        <v>-4.5599000000000001E-2</v>
      </c>
      <c r="Q658">
        <v>-4.793E-2</v>
      </c>
      <c r="R658">
        <v>-5.3648000000000001E-2</v>
      </c>
      <c r="S658">
        <v>-9.3690999999999997E-2</v>
      </c>
      <c r="T658">
        <v>-5.7626999999999998E-2</v>
      </c>
      <c r="U658">
        <v>-6.9376999999999994E-2</v>
      </c>
      <c r="V658">
        <v>-7.0031999999999997E-2</v>
      </c>
      <c r="W658">
        <v>-5.9124000000000003E-2</v>
      </c>
      <c r="X658">
        <v>-0.10291699999999999</v>
      </c>
      <c r="Y658">
        <v>-0.10942</v>
      </c>
      <c r="Z658">
        <v>-7.7840000000000006E-2</v>
      </c>
      <c r="AA658">
        <v>-7.9342999999999997E-2</v>
      </c>
      <c r="AB658">
        <v>-6.4591999999999997E-2</v>
      </c>
    </row>
    <row r="659" spans="1:28" x14ac:dyDescent="0.2">
      <c r="A659">
        <v>19861031</v>
      </c>
      <c r="B659">
        <v>1986</v>
      </c>
      <c r="C659">
        <v>10</v>
      </c>
      <c r="D659">
        <v>1.9859999999999999E-2</v>
      </c>
      <c r="E659">
        <v>2.5642000000000002E-2</v>
      </c>
      <c r="F659">
        <v>2.2511E-2</v>
      </c>
      <c r="G659">
        <v>3.0259999999999999E-2</v>
      </c>
      <c r="H659">
        <v>1.1520000000000001E-2</v>
      </c>
      <c r="I659">
        <v>6.3647999999999996E-2</v>
      </c>
      <c r="J659">
        <v>4.2449000000000001E-2</v>
      </c>
      <c r="K659">
        <v>3.4604000000000003E-2</v>
      </c>
      <c r="L659">
        <v>2.9531999999999999E-2</v>
      </c>
      <c r="M659">
        <v>1.5952000000000001E-2</v>
      </c>
      <c r="N659">
        <v>5.7534000000000002E-2</v>
      </c>
      <c r="O659">
        <v>2.4698999999999999E-2</v>
      </c>
      <c r="P659">
        <v>1.1712E-2</v>
      </c>
      <c r="Q659">
        <v>2.0575E-2</v>
      </c>
      <c r="R659">
        <v>2.8015000000000002E-2</v>
      </c>
      <c r="S659">
        <v>5.8089000000000002E-2</v>
      </c>
      <c r="T659">
        <v>6.2909999999999994E-2</v>
      </c>
      <c r="U659">
        <v>5.7583000000000002E-2</v>
      </c>
      <c r="V659">
        <v>6.0269000000000003E-2</v>
      </c>
      <c r="W659">
        <v>4.2436000000000001E-2</v>
      </c>
      <c r="X659">
        <v>4.9477E-2</v>
      </c>
      <c r="Y659">
        <v>7.0332000000000006E-2</v>
      </c>
      <c r="Z659">
        <v>6.3676999999999997E-2</v>
      </c>
      <c r="AA659">
        <v>4.6979E-2</v>
      </c>
      <c r="AB659">
        <v>6.0545000000000002E-2</v>
      </c>
    </row>
    <row r="660" spans="1:28" x14ac:dyDescent="0.2">
      <c r="A660">
        <v>19861128</v>
      </c>
      <c r="B660">
        <v>1986</v>
      </c>
      <c r="C660">
        <v>11</v>
      </c>
      <c r="D660">
        <v>-2.2135999999999999E-2</v>
      </c>
      <c r="E660">
        <v>1.2160000000000001E-3</v>
      </c>
      <c r="F660">
        <v>4.7819999999999998E-3</v>
      </c>
      <c r="G660">
        <v>-1.08E-3</v>
      </c>
      <c r="H660">
        <v>1.2716E-2</v>
      </c>
      <c r="I660">
        <v>3.0500000000000002E-3</v>
      </c>
      <c r="J660">
        <v>4.6759999999999996E-3</v>
      </c>
      <c r="K660">
        <v>-5.2570000000000004E-3</v>
      </c>
      <c r="L660">
        <v>-2.2190000000000001E-2</v>
      </c>
      <c r="M660">
        <v>-5.5500000000000005E-4</v>
      </c>
      <c r="N660">
        <v>7.1900000000000002E-4</v>
      </c>
      <c r="O660">
        <v>2.6919999999999999E-3</v>
      </c>
      <c r="P660">
        <v>-1.2238000000000001E-2</v>
      </c>
      <c r="Q660">
        <v>1.4995E-2</v>
      </c>
      <c r="R660">
        <v>-2.7469999999999999E-3</v>
      </c>
      <c r="S660">
        <v>1.0774000000000001E-2</v>
      </c>
      <c r="T660">
        <v>1.4158E-2</v>
      </c>
      <c r="U660">
        <v>1.5221999999999999E-2</v>
      </c>
      <c r="V660">
        <v>-1.1264E-2</v>
      </c>
      <c r="W660">
        <v>1.1407E-2</v>
      </c>
      <c r="X660">
        <v>2.7328999999999999E-2</v>
      </c>
      <c r="Y660">
        <v>1.8745000000000001E-2</v>
      </c>
      <c r="Z660">
        <v>2.8368999999999998E-2</v>
      </c>
      <c r="AA660">
        <v>2.4906000000000001E-2</v>
      </c>
      <c r="AB660">
        <v>1.652E-2</v>
      </c>
    </row>
    <row r="661" spans="1:28" x14ac:dyDescent="0.2">
      <c r="A661">
        <v>19861231</v>
      </c>
      <c r="B661">
        <v>1986</v>
      </c>
      <c r="C661">
        <v>12</v>
      </c>
      <c r="D661">
        <v>-5.5632000000000001E-2</v>
      </c>
      <c r="E661">
        <v>-1.8605E-2</v>
      </c>
      <c r="F661">
        <v>-3.8170999999999997E-2</v>
      </c>
      <c r="G661">
        <v>-1.5966999999999999E-2</v>
      </c>
      <c r="H661">
        <v>-3.4507000000000003E-2</v>
      </c>
      <c r="I661">
        <v>-3.1085999999999999E-2</v>
      </c>
      <c r="J661">
        <v>-2.1489999999999999E-2</v>
      </c>
      <c r="K661">
        <v>-3.3002999999999998E-2</v>
      </c>
      <c r="L661">
        <v>-3.4901000000000001E-2</v>
      </c>
      <c r="M661">
        <v>6.1780000000000003E-3</v>
      </c>
      <c r="N661">
        <v>-2.6044999999999999E-2</v>
      </c>
      <c r="O661">
        <v>-1.8721999999999999E-2</v>
      </c>
      <c r="P661">
        <v>-3.6521999999999999E-2</v>
      </c>
      <c r="Q661">
        <v>-2.1298000000000001E-2</v>
      </c>
      <c r="R661">
        <v>-8.6650000000000008E-3</v>
      </c>
      <c r="S661">
        <v>-4.5317000000000003E-2</v>
      </c>
      <c r="T661">
        <v>-2.8982000000000001E-2</v>
      </c>
      <c r="U661">
        <v>-2.7363999999999999E-2</v>
      </c>
      <c r="V661">
        <v>-2.3785000000000001E-2</v>
      </c>
      <c r="W661">
        <v>-3.3045999999999999E-2</v>
      </c>
      <c r="X661">
        <v>-1.7170999999999999E-2</v>
      </c>
      <c r="Y661">
        <v>-2.5107999999999998E-2</v>
      </c>
      <c r="Z661">
        <v>-4.3110000000000002E-2</v>
      </c>
      <c r="AA661">
        <v>-2.8573000000000001E-2</v>
      </c>
      <c r="AB661">
        <v>-2.9364000000000001E-2</v>
      </c>
    </row>
    <row r="662" spans="1:28" x14ac:dyDescent="0.2">
      <c r="A662">
        <v>19870130</v>
      </c>
      <c r="B662">
        <v>1987</v>
      </c>
      <c r="C662">
        <v>1</v>
      </c>
      <c r="D662">
        <v>0.109764</v>
      </c>
      <c r="E662">
        <v>9.8288E-2</v>
      </c>
      <c r="F662">
        <v>0.116068</v>
      </c>
      <c r="G662">
        <v>9.9525000000000002E-2</v>
      </c>
      <c r="H662">
        <v>9.4509999999999997E-2</v>
      </c>
      <c r="I662">
        <v>0.13597300000000001</v>
      </c>
      <c r="J662">
        <v>0.123849</v>
      </c>
      <c r="K662">
        <v>0.10599600000000001</v>
      </c>
      <c r="L662">
        <v>0.100212</v>
      </c>
      <c r="M662">
        <v>0.10850600000000001</v>
      </c>
      <c r="N662">
        <v>0.13830000000000001</v>
      </c>
      <c r="O662">
        <v>0.13422999999999999</v>
      </c>
      <c r="P662">
        <v>8.8056999999999996E-2</v>
      </c>
      <c r="Q662">
        <v>0.101698</v>
      </c>
      <c r="R662">
        <v>9.3965000000000007E-2</v>
      </c>
      <c r="S662">
        <v>0.13900799999999999</v>
      </c>
      <c r="T662">
        <v>0.12471400000000001</v>
      </c>
      <c r="U662">
        <v>0.103076</v>
      </c>
      <c r="V662">
        <v>0.119355</v>
      </c>
      <c r="W662">
        <v>0.11611399999999999</v>
      </c>
      <c r="X662">
        <v>0.133413</v>
      </c>
      <c r="Y662">
        <v>0.16531199999999999</v>
      </c>
      <c r="Z662">
        <v>0.11343499999999999</v>
      </c>
      <c r="AA662">
        <v>0.125469</v>
      </c>
      <c r="AB662">
        <v>0.119224</v>
      </c>
    </row>
    <row r="663" spans="1:28" x14ac:dyDescent="0.2">
      <c r="A663">
        <v>19870227</v>
      </c>
      <c r="B663">
        <v>1987</v>
      </c>
      <c r="C663">
        <v>2</v>
      </c>
      <c r="D663">
        <v>0.107381</v>
      </c>
      <c r="E663">
        <v>8.4562999999999999E-2</v>
      </c>
      <c r="F663">
        <v>6.7948999999999996E-2</v>
      </c>
      <c r="G663">
        <v>7.0887000000000006E-2</v>
      </c>
      <c r="H663">
        <v>6.6101999999999994E-2</v>
      </c>
      <c r="I663">
        <v>9.7091999999999998E-2</v>
      </c>
      <c r="J663">
        <v>9.2100000000000001E-2</v>
      </c>
      <c r="K663">
        <v>6.4741000000000007E-2</v>
      </c>
      <c r="L663">
        <v>5.9228000000000003E-2</v>
      </c>
      <c r="M663">
        <v>5.4886999999999998E-2</v>
      </c>
      <c r="N663">
        <v>8.9913999999999994E-2</v>
      </c>
      <c r="O663">
        <v>8.1684000000000007E-2</v>
      </c>
      <c r="P663">
        <v>5.1054000000000002E-2</v>
      </c>
      <c r="Q663">
        <v>4.1836999999999999E-2</v>
      </c>
      <c r="R663">
        <v>4.2188000000000003E-2</v>
      </c>
      <c r="S663">
        <v>7.4593999999999994E-2</v>
      </c>
      <c r="T663">
        <v>6.6006999999999996E-2</v>
      </c>
      <c r="U663">
        <v>6.5536999999999998E-2</v>
      </c>
      <c r="V663">
        <v>3.4319000000000002E-2</v>
      </c>
      <c r="W663">
        <v>2.6185E-2</v>
      </c>
      <c r="X663">
        <v>8.2034999999999997E-2</v>
      </c>
      <c r="Y663">
        <v>5.9702999999999999E-2</v>
      </c>
      <c r="Z663">
        <v>2.8549999999999999E-2</v>
      </c>
      <c r="AA663">
        <v>-4.5450000000000004E-3</v>
      </c>
      <c r="AB663">
        <v>-1.0734E-2</v>
      </c>
    </row>
    <row r="664" spans="1:28" x14ac:dyDescent="0.2">
      <c r="A664">
        <v>19870331</v>
      </c>
      <c r="B664">
        <v>1987</v>
      </c>
      <c r="C664">
        <v>3</v>
      </c>
      <c r="D664">
        <v>2.2346999999999999E-2</v>
      </c>
      <c r="E664">
        <v>3.2645E-2</v>
      </c>
      <c r="F664">
        <v>2.5144E-2</v>
      </c>
      <c r="G664">
        <v>3.5216999999999998E-2</v>
      </c>
      <c r="H664">
        <v>4.7260999999999997E-2</v>
      </c>
      <c r="I664">
        <v>5.0239999999999998E-3</v>
      </c>
      <c r="J664">
        <v>3.4074E-2</v>
      </c>
      <c r="K664">
        <v>1.4402999999999999E-2</v>
      </c>
      <c r="L664">
        <v>2.8750999999999999E-2</v>
      </c>
      <c r="M664">
        <v>3.5013000000000002E-2</v>
      </c>
      <c r="N664">
        <v>1.73E-3</v>
      </c>
      <c r="O664">
        <v>1.5332999999999999E-2</v>
      </c>
      <c r="P664">
        <v>1.0985999999999999E-2</v>
      </c>
      <c r="Q664">
        <v>2.4836E-2</v>
      </c>
      <c r="R664">
        <v>3.4245999999999999E-2</v>
      </c>
      <c r="S664">
        <v>1.8870000000000001E-2</v>
      </c>
      <c r="T664">
        <v>1.8665000000000001E-2</v>
      </c>
      <c r="U664">
        <v>1.8554000000000001E-2</v>
      </c>
      <c r="V664">
        <v>1.9251000000000001E-2</v>
      </c>
      <c r="W664">
        <v>-1.2763999999999999E-2</v>
      </c>
      <c r="X664">
        <v>1.5556E-2</v>
      </c>
      <c r="Y664">
        <v>2.2655000000000002E-2</v>
      </c>
      <c r="Z664">
        <v>4.4320000000000002E-3</v>
      </c>
      <c r="AA664">
        <v>3.0241000000000001E-2</v>
      </c>
      <c r="AB664">
        <v>4.8035000000000001E-2</v>
      </c>
    </row>
    <row r="665" spans="1:28" x14ac:dyDescent="0.2">
      <c r="A665">
        <v>19870430</v>
      </c>
      <c r="B665">
        <v>1987</v>
      </c>
      <c r="C665">
        <v>4</v>
      </c>
      <c r="D665">
        <v>-2.2329000000000002E-2</v>
      </c>
      <c r="E665">
        <v>-2.7261000000000001E-2</v>
      </c>
      <c r="F665">
        <v>-2.2497E-2</v>
      </c>
      <c r="G665">
        <v>-5.8269999999999997E-3</v>
      </c>
      <c r="H665">
        <v>-1.3042E-2</v>
      </c>
      <c r="I665">
        <v>-3.8793000000000001E-2</v>
      </c>
      <c r="J665">
        <v>-2.5715999999999999E-2</v>
      </c>
      <c r="K665">
        <v>-2.9748E-2</v>
      </c>
      <c r="L665">
        <v>-3.8046999999999997E-2</v>
      </c>
      <c r="M665">
        <v>-4.8716000000000002E-2</v>
      </c>
      <c r="N665">
        <v>-1.9879000000000001E-2</v>
      </c>
      <c r="O665">
        <v>-2.3047000000000002E-2</v>
      </c>
      <c r="P665">
        <v>-4.5482000000000002E-2</v>
      </c>
      <c r="Q665">
        <v>-2.0046000000000001E-2</v>
      </c>
      <c r="R665">
        <v>-2.6315000000000002E-2</v>
      </c>
      <c r="S665">
        <v>-3.6985999999999998E-2</v>
      </c>
      <c r="T665">
        <v>-2.4364E-2</v>
      </c>
      <c r="U665">
        <v>-2.5201999999999999E-2</v>
      </c>
      <c r="V665">
        <v>-2.0129999999999999E-2</v>
      </c>
      <c r="W665">
        <v>-1.5805E-2</v>
      </c>
      <c r="X665">
        <v>-1.3506000000000001E-2</v>
      </c>
      <c r="Y665">
        <v>-1.1568E-2</v>
      </c>
      <c r="Z665">
        <v>-2.1523E-2</v>
      </c>
      <c r="AA665">
        <v>-7.3949999999999997E-3</v>
      </c>
      <c r="AB665">
        <v>-4.9750000000000003E-3</v>
      </c>
    </row>
    <row r="666" spans="1:28" x14ac:dyDescent="0.2">
      <c r="A666">
        <v>19870529</v>
      </c>
      <c r="B666">
        <v>1987</v>
      </c>
      <c r="C666">
        <v>5</v>
      </c>
      <c r="D666">
        <v>-1.7359999999999999E-3</v>
      </c>
      <c r="E666">
        <v>-1.5509E-2</v>
      </c>
      <c r="F666">
        <v>1.8190000000000001E-3</v>
      </c>
      <c r="G666">
        <v>5.8269999999999997E-3</v>
      </c>
      <c r="H666">
        <v>3.1564000000000002E-2</v>
      </c>
      <c r="I666">
        <v>-1.0416999999999999E-2</v>
      </c>
      <c r="J666">
        <v>7.9000000000000001E-4</v>
      </c>
      <c r="K666">
        <v>-4.2000000000000002E-4</v>
      </c>
      <c r="L666">
        <v>3.2469999999999999E-3</v>
      </c>
      <c r="M666">
        <v>5.999E-3</v>
      </c>
      <c r="N666">
        <v>9.5790000000000007E-3</v>
      </c>
      <c r="O666">
        <v>8.1099999999999998E-4</v>
      </c>
      <c r="P666">
        <v>-4.875E-3</v>
      </c>
      <c r="Q666">
        <v>4.3779999999999999E-3</v>
      </c>
      <c r="R666">
        <v>3.2520000000000001E-3</v>
      </c>
      <c r="S666">
        <v>2.0750000000000001E-2</v>
      </c>
      <c r="T666">
        <v>4.0889999999999998E-3</v>
      </c>
      <c r="U666">
        <v>-3.3670000000000002E-3</v>
      </c>
      <c r="V666">
        <v>-5.7270000000000003E-3</v>
      </c>
      <c r="W666">
        <v>8.1119999999999994E-3</v>
      </c>
      <c r="X666">
        <v>1.9066E-2</v>
      </c>
      <c r="Y666">
        <v>-5.4790000000000004E-3</v>
      </c>
      <c r="Z666">
        <v>-4.4900000000000002E-4</v>
      </c>
      <c r="AA666">
        <v>7.8779999999999996E-3</v>
      </c>
      <c r="AB666">
        <v>5.1960000000000001E-3</v>
      </c>
    </row>
    <row r="667" spans="1:28" x14ac:dyDescent="0.2">
      <c r="A667">
        <v>19870630</v>
      </c>
      <c r="B667">
        <v>1987</v>
      </c>
      <c r="C667">
        <v>6</v>
      </c>
      <c r="D667">
        <v>-3.3110000000000001E-3</v>
      </c>
      <c r="E667">
        <v>1.9709000000000001E-2</v>
      </c>
      <c r="F667">
        <v>2.6644000000000001E-2</v>
      </c>
      <c r="G667">
        <v>1.9946999999999999E-2</v>
      </c>
      <c r="H667">
        <v>4.2549999999999998E-2</v>
      </c>
      <c r="I667">
        <v>1.7337999999999999E-2</v>
      </c>
      <c r="J667">
        <v>3.1127999999999999E-2</v>
      </c>
      <c r="K667">
        <v>3.6795000000000001E-2</v>
      </c>
      <c r="L667">
        <v>3.0821999999999999E-2</v>
      </c>
      <c r="M667">
        <v>4.1807999999999998E-2</v>
      </c>
      <c r="N667">
        <v>2.0625999999999999E-2</v>
      </c>
      <c r="O667">
        <v>2.1673999999999999E-2</v>
      </c>
      <c r="P667">
        <v>5.5701000000000001E-2</v>
      </c>
      <c r="Q667">
        <v>5.2617999999999998E-2</v>
      </c>
      <c r="R667">
        <v>2.5914E-2</v>
      </c>
      <c r="S667">
        <v>4.7095999999999999E-2</v>
      </c>
      <c r="T667">
        <v>3.2895000000000001E-2</v>
      </c>
      <c r="U667">
        <v>4.3048999999999997E-2</v>
      </c>
      <c r="V667">
        <v>4.0946999999999997E-2</v>
      </c>
      <c r="W667">
        <v>3.7157999999999997E-2</v>
      </c>
      <c r="X667">
        <v>4.7307000000000002E-2</v>
      </c>
      <c r="Y667">
        <v>5.4204000000000002E-2</v>
      </c>
      <c r="Z667">
        <v>6.1303999999999997E-2</v>
      </c>
      <c r="AA667">
        <v>5.1775000000000002E-2</v>
      </c>
      <c r="AB667">
        <v>5.2802000000000002E-2</v>
      </c>
    </row>
    <row r="668" spans="1:28" x14ac:dyDescent="0.2">
      <c r="A668">
        <v>19870731</v>
      </c>
      <c r="B668">
        <v>1987</v>
      </c>
      <c r="C668">
        <v>7</v>
      </c>
      <c r="D668">
        <v>1.8082999999999998E-2</v>
      </c>
      <c r="E668">
        <v>2.0456999999999999E-2</v>
      </c>
      <c r="F668">
        <v>2.0573000000000001E-2</v>
      </c>
      <c r="G668">
        <v>2.9198999999999999E-2</v>
      </c>
      <c r="H668">
        <v>5.3409999999999999E-2</v>
      </c>
      <c r="I668">
        <v>2.2017999999999999E-2</v>
      </c>
      <c r="J668">
        <v>2.1840999999999999E-2</v>
      </c>
      <c r="K668">
        <v>3.7213000000000003E-2</v>
      </c>
      <c r="L668">
        <v>3.3258000000000003E-2</v>
      </c>
      <c r="M668">
        <v>5.7354000000000002E-2</v>
      </c>
      <c r="N668">
        <v>2.5579999999999999E-2</v>
      </c>
      <c r="O668">
        <v>4.4276999999999997E-2</v>
      </c>
      <c r="P668">
        <v>3.9331999999999999E-2</v>
      </c>
      <c r="Q668">
        <v>3.5173000000000003E-2</v>
      </c>
      <c r="R668">
        <v>7.6766000000000001E-2</v>
      </c>
      <c r="S668">
        <v>3.7286E-2</v>
      </c>
      <c r="T668">
        <v>4.7576E-2</v>
      </c>
      <c r="U668">
        <v>4.8159E-2</v>
      </c>
      <c r="V668">
        <v>4.3924999999999999E-2</v>
      </c>
      <c r="W668">
        <v>4.7121999999999997E-2</v>
      </c>
      <c r="X668">
        <v>6.0609000000000003E-2</v>
      </c>
      <c r="Y668">
        <v>3.1895E-2</v>
      </c>
      <c r="Z668">
        <v>6.2978000000000006E-2</v>
      </c>
      <c r="AA668">
        <v>2.5592E-2</v>
      </c>
      <c r="AB668">
        <v>3.0974000000000002E-2</v>
      </c>
    </row>
    <row r="669" spans="1:28" x14ac:dyDescent="0.2">
      <c r="A669">
        <v>19870831</v>
      </c>
      <c r="B669">
        <v>1987</v>
      </c>
      <c r="C669">
        <v>8</v>
      </c>
      <c r="D669">
        <v>6.9639999999999997E-3</v>
      </c>
      <c r="E669">
        <v>2.2897000000000001E-2</v>
      </c>
      <c r="F669">
        <v>2.8400999999999999E-2</v>
      </c>
      <c r="G669">
        <v>2.4542000000000001E-2</v>
      </c>
      <c r="H669">
        <v>7.528E-3</v>
      </c>
      <c r="I669">
        <v>2.8611000000000001E-2</v>
      </c>
      <c r="J669">
        <v>3.3174000000000002E-2</v>
      </c>
      <c r="K669">
        <v>4.0809999999999999E-2</v>
      </c>
      <c r="L669">
        <v>2.7290999999999999E-2</v>
      </c>
      <c r="M669">
        <v>3.9461999999999997E-2</v>
      </c>
      <c r="N669">
        <v>3.8938E-2</v>
      </c>
      <c r="O669">
        <v>3.6022999999999999E-2</v>
      </c>
      <c r="P669">
        <v>4.3138999999999997E-2</v>
      </c>
      <c r="Q669">
        <v>3.6641E-2</v>
      </c>
      <c r="R669">
        <v>8.7609999999999997E-3</v>
      </c>
      <c r="S669">
        <v>4.7905999999999997E-2</v>
      </c>
      <c r="T669">
        <v>4.1131000000000001E-2</v>
      </c>
      <c r="U669">
        <v>3.3307000000000003E-2</v>
      </c>
      <c r="V669">
        <v>3.3355000000000003E-2</v>
      </c>
      <c r="W669">
        <v>1.9997999999999998E-2</v>
      </c>
      <c r="X669">
        <v>4.8258000000000002E-2</v>
      </c>
      <c r="Y669">
        <v>5.2255000000000003E-2</v>
      </c>
      <c r="Z669">
        <v>3.4722000000000003E-2</v>
      </c>
      <c r="AA669">
        <v>4.7219999999999998E-2</v>
      </c>
      <c r="AB669">
        <v>2.6311999999999999E-2</v>
      </c>
    </row>
    <row r="670" spans="1:28" x14ac:dyDescent="0.2">
      <c r="A670">
        <v>19870930</v>
      </c>
      <c r="B670">
        <v>1987</v>
      </c>
      <c r="C670">
        <v>9</v>
      </c>
      <c r="D670">
        <v>-2.7605999999999999E-2</v>
      </c>
      <c r="E670">
        <v>-3.6570000000000001E-3</v>
      </c>
      <c r="F670">
        <v>-1.0931E-2</v>
      </c>
      <c r="G670">
        <v>-4.019E-3</v>
      </c>
      <c r="H670">
        <v>-1.2822E-2</v>
      </c>
      <c r="I670">
        <v>-2.1857999999999999E-2</v>
      </c>
      <c r="J670">
        <v>-2.3859999999999999E-2</v>
      </c>
      <c r="K670">
        <v>-7.0479999999999996E-3</v>
      </c>
      <c r="L670">
        <v>-8.4030000000000007E-3</v>
      </c>
      <c r="M670">
        <v>-2.6030999999999999E-2</v>
      </c>
      <c r="N670">
        <v>-3.2800999999999997E-2</v>
      </c>
      <c r="O670">
        <v>-2.4358999999999999E-2</v>
      </c>
      <c r="P670">
        <v>-1.9494000000000001E-2</v>
      </c>
      <c r="Q670">
        <v>-2.4048E-2</v>
      </c>
      <c r="R670">
        <v>-1.1797E-2</v>
      </c>
      <c r="S670">
        <v>-2.2261E-2</v>
      </c>
      <c r="T670">
        <v>-9.9760000000000005E-3</v>
      </c>
      <c r="U670">
        <v>-2.3747000000000001E-2</v>
      </c>
      <c r="V670">
        <v>-1.9296000000000001E-2</v>
      </c>
      <c r="W670">
        <v>3.2330000000000002E-3</v>
      </c>
      <c r="X670">
        <v>-2.172E-2</v>
      </c>
      <c r="Y670">
        <v>-4.0723000000000002E-2</v>
      </c>
      <c r="Z670">
        <v>1.7179999999999999E-3</v>
      </c>
      <c r="AA670">
        <v>-1.9310000000000001E-2</v>
      </c>
      <c r="AB670">
        <v>-2.8989999999999998E-2</v>
      </c>
    </row>
    <row r="671" spans="1:28" x14ac:dyDescent="0.2">
      <c r="A671">
        <v>19871030</v>
      </c>
      <c r="B671">
        <v>1987</v>
      </c>
      <c r="C671">
        <v>10</v>
      </c>
      <c r="D671">
        <v>-0.34217199999999998</v>
      </c>
      <c r="E671">
        <v>-0.30948500000000001</v>
      </c>
      <c r="F671">
        <v>-0.28765099999999999</v>
      </c>
      <c r="G671">
        <v>-0.28890199999999999</v>
      </c>
      <c r="H671">
        <v>-0.288692</v>
      </c>
      <c r="I671">
        <v>-0.32726499999999997</v>
      </c>
      <c r="J671">
        <v>-0.316577</v>
      </c>
      <c r="K671">
        <v>-0.284024</v>
      </c>
      <c r="L671">
        <v>-0.25036399999999998</v>
      </c>
      <c r="M671">
        <v>-0.28837099999999999</v>
      </c>
      <c r="N671">
        <v>-0.29725800000000002</v>
      </c>
      <c r="O671">
        <v>-0.29052099999999997</v>
      </c>
      <c r="P671">
        <v>-0.24337600000000001</v>
      </c>
      <c r="Q671">
        <v>-0.23031199999999999</v>
      </c>
      <c r="R671">
        <v>-0.26119300000000001</v>
      </c>
      <c r="S671">
        <v>-0.25939699999999999</v>
      </c>
      <c r="T671">
        <v>-0.28829100000000002</v>
      </c>
      <c r="U671">
        <v>-0.24956400000000001</v>
      </c>
      <c r="V671">
        <v>-0.182592</v>
      </c>
      <c r="W671">
        <v>-0.238401</v>
      </c>
      <c r="X671">
        <v>-0.216389</v>
      </c>
      <c r="Y671">
        <v>-0.22419600000000001</v>
      </c>
      <c r="Z671">
        <v>-0.21709100000000001</v>
      </c>
      <c r="AA671">
        <v>-0.148757</v>
      </c>
      <c r="AB671">
        <v>-0.189918</v>
      </c>
    </row>
    <row r="672" spans="1:28" x14ac:dyDescent="0.2">
      <c r="A672">
        <v>19871130</v>
      </c>
      <c r="B672">
        <v>1987</v>
      </c>
      <c r="C672">
        <v>11</v>
      </c>
      <c r="D672">
        <v>-8.4945999999999994E-2</v>
      </c>
      <c r="E672">
        <v>-4.8766999999999998E-2</v>
      </c>
      <c r="F672">
        <v>-4.8152E-2</v>
      </c>
      <c r="G672">
        <v>-4.6279000000000001E-2</v>
      </c>
      <c r="H672">
        <v>-3.5067000000000001E-2</v>
      </c>
      <c r="I672">
        <v>-7.3210999999999998E-2</v>
      </c>
      <c r="J672">
        <v>-4.7312E-2</v>
      </c>
      <c r="K672">
        <v>-3.7054999999999998E-2</v>
      </c>
      <c r="L672">
        <v>-3.4030999999999999E-2</v>
      </c>
      <c r="M672">
        <v>-2.8317999999999999E-2</v>
      </c>
      <c r="N672">
        <v>-6.6614999999999994E-2</v>
      </c>
      <c r="O672">
        <v>-2.6622E-2</v>
      </c>
      <c r="P672">
        <v>-2.9569000000000002E-2</v>
      </c>
      <c r="Q672">
        <v>-3.1566999999999998E-2</v>
      </c>
      <c r="R672">
        <v>-3.7558000000000001E-2</v>
      </c>
      <c r="S672">
        <v>-6.4435000000000006E-2</v>
      </c>
      <c r="T672">
        <v>-5.8756000000000003E-2</v>
      </c>
      <c r="U672">
        <v>-6.4685000000000006E-2</v>
      </c>
      <c r="V672">
        <v>-4.4602000000000003E-2</v>
      </c>
      <c r="W672">
        <v>-2.0791E-2</v>
      </c>
      <c r="X672">
        <v>-9.6414E-2</v>
      </c>
      <c r="Y672">
        <v>-8.4889999999999993E-2</v>
      </c>
      <c r="Z672">
        <v>-8.2658999999999996E-2</v>
      </c>
      <c r="AA672">
        <v>-7.6092000000000007E-2</v>
      </c>
      <c r="AB672">
        <v>-7.5540999999999997E-2</v>
      </c>
    </row>
    <row r="673" spans="1:28" x14ac:dyDescent="0.2">
      <c r="A673">
        <v>19871231</v>
      </c>
      <c r="B673">
        <v>1987</v>
      </c>
      <c r="C673">
        <v>12</v>
      </c>
      <c r="D673">
        <v>2.8805000000000001E-2</v>
      </c>
      <c r="E673">
        <v>4.8658E-2</v>
      </c>
      <c r="F673">
        <v>5.6027E-2</v>
      </c>
      <c r="G673">
        <v>4.9442E-2</v>
      </c>
      <c r="H673">
        <v>3.3176999999999998E-2</v>
      </c>
      <c r="I673">
        <v>0.119494</v>
      </c>
      <c r="J673">
        <v>9.7503999999999993E-2</v>
      </c>
      <c r="K673">
        <v>7.2491E-2</v>
      </c>
      <c r="L673">
        <v>6.5006999999999995E-2</v>
      </c>
      <c r="M673">
        <v>5.0730999999999998E-2</v>
      </c>
      <c r="N673">
        <v>0.12436999999999999</v>
      </c>
      <c r="O673">
        <v>9.6256999999999995E-2</v>
      </c>
      <c r="P673">
        <v>6.3330999999999998E-2</v>
      </c>
      <c r="Q673">
        <v>4.5524000000000002E-2</v>
      </c>
      <c r="R673">
        <v>6.8381999999999998E-2</v>
      </c>
      <c r="S673">
        <v>0.12515599999999999</v>
      </c>
      <c r="T673">
        <v>0.107946</v>
      </c>
      <c r="U673">
        <v>9.4990000000000005E-2</v>
      </c>
      <c r="V673">
        <v>3.8807000000000001E-2</v>
      </c>
      <c r="W673">
        <v>3.7661E-2</v>
      </c>
      <c r="X673">
        <v>8.3535999999999999E-2</v>
      </c>
      <c r="Y673">
        <v>7.5070999999999999E-2</v>
      </c>
      <c r="Z673">
        <v>7.9403000000000001E-2</v>
      </c>
      <c r="AA673">
        <v>3.2397000000000002E-2</v>
      </c>
      <c r="AB673">
        <v>6.2562999999999994E-2</v>
      </c>
    </row>
    <row r="674" spans="1:28" x14ac:dyDescent="0.2">
      <c r="A674">
        <v>19880129</v>
      </c>
      <c r="B674">
        <v>1988</v>
      </c>
      <c r="C674">
        <v>1</v>
      </c>
      <c r="D674">
        <v>5.7595E-2</v>
      </c>
      <c r="E674">
        <v>7.5005000000000002E-2</v>
      </c>
      <c r="F674">
        <v>4.4406000000000001E-2</v>
      </c>
      <c r="G674">
        <v>4.9708000000000002E-2</v>
      </c>
      <c r="H674">
        <v>6.4424999999999996E-2</v>
      </c>
      <c r="I674">
        <v>1.8384000000000001E-2</v>
      </c>
      <c r="J674">
        <v>2.8358999999999999E-2</v>
      </c>
      <c r="K674">
        <v>4.9575000000000001E-2</v>
      </c>
      <c r="L674">
        <v>4.2244999999999998E-2</v>
      </c>
      <c r="M674">
        <v>6.9161E-2</v>
      </c>
      <c r="N674">
        <v>1.3101E-2</v>
      </c>
      <c r="O674">
        <v>3.6033999999999997E-2</v>
      </c>
      <c r="P674">
        <v>4.2858E-2</v>
      </c>
      <c r="Q674">
        <v>7.6563999999999993E-2</v>
      </c>
      <c r="R674">
        <v>6.2258000000000001E-2</v>
      </c>
      <c r="S674">
        <v>2.859E-3</v>
      </c>
      <c r="T674">
        <v>4.2854000000000003E-2</v>
      </c>
      <c r="U674">
        <v>4.4371000000000001E-2</v>
      </c>
      <c r="V674">
        <v>6.2447000000000003E-2</v>
      </c>
      <c r="W674">
        <v>6.1900999999999998E-2</v>
      </c>
      <c r="X674">
        <v>2.2766000000000002E-2</v>
      </c>
      <c r="Y674">
        <v>1.6277E-2</v>
      </c>
      <c r="Z674">
        <v>5.4933000000000003E-2</v>
      </c>
      <c r="AA674">
        <v>8.8405999999999998E-2</v>
      </c>
      <c r="AB674">
        <v>8.8000999999999996E-2</v>
      </c>
    </row>
    <row r="675" spans="1:28" x14ac:dyDescent="0.2">
      <c r="A675">
        <v>19880229</v>
      </c>
      <c r="B675">
        <v>1988</v>
      </c>
      <c r="C675">
        <v>2</v>
      </c>
      <c r="D675">
        <v>6.0026000000000003E-2</v>
      </c>
      <c r="E675">
        <v>7.7742000000000006E-2</v>
      </c>
      <c r="F675">
        <v>7.5622999999999996E-2</v>
      </c>
      <c r="G675">
        <v>7.3909000000000002E-2</v>
      </c>
      <c r="H675">
        <v>7.5878000000000001E-2</v>
      </c>
      <c r="I675">
        <v>8.4557999999999994E-2</v>
      </c>
      <c r="J675">
        <v>0.11841500000000001</v>
      </c>
      <c r="K675">
        <v>8.8700000000000001E-2</v>
      </c>
      <c r="L675">
        <v>7.8569E-2</v>
      </c>
      <c r="M675">
        <v>7.9055E-2</v>
      </c>
      <c r="N675">
        <v>8.7123999999999993E-2</v>
      </c>
      <c r="O675">
        <v>8.1402000000000002E-2</v>
      </c>
      <c r="P675">
        <v>6.9656999999999997E-2</v>
      </c>
      <c r="Q675">
        <v>7.2463E-2</v>
      </c>
      <c r="R675">
        <v>6.1481000000000001E-2</v>
      </c>
      <c r="S675">
        <v>8.5311999999999999E-2</v>
      </c>
      <c r="T675">
        <v>9.393E-2</v>
      </c>
      <c r="U675">
        <v>6.2843999999999997E-2</v>
      </c>
      <c r="V675">
        <v>4.9939999999999998E-2</v>
      </c>
      <c r="W675">
        <v>6.3550999999999996E-2</v>
      </c>
      <c r="X675">
        <v>4.5828000000000001E-2</v>
      </c>
      <c r="Y675">
        <v>5.4489999999999997E-2</v>
      </c>
      <c r="Z675">
        <v>4.5571E-2</v>
      </c>
      <c r="AA675">
        <v>1.7944000000000002E-2</v>
      </c>
      <c r="AB675">
        <v>2.7737999999999999E-2</v>
      </c>
    </row>
    <row r="676" spans="1:28" x14ac:dyDescent="0.2">
      <c r="A676">
        <v>19880331</v>
      </c>
      <c r="B676">
        <v>1988</v>
      </c>
      <c r="C676">
        <v>3</v>
      </c>
      <c r="D676">
        <v>4.1688999999999997E-2</v>
      </c>
      <c r="E676">
        <v>6.0171000000000002E-2</v>
      </c>
      <c r="F676">
        <v>5.6800999999999997E-2</v>
      </c>
      <c r="G676">
        <v>5.2972999999999999E-2</v>
      </c>
      <c r="H676">
        <v>4.9783000000000001E-2</v>
      </c>
      <c r="I676">
        <v>2.3369000000000001E-2</v>
      </c>
      <c r="J676">
        <v>6.8677000000000002E-2</v>
      </c>
      <c r="K676">
        <v>3.8025000000000003E-2</v>
      </c>
      <c r="L676">
        <v>3.3350999999999999E-2</v>
      </c>
      <c r="M676">
        <v>4.5505999999999998E-2</v>
      </c>
      <c r="N676">
        <v>2.9182E-2</v>
      </c>
      <c r="O676">
        <v>1.0727E-2</v>
      </c>
      <c r="P676">
        <v>1.1492E-2</v>
      </c>
      <c r="Q676">
        <v>-8.5000000000000006E-5</v>
      </c>
      <c r="R676">
        <v>6.43E-3</v>
      </c>
      <c r="S676">
        <v>-8.7530000000000004E-3</v>
      </c>
      <c r="T676">
        <v>1.1152E-2</v>
      </c>
      <c r="U676">
        <v>-2.016E-3</v>
      </c>
      <c r="V676">
        <v>-1.95E-4</v>
      </c>
      <c r="W676">
        <v>4.3787E-2</v>
      </c>
      <c r="X676">
        <v>-4.5885000000000002E-2</v>
      </c>
      <c r="Y676">
        <v>-4.1022000000000003E-2</v>
      </c>
      <c r="Z676">
        <v>-3.9113000000000002E-2</v>
      </c>
      <c r="AA676">
        <v>-3.7286E-2</v>
      </c>
      <c r="AB676">
        <v>-1.0014E-2</v>
      </c>
    </row>
    <row r="677" spans="1:28" x14ac:dyDescent="0.2">
      <c r="A677">
        <v>19880429</v>
      </c>
      <c r="B677">
        <v>1988</v>
      </c>
      <c r="C677">
        <v>4</v>
      </c>
      <c r="D677">
        <v>1.0204E-2</v>
      </c>
      <c r="E677">
        <v>1.2789999999999999E-2</v>
      </c>
      <c r="F677">
        <v>2.4462999999999999E-2</v>
      </c>
      <c r="G677">
        <v>1.0232E-2</v>
      </c>
      <c r="H677">
        <v>3.9163000000000003E-2</v>
      </c>
      <c r="I677">
        <v>2.1315000000000001E-2</v>
      </c>
      <c r="J677">
        <v>4.3527000000000003E-2</v>
      </c>
      <c r="K677">
        <v>2.9387E-2</v>
      </c>
      <c r="L677">
        <v>1.8584E-2</v>
      </c>
      <c r="M677">
        <v>2.4355000000000002E-2</v>
      </c>
      <c r="N677">
        <v>-8.8369999999999994E-3</v>
      </c>
      <c r="O677">
        <v>2.362E-3</v>
      </c>
      <c r="P677">
        <v>1.7413999999999999E-2</v>
      </c>
      <c r="Q677">
        <v>4.9769999999999997E-3</v>
      </c>
      <c r="R677">
        <v>1.4562E-2</v>
      </c>
      <c r="S677">
        <v>1.9840000000000001E-3</v>
      </c>
      <c r="T677">
        <v>6.4570000000000001E-3</v>
      </c>
      <c r="U677">
        <v>1.3511E-2</v>
      </c>
      <c r="V677">
        <v>-9.5700000000000004E-3</v>
      </c>
      <c r="W677">
        <v>1.0498E-2</v>
      </c>
      <c r="X677">
        <v>-7.7869999999999997E-3</v>
      </c>
      <c r="Y677">
        <v>1.0714E-2</v>
      </c>
      <c r="Z677">
        <v>1.5367E-2</v>
      </c>
      <c r="AA677">
        <v>2.3689000000000002E-2</v>
      </c>
      <c r="AB677">
        <v>2.3664000000000001E-2</v>
      </c>
    </row>
    <row r="678" spans="1:28" x14ac:dyDescent="0.2">
      <c r="A678">
        <v>19880531</v>
      </c>
      <c r="B678">
        <v>1988</v>
      </c>
      <c r="C678">
        <v>5</v>
      </c>
      <c r="D678">
        <v>-3.5798000000000003E-2</v>
      </c>
      <c r="E678">
        <v>-2.1260999999999999E-2</v>
      </c>
      <c r="F678">
        <v>-8.3219999999999995E-3</v>
      </c>
      <c r="G678">
        <v>-1.8318000000000001E-2</v>
      </c>
      <c r="H678">
        <v>-9.3019999999999995E-3</v>
      </c>
      <c r="I678">
        <v>-4.4950999999999998E-2</v>
      </c>
      <c r="J678">
        <v>-2.0681999999999999E-2</v>
      </c>
      <c r="K678">
        <v>-2.4042999999999998E-2</v>
      </c>
      <c r="L678">
        <v>-1.3661E-2</v>
      </c>
      <c r="M678">
        <v>-8.763E-3</v>
      </c>
      <c r="N678">
        <v>-9.1190000000000004E-3</v>
      </c>
      <c r="O678">
        <v>-1.8651999999999998E-2</v>
      </c>
      <c r="P678">
        <v>-9.5779999999999997E-3</v>
      </c>
      <c r="Q678">
        <v>1.325E-2</v>
      </c>
      <c r="R678">
        <v>9.9120000000000007E-3</v>
      </c>
      <c r="S678">
        <v>-7.5389999999999997E-3</v>
      </c>
      <c r="T678">
        <v>-5.803E-3</v>
      </c>
      <c r="U678">
        <v>-7.554E-3</v>
      </c>
      <c r="V678">
        <v>2.436E-2</v>
      </c>
      <c r="W678">
        <v>1.0026999999999999E-2</v>
      </c>
      <c r="X678">
        <v>8.0900000000000004E-4</v>
      </c>
      <c r="Y678">
        <v>2.8670000000000002E-3</v>
      </c>
      <c r="Z678">
        <v>-1.408E-3</v>
      </c>
      <c r="AA678">
        <v>2.2078E-2</v>
      </c>
      <c r="AB678">
        <v>2.5992000000000001E-2</v>
      </c>
    </row>
    <row r="679" spans="1:28" x14ac:dyDescent="0.2">
      <c r="A679">
        <v>19880630</v>
      </c>
      <c r="B679">
        <v>1988</v>
      </c>
      <c r="C679">
        <v>6</v>
      </c>
      <c r="D679">
        <v>6.5281000000000006E-2</v>
      </c>
      <c r="E679">
        <v>6.1330000000000003E-2</v>
      </c>
      <c r="F679">
        <v>6.2115999999999998E-2</v>
      </c>
      <c r="G679">
        <v>6.0288000000000001E-2</v>
      </c>
      <c r="H679">
        <v>5.0553000000000001E-2</v>
      </c>
      <c r="I679">
        <v>7.4708999999999998E-2</v>
      </c>
      <c r="J679">
        <v>0.11039</v>
      </c>
      <c r="K679">
        <v>8.0782000000000007E-2</v>
      </c>
      <c r="L679">
        <v>5.4336000000000002E-2</v>
      </c>
      <c r="M679">
        <v>8.5653999999999994E-2</v>
      </c>
      <c r="N679">
        <v>6.8798999999999999E-2</v>
      </c>
      <c r="O679">
        <v>7.4618000000000004E-2</v>
      </c>
      <c r="P679">
        <v>6.2758999999999995E-2</v>
      </c>
      <c r="Q679">
        <v>6.0240000000000002E-2</v>
      </c>
      <c r="R679">
        <v>5.9444999999999998E-2</v>
      </c>
      <c r="S679">
        <v>7.3548000000000002E-2</v>
      </c>
      <c r="T679">
        <v>6.9053000000000003E-2</v>
      </c>
      <c r="U679">
        <v>6.6067000000000001E-2</v>
      </c>
      <c r="V679">
        <v>3.9837999999999998E-2</v>
      </c>
      <c r="W679">
        <v>8.4194000000000005E-2</v>
      </c>
      <c r="X679">
        <v>4.1813999999999997E-2</v>
      </c>
      <c r="Y679">
        <v>6.7807000000000006E-2</v>
      </c>
      <c r="Z679">
        <v>5.2936999999999998E-2</v>
      </c>
      <c r="AA679">
        <v>3.0563E-2</v>
      </c>
      <c r="AB679">
        <v>3.0391000000000001E-2</v>
      </c>
    </row>
    <row r="680" spans="1:28" x14ac:dyDescent="0.2">
      <c r="A680">
        <v>19880729</v>
      </c>
      <c r="B680">
        <v>1988</v>
      </c>
      <c r="C680">
        <v>7</v>
      </c>
      <c r="D680">
        <v>-9.0460000000000002E-3</v>
      </c>
      <c r="E680">
        <v>-3.3240000000000001E-3</v>
      </c>
      <c r="F680">
        <v>-8.2109999999999995E-3</v>
      </c>
      <c r="G680">
        <v>9.6329999999999992E-3</v>
      </c>
      <c r="H680">
        <v>-1.0761E-2</v>
      </c>
      <c r="I680">
        <v>-2.5496000000000001E-2</v>
      </c>
      <c r="J680">
        <v>-2.3401999999999999E-2</v>
      </c>
      <c r="K680">
        <v>-4.4700000000000002E-4</v>
      </c>
      <c r="L680">
        <v>5.9940000000000002E-3</v>
      </c>
      <c r="M680">
        <v>1.1728000000000001E-2</v>
      </c>
      <c r="N680">
        <v>-4.2724999999999999E-2</v>
      </c>
      <c r="O680">
        <v>-2.0115999999999998E-2</v>
      </c>
      <c r="P680">
        <v>-1.3986E-2</v>
      </c>
      <c r="Q680">
        <v>-2.0929999999999998E-3</v>
      </c>
      <c r="R680">
        <v>-2.8479999999999998E-3</v>
      </c>
      <c r="S680">
        <v>-3.3509999999999998E-2</v>
      </c>
      <c r="T680">
        <v>-3.4818000000000002E-2</v>
      </c>
      <c r="U680">
        <v>4.0090000000000004E-3</v>
      </c>
      <c r="V680">
        <v>-1.2577E-2</v>
      </c>
      <c r="W680">
        <v>2.7439999999999999E-3</v>
      </c>
      <c r="X680">
        <v>-8.9440000000000006E-3</v>
      </c>
      <c r="Y680">
        <v>-1.0583E-2</v>
      </c>
      <c r="Z680">
        <v>5.3899999999999998E-3</v>
      </c>
      <c r="AA680">
        <v>1.284E-3</v>
      </c>
      <c r="AB680">
        <v>9.3209999999999994E-3</v>
      </c>
    </row>
    <row r="681" spans="1:28" x14ac:dyDescent="0.2">
      <c r="A681">
        <v>19880831</v>
      </c>
      <c r="B681">
        <v>1988</v>
      </c>
      <c r="C681">
        <v>8</v>
      </c>
      <c r="D681">
        <v>-4.1383000000000003E-2</v>
      </c>
      <c r="E681">
        <v>-2.4795000000000001E-2</v>
      </c>
      <c r="F681">
        <v>-1.0014E-2</v>
      </c>
      <c r="G681">
        <v>-1.3109000000000001E-2</v>
      </c>
      <c r="H681">
        <v>-2.0816999999999999E-2</v>
      </c>
      <c r="I681">
        <v>-3.9265000000000001E-2</v>
      </c>
      <c r="J681">
        <v>-4.0160000000000001E-2</v>
      </c>
      <c r="K681">
        <v>-1.8995999999999999E-2</v>
      </c>
      <c r="L681">
        <v>-3.9620000000000002E-3</v>
      </c>
      <c r="M681">
        <v>-1.5824000000000001E-2</v>
      </c>
      <c r="N681">
        <v>-4.2937000000000003E-2</v>
      </c>
      <c r="O681">
        <v>-2.4965999999999999E-2</v>
      </c>
      <c r="P681">
        <v>-2.1132999999999999E-2</v>
      </c>
      <c r="Q681">
        <v>1.0200000000000001E-3</v>
      </c>
      <c r="R681">
        <v>-1.0713E-2</v>
      </c>
      <c r="S681">
        <v>-3.7915999999999998E-2</v>
      </c>
      <c r="T681">
        <v>-3.1560999999999999E-2</v>
      </c>
      <c r="U681">
        <v>-6.3480000000000003E-3</v>
      </c>
      <c r="V681">
        <v>-7.3200000000000001E-4</v>
      </c>
      <c r="W681">
        <v>1.3658999999999999E-2</v>
      </c>
      <c r="X681">
        <v>-2.7193999999999999E-2</v>
      </c>
      <c r="Y681">
        <v>-5.2372000000000002E-2</v>
      </c>
      <c r="Z681">
        <v>-2.3181E-2</v>
      </c>
      <c r="AA681">
        <v>-1.4737999999999999E-2</v>
      </c>
      <c r="AB681">
        <v>-3.1019000000000001E-2</v>
      </c>
    </row>
    <row r="682" spans="1:28" x14ac:dyDescent="0.2">
      <c r="A682">
        <v>19880930</v>
      </c>
      <c r="B682">
        <v>1988</v>
      </c>
      <c r="C682">
        <v>9</v>
      </c>
      <c r="D682">
        <v>1.2628E-2</v>
      </c>
      <c r="E682">
        <v>2.8011999999999999E-2</v>
      </c>
      <c r="F682">
        <v>2.7972E-2</v>
      </c>
      <c r="G682">
        <v>1.6881E-2</v>
      </c>
      <c r="H682">
        <v>2.8198999999999998E-2</v>
      </c>
      <c r="I682">
        <v>2.6633E-2</v>
      </c>
      <c r="J682">
        <v>2.5819999999999999E-2</v>
      </c>
      <c r="K682">
        <v>2.7008000000000001E-2</v>
      </c>
      <c r="L682">
        <v>2.7892E-2</v>
      </c>
      <c r="M682">
        <v>2.8839E-2</v>
      </c>
      <c r="N682">
        <v>4.0134999999999997E-2</v>
      </c>
      <c r="O682">
        <v>2.4402E-2</v>
      </c>
      <c r="P682">
        <v>2.5420999999999999E-2</v>
      </c>
      <c r="Q682">
        <v>1.4659999999999999E-2</v>
      </c>
      <c r="R682">
        <v>3.2485E-2</v>
      </c>
      <c r="S682">
        <v>4.6300000000000001E-2</v>
      </c>
      <c r="T682">
        <v>1.1769999999999999E-2</v>
      </c>
      <c r="U682">
        <v>3.6201999999999998E-2</v>
      </c>
      <c r="V682">
        <v>2.1999000000000001E-2</v>
      </c>
      <c r="W682">
        <v>4.6877000000000002E-2</v>
      </c>
      <c r="X682">
        <v>5.7012E-2</v>
      </c>
      <c r="Y682">
        <v>5.3777999999999999E-2</v>
      </c>
      <c r="Z682">
        <v>2.0895E-2</v>
      </c>
      <c r="AA682">
        <v>4.0490999999999999E-2</v>
      </c>
      <c r="AB682">
        <v>3.977E-2</v>
      </c>
    </row>
    <row r="683" spans="1:28" x14ac:dyDescent="0.2">
      <c r="A683">
        <v>19881031</v>
      </c>
      <c r="B683">
        <v>1988</v>
      </c>
      <c r="C683">
        <v>10</v>
      </c>
      <c r="D683">
        <v>-2.843E-2</v>
      </c>
      <c r="E683">
        <v>-1.6805E-2</v>
      </c>
      <c r="F683">
        <v>-1.2655E-2</v>
      </c>
      <c r="G683">
        <v>-2.3401000000000002E-2</v>
      </c>
      <c r="H683">
        <v>-9.7450000000000002E-3</v>
      </c>
      <c r="I683">
        <v>-2.6388999999999999E-2</v>
      </c>
      <c r="J683">
        <v>-7.326E-3</v>
      </c>
      <c r="K683">
        <v>3.241E-3</v>
      </c>
      <c r="L683">
        <v>1.0460000000000001E-3</v>
      </c>
      <c r="M683">
        <v>-5.8440000000000002E-3</v>
      </c>
      <c r="N683">
        <v>-1.5689999999999999E-2</v>
      </c>
      <c r="O683">
        <v>5.2950000000000002E-3</v>
      </c>
      <c r="P683">
        <v>1.1450999999999999E-2</v>
      </c>
      <c r="Q683">
        <v>6.8089999999999999E-3</v>
      </c>
      <c r="R683">
        <v>2.6435E-2</v>
      </c>
      <c r="S683">
        <v>-1.6375000000000001E-2</v>
      </c>
      <c r="T683">
        <v>9.4529999999999996E-3</v>
      </c>
      <c r="U683">
        <v>5.6129999999999999E-3</v>
      </c>
      <c r="V683">
        <v>1.3106E-2</v>
      </c>
      <c r="W683">
        <v>2.5099E-2</v>
      </c>
      <c r="X683">
        <v>1.8443000000000001E-2</v>
      </c>
      <c r="Y683">
        <v>5.5691999999999998E-2</v>
      </c>
      <c r="Z683">
        <v>1.5559E-2</v>
      </c>
      <c r="AA683">
        <v>2.3775000000000001E-2</v>
      </c>
      <c r="AB683">
        <v>4.3416999999999997E-2</v>
      </c>
    </row>
    <row r="684" spans="1:28" x14ac:dyDescent="0.2">
      <c r="A684">
        <v>19881130</v>
      </c>
      <c r="B684">
        <v>1988</v>
      </c>
      <c r="C684">
        <v>11</v>
      </c>
      <c r="D684">
        <v>-4.8816999999999999E-2</v>
      </c>
      <c r="E684">
        <v>-4.8528000000000002E-2</v>
      </c>
      <c r="F684">
        <v>-3.3683999999999999E-2</v>
      </c>
      <c r="G684">
        <v>-3.3291000000000001E-2</v>
      </c>
      <c r="H684">
        <v>-4.3073E-2</v>
      </c>
      <c r="I684">
        <v>-4.2353000000000002E-2</v>
      </c>
      <c r="J684">
        <v>-3.0824000000000001E-2</v>
      </c>
      <c r="K684">
        <v>-1.9744000000000001E-2</v>
      </c>
      <c r="L684">
        <v>-3.1947999999999997E-2</v>
      </c>
      <c r="M684">
        <v>-2.1239999999999998E-2</v>
      </c>
      <c r="N684">
        <v>-2.9312000000000001E-2</v>
      </c>
      <c r="O684">
        <v>-2.4625999999999999E-2</v>
      </c>
      <c r="P684">
        <v>-3.7887999999999998E-2</v>
      </c>
      <c r="Q684">
        <v>-5.4479999999999997E-3</v>
      </c>
      <c r="R684">
        <v>-1.502E-2</v>
      </c>
      <c r="S684">
        <v>-1.5848000000000001E-2</v>
      </c>
      <c r="T684">
        <v>-2.5552999999999999E-2</v>
      </c>
      <c r="U684">
        <v>-3.2897000000000003E-2</v>
      </c>
      <c r="V684">
        <v>-1.7735000000000001E-2</v>
      </c>
      <c r="W684">
        <v>-9.7020000000000006E-3</v>
      </c>
      <c r="X684">
        <v>-1.8792E-2</v>
      </c>
      <c r="Y684">
        <v>-1.1446E-2</v>
      </c>
      <c r="Z684">
        <v>-1.9144999999999999E-2</v>
      </c>
      <c r="AA684">
        <v>-4.2630000000000003E-3</v>
      </c>
      <c r="AB684">
        <v>3.4380000000000001E-3</v>
      </c>
    </row>
    <row r="685" spans="1:28" x14ac:dyDescent="0.2">
      <c r="A685">
        <v>19881230</v>
      </c>
      <c r="B685">
        <v>1988</v>
      </c>
      <c r="C685">
        <v>12</v>
      </c>
      <c r="D685">
        <v>1.7949E-2</v>
      </c>
      <c r="E685">
        <v>4.1180000000000001E-2</v>
      </c>
      <c r="F685">
        <v>3.4084000000000003E-2</v>
      </c>
      <c r="G685">
        <v>4.7432000000000002E-2</v>
      </c>
      <c r="H685">
        <v>2.6155999999999999E-2</v>
      </c>
      <c r="I685">
        <v>5.1873000000000002E-2</v>
      </c>
      <c r="J685">
        <v>4.1050999999999997E-2</v>
      </c>
      <c r="K685">
        <v>3.8150999999999997E-2</v>
      </c>
      <c r="L685">
        <v>4.9638000000000002E-2</v>
      </c>
      <c r="M685">
        <v>2.8863E-2</v>
      </c>
      <c r="N685">
        <v>4.5295000000000002E-2</v>
      </c>
      <c r="O685">
        <v>3.5175999999999999E-2</v>
      </c>
      <c r="P685">
        <v>3.4569000000000003E-2</v>
      </c>
      <c r="Q685">
        <v>2.2932000000000001E-2</v>
      </c>
      <c r="R685">
        <v>2.7444E-2</v>
      </c>
      <c r="S685">
        <v>3.3517999999999999E-2</v>
      </c>
      <c r="T685">
        <v>3.0235999999999999E-2</v>
      </c>
      <c r="U685">
        <v>1.5270000000000001E-2</v>
      </c>
      <c r="V685">
        <v>1.8608E-2</v>
      </c>
      <c r="W685">
        <v>-8.1329999999999996E-3</v>
      </c>
      <c r="X685">
        <v>2.6193000000000001E-2</v>
      </c>
      <c r="Y685">
        <v>2.0920000000000001E-2</v>
      </c>
      <c r="Z685">
        <v>1.7291000000000001E-2</v>
      </c>
      <c r="AA685">
        <v>5.1130000000000004E-3</v>
      </c>
      <c r="AB685">
        <v>4.2459999999999998E-3</v>
      </c>
    </row>
    <row r="686" spans="1:28" x14ac:dyDescent="0.2">
      <c r="A686">
        <v>19890131</v>
      </c>
      <c r="B686">
        <v>1989</v>
      </c>
      <c r="C686">
        <v>1</v>
      </c>
      <c r="D686">
        <v>5.3419000000000001E-2</v>
      </c>
      <c r="E686">
        <v>5.9511000000000001E-2</v>
      </c>
      <c r="F686">
        <v>4.3277000000000003E-2</v>
      </c>
      <c r="G686">
        <v>4.3360999999999997E-2</v>
      </c>
      <c r="H686">
        <v>5.6071999999999997E-2</v>
      </c>
      <c r="I686">
        <v>3.4347000000000003E-2</v>
      </c>
      <c r="J686">
        <v>5.6076000000000001E-2</v>
      </c>
      <c r="K686">
        <v>4.6309999999999997E-2</v>
      </c>
      <c r="L686">
        <v>3.7476000000000002E-2</v>
      </c>
      <c r="M686">
        <v>7.3242000000000002E-2</v>
      </c>
      <c r="N686">
        <v>4.8580999999999999E-2</v>
      </c>
      <c r="O686">
        <v>5.5093999999999997E-2</v>
      </c>
      <c r="P686">
        <v>5.1096999999999997E-2</v>
      </c>
      <c r="Q686">
        <v>4.0765999999999997E-2</v>
      </c>
      <c r="R686">
        <v>5.4365999999999998E-2</v>
      </c>
      <c r="S686">
        <v>4.7149999999999997E-2</v>
      </c>
      <c r="T686">
        <v>5.6182999999999997E-2</v>
      </c>
      <c r="U686">
        <v>6.0257999999999999E-2</v>
      </c>
      <c r="V686">
        <v>6.1753000000000002E-2</v>
      </c>
      <c r="W686">
        <v>8.2574999999999996E-2</v>
      </c>
      <c r="X686">
        <v>7.8312000000000007E-2</v>
      </c>
      <c r="Y686">
        <v>6.8864999999999996E-2</v>
      </c>
      <c r="Z686">
        <v>6.3121999999999998E-2</v>
      </c>
      <c r="AA686">
        <v>6.4851000000000006E-2</v>
      </c>
      <c r="AB686">
        <v>8.2568000000000003E-2</v>
      </c>
    </row>
    <row r="687" spans="1:28" x14ac:dyDescent="0.2">
      <c r="A687">
        <v>19890228</v>
      </c>
      <c r="B687">
        <v>1989</v>
      </c>
      <c r="C687">
        <v>2</v>
      </c>
      <c r="D687">
        <v>-1.1164E-2</v>
      </c>
      <c r="E687">
        <v>3.8419999999999999E-3</v>
      </c>
      <c r="F687">
        <v>9.5899999999999996E-3</v>
      </c>
      <c r="G687">
        <v>1.1927999999999999E-2</v>
      </c>
      <c r="H687">
        <v>1.8197000000000001E-2</v>
      </c>
      <c r="I687">
        <v>1.0109E-2</v>
      </c>
      <c r="J687">
        <v>1.9203999999999999E-2</v>
      </c>
      <c r="K687">
        <v>1.3334E-2</v>
      </c>
      <c r="L687">
        <v>7.7629999999999999E-3</v>
      </c>
      <c r="M687">
        <v>1.5775000000000001E-2</v>
      </c>
      <c r="N687">
        <v>-3.6099999999999999E-4</v>
      </c>
      <c r="O687">
        <v>6.2170000000000003E-3</v>
      </c>
      <c r="P687">
        <v>3.4810000000000002E-3</v>
      </c>
      <c r="Q687">
        <v>1.2246E-2</v>
      </c>
      <c r="R687">
        <v>-1.193E-3</v>
      </c>
      <c r="S687">
        <v>-2.4160000000000002E-3</v>
      </c>
      <c r="T687">
        <v>-1.25E-4</v>
      </c>
      <c r="U687">
        <v>-8.4139999999999996E-3</v>
      </c>
      <c r="V687">
        <v>1.8879999999999999E-3</v>
      </c>
      <c r="W687">
        <v>1.3443E-2</v>
      </c>
      <c r="X687">
        <v>-3.0862000000000001E-2</v>
      </c>
      <c r="Y687">
        <v>-2.8691999999999999E-2</v>
      </c>
      <c r="Z687">
        <v>-2.5264999999999999E-2</v>
      </c>
      <c r="AA687">
        <v>-1.6288E-2</v>
      </c>
      <c r="AB687">
        <v>-2.5818000000000001E-2</v>
      </c>
    </row>
    <row r="688" spans="1:28" x14ac:dyDescent="0.2">
      <c r="A688">
        <v>19890331</v>
      </c>
      <c r="B688">
        <v>1989</v>
      </c>
      <c r="C688">
        <v>3</v>
      </c>
      <c r="D688">
        <v>1.3842999999999999E-2</v>
      </c>
      <c r="E688">
        <v>2.7706999999999999E-2</v>
      </c>
      <c r="F688">
        <v>4.7664999999999999E-2</v>
      </c>
      <c r="G688">
        <v>2.6029E-2</v>
      </c>
      <c r="H688">
        <v>3.0526999999999999E-2</v>
      </c>
      <c r="I688">
        <v>1.8505000000000001E-2</v>
      </c>
      <c r="J688">
        <v>2.4587000000000001E-2</v>
      </c>
      <c r="K688">
        <v>2.2433000000000002E-2</v>
      </c>
      <c r="L688">
        <v>1.6891E-2</v>
      </c>
      <c r="M688">
        <v>3.1736E-2</v>
      </c>
      <c r="N688">
        <v>2.1696E-2</v>
      </c>
      <c r="O688">
        <v>1.3035E-2</v>
      </c>
      <c r="P688">
        <v>1.5535999999999999E-2</v>
      </c>
      <c r="Q688">
        <v>3.4020000000000002E-2</v>
      </c>
      <c r="R688">
        <v>2.4948000000000001E-2</v>
      </c>
      <c r="S688">
        <v>-4.0150000000000003E-3</v>
      </c>
      <c r="T688">
        <v>1.5911000000000002E-2</v>
      </c>
      <c r="U688">
        <v>2.9801000000000001E-2</v>
      </c>
      <c r="V688">
        <v>9.0989999999999994E-3</v>
      </c>
      <c r="W688">
        <v>3.2148999999999997E-2</v>
      </c>
      <c r="X688">
        <v>3.0161E-2</v>
      </c>
      <c r="Y688">
        <v>5.0419999999999996E-3</v>
      </c>
      <c r="Z688">
        <v>3.9024999999999997E-2</v>
      </c>
      <c r="AA688">
        <v>2.7755999999999999E-2</v>
      </c>
      <c r="AB688">
        <v>1.1934999999999999E-2</v>
      </c>
    </row>
    <row r="689" spans="1:28" x14ac:dyDescent="0.2">
      <c r="A689">
        <v>19890428</v>
      </c>
      <c r="B689">
        <v>1989</v>
      </c>
      <c r="C689">
        <v>4</v>
      </c>
      <c r="D689">
        <v>3.0356999999999999E-2</v>
      </c>
      <c r="E689">
        <v>3.2253999999999998E-2</v>
      </c>
      <c r="F689">
        <v>3.4262000000000001E-2</v>
      </c>
      <c r="G689">
        <v>2.4913999999999999E-2</v>
      </c>
      <c r="H689">
        <v>2.9297E-2</v>
      </c>
      <c r="I689">
        <v>4.5825999999999999E-2</v>
      </c>
      <c r="J689">
        <v>5.3842000000000001E-2</v>
      </c>
      <c r="K689">
        <v>4.7724000000000003E-2</v>
      </c>
      <c r="L689">
        <v>2.5853000000000001E-2</v>
      </c>
      <c r="M689">
        <v>5.7643E-2</v>
      </c>
      <c r="N689">
        <v>5.4056E-2</v>
      </c>
      <c r="O689">
        <v>4.6304999999999999E-2</v>
      </c>
      <c r="P689">
        <v>4.6293000000000001E-2</v>
      </c>
      <c r="Q689">
        <v>4.1710999999999998E-2</v>
      </c>
      <c r="R689">
        <v>3.7707999999999998E-2</v>
      </c>
      <c r="S689">
        <v>6.3787999999999997E-2</v>
      </c>
      <c r="T689">
        <v>5.2935000000000003E-2</v>
      </c>
      <c r="U689">
        <v>4.0280000000000003E-2</v>
      </c>
      <c r="V689">
        <v>5.3363000000000001E-2</v>
      </c>
      <c r="W689">
        <v>5.3071E-2</v>
      </c>
      <c r="X689">
        <v>6.1099000000000001E-2</v>
      </c>
      <c r="Y689">
        <v>5.3138999999999999E-2</v>
      </c>
      <c r="Z689">
        <v>4.666E-2</v>
      </c>
      <c r="AA689">
        <v>4.4697000000000001E-2</v>
      </c>
      <c r="AB689">
        <v>3.6674999999999999E-2</v>
      </c>
    </row>
    <row r="690" spans="1:28" x14ac:dyDescent="0.2">
      <c r="A690">
        <v>19890531</v>
      </c>
      <c r="B690">
        <v>1989</v>
      </c>
      <c r="C690">
        <v>5</v>
      </c>
      <c r="D690">
        <v>3.0505000000000001E-2</v>
      </c>
      <c r="E690">
        <v>5.4012999999999999E-2</v>
      </c>
      <c r="F690">
        <v>1.9910000000000001E-2</v>
      </c>
      <c r="G690">
        <v>4.1628999999999999E-2</v>
      </c>
      <c r="H690">
        <v>3.4799999999999998E-2</v>
      </c>
      <c r="I690">
        <v>4.7967000000000003E-2</v>
      </c>
      <c r="J690">
        <v>3.3302999999999999E-2</v>
      </c>
      <c r="K690">
        <v>4.2897999999999999E-2</v>
      </c>
      <c r="L690">
        <v>3.5881000000000003E-2</v>
      </c>
      <c r="M690">
        <v>3.8017000000000002E-2</v>
      </c>
      <c r="N690">
        <v>5.6432000000000003E-2</v>
      </c>
      <c r="O690">
        <v>4.7377000000000002E-2</v>
      </c>
      <c r="P690">
        <v>3.8177999999999997E-2</v>
      </c>
      <c r="Q690">
        <v>4.1671E-2</v>
      </c>
      <c r="R690">
        <v>3.9592000000000002E-2</v>
      </c>
      <c r="S690">
        <v>4.5029E-2</v>
      </c>
      <c r="T690">
        <v>2.8570000000000002E-2</v>
      </c>
      <c r="U690">
        <v>3.1073E-2</v>
      </c>
      <c r="V690">
        <v>4.4757999999999999E-2</v>
      </c>
      <c r="W690">
        <v>6.1537000000000001E-2</v>
      </c>
      <c r="X690">
        <v>4.6896E-2</v>
      </c>
      <c r="Y690">
        <v>3.1399000000000003E-2</v>
      </c>
      <c r="Z690">
        <v>4.4956000000000003E-2</v>
      </c>
      <c r="AA690">
        <v>4.3230999999999999E-2</v>
      </c>
      <c r="AB690">
        <v>3.3304E-2</v>
      </c>
    </row>
    <row r="691" spans="1:28" x14ac:dyDescent="0.2">
      <c r="A691">
        <v>19890630</v>
      </c>
      <c r="B691">
        <v>1989</v>
      </c>
      <c r="C691">
        <v>6</v>
      </c>
      <c r="D691">
        <v>-3.057E-2</v>
      </c>
      <c r="E691">
        <v>-1.6059E-2</v>
      </c>
      <c r="F691">
        <v>-2.1937000000000002E-2</v>
      </c>
      <c r="G691">
        <v>2.2569999999999999E-3</v>
      </c>
      <c r="H691">
        <v>5.555E-3</v>
      </c>
      <c r="I691">
        <v>-4.9155999999999998E-2</v>
      </c>
      <c r="J691">
        <v>-1.9223000000000001E-2</v>
      </c>
      <c r="K691">
        <v>-2.3240000000000001E-3</v>
      </c>
      <c r="L691">
        <v>-6.0749999999999997E-3</v>
      </c>
      <c r="M691">
        <v>-1.6847999999999998E-2</v>
      </c>
      <c r="N691">
        <v>-3.4346000000000002E-2</v>
      </c>
      <c r="O691">
        <v>-1.4063000000000001E-2</v>
      </c>
      <c r="P691">
        <v>-1.3655E-2</v>
      </c>
      <c r="Q691">
        <v>3.212E-3</v>
      </c>
      <c r="R691">
        <v>2.1647E-2</v>
      </c>
      <c r="S691">
        <v>-2.2196E-2</v>
      </c>
      <c r="T691">
        <v>-1.3027E-2</v>
      </c>
      <c r="U691">
        <v>4.1229999999999999E-3</v>
      </c>
      <c r="V691">
        <v>1.9623000000000002E-2</v>
      </c>
      <c r="W691">
        <v>3.5460999999999999E-2</v>
      </c>
      <c r="X691">
        <v>-5.1879999999999999E-3</v>
      </c>
      <c r="Y691">
        <v>-3.9220000000000001E-3</v>
      </c>
      <c r="Z691">
        <v>-1.1053E-2</v>
      </c>
      <c r="AA691">
        <v>-6.698E-3</v>
      </c>
      <c r="AB691">
        <v>7.9360000000000003E-3</v>
      </c>
    </row>
    <row r="692" spans="1:28" x14ac:dyDescent="0.2">
      <c r="A692">
        <v>19890731</v>
      </c>
      <c r="B692">
        <v>1989</v>
      </c>
      <c r="C692">
        <v>7</v>
      </c>
      <c r="D692">
        <v>2.7636999999999998E-2</v>
      </c>
      <c r="E692">
        <v>4.8377999999999997E-2</v>
      </c>
      <c r="F692">
        <v>2.2315000000000002E-2</v>
      </c>
      <c r="G692">
        <v>3.1551999999999997E-2</v>
      </c>
      <c r="H692">
        <v>1.6625999999999998E-2</v>
      </c>
      <c r="I692">
        <v>5.6101999999999999E-2</v>
      </c>
      <c r="J692">
        <v>5.1555999999999998E-2</v>
      </c>
      <c r="K692">
        <v>3.0521E-2</v>
      </c>
      <c r="L692">
        <v>4.0931000000000002E-2</v>
      </c>
      <c r="M692">
        <v>3.0453999999999998E-2</v>
      </c>
      <c r="N692">
        <v>5.4475000000000003E-2</v>
      </c>
      <c r="O692">
        <v>5.0233E-2</v>
      </c>
      <c r="P692">
        <v>3.5138999999999997E-2</v>
      </c>
      <c r="Q692">
        <v>4.7039999999999998E-2</v>
      </c>
      <c r="R692">
        <v>3.7992999999999999E-2</v>
      </c>
      <c r="S692">
        <v>8.3793000000000006E-2</v>
      </c>
      <c r="T692">
        <v>8.5068000000000005E-2</v>
      </c>
      <c r="U692">
        <v>6.1426000000000001E-2</v>
      </c>
      <c r="V692">
        <v>6.0705000000000002E-2</v>
      </c>
      <c r="W692">
        <v>6.4756999999999995E-2</v>
      </c>
      <c r="X692">
        <v>0.115567</v>
      </c>
      <c r="Y692">
        <v>9.5938999999999997E-2</v>
      </c>
      <c r="Z692">
        <v>6.9210999999999995E-2</v>
      </c>
      <c r="AA692">
        <v>7.5291999999999998E-2</v>
      </c>
      <c r="AB692">
        <v>6.6819000000000003E-2</v>
      </c>
    </row>
    <row r="693" spans="1:28" x14ac:dyDescent="0.2">
      <c r="A693">
        <v>19890831</v>
      </c>
      <c r="B693">
        <v>1989</v>
      </c>
      <c r="C693">
        <v>8</v>
      </c>
      <c r="D693">
        <v>2.1715999999999999E-2</v>
      </c>
      <c r="E693">
        <v>-2.5010000000000002E-3</v>
      </c>
      <c r="F693">
        <v>8.1189999999999995E-3</v>
      </c>
      <c r="G693">
        <v>2.7799000000000001E-2</v>
      </c>
      <c r="H693">
        <v>1.4956000000000001E-2</v>
      </c>
      <c r="I693">
        <v>3.6650000000000002E-2</v>
      </c>
      <c r="J693">
        <v>2.8031E-2</v>
      </c>
      <c r="K693">
        <v>3.0973000000000001E-2</v>
      </c>
      <c r="L693">
        <v>3.5215000000000003E-2</v>
      </c>
      <c r="M693">
        <v>2.7528E-2</v>
      </c>
      <c r="N693">
        <v>2.6721999999999999E-2</v>
      </c>
      <c r="O693">
        <v>2.9977E-2</v>
      </c>
      <c r="P693">
        <v>5.0546000000000001E-2</v>
      </c>
      <c r="Q693">
        <v>3.2149999999999998E-2</v>
      </c>
      <c r="R693">
        <v>1.7304E-2</v>
      </c>
      <c r="S693">
        <v>3.6306999999999999E-2</v>
      </c>
      <c r="T693">
        <v>3.8892000000000003E-2</v>
      </c>
      <c r="U693">
        <v>3.0877000000000002E-2</v>
      </c>
      <c r="V693">
        <v>3.7425E-2</v>
      </c>
      <c r="W693">
        <v>1.3576E-2</v>
      </c>
      <c r="X693">
        <v>-1.1490000000000001E-3</v>
      </c>
      <c r="Y693">
        <v>2.3078999999999999E-2</v>
      </c>
      <c r="Z693">
        <v>2.9481E-2</v>
      </c>
      <c r="AA693">
        <v>1.9269000000000001E-2</v>
      </c>
      <c r="AB693">
        <v>2.7914000000000001E-2</v>
      </c>
    </row>
    <row r="694" spans="1:28" x14ac:dyDescent="0.2">
      <c r="A694">
        <v>19890929</v>
      </c>
      <c r="B694">
        <v>1989</v>
      </c>
      <c r="C694">
        <v>9</v>
      </c>
      <c r="D694">
        <v>1.2381E-2</v>
      </c>
      <c r="E694">
        <v>-4.4079999999999996E-3</v>
      </c>
      <c r="F694">
        <v>-5.1469999999999997E-3</v>
      </c>
      <c r="G694">
        <v>6.3680000000000004E-3</v>
      </c>
      <c r="H694">
        <v>-3.1280000000000001E-3</v>
      </c>
      <c r="I694">
        <v>2.3227000000000001E-2</v>
      </c>
      <c r="J694">
        <v>-1.5529999999999999E-3</v>
      </c>
      <c r="K694">
        <v>8.4440000000000001E-3</v>
      </c>
      <c r="L694">
        <v>7.3749999999999996E-3</v>
      </c>
      <c r="M694">
        <v>-1.0848E-2</v>
      </c>
      <c r="N694">
        <v>1.4037000000000001E-2</v>
      </c>
      <c r="O694">
        <v>-1.2222E-2</v>
      </c>
      <c r="P694">
        <v>-1.4079E-2</v>
      </c>
      <c r="Q694">
        <v>-1.804E-3</v>
      </c>
      <c r="R694">
        <v>-1.213E-2</v>
      </c>
      <c r="S694">
        <v>1.8370000000000001E-3</v>
      </c>
      <c r="T694">
        <v>-2.8405E-2</v>
      </c>
      <c r="U694">
        <v>-3.1893999999999999E-2</v>
      </c>
      <c r="V694">
        <v>-9.6419999999999995E-3</v>
      </c>
      <c r="W694">
        <v>5.6249999999999998E-3</v>
      </c>
      <c r="X694">
        <v>1.1566E-2</v>
      </c>
      <c r="Y694">
        <v>-8.7939999999999997E-3</v>
      </c>
      <c r="Z694">
        <v>2.029E-3</v>
      </c>
      <c r="AA694">
        <v>6.9959999999999996E-3</v>
      </c>
      <c r="AB694">
        <v>-3.663E-3</v>
      </c>
    </row>
    <row r="695" spans="1:28" x14ac:dyDescent="0.2">
      <c r="A695">
        <v>19891031</v>
      </c>
      <c r="B695">
        <v>1989</v>
      </c>
      <c r="C695">
        <v>10</v>
      </c>
      <c r="D695">
        <v>-5.1415000000000002E-2</v>
      </c>
      <c r="E695">
        <v>-5.6670999999999999E-2</v>
      </c>
      <c r="F695">
        <v>-4.8089E-2</v>
      </c>
      <c r="G695">
        <v>-4.2805000000000003E-2</v>
      </c>
      <c r="H695">
        <v>-6.7824999999999996E-2</v>
      </c>
      <c r="I695">
        <v>-4.9064999999999998E-2</v>
      </c>
      <c r="J695">
        <v>-7.1355000000000002E-2</v>
      </c>
      <c r="K695">
        <v>-4.9105000000000003E-2</v>
      </c>
      <c r="L695">
        <v>-5.6376999999999997E-2</v>
      </c>
      <c r="M695">
        <v>-7.9363000000000003E-2</v>
      </c>
      <c r="N695">
        <v>-4.1264000000000002E-2</v>
      </c>
      <c r="O695">
        <v>-5.9277999999999997E-2</v>
      </c>
      <c r="P695">
        <v>-6.2540999999999999E-2</v>
      </c>
      <c r="Q695">
        <v>-5.0874999999999997E-2</v>
      </c>
      <c r="R695">
        <v>-4.845E-2</v>
      </c>
      <c r="S695">
        <v>-2.9502E-2</v>
      </c>
      <c r="T695">
        <v>-3.5582000000000003E-2</v>
      </c>
      <c r="U695">
        <v>-7.7089000000000005E-2</v>
      </c>
      <c r="V695">
        <v>-2.9547E-2</v>
      </c>
      <c r="W695">
        <v>-4.5213999999999997E-2</v>
      </c>
      <c r="X695">
        <v>1.3270000000000001E-3</v>
      </c>
      <c r="Y695">
        <v>-3.5158000000000002E-2</v>
      </c>
      <c r="Z695">
        <v>-2.8281000000000001E-2</v>
      </c>
      <c r="AA695">
        <v>-3.1774999999999998E-2</v>
      </c>
      <c r="AB695">
        <v>-7.0500000000000001E-4</v>
      </c>
    </row>
    <row r="696" spans="1:28" x14ac:dyDescent="0.2">
      <c r="A696">
        <v>19891130</v>
      </c>
      <c r="B696">
        <v>1989</v>
      </c>
      <c r="C696">
        <v>11</v>
      </c>
      <c r="D696">
        <v>-7.0730000000000003E-3</v>
      </c>
      <c r="E696">
        <v>2.104E-3</v>
      </c>
      <c r="F696">
        <v>-6.9690000000000004E-3</v>
      </c>
      <c r="G696">
        <v>-2.04E-4</v>
      </c>
      <c r="H696">
        <v>-1.2848E-2</v>
      </c>
      <c r="I696">
        <v>3.0109999999999998E-3</v>
      </c>
      <c r="J696">
        <v>1.6853E-2</v>
      </c>
      <c r="K696">
        <v>6.4920000000000004E-3</v>
      </c>
      <c r="L696">
        <v>1.5011E-2</v>
      </c>
      <c r="M696">
        <v>-9.0310000000000008E-3</v>
      </c>
      <c r="N696">
        <v>1.6707E-2</v>
      </c>
      <c r="O696">
        <v>1.6951000000000001E-2</v>
      </c>
      <c r="P696">
        <v>6.7000000000000002E-5</v>
      </c>
      <c r="Q696">
        <v>7.7650000000000002E-3</v>
      </c>
      <c r="R696">
        <v>2.2203000000000001E-2</v>
      </c>
      <c r="S696">
        <v>2.0809000000000001E-2</v>
      </c>
      <c r="T696">
        <v>2.2321000000000001E-2</v>
      </c>
      <c r="U696">
        <v>5.0850000000000001E-3</v>
      </c>
      <c r="V696">
        <v>4.1729999999999996E-3</v>
      </c>
      <c r="W696">
        <v>8.6390000000000008E-3</v>
      </c>
      <c r="X696">
        <v>1.9699999999999999E-2</v>
      </c>
      <c r="Y696">
        <v>2.3744999999999999E-2</v>
      </c>
      <c r="Z696">
        <v>2.6647000000000001E-2</v>
      </c>
      <c r="AA696">
        <v>1.2952999999999999E-2</v>
      </c>
      <c r="AB696">
        <v>1.0566000000000001E-2</v>
      </c>
    </row>
    <row r="697" spans="1:28" x14ac:dyDescent="0.2">
      <c r="A697">
        <v>19891229</v>
      </c>
      <c r="B697">
        <v>1989</v>
      </c>
      <c r="C697">
        <v>12</v>
      </c>
      <c r="D697">
        <v>-7.7910000000000002E-3</v>
      </c>
      <c r="E697">
        <v>-8.4670000000000006E-3</v>
      </c>
      <c r="F697">
        <v>-1.0352999999999999E-2</v>
      </c>
      <c r="G697">
        <v>-8.2979999999999998E-3</v>
      </c>
      <c r="H697">
        <v>-1.6469000000000001E-2</v>
      </c>
      <c r="I697">
        <v>1.3306E-2</v>
      </c>
      <c r="J697">
        <v>-2.9870000000000001E-3</v>
      </c>
      <c r="K697">
        <v>6.7089999999999997E-3</v>
      </c>
      <c r="L697">
        <v>9.1229999999999992E-3</v>
      </c>
      <c r="M697">
        <v>3.398E-3</v>
      </c>
      <c r="N697">
        <v>-5.6800000000000004E-4</v>
      </c>
      <c r="O697">
        <v>6.6579999999999999E-3</v>
      </c>
      <c r="P697">
        <v>-1.3587E-2</v>
      </c>
      <c r="Q697">
        <v>1.7208999999999999E-2</v>
      </c>
      <c r="R697">
        <v>-5.9849999999999999E-3</v>
      </c>
      <c r="S697">
        <v>2.6766999999999999E-2</v>
      </c>
      <c r="T697">
        <v>2.0993000000000001E-2</v>
      </c>
      <c r="U697">
        <v>1.3727E-2</v>
      </c>
      <c r="V697">
        <v>1.5198E-2</v>
      </c>
      <c r="W697">
        <v>2.2728000000000002E-2</v>
      </c>
      <c r="X697">
        <v>6.8830000000000002E-3</v>
      </c>
      <c r="Y697">
        <v>9.7549999999999998E-3</v>
      </c>
      <c r="Z697">
        <v>4.4949999999999997E-2</v>
      </c>
      <c r="AA697">
        <v>4.9410000000000003E-2</v>
      </c>
      <c r="AB697">
        <v>1.0541E-2</v>
      </c>
    </row>
    <row r="698" spans="1:28" x14ac:dyDescent="0.2">
      <c r="A698">
        <v>19900131</v>
      </c>
      <c r="B698">
        <v>1990</v>
      </c>
      <c r="C698">
        <v>1</v>
      </c>
      <c r="D698">
        <v>-8.2885E-2</v>
      </c>
      <c r="E698">
        <v>-7.4637999999999996E-2</v>
      </c>
      <c r="F698">
        <v>-4.7440000000000003E-2</v>
      </c>
      <c r="G698">
        <v>-6.9450999999999999E-2</v>
      </c>
      <c r="H698">
        <v>-6.0664000000000003E-2</v>
      </c>
      <c r="I698">
        <v>-9.604E-2</v>
      </c>
      <c r="J698">
        <v>-9.3418000000000001E-2</v>
      </c>
      <c r="K698">
        <v>-7.4129E-2</v>
      </c>
      <c r="L698">
        <v>-7.9589999999999994E-2</v>
      </c>
      <c r="M698">
        <v>-9.1627E-2</v>
      </c>
      <c r="N698">
        <v>-9.5227999999999993E-2</v>
      </c>
      <c r="O698">
        <v>-8.9482999999999993E-2</v>
      </c>
      <c r="P698">
        <v>-7.4700000000000003E-2</v>
      </c>
      <c r="Q698">
        <v>-7.2175000000000003E-2</v>
      </c>
      <c r="R698">
        <v>-7.6632000000000006E-2</v>
      </c>
      <c r="S698">
        <v>-6.9755999999999999E-2</v>
      </c>
      <c r="T698">
        <v>-5.9221999999999997E-2</v>
      </c>
      <c r="U698">
        <v>-7.7701000000000006E-2</v>
      </c>
      <c r="V698">
        <v>-9.0509999999999993E-2</v>
      </c>
      <c r="W698">
        <v>-9.9229999999999999E-2</v>
      </c>
      <c r="X698">
        <v>-7.6054999999999998E-2</v>
      </c>
      <c r="Y698">
        <v>-5.7797000000000001E-2</v>
      </c>
      <c r="Z698">
        <v>-7.0677000000000004E-2</v>
      </c>
      <c r="AA698">
        <v>-7.2540999999999994E-2</v>
      </c>
      <c r="AB698">
        <v>-5.7852000000000001E-2</v>
      </c>
    </row>
    <row r="699" spans="1:28" x14ac:dyDescent="0.2">
      <c r="A699">
        <v>19900228</v>
      </c>
      <c r="B699">
        <v>1990</v>
      </c>
      <c r="C699">
        <v>2</v>
      </c>
      <c r="D699">
        <v>2.0153000000000001E-2</v>
      </c>
      <c r="E699">
        <v>2.0820000000000002E-2</v>
      </c>
      <c r="F699">
        <v>1.0824E-2</v>
      </c>
      <c r="G699">
        <v>3.4584999999999998E-2</v>
      </c>
      <c r="H699">
        <v>1.5483E-2</v>
      </c>
      <c r="I699">
        <v>3.3986000000000002E-2</v>
      </c>
      <c r="J699">
        <v>3.6721999999999998E-2</v>
      </c>
      <c r="K699">
        <v>2.9947000000000001E-2</v>
      </c>
      <c r="L699">
        <v>3.5577999999999999E-2</v>
      </c>
      <c r="M699">
        <v>2.3886999999999999E-2</v>
      </c>
      <c r="N699">
        <v>3.2363000000000003E-2</v>
      </c>
      <c r="O699">
        <v>3.3853000000000001E-2</v>
      </c>
      <c r="P699">
        <v>1.9699999999999999E-2</v>
      </c>
      <c r="Q699">
        <v>1.3601E-2</v>
      </c>
      <c r="R699">
        <v>2.8583999999999998E-2</v>
      </c>
      <c r="S699">
        <v>1.6567999999999999E-2</v>
      </c>
      <c r="T699">
        <v>1.3979999999999999E-2</v>
      </c>
      <c r="U699">
        <v>1.5450999999999999E-2</v>
      </c>
      <c r="V699">
        <v>1.5675000000000001E-2</v>
      </c>
      <c r="W699">
        <v>3.5032000000000001E-2</v>
      </c>
      <c r="X699">
        <v>-1.106E-3</v>
      </c>
      <c r="Y699">
        <v>1.8414E-2</v>
      </c>
      <c r="Z699">
        <v>2.4739000000000001E-2</v>
      </c>
      <c r="AA699">
        <v>1.3788E-2</v>
      </c>
      <c r="AB699">
        <v>2.0042000000000001E-2</v>
      </c>
    </row>
    <row r="700" spans="1:28" x14ac:dyDescent="0.2">
      <c r="A700">
        <v>19900330</v>
      </c>
      <c r="B700">
        <v>1990</v>
      </c>
      <c r="C700">
        <v>3</v>
      </c>
      <c r="D700">
        <v>4.4160999999999999E-2</v>
      </c>
      <c r="E700">
        <v>2.6631999999999999E-2</v>
      </c>
      <c r="F700">
        <v>2.4015000000000002E-2</v>
      </c>
      <c r="G700">
        <v>3.7249999999999998E-2</v>
      </c>
      <c r="H700">
        <v>1.409E-2</v>
      </c>
      <c r="I700">
        <v>4.9098999999999997E-2</v>
      </c>
      <c r="J700">
        <v>4.4672000000000003E-2</v>
      </c>
      <c r="K700">
        <v>4.8162000000000003E-2</v>
      </c>
      <c r="L700">
        <v>3.09E-2</v>
      </c>
      <c r="M700">
        <v>1.5914999999999999E-2</v>
      </c>
      <c r="N700">
        <v>5.4115000000000003E-2</v>
      </c>
      <c r="O700">
        <v>2.6619E-2</v>
      </c>
      <c r="P700">
        <v>2.7619000000000001E-2</v>
      </c>
      <c r="Q700">
        <v>1.4389000000000001E-2</v>
      </c>
      <c r="R700">
        <v>-5.0489999999999997E-3</v>
      </c>
      <c r="S700">
        <v>3.8628999999999997E-2</v>
      </c>
      <c r="T700">
        <v>3.8337000000000003E-2</v>
      </c>
      <c r="U700">
        <v>1.8305999999999999E-2</v>
      </c>
      <c r="V700">
        <v>2.1312999999999999E-2</v>
      </c>
      <c r="W700">
        <v>-3.506E-3</v>
      </c>
      <c r="X700">
        <v>3.9453000000000002E-2</v>
      </c>
      <c r="Y700">
        <v>3.8504999999999998E-2</v>
      </c>
      <c r="Z700">
        <v>1.72E-3</v>
      </c>
      <c r="AA700">
        <v>6.5259999999999997E-3</v>
      </c>
      <c r="AB700">
        <v>1.0406E-2</v>
      </c>
    </row>
    <row r="701" spans="1:28" x14ac:dyDescent="0.2">
      <c r="A701">
        <v>19900430</v>
      </c>
      <c r="B701">
        <v>1990</v>
      </c>
      <c r="C701">
        <v>4</v>
      </c>
      <c r="D701">
        <v>-2.545E-2</v>
      </c>
      <c r="E701">
        <v>-2.3896000000000001E-2</v>
      </c>
      <c r="F701">
        <v>-1.7115999999999999E-2</v>
      </c>
      <c r="G701">
        <v>-2.4792000000000002E-2</v>
      </c>
      <c r="H701">
        <v>-3.5307999999999999E-2</v>
      </c>
      <c r="I701">
        <v>-4.0605000000000002E-2</v>
      </c>
      <c r="J701">
        <v>-3.5691000000000001E-2</v>
      </c>
      <c r="K701">
        <v>-2.0178999999999999E-2</v>
      </c>
      <c r="L701">
        <v>-2.8982999999999998E-2</v>
      </c>
      <c r="M701">
        <v>-5.6681000000000002E-2</v>
      </c>
      <c r="N701">
        <v>-2.4559000000000001E-2</v>
      </c>
      <c r="O701">
        <v>-2.0333E-2</v>
      </c>
      <c r="P701">
        <v>-3.3674000000000003E-2</v>
      </c>
      <c r="Q701">
        <v>-5.6609E-2</v>
      </c>
      <c r="R701">
        <v>-5.6520000000000001E-2</v>
      </c>
      <c r="S701">
        <v>-2.9128999999999999E-2</v>
      </c>
      <c r="T701">
        <v>-4.1027000000000001E-2</v>
      </c>
      <c r="U701">
        <v>-6.2996999999999997E-2</v>
      </c>
      <c r="V701">
        <v>-5.2386000000000002E-2</v>
      </c>
      <c r="W701">
        <v>-6.0345000000000003E-2</v>
      </c>
      <c r="X701">
        <v>4.6730000000000001E-3</v>
      </c>
      <c r="Y701">
        <v>-1.3318E-2</v>
      </c>
      <c r="Z701">
        <v>-3.8571000000000001E-2</v>
      </c>
      <c r="AA701">
        <v>-4.1126999999999997E-2</v>
      </c>
      <c r="AB701">
        <v>-4.2174999999999997E-2</v>
      </c>
    </row>
    <row r="702" spans="1:28" x14ac:dyDescent="0.2">
      <c r="A702">
        <v>19900531</v>
      </c>
      <c r="B702">
        <v>1990</v>
      </c>
      <c r="C702">
        <v>5</v>
      </c>
      <c r="D702">
        <v>8.0699999999999994E-2</v>
      </c>
      <c r="E702">
        <v>6.3851000000000005E-2</v>
      </c>
      <c r="F702">
        <v>5.8632999999999998E-2</v>
      </c>
      <c r="G702">
        <v>4.2882000000000003E-2</v>
      </c>
      <c r="H702">
        <v>3.4231999999999999E-2</v>
      </c>
      <c r="I702">
        <v>0.107352</v>
      </c>
      <c r="J702">
        <v>8.4820000000000007E-2</v>
      </c>
      <c r="K702">
        <v>5.7995999999999999E-2</v>
      </c>
      <c r="L702">
        <v>5.3601999999999997E-2</v>
      </c>
      <c r="M702">
        <v>3.7214999999999998E-2</v>
      </c>
      <c r="N702">
        <v>9.2338000000000003E-2</v>
      </c>
      <c r="O702">
        <v>8.7456999999999993E-2</v>
      </c>
      <c r="P702">
        <v>7.0954000000000003E-2</v>
      </c>
      <c r="Q702">
        <v>5.0096000000000002E-2</v>
      </c>
      <c r="R702">
        <v>6.4923999999999996E-2</v>
      </c>
      <c r="S702">
        <v>0.10927099999999999</v>
      </c>
      <c r="T702">
        <v>8.5757E-2</v>
      </c>
      <c r="U702">
        <v>0.10326299999999999</v>
      </c>
      <c r="V702">
        <v>7.2605000000000003E-2</v>
      </c>
      <c r="W702">
        <v>8.3214999999999997E-2</v>
      </c>
      <c r="X702">
        <v>0.11590300000000001</v>
      </c>
      <c r="Y702">
        <v>0.109442</v>
      </c>
      <c r="Z702">
        <v>7.5457999999999997E-2</v>
      </c>
      <c r="AA702">
        <v>6.3936999999999994E-2</v>
      </c>
      <c r="AB702">
        <v>7.8755000000000006E-2</v>
      </c>
    </row>
    <row r="703" spans="1:28" x14ac:dyDescent="0.2">
      <c r="A703">
        <v>19900629</v>
      </c>
      <c r="B703">
        <v>1990</v>
      </c>
      <c r="C703">
        <v>6</v>
      </c>
      <c r="D703">
        <v>1.1287999999999999E-2</v>
      </c>
      <c r="E703">
        <v>2.6731000000000001E-2</v>
      </c>
      <c r="F703">
        <v>2.3276000000000002E-2</v>
      </c>
      <c r="G703">
        <v>4.7190000000000001E-3</v>
      </c>
      <c r="H703">
        <v>-2.0379999999999999E-3</v>
      </c>
      <c r="I703">
        <v>1.4059999999999999E-3</v>
      </c>
      <c r="J703">
        <v>9.2440000000000005E-3</v>
      </c>
      <c r="K703">
        <v>-1.1174999999999999E-2</v>
      </c>
      <c r="L703">
        <v>8.7900000000000001E-4</v>
      </c>
      <c r="M703">
        <v>-6.4419999999999998E-3</v>
      </c>
      <c r="N703">
        <v>2.0827999999999999E-2</v>
      </c>
      <c r="O703">
        <v>6.1619999999999999E-3</v>
      </c>
      <c r="P703">
        <v>-3.0010000000000002E-3</v>
      </c>
      <c r="Q703">
        <v>-1.9421999999999998E-2</v>
      </c>
      <c r="R703">
        <v>-1.8489999999999999E-3</v>
      </c>
      <c r="S703">
        <v>3.2190000000000001E-3</v>
      </c>
      <c r="T703">
        <v>-1.8605E-2</v>
      </c>
      <c r="U703">
        <v>-1.9460000000000002E-2</v>
      </c>
      <c r="V703">
        <v>-1.8839000000000002E-2</v>
      </c>
      <c r="W703">
        <v>3.3199999999999999E-4</v>
      </c>
      <c r="X703">
        <v>3.4122E-2</v>
      </c>
      <c r="Y703">
        <v>-2.1308000000000001E-2</v>
      </c>
      <c r="Z703">
        <v>-2.3393000000000001E-2</v>
      </c>
      <c r="AA703">
        <v>-3.4491000000000001E-2</v>
      </c>
      <c r="AB703">
        <v>-2.183E-3</v>
      </c>
    </row>
    <row r="704" spans="1:28" x14ac:dyDescent="0.2">
      <c r="A704">
        <v>19900731</v>
      </c>
      <c r="B704">
        <v>1990</v>
      </c>
      <c r="C704">
        <v>7</v>
      </c>
      <c r="D704">
        <v>-4.6508000000000001E-2</v>
      </c>
      <c r="E704">
        <v>-5.0622E-2</v>
      </c>
      <c r="F704">
        <v>-3.0585000000000001E-2</v>
      </c>
      <c r="G704">
        <v>-3.1423E-2</v>
      </c>
      <c r="H704">
        <v>-4.5988000000000001E-2</v>
      </c>
      <c r="I704">
        <v>-5.2592E-2</v>
      </c>
      <c r="J704">
        <v>-4.4345999999999997E-2</v>
      </c>
      <c r="K704">
        <v>-4.4512999999999997E-2</v>
      </c>
      <c r="L704">
        <v>-2.3063E-2</v>
      </c>
      <c r="M704">
        <v>-4.1943000000000001E-2</v>
      </c>
      <c r="N704">
        <v>-4.4527999999999998E-2</v>
      </c>
      <c r="O704">
        <v>-1.6282999999999999E-2</v>
      </c>
      <c r="P704">
        <v>-3.4158000000000001E-2</v>
      </c>
      <c r="Q704">
        <v>-4.7101999999999998E-2</v>
      </c>
      <c r="R704">
        <v>-4.7772000000000002E-2</v>
      </c>
      <c r="S704">
        <v>-2.0781999999999998E-2</v>
      </c>
      <c r="T704">
        <v>-1.7982000000000001E-2</v>
      </c>
      <c r="U704">
        <v>-3.4776000000000001E-2</v>
      </c>
      <c r="V704">
        <v>-2.3533999999999999E-2</v>
      </c>
      <c r="W704">
        <v>-2.0197E-2</v>
      </c>
      <c r="X704">
        <v>-9.5560000000000003E-3</v>
      </c>
      <c r="Y704">
        <v>-1.2344000000000001E-2</v>
      </c>
      <c r="Z704">
        <v>2.2235999999999999E-2</v>
      </c>
      <c r="AA704">
        <v>-1.2977000000000001E-2</v>
      </c>
      <c r="AB704">
        <v>-2.0320999999999999E-2</v>
      </c>
    </row>
    <row r="705" spans="1:28" x14ac:dyDescent="0.2">
      <c r="A705">
        <v>19900831</v>
      </c>
      <c r="B705">
        <v>1990</v>
      </c>
      <c r="C705">
        <v>8</v>
      </c>
      <c r="D705">
        <v>-0.16622000000000001</v>
      </c>
      <c r="E705">
        <v>-0.143677</v>
      </c>
      <c r="F705">
        <v>-0.123506</v>
      </c>
      <c r="G705">
        <v>-0.111238</v>
      </c>
      <c r="H705">
        <v>-0.124072</v>
      </c>
      <c r="I705">
        <v>-0.14580799999999999</v>
      </c>
      <c r="J705">
        <v>-0.13656599999999999</v>
      </c>
      <c r="K705">
        <v>-0.123418</v>
      </c>
      <c r="L705">
        <v>-0.106755</v>
      </c>
      <c r="M705">
        <v>-0.113958</v>
      </c>
      <c r="N705">
        <v>-0.139294</v>
      </c>
      <c r="O705">
        <v>-0.13525200000000001</v>
      </c>
      <c r="P705">
        <v>-0.110876</v>
      </c>
      <c r="Q705">
        <v>-8.8579000000000005E-2</v>
      </c>
      <c r="R705">
        <v>-0.100935</v>
      </c>
      <c r="S705">
        <v>-9.8210000000000006E-2</v>
      </c>
      <c r="T705">
        <v>-0.115663</v>
      </c>
      <c r="U705">
        <v>-0.106055</v>
      </c>
      <c r="V705">
        <v>-9.1331999999999997E-2</v>
      </c>
      <c r="W705">
        <v>-0.100018</v>
      </c>
      <c r="X705">
        <v>-8.5609000000000005E-2</v>
      </c>
      <c r="Y705">
        <v>-0.10220899999999999</v>
      </c>
      <c r="Z705">
        <v>-6.5783999999999995E-2</v>
      </c>
      <c r="AA705">
        <v>-9.4690999999999997E-2</v>
      </c>
      <c r="AB705">
        <v>-0.105847</v>
      </c>
    </row>
    <row r="706" spans="1:28" x14ac:dyDescent="0.2">
      <c r="A706">
        <v>19900928</v>
      </c>
      <c r="B706">
        <v>1990</v>
      </c>
      <c r="C706">
        <v>9</v>
      </c>
      <c r="D706">
        <v>-0.106032</v>
      </c>
      <c r="E706">
        <v>-9.3729999999999994E-2</v>
      </c>
      <c r="F706">
        <v>-7.8129000000000004E-2</v>
      </c>
      <c r="G706">
        <v>-7.0386000000000004E-2</v>
      </c>
      <c r="H706">
        <v>-8.8079000000000005E-2</v>
      </c>
      <c r="I706">
        <v>-0.101674</v>
      </c>
      <c r="J706">
        <v>-9.6870999999999999E-2</v>
      </c>
      <c r="K706">
        <v>-8.5196999999999995E-2</v>
      </c>
      <c r="L706">
        <v>-6.8305000000000005E-2</v>
      </c>
      <c r="M706">
        <v>-7.8353999999999993E-2</v>
      </c>
      <c r="N706">
        <v>-9.3909999999999993E-2</v>
      </c>
      <c r="O706">
        <v>-6.9137000000000004E-2</v>
      </c>
      <c r="P706">
        <v>-6.5433000000000005E-2</v>
      </c>
      <c r="Q706">
        <v>-8.0440999999999999E-2</v>
      </c>
      <c r="R706">
        <v>-8.3556000000000005E-2</v>
      </c>
      <c r="S706">
        <v>-5.7785999999999997E-2</v>
      </c>
      <c r="T706">
        <v>-6.4710000000000004E-2</v>
      </c>
      <c r="U706">
        <v>-9.8635E-2</v>
      </c>
      <c r="V706">
        <v>-6.9380999999999998E-2</v>
      </c>
      <c r="W706">
        <v>-7.0147000000000001E-2</v>
      </c>
      <c r="X706">
        <v>-5.1428000000000001E-2</v>
      </c>
      <c r="Y706">
        <v>-5.2388999999999998E-2</v>
      </c>
      <c r="Z706">
        <v>-1.4312E-2</v>
      </c>
      <c r="AA706">
        <v>-6.6207000000000002E-2</v>
      </c>
      <c r="AB706">
        <v>-7.4121999999999993E-2</v>
      </c>
    </row>
    <row r="707" spans="1:28" x14ac:dyDescent="0.2">
      <c r="A707">
        <v>19901031</v>
      </c>
      <c r="B707">
        <v>1990</v>
      </c>
      <c r="C707">
        <v>10</v>
      </c>
      <c r="D707">
        <v>-6.4064999999999997E-2</v>
      </c>
      <c r="E707">
        <v>-6.0789000000000003E-2</v>
      </c>
      <c r="F707">
        <v>-6.6860000000000003E-2</v>
      </c>
      <c r="G707">
        <v>-5.5209000000000001E-2</v>
      </c>
      <c r="H707">
        <v>-7.2574E-2</v>
      </c>
      <c r="I707">
        <v>-6.3150999999999999E-2</v>
      </c>
      <c r="J707">
        <v>-5.4880999999999999E-2</v>
      </c>
      <c r="K707">
        <v>-4.2424000000000003E-2</v>
      </c>
      <c r="L707">
        <v>-4.3741000000000002E-2</v>
      </c>
      <c r="M707">
        <v>-7.5915999999999997E-2</v>
      </c>
      <c r="N707">
        <v>-4.7424000000000001E-2</v>
      </c>
      <c r="O707">
        <v>-4.9791000000000002E-2</v>
      </c>
      <c r="P707">
        <v>-4.0592999999999997E-2</v>
      </c>
      <c r="Q707">
        <v>-3.0691E-2</v>
      </c>
      <c r="R707">
        <v>-4.4455000000000001E-2</v>
      </c>
      <c r="S707">
        <v>-9.0670000000000004E-3</v>
      </c>
      <c r="T707">
        <v>-3.2337999999999999E-2</v>
      </c>
      <c r="U707">
        <v>-7.5063000000000005E-2</v>
      </c>
      <c r="V707">
        <v>-1.8734000000000001E-2</v>
      </c>
      <c r="W707">
        <v>-1.2626E-2</v>
      </c>
      <c r="X707">
        <v>1.6105000000000001E-2</v>
      </c>
      <c r="Y707">
        <v>-1.8343999999999999E-2</v>
      </c>
      <c r="Z707">
        <v>-9.3670000000000003E-3</v>
      </c>
      <c r="AA707">
        <v>7.4910000000000003E-3</v>
      </c>
      <c r="AB707">
        <v>9.417E-3</v>
      </c>
    </row>
    <row r="708" spans="1:28" x14ac:dyDescent="0.2">
      <c r="A708">
        <v>19901130</v>
      </c>
      <c r="B708">
        <v>1990</v>
      </c>
      <c r="C708">
        <v>11</v>
      </c>
      <c r="D708">
        <v>3.6554999999999997E-2</v>
      </c>
      <c r="E708">
        <v>4.7966000000000002E-2</v>
      </c>
      <c r="F708">
        <v>4.5400000000000003E-2</v>
      </c>
      <c r="G708">
        <v>2.4334999999999999E-2</v>
      </c>
      <c r="H708">
        <v>1.1825E-2</v>
      </c>
      <c r="I708">
        <v>0.12034599999999999</v>
      </c>
      <c r="J708">
        <v>5.8761000000000001E-2</v>
      </c>
      <c r="K708">
        <v>7.0095000000000005E-2</v>
      </c>
      <c r="L708">
        <v>6.9213999999999998E-2</v>
      </c>
      <c r="M708">
        <v>4.2327999999999998E-2</v>
      </c>
      <c r="N708">
        <v>0.11058999999999999</v>
      </c>
      <c r="O708">
        <v>9.5953999999999998E-2</v>
      </c>
      <c r="P708">
        <v>7.4203000000000005E-2</v>
      </c>
      <c r="Q708">
        <v>7.5601000000000002E-2</v>
      </c>
      <c r="R708">
        <v>7.6344999999999996E-2</v>
      </c>
      <c r="S708">
        <v>9.1952000000000006E-2</v>
      </c>
      <c r="T708">
        <v>8.0317E-2</v>
      </c>
      <c r="U708">
        <v>0.11143500000000001</v>
      </c>
      <c r="V708">
        <v>9.0917999999999999E-2</v>
      </c>
      <c r="W708">
        <v>6.0375999999999999E-2</v>
      </c>
      <c r="X708">
        <v>6.4343999999999998E-2</v>
      </c>
      <c r="Y708">
        <v>7.7235999999999999E-2</v>
      </c>
      <c r="Z708">
        <v>5.8333999999999997E-2</v>
      </c>
      <c r="AA708">
        <v>6.1279E-2</v>
      </c>
      <c r="AB708">
        <v>4.3463000000000002E-2</v>
      </c>
    </row>
    <row r="709" spans="1:28" x14ac:dyDescent="0.2">
      <c r="A709">
        <v>19901231</v>
      </c>
      <c r="B709">
        <v>1990</v>
      </c>
      <c r="C709">
        <v>12</v>
      </c>
      <c r="D709">
        <v>2.4489999999999998E-3</v>
      </c>
      <c r="E709">
        <v>-2.6919999999999999E-3</v>
      </c>
      <c r="F709">
        <v>5.4159999999999998E-3</v>
      </c>
      <c r="G709">
        <v>2.1364999999999999E-2</v>
      </c>
      <c r="H709">
        <v>9.2500000000000004E-4</v>
      </c>
      <c r="I709">
        <v>4.3296000000000001E-2</v>
      </c>
      <c r="J709">
        <v>5.3566999999999997E-2</v>
      </c>
      <c r="K709">
        <v>4.2799999999999998E-2</v>
      </c>
      <c r="L709">
        <v>4.1908000000000001E-2</v>
      </c>
      <c r="M709">
        <v>4.6144999999999999E-2</v>
      </c>
      <c r="N709">
        <v>6.6350000000000006E-2</v>
      </c>
      <c r="O709">
        <v>4.1287999999999998E-2</v>
      </c>
      <c r="P709">
        <v>3.8279000000000001E-2</v>
      </c>
      <c r="Q709">
        <v>3.6713999999999997E-2</v>
      </c>
      <c r="R709">
        <v>2.8924999999999999E-2</v>
      </c>
      <c r="S709">
        <v>4.0786999999999997E-2</v>
      </c>
      <c r="T709">
        <v>4.1128999999999999E-2</v>
      </c>
      <c r="U709">
        <v>4.5006999999999998E-2</v>
      </c>
      <c r="V709">
        <v>4.1902000000000002E-2</v>
      </c>
      <c r="W709">
        <v>3.6116000000000002E-2</v>
      </c>
      <c r="X709">
        <v>3.2416E-2</v>
      </c>
      <c r="Y709">
        <v>3.7837000000000003E-2</v>
      </c>
      <c r="Z709">
        <v>1.5956999999999999E-2</v>
      </c>
      <c r="AA709">
        <v>2.1989999999999999E-2</v>
      </c>
      <c r="AB709">
        <v>8.0579999999999992E-3</v>
      </c>
    </row>
    <row r="710" spans="1:28" x14ac:dyDescent="0.2">
      <c r="A710">
        <v>19910131</v>
      </c>
      <c r="B710">
        <v>1991</v>
      </c>
      <c r="C710">
        <v>1</v>
      </c>
      <c r="D710">
        <v>7.8223000000000001E-2</v>
      </c>
      <c r="E710">
        <v>7.1538000000000004E-2</v>
      </c>
      <c r="F710">
        <v>0.104057</v>
      </c>
      <c r="G710">
        <v>8.8312000000000002E-2</v>
      </c>
      <c r="H710">
        <v>0.110791</v>
      </c>
      <c r="I710">
        <v>0.102132</v>
      </c>
      <c r="J710">
        <v>6.8404999999999994E-2</v>
      </c>
      <c r="K710">
        <v>7.2706000000000007E-2</v>
      </c>
      <c r="L710">
        <v>6.5602999999999995E-2</v>
      </c>
      <c r="M710">
        <v>8.6245000000000002E-2</v>
      </c>
      <c r="N710">
        <v>9.4254000000000004E-2</v>
      </c>
      <c r="O710">
        <v>8.7079000000000004E-2</v>
      </c>
      <c r="P710">
        <v>6.6102999999999995E-2</v>
      </c>
      <c r="Q710">
        <v>8.0393999999999993E-2</v>
      </c>
      <c r="R710">
        <v>3.5770000000000003E-2</v>
      </c>
      <c r="S710">
        <v>8.4626000000000007E-2</v>
      </c>
      <c r="T710">
        <v>3.9209000000000001E-2</v>
      </c>
      <c r="U710">
        <v>8.5685999999999998E-2</v>
      </c>
      <c r="V710">
        <v>4.1444000000000002E-2</v>
      </c>
      <c r="W710">
        <v>5.3249999999999999E-2</v>
      </c>
      <c r="X710">
        <v>5.1725E-2</v>
      </c>
      <c r="Y710">
        <v>6.1071E-2</v>
      </c>
      <c r="Z710">
        <v>1.7239000000000001E-2</v>
      </c>
      <c r="AA710">
        <v>5.9152999999999997E-2</v>
      </c>
      <c r="AB710">
        <v>3.9606000000000002E-2</v>
      </c>
    </row>
    <row r="711" spans="1:28" x14ac:dyDescent="0.2">
      <c r="A711">
        <v>19910228</v>
      </c>
      <c r="B711">
        <v>1991</v>
      </c>
      <c r="C711">
        <v>2</v>
      </c>
      <c r="D711">
        <v>0.142041</v>
      </c>
      <c r="E711">
        <v>0.123241</v>
      </c>
      <c r="F711">
        <v>0.131748</v>
      </c>
      <c r="G711">
        <v>0.122229</v>
      </c>
      <c r="H711">
        <v>0.12139800000000001</v>
      </c>
      <c r="I711">
        <v>0.12024700000000001</v>
      </c>
      <c r="J711">
        <v>0.10363799999999999</v>
      </c>
      <c r="K711">
        <v>0.100298</v>
      </c>
      <c r="L711">
        <v>7.9333000000000001E-2</v>
      </c>
      <c r="M711">
        <v>0.13911100000000001</v>
      </c>
      <c r="N711">
        <v>9.3837000000000004E-2</v>
      </c>
      <c r="O711">
        <v>0.11372</v>
      </c>
      <c r="P711">
        <v>7.9282000000000005E-2</v>
      </c>
      <c r="Q711">
        <v>8.6415000000000006E-2</v>
      </c>
      <c r="R711">
        <v>8.5417999999999994E-2</v>
      </c>
      <c r="S711">
        <v>8.5497000000000004E-2</v>
      </c>
      <c r="T711">
        <v>9.2187000000000005E-2</v>
      </c>
      <c r="U711">
        <v>8.9389999999999997E-2</v>
      </c>
      <c r="V711">
        <v>7.8528000000000001E-2</v>
      </c>
      <c r="W711">
        <v>5.9178000000000001E-2</v>
      </c>
      <c r="X711">
        <v>8.0999000000000002E-2</v>
      </c>
      <c r="Y711">
        <v>6.9668999999999995E-2</v>
      </c>
      <c r="Z711">
        <v>5.1859000000000002E-2</v>
      </c>
      <c r="AA711">
        <v>6.1817999999999998E-2</v>
      </c>
      <c r="AB711">
        <v>7.9574000000000006E-2</v>
      </c>
    </row>
    <row r="712" spans="1:28" x14ac:dyDescent="0.2">
      <c r="A712">
        <v>19910328</v>
      </c>
      <c r="B712">
        <v>1991</v>
      </c>
      <c r="C712">
        <v>3</v>
      </c>
      <c r="D712">
        <v>0.10298</v>
      </c>
      <c r="E712">
        <v>8.5859000000000005E-2</v>
      </c>
      <c r="F712">
        <v>7.8461000000000003E-2</v>
      </c>
      <c r="G712">
        <v>6.2769000000000005E-2</v>
      </c>
      <c r="H712">
        <v>7.8356999999999996E-2</v>
      </c>
      <c r="I712">
        <v>7.7053999999999997E-2</v>
      </c>
      <c r="J712">
        <v>5.1402000000000003E-2</v>
      </c>
      <c r="K712">
        <v>5.4554999999999999E-2</v>
      </c>
      <c r="L712">
        <v>6.5423999999999996E-2</v>
      </c>
      <c r="M712">
        <v>6.5984000000000001E-2</v>
      </c>
      <c r="N712">
        <v>7.5885999999999995E-2</v>
      </c>
      <c r="O712">
        <v>2.5756999999999999E-2</v>
      </c>
      <c r="P712">
        <v>2.1221E-2</v>
      </c>
      <c r="Q712">
        <v>4.8730999999999997E-2</v>
      </c>
      <c r="R712">
        <v>5.9789000000000002E-2</v>
      </c>
      <c r="S712">
        <v>4.7144999999999999E-2</v>
      </c>
      <c r="T712">
        <v>3.9719999999999998E-2</v>
      </c>
      <c r="U712">
        <v>3.3111000000000002E-2</v>
      </c>
      <c r="V712">
        <v>3.9378000000000003E-2</v>
      </c>
      <c r="W712">
        <v>3.0043E-2</v>
      </c>
      <c r="X712">
        <v>4.5260000000000002E-2</v>
      </c>
      <c r="Y712">
        <v>1.8665000000000001E-2</v>
      </c>
      <c r="Z712">
        <v>2.0769999999999999E-3</v>
      </c>
      <c r="AA712">
        <v>1.7059000000000001E-2</v>
      </c>
      <c r="AB712">
        <v>1.1927E-2</v>
      </c>
    </row>
    <row r="713" spans="1:28" x14ac:dyDescent="0.2">
      <c r="A713">
        <v>19910430</v>
      </c>
      <c r="B713">
        <v>1991</v>
      </c>
      <c r="C713">
        <v>4</v>
      </c>
      <c r="D713">
        <v>1.1185E-2</v>
      </c>
      <c r="E713">
        <v>8.2830000000000004E-3</v>
      </c>
      <c r="F713">
        <v>1.2291E-2</v>
      </c>
      <c r="G713">
        <v>4.9370000000000004E-3</v>
      </c>
      <c r="H713">
        <v>5.6579999999999998E-3</v>
      </c>
      <c r="I713">
        <v>-1.4844E-2</v>
      </c>
      <c r="J713">
        <v>9.2449999999999997E-3</v>
      </c>
      <c r="K713">
        <v>8.8400000000000006E-3</v>
      </c>
      <c r="L713">
        <v>1.5193E-2</v>
      </c>
      <c r="M713">
        <v>1.4536E-2</v>
      </c>
      <c r="N713">
        <v>-2.6748999999999998E-2</v>
      </c>
      <c r="O713">
        <v>-8.6800000000000002E-3</v>
      </c>
      <c r="P713">
        <v>2.9794999999999999E-2</v>
      </c>
      <c r="Q713">
        <v>2.2914E-2</v>
      </c>
      <c r="R713">
        <v>1.704E-2</v>
      </c>
      <c r="S713">
        <v>-7.012E-3</v>
      </c>
      <c r="T713">
        <v>1.3630000000000001E-3</v>
      </c>
      <c r="U713">
        <v>3.9881E-2</v>
      </c>
      <c r="V713">
        <v>1.7950000000000001E-2</v>
      </c>
      <c r="W713">
        <v>-3.3029999999999999E-3</v>
      </c>
      <c r="X713">
        <v>2.9300000000000002E-4</v>
      </c>
      <c r="Y713">
        <v>2.9E-4</v>
      </c>
      <c r="Z713">
        <v>-2.6899999999999998E-4</v>
      </c>
      <c r="AA713">
        <v>1.3186E-2</v>
      </c>
      <c r="AB713">
        <v>-1.6410000000000001E-3</v>
      </c>
    </row>
    <row r="714" spans="1:28" x14ac:dyDescent="0.2">
      <c r="A714">
        <v>19910531</v>
      </c>
      <c r="B714">
        <v>1991</v>
      </c>
      <c r="C714">
        <v>5</v>
      </c>
      <c r="D714">
        <v>2.3466999999999998E-2</v>
      </c>
      <c r="E714">
        <v>4.2453999999999999E-2</v>
      </c>
      <c r="F714">
        <v>4.5545000000000002E-2</v>
      </c>
      <c r="G714">
        <v>3.2271000000000001E-2</v>
      </c>
      <c r="H714">
        <v>3.1237999999999998E-2</v>
      </c>
      <c r="I714">
        <v>5.5088999999999999E-2</v>
      </c>
      <c r="J714">
        <v>2.9198999999999999E-2</v>
      </c>
      <c r="K714">
        <v>5.5412999999999997E-2</v>
      </c>
      <c r="L714">
        <v>3.5882999999999998E-2</v>
      </c>
      <c r="M714">
        <v>3.6429000000000003E-2</v>
      </c>
      <c r="N714">
        <v>3.5886000000000001E-2</v>
      </c>
      <c r="O714">
        <v>6.7428000000000002E-2</v>
      </c>
      <c r="P714">
        <v>4.8263E-2</v>
      </c>
      <c r="Q714">
        <v>4.4724E-2</v>
      </c>
      <c r="R714">
        <v>1.9680000000000001E-3</v>
      </c>
      <c r="S714">
        <v>6.6350999999999993E-2</v>
      </c>
      <c r="T714">
        <v>2.7486E-2</v>
      </c>
      <c r="U714">
        <v>6.1144999999999998E-2</v>
      </c>
      <c r="V714">
        <v>4.2865E-2</v>
      </c>
      <c r="W714">
        <v>5.5081999999999999E-2</v>
      </c>
      <c r="X714">
        <v>3.9602999999999999E-2</v>
      </c>
      <c r="Y714">
        <v>5.1299999999999998E-2</v>
      </c>
      <c r="Z714">
        <v>1.6747000000000001E-2</v>
      </c>
      <c r="AA714">
        <v>3.9729E-2</v>
      </c>
      <c r="AB714">
        <v>6.9030999999999995E-2</v>
      </c>
    </row>
    <row r="715" spans="1:28" x14ac:dyDescent="0.2">
      <c r="A715">
        <v>19910628</v>
      </c>
      <c r="B715">
        <v>1991</v>
      </c>
      <c r="C715">
        <v>6</v>
      </c>
      <c r="D715">
        <v>-7.1724999999999997E-2</v>
      </c>
      <c r="E715">
        <v>-3.9176999999999997E-2</v>
      </c>
      <c r="F715">
        <v>-3.9178999999999999E-2</v>
      </c>
      <c r="G715">
        <v>-0.04</v>
      </c>
      <c r="H715">
        <v>-3.7708999999999999E-2</v>
      </c>
      <c r="I715">
        <v>-5.1117999999999997E-2</v>
      </c>
      <c r="J715">
        <v>-5.2330000000000002E-2</v>
      </c>
      <c r="K715">
        <v>-3.209E-2</v>
      </c>
      <c r="L715">
        <v>-2.9169E-2</v>
      </c>
      <c r="M715">
        <v>-5.6748E-2</v>
      </c>
      <c r="N715">
        <v>-4.8119000000000002E-2</v>
      </c>
      <c r="O715">
        <v>-4.3868999999999998E-2</v>
      </c>
      <c r="P715">
        <v>-3.4646000000000003E-2</v>
      </c>
      <c r="Q715">
        <v>-2.094E-2</v>
      </c>
      <c r="R715">
        <v>-4.9898999999999999E-2</v>
      </c>
      <c r="S715">
        <v>-5.2944999999999999E-2</v>
      </c>
      <c r="T715">
        <v>-4.4246000000000001E-2</v>
      </c>
      <c r="U715">
        <v>-5.7424999999999997E-2</v>
      </c>
      <c r="V715">
        <v>-3.2577000000000002E-2</v>
      </c>
      <c r="W715">
        <v>-3.4701000000000003E-2</v>
      </c>
      <c r="X715">
        <v>-4.3240000000000001E-2</v>
      </c>
      <c r="Y715">
        <v>-5.6952000000000003E-2</v>
      </c>
      <c r="Z715">
        <v>-3.7007999999999999E-2</v>
      </c>
      <c r="AA715">
        <v>-4.8475999999999998E-2</v>
      </c>
      <c r="AB715">
        <v>-3.9634999999999997E-2</v>
      </c>
    </row>
    <row r="716" spans="1:28" x14ac:dyDescent="0.2">
      <c r="A716">
        <v>19910731</v>
      </c>
      <c r="B716">
        <v>1991</v>
      </c>
      <c r="C716">
        <v>7</v>
      </c>
      <c r="D716">
        <v>2.5663999999999999E-2</v>
      </c>
      <c r="E716">
        <v>4.1288999999999999E-2</v>
      </c>
      <c r="F716">
        <v>2.2499999999999999E-2</v>
      </c>
      <c r="G716">
        <v>3.3849999999999998E-2</v>
      </c>
      <c r="H716">
        <v>2.5087000000000002E-2</v>
      </c>
      <c r="I716">
        <v>4.3011000000000001E-2</v>
      </c>
      <c r="J716">
        <v>3.4456000000000001E-2</v>
      </c>
      <c r="K716">
        <v>3.3897999999999998E-2</v>
      </c>
      <c r="L716">
        <v>3.7657000000000003E-2</v>
      </c>
      <c r="M716">
        <v>2.3987000000000001E-2</v>
      </c>
      <c r="N716">
        <v>6.0017000000000001E-2</v>
      </c>
      <c r="O716">
        <v>4.2384999999999999E-2</v>
      </c>
      <c r="P716">
        <v>4.1169999999999998E-2</v>
      </c>
      <c r="Q716">
        <v>3.1515000000000001E-2</v>
      </c>
      <c r="R716">
        <v>6.7145999999999997E-2</v>
      </c>
      <c r="S716">
        <v>5.9624999999999997E-2</v>
      </c>
      <c r="T716">
        <v>3.6429999999999997E-2</v>
      </c>
      <c r="U716">
        <v>2.453E-2</v>
      </c>
      <c r="V716">
        <v>4.9915000000000001E-2</v>
      </c>
      <c r="W716">
        <v>7.1372000000000005E-2</v>
      </c>
      <c r="X716">
        <v>6.3917000000000002E-2</v>
      </c>
      <c r="Y716">
        <v>3.0237E-2</v>
      </c>
      <c r="Z716">
        <v>4.8214E-2</v>
      </c>
      <c r="AA716">
        <v>4.9334000000000003E-2</v>
      </c>
      <c r="AB716">
        <v>-9.4970000000000002E-3</v>
      </c>
    </row>
    <row r="717" spans="1:28" x14ac:dyDescent="0.2">
      <c r="A717">
        <v>19910830</v>
      </c>
      <c r="B717">
        <v>1991</v>
      </c>
      <c r="C717">
        <v>8</v>
      </c>
      <c r="D717">
        <v>3.8425000000000001E-2</v>
      </c>
      <c r="E717">
        <v>4.2287999999999999E-2</v>
      </c>
      <c r="F717">
        <v>2.9693000000000001E-2</v>
      </c>
      <c r="G717">
        <v>1.4024999999999999E-2</v>
      </c>
      <c r="H717">
        <v>2.7407999999999998E-2</v>
      </c>
      <c r="I717">
        <v>4.0659000000000001E-2</v>
      </c>
      <c r="J717">
        <v>3.5961E-2</v>
      </c>
      <c r="K717">
        <v>3.5236999999999997E-2</v>
      </c>
      <c r="L717">
        <v>3.6079E-2</v>
      </c>
      <c r="M717">
        <v>2.9985000000000001E-2</v>
      </c>
      <c r="N717">
        <v>5.3903E-2</v>
      </c>
      <c r="O717">
        <v>4.0953000000000003E-2</v>
      </c>
      <c r="P717">
        <v>2.5818000000000001E-2</v>
      </c>
      <c r="Q717">
        <v>4.0533E-2</v>
      </c>
      <c r="R717">
        <v>5.9996000000000001E-2</v>
      </c>
      <c r="S717">
        <v>1.5287E-2</v>
      </c>
      <c r="T717">
        <v>2.7035E-2</v>
      </c>
      <c r="U717">
        <v>2.8042999999999998E-2</v>
      </c>
      <c r="V717">
        <v>3.2099999999999997E-2</v>
      </c>
      <c r="W717">
        <v>3.1384000000000002E-2</v>
      </c>
      <c r="X717">
        <v>4.3454E-2</v>
      </c>
      <c r="Y717">
        <v>5.5789999999999998E-3</v>
      </c>
      <c r="Z717">
        <v>2.8066000000000001E-2</v>
      </c>
      <c r="AA717">
        <v>1.3635E-2</v>
      </c>
      <c r="AB717">
        <v>1.5774E-2</v>
      </c>
    </row>
    <row r="718" spans="1:28" x14ac:dyDescent="0.2">
      <c r="A718">
        <v>19910930</v>
      </c>
      <c r="B718">
        <v>1991</v>
      </c>
      <c r="C718">
        <v>9</v>
      </c>
      <c r="D718">
        <v>4.2845000000000001E-2</v>
      </c>
      <c r="E718">
        <v>2.4771000000000001E-2</v>
      </c>
      <c r="F718">
        <v>4.6820000000000004E-3</v>
      </c>
      <c r="G718">
        <v>-1.8569999999999999E-3</v>
      </c>
      <c r="H718">
        <v>-1.223E-2</v>
      </c>
      <c r="I718">
        <v>5.3099999999999996E-3</v>
      </c>
      <c r="J718">
        <v>7.3629999999999998E-3</v>
      </c>
      <c r="K718">
        <v>2.0329E-2</v>
      </c>
      <c r="L718">
        <v>9.5390000000000006E-3</v>
      </c>
      <c r="M718">
        <v>-1.9810000000000001E-2</v>
      </c>
      <c r="N718">
        <v>-6.0400000000000004E-4</v>
      </c>
      <c r="O718">
        <v>-4.6730000000000001E-3</v>
      </c>
      <c r="P718">
        <v>-7.2119999999999997E-3</v>
      </c>
      <c r="Q718">
        <v>4.7039999999999998E-3</v>
      </c>
      <c r="R718">
        <v>-3.1029999999999999E-2</v>
      </c>
      <c r="S718">
        <v>-4.5859999999999998E-3</v>
      </c>
      <c r="T718">
        <v>-1.6553999999999999E-2</v>
      </c>
      <c r="U718">
        <v>-6.4869999999999997E-3</v>
      </c>
      <c r="V718">
        <v>3.77E-4</v>
      </c>
      <c r="W718">
        <v>-1.0699E-2</v>
      </c>
      <c r="X718">
        <v>-2.1264000000000002E-2</v>
      </c>
      <c r="Y718">
        <v>-1.1668E-2</v>
      </c>
      <c r="Z718">
        <v>-9.7890000000000008E-3</v>
      </c>
      <c r="AA718">
        <v>-1.7699999999999999E-4</v>
      </c>
      <c r="AB718">
        <v>-2.9432E-2</v>
      </c>
    </row>
    <row r="719" spans="1:28" x14ac:dyDescent="0.2">
      <c r="A719">
        <v>19911031</v>
      </c>
      <c r="B719">
        <v>1991</v>
      </c>
      <c r="C719">
        <v>10</v>
      </c>
      <c r="D719">
        <v>7.0819999999999994E-2</v>
      </c>
      <c r="E719">
        <v>4.1088E-2</v>
      </c>
      <c r="F719">
        <v>1.5712E-2</v>
      </c>
      <c r="G719">
        <v>3.8307000000000001E-2</v>
      </c>
      <c r="H719">
        <v>1.4073E-2</v>
      </c>
      <c r="I719">
        <v>2.4490999999999999E-2</v>
      </c>
      <c r="J719">
        <v>1.286E-2</v>
      </c>
      <c r="K719">
        <v>3.1392000000000003E-2</v>
      </c>
      <c r="L719">
        <v>6.9160000000000003E-3</v>
      </c>
      <c r="M719">
        <v>1.4142999999999999E-2</v>
      </c>
      <c r="N719">
        <v>2.8563999999999999E-2</v>
      </c>
      <c r="O719">
        <v>1.2632000000000001E-2</v>
      </c>
      <c r="P719">
        <v>1.2798E-2</v>
      </c>
      <c r="Q719">
        <v>2.7813000000000001E-2</v>
      </c>
      <c r="R719">
        <v>3.8730000000000001E-2</v>
      </c>
      <c r="S719">
        <v>2.5274999999999999E-2</v>
      </c>
      <c r="T719">
        <v>3.9750000000000002E-3</v>
      </c>
      <c r="U719">
        <v>1.4520999999999999E-2</v>
      </c>
      <c r="V719">
        <v>2.759E-2</v>
      </c>
      <c r="W719">
        <v>3.4507999999999997E-2</v>
      </c>
      <c r="X719">
        <v>1.4121999999999999E-2</v>
      </c>
      <c r="Y719">
        <v>9.5770000000000004E-3</v>
      </c>
      <c r="Z719">
        <v>1.9997000000000001E-2</v>
      </c>
      <c r="AA719">
        <v>2.878E-2</v>
      </c>
      <c r="AB719">
        <v>1.2661E-2</v>
      </c>
    </row>
    <row r="720" spans="1:28" x14ac:dyDescent="0.2">
      <c r="A720">
        <v>19911129</v>
      </c>
      <c r="B720">
        <v>1991</v>
      </c>
      <c r="C720">
        <v>11</v>
      </c>
      <c r="D720">
        <v>-1.7850999999999999E-2</v>
      </c>
      <c r="E720">
        <v>-3.7404E-2</v>
      </c>
      <c r="F720">
        <v>-4.5182E-2</v>
      </c>
      <c r="G720">
        <v>-2.9093000000000001E-2</v>
      </c>
      <c r="H720">
        <v>-2.9360000000000001E-2</v>
      </c>
      <c r="I720">
        <v>-5.0212E-2</v>
      </c>
      <c r="J720">
        <v>-5.203E-2</v>
      </c>
      <c r="K720">
        <v>-2.8223000000000002E-2</v>
      </c>
      <c r="L720">
        <v>-5.2317000000000002E-2</v>
      </c>
      <c r="M720">
        <v>-6.4901E-2</v>
      </c>
      <c r="N720">
        <v>-3.3319000000000001E-2</v>
      </c>
      <c r="O720">
        <v>-4.5976999999999997E-2</v>
      </c>
      <c r="P720">
        <v>-4.0357999999999998E-2</v>
      </c>
      <c r="Q720">
        <v>-4.7065999999999997E-2</v>
      </c>
      <c r="R720">
        <v>-5.9070999999999999E-2</v>
      </c>
      <c r="S720">
        <v>-2.3625E-2</v>
      </c>
      <c r="T720">
        <v>-4.9051999999999998E-2</v>
      </c>
      <c r="U720">
        <v>-3.6389999999999999E-2</v>
      </c>
      <c r="V720">
        <v>-3.1005999999999999E-2</v>
      </c>
      <c r="W720">
        <v>-6.2633999999999995E-2</v>
      </c>
      <c r="X720">
        <v>-1.2297000000000001E-2</v>
      </c>
      <c r="Y720">
        <v>-5.4745000000000002E-2</v>
      </c>
      <c r="Z720">
        <v>-5.5105000000000001E-2</v>
      </c>
      <c r="AA720">
        <v>-3.5430000000000003E-2</v>
      </c>
      <c r="AB720">
        <v>-9.2917E-2</v>
      </c>
    </row>
    <row r="721" spans="1:28" x14ac:dyDescent="0.2">
      <c r="A721">
        <v>19911231</v>
      </c>
      <c r="B721">
        <v>1991</v>
      </c>
      <c r="C721">
        <v>12</v>
      </c>
      <c r="D721">
        <v>6.2710000000000002E-2</v>
      </c>
      <c r="E721">
        <v>4.1464000000000001E-2</v>
      </c>
      <c r="F721">
        <v>5.5898999999999997E-2</v>
      </c>
      <c r="G721">
        <v>4.1341999999999997E-2</v>
      </c>
      <c r="H721">
        <v>4.8779999999999997E-2</v>
      </c>
      <c r="I721">
        <v>0.113131</v>
      </c>
      <c r="J721">
        <v>7.0634000000000002E-2</v>
      </c>
      <c r="K721">
        <v>5.5856000000000003E-2</v>
      </c>
      <c r="L721">
        <v>5.9813999999999999E-2</v>
      </c>
      <c r="M721">
        <v>8.0575999999999995E-2</v>
      </c>
      <c r="N721">
        <v>0.144209</v>
      </c>
      <c r="O721">
        <v>0.108601</v>
      </c>
      <c r="P721">
        <v>7.2153999999999996E-2</v>
      </c>
      <c r="Q721">
        <v>9.8890000000000006E-2</v>
      </c>
      <c r="R721">
        <v>0.112915</v>
      </c>
      <c r="S721">
        <v>0.13281299999999999</v>
      </c>
      <c r="T721">
        <v>9.042E-2</v>
      </c>
      <c r="U721">
        <v>9.4561000000000006E-2</v>
      </c>
      <c r="V721">
        <v>8.6562E-2</v>
      </c>
      <c r="W721">
        <v>0.110081</v>
      </c>
      <c r="X721">
        <v>0.153559</v>
      </c>
      <c r="Y721">
        <v>8.8815000000000005E-2</v>
      </c>
      <c r="Z721">
        <v>8.2931000000000005E-2</v>
      </c>
      <c r="AA721">
        <v>6.8083000000000005E-2</v>
      </c>
      <c r="AB721">
        <v>0.143233</v>
      </c>
    </row>
    <row r="722" spans="1:28" x14ac:dyDescent="0.2">
      <c r="A722">
        <v>19920131</v>
      </c>
      <c r="B722">
        <v>1992</v>
      </c>
      <c r="C722">
        <v>1</v>
      </c>
      <c r="D722">
        <v>0.14505399999999999</v>
      </c>
      <c r="E722">
        <v>0.16158900000000001</v>
      </c>
      <c r="F722">
        <v>8.4462999999999996E-2</v>
      </c>
      <c r="G722">
        <v>0.141018</v>
      </c>
      <c r="H722">
        <v>0.16380500000000001</v>
      </c>
      <c r="I722">
        <v>8.3206000000000002E-2</v>
      </c>
      <c r="J722">
        <v>4.6507E-2</v>
      </c>
      <c r="K722">
        <v>6.2720999999999999E-2</v>
      </c>
      <c r="L722">
        <v>7.4622999999999995E-2</v>
      </c>
      <c r="M722">
        <v>9.844E-2</v>
      </c>
      <c r="N722">
        <v>1.5358E-2</v>
      </c>
      <c r="O722">
        <v>4.3986999999999998E-2</v>
      </c>
      <c r="P722">
        <v>5.0534999999999997E-2</v>
      </c>
      <c r="Q722">
        <v>5.7067E-2</v>
      </c>
      <c r="R722">
        <v>9.2987E-2</v>
      </c>
      <c r="S722">
        <v>-5.2499999999999997E-4</v>
      </c>
      <c r="T722">
        <v>2.2821999999999999E-2</v>
      </c>
      <c r="U722">
        <v>1.1075E-2</v>
      </c>
      <c r="V722">
        <v>5.6680000000000003E-3</v>
      </c>
      <c r="W722">
        <v>6.2949000000000005E-2</v>
      </c>
      <c r="X722">
        <v>-3.1827000000000001E-2</v>
      </c>
      <c r="Y722">
        <v>-2.0947E-2</v>
      </c>
      <c r="Z722">
        <v>-2.5034000000000001E-2</v>
      </c>
      <c r="AA722">
        <v>2.3869999999999998E-3</v>
      </c>
      <c r="AB722">
        <v>6.4338999999999993E-2</v>
      </c>
    </row>
    <row r="723" spans="1:28" x14ac:dyDescent="0.2">
      <c r="A723">
        <v>19920228</v>
      </c>
      <c r="B723">
        <v>1992</v>
      </c>
      <c r="C723">
        <v>2</v>
      </c>
      <c r="D723">
        <v>-7.5299999999999998E-4</v>
      </c>
      <c r="E723">
        <v>5.5225000000000003E-2</v>
      </c>
      <c r="F723">
        <v>2.8896000000000002E-2</v>
      </c>
      <c r="G723">
        <v>5.0194000000000003E-2</v>
      </c>
      <c r="H723">
        <v>9.8871000000000001E-2</v>
      </c>
      <c r="I723">
        <v>4.0689999999999997E-3</v>
      </c>
      <c r="J723">
        <v>2.7803000000000001E-2</v>
      </c>
      <c r="K723">
        <v>1.6473000000000002E-2</v>
      </c>
      <c r="L723">
        <v>4.6574999999999998E-2</v>
      </c>
      <c r="M723">
        <v>5.9602000000000002E-2</v>
      </c>
      <c r="N723">
        <v>2.3419999999999999E-3</v>
      </c>
      <c r="O723">
        <v>2.0589E-2</v>
      </c>
      <c r="P723">
        <v>3.8796999999999998E-2</v>
      </c>
      <c r="Q723">
        <v>2.843E-2</v>
      </c>
      <c r="R723">
        <v>8.3405999999999994E-2</v>
      </c>
      <c r="S723">
        <v>-4.9659999999999999E-3</v>
      </c>
      <c r="T723">
        <v>3.0072000000000002E-2</v>
      </c>
      <c r="U723">
        <v>2.7279000000000001E-2</v>
      </c>
      <c r="V723">
        <v>2.2391000000000001E-2</v>
      </c>
      <c r="W723">
        <v>4.9001000000000003E-2</v>
      </c>
      <c r="X723">
        <v>1.8270000000000001E-3</v>
      </c>
      <c r="Y723">
        <v>-4.3629999999999997E-3</v>
      </c>
      <c r="Z723">
        <v>1.9241000000000001E-2</v>
      </c>
      <c r="AA723">
        <v>4.2442000000000001E-2</v>
      </c>
      <c r="AB723">
        <v>0.108584</v>
      </c>
    </row>
    <row r="724" spans="1:28" x14ac:dyDescent="0.2">
      <c r="A724">
        <v>19920331</v>
      </c>
      <c r="B724">
        <v>1992</v>
      </c>
      <c r="C724">
        <v>3</v>
      </c>
      <c r="D724">
        <v>-6.6959000000000005E-2</v>
      </c>
      <c r="E724">
        <v>-5.6049000000000002E-2</v>
      </c>
      <c r="F724">
        <v>-2.4171000000000002E-2</v>
      </c>
      <c r="G724">
        <v>3.8649999999999999E-3</v>
      </c>
      <c r="H724">
        <v>-1.201E-2</v>
      </c>
      <c r="I724">
        <v>-8.4689E-2</v>
      </c>
      <c r="J724">
        <v>-2.0851999999999999E-2</v>
      </c>
      <c r="K724">
        <v>-1.6579E-2</v>
      </c>
      <c r="L724">
        <v>-4.5830000000000003E-3</v>
      </c>
      <c r="M724">
        <v>-1.1239000000000001E-2</v>
      </c>
      <c r="N724">
        <v>-5.2388999999999998E-2</v>
      </c>
      <c r="O724">
        <v>-2.2006000000000001E-2</v>
      </c>
      <c r="P724">
        <v>-3.7569999999999999E-3</v>
      </c>
      <c r="Q724">
        <v>2.9999999999999997E-4</v>
      </c>
      <c r="R724">
        <v>-1.5630000000000002E-2</v>
      </c>
      <c r="S724">
        <v>-5.7898999999999999E-2</v>
      </c>
      <c r="T724">
        <v>-1.0614E-2</v>
      </c>
      <c r="U724">
        <v>-2.5825000000000001E-2</v>
      </c>
      <c r="V724">
        <v>-9.0609999999999996E-3</v>
      </c>
      <c r="W724">
        <v>-2.2911000000000001E-2</v>
      </c>
      <c r="X724">
        <v>-2.794E-2</v>
      </c>
      <c r="Y724">
        <v>-1.7874999999999999E-2</v>
      </c>
      <c r="Z724">
        <v>2.2409999999999999E-3</v>
      </c>
      <c r="AA724">
        <v>-1.4378999999999999E-2</v>
      </c>
      <c r="AB724">
        <v>7.0850000000000002E-3</v>
      </c>
    </row>
    <row r="725" spans="1:28" x14ac:dyDescent="0.2">
      <c r="A725">
        <v>19920430</v>
      </c>
      <c r="B725">
        <v>1992</v>
      </c>
      <c r="C725">
        <v>4</v>
      </c>
      <c r="D725">
        <v>-0.101339</v>
      </c>
      <c r="E725">
        <v>-3.5275000000000001E-2</v>
      </c>
      <c r="F725">
        <v>-4.8112000000000002E-2</v>
      </c>
      <c r="G725">
        <v>-3.9285E-2</v>
      </c>
      <c r="H725">
        <v>-2.9689E-2</v>
      </c>
      <c r="I725">
        <v>-6.2884999999999996E-2</v>
      </c>
      <c r="J725">
        <v>-3.3748E-2</v>
      </c>
      <c r="K725">
        <v>-2.7494000000000001E-2</v>
      </c>
      <c r="L725">
        <v>-2.1930999999999999E-2</v>
      </c>
      <c r="M725">
        <v>-3.32E-3</v>
      </c>
      <c r="N725">
        <v>-5.6730000000000003E-2</v>
      </c>
      <c r="O725">
        <v>-1.7901E-2</v>
      </c>
      <c r="P725">
        <v>-1.057E-2</v>
      </c>
      <c r="Q725">
        <v>4.0790000000000002E-3</v>
      </c>
      <c r="R725">
        <v>2.7479E-2</v>
      </c>
      <c r="S725">
        <v>-1.9210999999999999E-2</v>
      </c>
      <c r="T725">
        <v>6.182E-3</v>
      </c>
      <c r="U725">
        <v>1.7128999999999998E-2</v>
      </c>
      <c r="V725">
        <v>3.6443000000000003E-2</v>
      </c>
      <c r="W725">
        <v>3.9189000000000002E-2</v>
      </c>
      <c r="X725">
        <v>-1.1000000000000001E-3</v>
      </c>
      <c r="Y725">
        <v>5.4848000000000001E-2</v>
      </c>
      <c r="Z725">
        <v>5.5763E-2</v>
      </c>
      <c r="AA725">
        <v>2.7538E-2</v>
      </c>
      <c r="AB725">
        <v>0.101656</v>
      </c>
    </row>
    <row r="726" spans="1:28" x14ac:dyDescent="0.2">
      <c r="A726">
        <v>19920529</v>
      </c>
      <c r="B726">
        <v>1992</v>
      </c>
      <c r="C726">
        <v>5</v>
      </c>
      <c r="D726">
        <v>-1.5278999999999999E-2</v>
      </c>
      <c r="E726">
        <v>2.8530000000000001E-3</v>
      </c>
      <c r="F726">
        <v>-2.7099999999999997E-4</v>
      </c>
      <c r="G726">
        <v>-1.4038999999999999E-2</v>
      </c>
      <c r="H726">
        <v>1.8037000000000001E-2</v>
      </c>
      <c r="I726">
        <v>-3.6029999999999999E-3</v>
      </c>
      <c r="J726">
        <v>4.8149999999999998E-3</v>
      </c>
      <c r="K726">
        <v>1.6057999999999999E-2</v>
      </c>
      <c r="L726">
        <v>1.0092E-2</v>
      </c>
      <c r="M726">
        <v>4.1667999999999997E-2</v>
      </c>
      <c r="N726">
        <v>3.1E-4</v>
      </c>
      <c r="O726">
        <v>-7.6470000000000002E-3</v>
      </c>
      <c r="P726">
        <v>1.9615E-2</v>
      </c>
      <c r="Q726">
        <v>6.9100000000000003E-3</v>
      </c>
      <c r="R726">
        <v>3.7834E-2</v>
      </c>
      <c r="S726">
        <v>8.4000000000000003E-4</v>
      </c>
      <c r="T726">
        <v>1.1583E-2</v>
      </c>
      <c r="U726">
        <v>1.5070999999999999E-2</v>
      </c>
      <c r="V726">
        <v>7.2610000000000001E-3</v>
      </c>
      <c r="W726">
        <v>-4.0000000000000003E-5</v>
      </c>
      <c r="X726">
        <v>1.1801000000000001E-2</v>
      </c>
      <c r="Y726">
        <v>3.457E-3</v>
      </c>
      <c r="Z726">
        <v>-5.1000000000000004E-4</v>
      </c>
      <c r="AA726">
        <v>2.2309999999999999E-3</v>
      </c>
      <c r="AB726">
        <v>-2.6410000000000001E-3</v>
      </c>
    </row>
    <row r="727" spans="1:28" x14ac:dyDescent="0.2">
      <c r="A727">
        <v>19920630</v>
      </c>
      <c r="B727">
        <v>1992</v>
      </c>
      <c r="C727">
        <v>6</v>
      </c>
      <c r="D727">
        <v>-9.1866000000000003E-2</v>
      </c>
      <c r="E727">
        <v>-5.2509E-2</v>
      </c>
      <c r="F727">
        <v>-5.2782999999999997E-2</v>
      </c>
      <c r="G727">
        <v>-5.0756999999999997E-2</v>
      </c>
      <c r="H727">
        <v>-4.2539E-2</v>
      </c>
      <c r="I727">
        <v>-5.4616999999999999E-2</v>
      </c>
      <c r="J727">
        <v>-5.6842999999999998E-2</v>
      </c>
      <c r="K727">
        <v>-2.4656999999999998E-2</v>
      </c>
      <c r="L727">
        <v>-3.2119000000000002E-2</v>
      </c>
      <c r="M727">
        <v>-1.1129999999999999E-2</v>
      </c>
      <c r="N727">
        <v>-4.8508999999999997E-2</v>
      </c>
      <c r="O727">
        <v>-3.6880000000000003E-2</v>
      </c>
      <c r="P727">
        <v>-2.4205999999999998E-2</v>
      </c>
      <c r="Q727">
        <v>-1.4397999999999999E-2</v>
      </c>
      <c r="R727">
        <v>-4.0260000000000001E-3</v>
      </c>
      <c r="S727">
        <v>-1.9199999999999998E-2</v>
      </c>
      <c r="T727">
        <v>-4.3700000000000003E-2</v>
      </c>
      <c r="U727">
        <v>-1.3795E-2</v>
      </c>
      <c r="V727">
        <v>2.751E-3</v>
      </c>
      <c r="W727">
        <v>-1.0486000000000001E-2</v>
      </c>
      <c r="X727">
        <v>-3.0995000000000002E-2</v>
      </c>
      <c r="Y727">
        <v>1.364E-3</v>
      </c>
      <c r="Z727">
        <v>-2.2331E-2</v>
      </c>
      <c r="AA727">
        <v>-2.552E-3</v>
      </c>
      <c r="AB727">
        <v>2.9685E-2</v>
      </c>
    </row>
    <row r="728" spans="1:28" x14ac:dyDescent="0.2">
      <c r="A728">
        <v>19920731</v>
      </c>
      <c r="B728">
        <v>1992</v>
      </c>
      <c r="C728">
        <v>7</v>
      </c>
      <c r="D728">
        <v>9.0629999999999999E-3</v>
      </c>
      <c r="E728">
        <v>9.1140000000000006E-3</v>
      </c>
      <c r="F728">
        <v>1.9054000000000001E-2</v>
      </c>
      <c r="G728">
        <v>2.5027000000000001E-2</v>
      </c>
      <c r="H728">
        <v>2.8410999999999999E-2</v>
      </c>
      <c r="I728">
        <v>2.6734000000000001E-2</v>
      </c>
      <c r="J728">
        <v>4.0932999999999997E-2</v>
      </c>
      <c r="K728">
        <v>3.0700999999999999E-2</v>
      </c>
      <c r="L728">
        <v>4.4614000000000001E-2</v>
      </c>
      <c r="M728">
        <v>3.3055000000000001E-2</v>
      </c>
      <c r="N728">
        <v>5.4650999999999998E-2</v>
      </c>
      <c r="O728">
        <v>4.6887999999999999E-2</v>
      </c>
      <c r="P728">
        <v>3.9409E-2</v>
      </c>
      <c r="Q728">
        <v>4.8774999999999999E-2</v>
      </c>
      <c r="R728">
        <v>3.9119000000000001E-2</v>
      </c>
      <c r="S728">
        <v>5.1306999999999998E-2</v>
      </c>
      <c r="T728">
        <v>4.1085000000000003E-2</v>
      </c>
      <c r="U728">
        <v>3.6614000000000001E-2</v>
      </c>
      <c r="V728">
        <v>4.3827999999999999E-2</v>
      </c>
      <c r="W728">
        <v>2.3338000000000001E-2</v>
      </c>
      <c r="X728">
        <v>4.9267999999999999E-2</v>
      </c>
      <c r="Y728">
        <v>3.6339999999999997E-2</v>
      </c>
      <c r="Z728">
        <v>4.8041E-2</v>
      </c>
      <c r="AA728">
        <v>3.2282999999999999E-2</v>
      </c>
      <c r="AB728">
        <v>-3.2520000000000001E-3</v>
      </c>
    </row>
    <row r="729" spans="1:28" x14ac:dyDescent="0.2">
      <c r="A729">
        <v>19920831</v>
      </c>
      <c r="B729">
        <v>1992</v>
      </c>
      <c r="C729">
        <v>8</v>
      </c>
      <c r="D729">
        <v>-4.6640000000000001E-2</v>
      </c>
      <c r="E729">
        <v>-2.9626E-2</v>
      </c>
      <c r="F729">
        <v>-1.7599E-2</v>
      </c>
      <c r="G729">
        <v>-2.0317999999999999E-2</v>
      </c>
      <c r="H729">
        <v>-3.1701E-2</v>
      </c>
      <c r="I729">
        <v>-4.2303E-2</v>
      </c>
      <c r="J729">
        <v>-3.4698E-2</v>
      </c>
      <c r="K729">
        <v>-3.0330000000000001E-3</v>
      </c>
      <c r="L729">
        <v>-4.437E-3</v>
      </c>
      <c r="M729">
        <v>-3.6641E-2</v>
      </c>
      <c r="N729">
        <v>-3.9148000000000002E-2</v>
      </c>
      <c r="O729">
        <v>-1.9762999999999999E-2</v>
      </c>
      <c r="P729">
        <v>-2.2723E-2</v>
      </c>
      <c r="Q729">
        <v>-1.3237000000000001E-2</v>
      </c>
      <c r="R729">
        <v>-3.1830999999999998E-2</v>
      </c>
      <c r="S729">
        <v>-1.3096E-2</v>
      </c>
      <c r="T729">
        <v>-2.5249000000000001E-2</v>
      </c>
      <c r="U729">
        <v>-2.2787000000000002E-2</v>
      </c>
      <c r="V729">
        <v>-1.3956E-2</v>
      </c>
      <c r="W729">
        <v>-4.7120000000000002E-2</v>
      </c>
      <c r="X729">
        <v>-6.0309999999999999E-3</v>
      </c>
      <c r="Y729">
        <v>-3.0956000000000001E-2</v>
      </c>
      <c r="Z729">
        <v>-6.4409999999999997E-3</v>
      </c>
      <c r="AA729">
        <v>-3.6755999999999997E-2</v>
      </c>
      <c r="AB729">
        <v>-8.8068999999999995E-2</v>
      </c>
    </row>
    <row r="730" spans="1:28" x14ac:dyDescent="0.2">
      <c r="A730">
        <v>19920930</v>
      </c>
      <c r="B730">
        <v>1992</v>
      </c>
      <c r="C730">
        <v>9</v>
      </c>
      <c r="D730">
        <v>3.3379999999999998E-3</v>
      </c>
      <c r="E730">
        <v>1.7058E-2</v>
      </c>
      <c r="F730">
        <v>1.6513E-2</v>
      </c>
      <c r="G730">
        <v>2.1101000000000002E-2</v>
      </c>
      <c r="H730">
        <v>9.7710000000000002E-3</v>
      </c>
      <c r="I730">
        <v>1.9571000000000002E-2</v>
      </c>
      <c r="J730">
        <v>1.5653E-2</v>
      </c>
      <c r="K730">
        <v>3.7152999999999999E-2</v>
      </c>
      <c r="L730">
        <v>2.1610999999999998E-2</v>
      </c>
      <c r="M730">
        <v>2.2474000000000001E-2</v>
      </c>
      <c r="N730">
        <v>2.7806000000000001E-2</v>
      </c>
      <c r="O730">
        <v>2.9054E-2</v>
      </c>
      <c r="P730">
        <v>1.9449999999999999E-2</v>
      </c>
      <c r="Q730">
        <v>3.6229999999999999E-3</v>
      </c>
      <c r="R730">
        <v>1.7389999999999999E-2</v>
      </c>
      <c r="S730">
        <v>4.6379999999999998E-3</v>
      </c>
      <c r="T730">
        <v>3.3827999999999997E-2</v>
      </c>
      <c r="U730">
        <v>1.7493000000000002E-2</v>
      </c>
      <c r="V730">
        <v>1.0744E-2</v>
      </c>
      <c r="W730">
        <v>4.3410000000000002E-3</v>
      </c>
      <c r="X730">
        <v>7.3309999999999998E-3</v>
      </c>
      <c r="Y730">
        <v>3.4313999999999997E-2</v>
      </c>
      <c r="Z730">
        <v>8.6540000000000002E-3</v>
      </c>
      <c r="AA730">
        <v>6.8599999999999998E-4</v>
      </c>
      <c r="AB730">
        <v>2.032E-3</v>
      </c>
    </row>
    <row r="731" spans="1:28" x14ac:dyDescent="0.2">
      <c r="A731">
        <v>19921030</v>
      </c>
      <c r="B731">
        <v>1992</v>
      </c>
      <c r="C731">
        <v>10</v>
      </c>
      <c r="D731">
        <v>2.6245000000000001E-2</v>
      </c>
      <c r="E731">
        <v>1.7645000000000001E-2</v>
      </c>
      <c r="F731">
        <v>2.7754000000000001E-2</v>
      </c>
      <c r="G731">
        <v>2.2522E-2</v>
      </c>
      <c r="H731">
        <v>1.2283000000000001E-2</v>
      </c>
      <c r="I731">
        <v>4.7940999999999998E-2</v>
      </c>
      <c r="J731">
        <v>3.9655000000000003E-2</v>
      </c>
      <c r="K731">
        <v>2.5229999999999999E-2</v>
      </c>
      <c r="L731">
        <v>1.2658000000000001E-2</v>
      </c>
      <c r="M731">
        <v>2.5824E-2</v>
      </c>
      <c r="N731">
        <v>5.9534999999999998E-2</v>
      </c>
      <c r="O731">
        <v>3.5374000000000003E-2</v>
      </c>
      <c r="P731">
        <v>1.8275E-2</v>
      </c>
      <c r="Q731">
        <v>2.3251000000000001E-2</v>
      </c>
      <c r="R731">
        <v>1.2534E-2</v>
      </c>
      <c r="S731">
        <v>4.9173000000000001E-2</v>
      </c>
      <c r="T731">
        <v>7.2500000000000004E-3</v>
      </c>
      <c r="U731">
        <v>1.0321E-2</v>
      </c>
      <c r="V731">
        <v>2.0976999999999999E-2</v>
      </c>
      <c r="W731">
        <v>4.8941999999999999E-2</v>
      </c>
      <c r="X731">
        <v>2.0320999999999999E-2</v>
      </c>
      <c r="Y731">
        <v>1.5197E-2</v>
      </c>
      <c r="Z731">
        <v>-1.7021000000000001E-2</v>
      </c>
      <c r="AA731">
        <v>-1.9155999999999999E-2</v>
      </c>
      <c r="AB731">
        <v>-1.3680000000000001E-3</v>
      </c>
    </row>
    <row r="732" spans="1:28" x14ac:dyDescent="0.2">
      <c r="A732">
        <v>19921130</v>
      </c>
      <c r="B732">
        <v>1992</v>
      </c>
      <c r="C732">
        <v>11</v>
      </c>
      <c r="D732">
        <v>0.105014</v>
      </c>
      <c r="E732">
        <v>0.10476199999999999</v>
      </c>
      <c r="F732">
        <v>7.6894000000000004E-2</v>
      </c>
      <c r="G732">
        <v>8.5887000000000005E-2</v>
      </c>
      <c r="H732">
        <v>7.7853000000000006E-2</v>
      </c>
      <c r="I732">
        <v>9.4436000000000006E-2</v>
      </c>
      <c r="J732">
        <v>8.14E-2</v>
      </c>
      <c r="K732">
        <v>6.5777000000000002E-2</v>
      </c>
      <c r="L732">
        <v>4.4775000000000002E-2</v>
      </c>
      <c r="M732">
        <v>6.7131999999999997E-2</v>
      </c>
      <c r="N732">
        <v>9.7711000000000006E-2</v>
      </c>
      <c r="O732">
        <v>6.7739999999999995E-2</v>
      </c>
      <c r="P732">
        <v>6.1719999999999997E-2</v>
      </c>
      <c r="Q732">
        <v>5.0056000000000003E-2</v>
      </c>
      <c r="R732">
        <v>4.4891E-2</v>
      </c>
      <c r="S732">
        <v>6.9874000000000006E-2</v>
      </c>
      <c r="T732">
        <v>5.0074E-2</v>
      </c>
      <c r="U732">
        <v>4.0946000000000003E-2</v>
      </c>
      <c r="V732">
        <v>2.7958E-2</v>
      </c>
      <c r="W732">
        <v>4.0613999999999997E-2</v>
      </c>
      <c r="X732">
        <v>3.7026000000000003E-2</v>
      </c>
      <c r="Y732">
        <v>4.9118000000000002E-2</v>
      </c>
      <c r="Z732">
        <v>6.8360000000000001E-3</v>
      </c>
      <c r="AA732">
        <v>3.1057000000000001E-2</v>
      </c>
      <c r="AB732">
        <v>8.5218000000000002E-2</v>
      </c>
    </row>
    <row r="733" spans="1:28" x14ac:dyDescent="0.2">
      <c r="A733">
        <v>19921231</v>
      </c>
      <c r="B733">
        <v>1992</v>
      </c>
      <c r="C733">
        <v>12</v>
      </c>
      <c r="D733">
        <v>1.4491E-2</v>
      </c>
      <c r="E733">
        <v>3.5484000000000002E-2</v>
      </c>
      <c r="F733">
        <v>4.9258999999999997E-2</v>
      </c>
      <c r="G733">
        <v>3.7912000000000001E-2</v>
      </c>
      <c r="H733">
        <v>5.1371E-2</v>
      </c>
      <c r="I733">
        <v>1.585E-2</v>
      </c>
      <c r="J733">
        <v>2.5736999999999999E-2</v>
      </c>
      <c r="K733">
        <v>3.3692E-2</v>
      </c>
      <c r="L733">
        <v>6.1848E-2</v>
      </c>
      <c r="M733">
        <v>5.0148999999999999E-2</v>
      </c>
      <c r="N733">
        <v>3.1434999999999998E-2</v>
      </c>
      <c r="O733">
        <v>5.7003999999999999E-2</v>
      </c>
      <c r="P733">
        <v>2.3366999999999999E-2</v>
      </c>
      <c r="Q733">
        <v>4.1402000000000001E-2</v>
      </c>
      <c r="R733">
        <v>4.4350000000000001E-2</v>
      </c>
      <c r="S733">
        <v>1.4374E-2</v>
      </c>
      <c r="T733">
        <v>1.8932000000000001E-2</v>
      </c>
      <c r="U733">
        <v>4.0849000000000003E-2</v>
      </c>
      <c r="V733">
        <v>4.2660999999999998E-2</v>
      </c>
      <c r="W733">
        <v>4.4220000000000002E-2</v>
      </c>
      <c r="X733">
        <v>-6.9210000000000001E-3</v>
      </c>
      <c r="Y733">
        <v>3.1977999999999999E-2</v>
      </c>
      <c r="Z733">
        <v>3.0841E-2</v>
      </c>
      <c r="AA733">
        <v>-1.178E-3</v>
      </c>
      <c r="AB733">
        <v>2.852E-2</v>
      </c>
    </row>
    <row r="734" spans="1:28" x14ac:dyDescent="0.2">
      <c r="A734">
        <v>19930129</v>
      </c>
      <c r="B734">
        <v>1993</v>
      </c>
      <c r="C734">
        <v>1</v>
      </c>
      <c r="D734">
        <v>2.6439000000000001E-2</v>
      </c>
      <c r="E734">
        <v>5.6982999999999999E-2</v>
      </c>
      <c r="F734">
        <v>3.8927000000000003E-2</v>
      </c>
      <c r="G734">
        <v>5.7779999999999998E-2</v>
      </c>
      <c r="H734">
        <v>8.2661999999999999E-2</v>
      </c>
      <c r="I734">
        <v>-6.9670000000000001E-3</v>
      </c>
      <c r="J734">
        <v>3.2459000000000002E-2</v>
      </c>
      <c r="K734">
        <v>4.4291999999999998E-2</v>
      </c>
      <c r="L734">
        <v>4.6628000000000003E-2</v>
      </c>
      <c r="M734">
        <v>7.8853000000000006E-2</v>
      </c>
      <c r="N734">
        <v>-2.0185999999999999E-2</v>
      </c>
      <c r="O734">
        <v>3.4455E-2</v>
      </c>
      <c r="P734">
        <v>4.7716000000000001E-2</v>
      </c>
      <c r="Q734">
        <v>3.0934E-2</v>
      </c>
      <c r="R734">
        <v>4.2575000000000002E-2</v>
      </c>
      <c r="S734">
        <v>9.4730000000000005E-3</v>
      </c>
      <c r="T734">
        <v>1.5379E-2</v>
      </c>
      <c r="U734">
        <v>2.9467E-2</v>
      </c>
      <c r="V734">
        <v>2.7397999999999999E-2</v>
      </c>
      <c r="W734">
        <v>4.5673999999999999E-2</v>
      </c>
      <c r="X734">
        <v>-2.3897999999999999E-2</v>
      </c>
      <c r="Y734">
        <v>9.7990000000000004E-3</v>
      </c>
      <c r="Z734">
        <v>8.1019999999999998E-3</v>
      </c>
      <c r="AA734">
        <v>3.2930000000000001E-2</v>
      </c>
      <c r="AB734">
        <v>9.3035000000000007E-2</v>
      </c>
    </row>
    <row r="735" spans="1:28" x14ac:dyDescent="0.2">
      <c r="A735">
        <v>19930226</v>
      </c>
      <c r="B735">
        <v>1993</v>
      </c>
      <c r="C735">
        <v>2</v>
      </c>
      <c r="D735">
        <v>-7.5587000000000001E-2</v>
      </c>
      <c r="E735">
        <v>-5.0275E-2</v>
      </c>
      <c r="F735">
        <v>-2.1208000000000001E-2</v>
      </c>
      <c r="G735">
        <v>-5.0229999999999997E-3</v>
      </c>
      <c r="H735">
        <v>7.8009999999999998E-3</v>
      </c>
      <c r="I735">
        <v>-7.9729999999999995E-2</v>
      </c>
      <c r="J735">
        <v>-4.5898000000000001E-2</v>
      </c>
      <c r="K735">
        <v>-2.5720000000000001E-3</v>
      </c>
      <c r="L735">
        <v>2.7081999999999998E-2</v>
      </c>
      <c r="M735">
        <v>1.7679E-2</v>
      </c>
      <c r="N735">
        <v>-8.0370999999999998E-2</v>
      </c>
      <c r="O735">
        <v>3.0920000000000001E-3</v>
      </c>
      <c r="P735">
        <v>1.5007E-2</v>
      </c>
      <c r="Q735">
        <v>4.496E-3</v>
      </c>
      <c r="R735">
        <v>3.5513999999999997E-2</v>
      </c>
      <c r="S735">
        <v>-5.0311000000000002E-2</v>
      </c>
      <c r="T735">
        <v>1.7520000000000001E-2</v>
      </c>
      <c r="U735">
        <v>1.5703999999999999E-2</v>
      </c>
      <c r="V735">
        <v>2.9398000000000001E-2</v>
      </c>
      <c r="W735">
        <v>2.4008000000000002E-2</v>
      </c>
      <c r="X735">
        <v>-3.0197999999999999E-2</v>
      </c>
      <c r="Y735">
        <v>2.2395999999999999E-2</v>
      </c>
      <c r="Z735">
        <v>5.0547000000000002E-2</v>
      </c>
      <c r="AA735">
        <v>4.9061E-2</v>
      </c>
      <c r="AB735">
        <v>2.0964E-2</v>
      </c>
    </row>
    <row r="736" spans="1:28" x14ac:dyDescent="0.2">
      <c r="A736">
        <v>19930331</v>
      </c>
      <c r="B736">
        <v>1993</v>
      </c>
      <c r="C736">
        <v>3</v>
      </c>
      <c r="D736">
        <v>5.6870000000000002E-3</v>
      </c>
      <c r="E736">
        <v>1.7281999999999999E-2</v>
      </c>
      <c r="F736">
        <v>3.6588000000000002E-2</v>
      </c>
      <c r="G736">
        <v>2.5458000000000001E-2</v>
      </c>
      <c r="H736">
        <v>4.9858E-2</v>
      </c>
      <c r="I736">
        <v>9.7140000000000004E-3</v>
      </c>
      <c r="J736">
        <v>2.4514000000000001E-2</v>
      </c>
      <c r="K736">
        <v>3.9135000000000003E-2</v>
      </c>
      <c r="L736">
        <v>2.1086000000000001E-2</v>
      </c>
      <c r="M736">
        <v>3.6450000000000003E-2</v>
      </c>
      <c r="N736">
        <v>4.8406999999999999E-2</v>
      </c>
      <c r="O736">
        <v>3.1912000000000003E-2</v>
      </c>
      <c r="P736">
        <v>3.1363000000000002E-2</v>
      </c>
      <c r="Q736">
        <v>3.0987000000000001E-2</v>
      </c>
      <c r="R736">
        <v>6.2498999999999999E-2</v>
      </c>
      <c r="S736">
        <v>2.8459000000000002E-2</v>
      </c>
      <c r="T736">
        <v>4.9520000000000002E-2</v>
      </c>
      <c r="U736">
        <v>3.9643999999999999E-2</v>
      </c>
      <c r="V736">
        <v>3.3030999999999998E-2</v>
      </c>
      <c r="W736">
        <v>1.9813000000000001E-2</v>
      </c>
      <c r="X736">
        <v>7.0419999999999996E-3</v>
      </c>
      <c r="Y736">
        <v>3.5665000000000002E-2</v>
      </c>
      <c r="Z736">
        <v>3.3187000000000001E-2</v>
      </c>
      <c r="AA736">
        <v>7.2760000000000003E-3</v>
      </c>
      <c r="AB736">
        <v>3.4326000000000002E-2</v>
      </c>
    </row>
    <row r="737" spans="1:28" x14ac:dyDescent="0.2">
      <c r="A737">
        <v>19930430</v>
      </c>
      <c r="B737">
        <v>1993</v>
      </c>
      <c r="C737">
        <v>4</v>
      </c>
      <c r="D737">
        <v>-3.9732000000000003E-2</v>
      </c>
      <c r="E737">
        <v>-4.4905E-2</v>
      </c>
      <c r="F737">
        <v>-2.9215999999999999E-2</v>
      </c>
      <c r="G737">
        <v>-2.3012999999999999E-2</v>
      </c>
      <c r="H737">
        <v>-1.2629E-2</v>
      </c>
      <c r="I737">
        <v>-3.2122999999999999E-2</v>
      </c>
      <c r="J737">
        <v>-3.1546999999999999E-2</v>
      </c>
      <c r="K737">
        <v>-1.6537E-2</v>
      </c>
      <c r="L737">
        <v>-2.3276000000000002E-2</v>
      </c>
      <c r="M737">
        <v>-4.2630000000000001E-2</v>
      </c>
      <c r="N737">
        <v>-4.3575999999999997E-2</v>
      </c>
      <c r="O737">
        <v>-2.7604E-2</v>
      </c>
      <c r="P737">
        <v>-2.9340999999999999E-2</v>
      </c>
      <c r="Q737">
        <v>-1.5952999999999998E-2</v>
      </c>
      <c r="R737">
        <v>-1.4411E-2</v>
      </c>
      <c r="S737">
        <v>-5.0133999999999998E-2</v>
      </c>
      <c r="T737">
        <v>-2.5368999999999999E-2</v>
      </c>
      <c r="U737">
        <v>-1.7836000000000001E-2</v>
      </c>
      <c r="V737">
        <v>-1.6004000000000001E-2</v>
      </c>
      <c r="W737">
        <v>-1.8904000000000001E-2</v>
      </c>
      <c r="X737">
        <v>-5.9593E-2</v>
      </c>
      <c r="Y737">
        <v>-2.2414E-2</v>
      </c>
      <c r="Z737">
        <v>-2.467E-3</v>
      </c>
      <c r="AA737">
        <v>-1.5603000000000001E-2</v>
      </c>
      <c r="AB737">
        <v>1.1337E-2</v>
      </c>
    </row>
    <row r="738" spans="1:28" x14ac:dyDescent="0.2">
      <c r="A738">
        <v>19930528</v>
      </c>
      <c r="B738">
        <v>1993</v>
      </c>
      <c r="C738">
        <v>5</v>
      </c>
      <c r="D738">
        <v>5.5206999999999999E-2</v>
      </c>
      <c r="E738">
        <v>4.3906000000000001E-2</v>
      </c>
      <c r="F738">
        <v>3.7291999999999999E-2</v>
      </c>
      <c r="G738">
        <v>3.0678E-2</v>
      </c>
      <c r="H738">
        <v>4.6960000000000002E-2</v>
      </c>
      <c r="I738">
        <v>6.9409999999999999E-2</v>
      </c>
      <c r="J738">
        <v>4.5795000000000002E-2</v>
      </c>
      <c r="K738">
        <v>3.4132999999999997E-2</v>
      </c>
      <c r="L738">
        <v>1.5817000000000001E-2</v>
      </c>
      <c r="M738">
        <v>4.1603000000000001E-2</v>
      </c>
      <c r="N738">
        <v>7.7674000000000007E-2</v>
      </c>
      <c r="O738">
        <v>6.6125000000000003E-2</v>
      </c>
      <c r="P738">
        <v>3.3306000000000002E-2</v>
      </c>
      <c r="Q738">
        <v>1.8976E-2</v>
      </c>
      <c r="R738">
        <v>2.2442E-2</v>
      </c>
      <c r="S738">
        <v>6.9607000000000002E-2</v>
      </c>
      <c r="T738">
        <v>4.0917000000000002E-2</v>
      </c>
      <c r="U738">
        <v>1.9542E-2</v>
      </c>
      <c r="V738">
        <v>1.1689E-2</v>
      </c>
      <c r="W738">
        <v>2.7050999999999999E-2</v>
      </c>
      <c r="X738">
        <v>3.1335000000000002E-2</v>
      </c>
      <c r="Y738">
        <v>4.4465999999999999E-2</v>
      </c>
      <c r="Z738">
        <v>1.3837E-2</v>
      </c>
      <c r="AA738">
        <v>1.7510999999999999E-2</v>
      </c>
      <c r="AB738">
        <v>-5.1139999999999996E-3</v>
      </c>
    </row>
    <row r="739" spans="1:28" x14ac:dyDescent="0.2">
      <c r="A739">
        <v>19930630</v>
      </c>
      <c r="B739">
        <v>1993</v>
      </c>
      <c r="C739">
        <v>6</v>
      </c>
      <c r="D739">
        <v>-1.7423999999999999E-2</v>
      </c>
      <c r="E739">
        <v>5.3920000000000001E-3</v>
      </c>
      <c r="F739">
        <v>4.26E-4</v>
      </c>
      <c r="G739">
        <v>-7.4110000000000001E-3</v>
      </c>
      <c r="H739">
        <v>2.0299999999999999E-2</v>
      </c>
      <c r="I739">
        <v>-3.6229999999999999E-3</v>
      </c>
      <c r="J739">
        <v>7.3930000000000003E-3</v>
      </c>
      <c r="K739">
        <v>5.5459999999999997E-3</v>
      </c>
      <c r="L739">
        <v>3.4870000000000001E-3</v>
      </c>
      <c r="M739">
        <v>2.2981000000000001E-2</v>
      </c>
      <c r="N739">
        <v>-7.9249999999999998E-3</v>
      </c>
      <c r="O739">
        <v>3.6589999999999999E-3</v>
      </c>
      <c r="P739">
        <v>1.6757000000000001E-2</v>
      </c>
      <c r="Q739">
        <v>2.5606E-2</v>
      </c>
      <c r="R739">
        <v>9.7590000000000003E-3</v>
      </c>
      <c r="S739">
        <v>8.1930000000000006E-3</v>
      </c>
      <c r="T739">
        <v>5.7739999999999996E-3</v>
      </c>
      <c r="U739">
        <v>2.3113000000000002E-2</v>
      </c>
      <c r="V739">
        <v>1.1547999999999999E-2</v>
      </c>
      <c r="W739">
        <v>3.8207999999999999E-2</v>
      </c>
      <c r="X739">
        <v>-2.4580000000000001E-2</v>
      </c>
      <c r="Y739">
        <v>1.0467000000000001E-2</v>
      </c>
      <c r="Z739">
        <v>1.7226999999999999E-2</v>
      </c>
      <c r="AA739">
        <v>1.7786E-2</v>
      </c>
      <c r="AB739">
        <v>4.8369000000000002E-2</v>
      </c>
    </row>
    <row r="740" spans="1:28" x14ac:dyDescent="0.2">
      <c r="A740">
        <v>19930730</v>
      </c>
      <c r="B740">
        <v>1993</v>
      </c>
      <c r="C740">
        <v>7</v>
      </c>
      <c r="D740">
        <v>-1.549E-2</v>
      </c>
      <c r="E740">
        <v>-4.6350000000000002E-3</v>
      </c>
      <c r="F740">
        <v>9.4509999999999993E-3</v>
      </c>
      <c r="G740">
        <v>2.215E-2</v>
      </c>
      <c r="H740">
        <v>3.3104000000000001E-2</v>
      </c>
      <c r="I740">
        <v>-9.5799999999999998E-4</v>
      </c>
      <c r="J740">
        <v>4.3689999999999996E-3</v>
      </c>
      <c r="K740">
        <v>1.2026999999999999E-2</v>
      </c>
      <c r="L740">
        <v>2.8639999999999999E-2</v>
      </c>
      <c r="M740">
        <v>1.9262999999999999E-2</v>
      </c>
      <c r="N740">
        <v>-3.6380000000000002E-3</v>
      </c>
      <c r="O740">
        <v>8.8900000000000003E-4</v>
      </c>
      <c r="P740">
        <v>1.0163E-2</v>
      </c>
      <c r="Q740">
        <v>2.3205E-2</v>
      </c>
      <c r="R740">
        <v>-4.6179999999999997E-3</v>
      </c>
      <c r="S740">
        <v>-2.5862E-2</v>
      </c>
      <c r="T740">
        <v>1.2224E-2</v>
      </c>
      <c r="U740">
        <v>1.0988E-2</v>
      </c>
      <c r="V740">
        <v>2.2433000000000002E-2</v>
      </c>
      <c r="W740">
        <v>3.3670000000000002E-3</v>
      </c>
      <c r="X740">
        <v>-3.4785999999999997E-2</v>
      </c>
      <c r="Y740">
        <v>2.8410000000000002E-3</v>
      </c>
      <c r="Z740">
        <v>9.9439999999999997E-3</v>
      </c>
      <c r="AA740">
        <v>2.4898E-2</v>
      </c>
      <c r="AB740">
        <v>5.6230000000000004E-3</v>
      </c>
    </row>
    <row r="741" spans="1:28" x14ac:dyDescent="0.2">
      <c r="A741">
        <v>19930831</v>
      </c>
      <c r="B741">
        <v>1993</v>
      </c>
      <c r="C741">
        <v>8</v>
      </c>
      <c r="D741">
        <v>3.8906999999999997E-2</v>
      </c>
      <c r="E741">
        <v>5.0805999999999997E-2</v>
      </c>
      <c r="F741">
        <v>3.6947000000000001E-2</v>
      </c>
      <c r="G741">
        <v>3.3620999999999998E-2</v>
      </c>
      <c r="H741">
        <v>3.159E-2</v>
      </c>
      <c r="I741">
        <v>3.5526000000000002E-2</v>
      </c>
      <c r="J741">
        <v>5.8501999999999998E-2</v>
      </c>
      <c r="K741">
        <v>4.8728E-2</v>
      </c>
      <c r="L741">
        <v>5.3732000000000002E-2</v>
      </c>
      <c r="M741">
        <v>3.4321999999999998E-2</v>
      </c>
      <c r="N741">
        <v>4.1188000000000002E-2</v>
      </c>
      <c r="O741">
        <v>4.8446999999999997E-2</v>
      </c>
      <c r="P741">
        <v>3.5577999999999999E-2</v>
      </c>
      <c r="Q741">
        <v>3.0504E-2</v>
      </c>
      <c r="R741">
        <v>2.9017000000000001E-2</v>
      </c>
      <c r="S741">
        <v>6.2234999999999999E-2</v>
      </c>
      <c r="T741">
        <v>3.4709999999999998E-2</v>
      </c>
      <c r="U741">
        <v>4.7676999999999997E-2</v>
      </c>
      <c r="V741">
        <v>3.5215999999999997E-2</v>
      </c>
      <c r="W741">
        <v>5.1254000000000001E-2</v>
      </c>
      <c r="X741">
        <v>3.6978999999999998E-2</v>
      </c>
      <c r="Y741">
        <v>2.1240999999999999E-2</v>
      </c>
      <c r="Z741">
        <v>4.1202999999999997E-2</v>
      </c>
      <c r="AA741">
        <v>4.3210999999999999E-2</v>
      </c>
      <c r="AB741">
        <v>2.3754000000000001E-2</v>
      </c>
    </row>
    <row r="742" spans="1:28" x14ac:dyDescent="0.2">
      <c r="A742">
        <v>19930930</v>
      </c>
      <c r="B742">
        <v>1993</v>
      </c>
      <c r="C742">
        <v>9</v>
      </c>
      <c r="D742">
        <v>2.4117E-2</v>
      </c>
      <c r="E742">
        <v>2.2794999999999999E-2</v>
      </c>
      <c r="F742">
        <v>2.9475999999999999E-2</v>
      </c>
      <c r="G742">
        <v>2.9107999999999998E-2</v>
      </c>
      <c r="H742">
        <v>3.3676999999999999E-2</v>
      </c>
      <c r="I742">
        <v>3.6928000000000002E-2</v>
      </c>
      <c r="J742">
        <v>3.6037E-2</v>
      </c>
      <c r="K742">
        <v>2.3453999999999999E-2</v>
      </c>
      <c r="L742">
        <v>2.2651000000000001E-2</v>
      </c>
      <c r="M742">
        <v>2.1395999999999998E-2</v>
      </c>
      <c r="N742">
        <v>4.0509000000000003E-2</v>
      </c>
      <c r="O742">
        <v>9.0130000000000002E-3</v>
      </c>
      <c r="P742">
        <v>1.2515E-2</v>
      </c>
      <c r="Q742">
        <v>1.6312E-2</v>
      </c>
      <c r="R742">
        <v>3.9500000000000004E-3</v>
      </c>
      <c r="S742">
        <v>3.542E-3</v>
      </c>
      <c r="T742">
        <v>2.0958000000000001E-2</v>
      </c>
      <c r="U742">
        <v>3.2560000000000002E-3</v>
      </c>
      <c r="V742">
        <v>-8.5869999999999991E-3</v>
      </c>
      <c r="W742">
        <v>-4.9509999999999997E-3</v>
      </c>
      <c r="X742">
        <v>-8.7849999999999994E-3</v>
      </c>
      <c r="Y742">
        <v>-1.6586E-2</v>
      </c>
      <c r="Z742">
        <v>-6.3299999999999999E-4</v>
      </c>
      <c r="AA742">
        <v>1.3723000000000001E-2</v>
      </c>
      <c r="AB742">
        <v>-3.2578000000000003E-2</v>
      </c>
    </row>
    <row r="743" spans="1:28" x14ac:dyDescent="0.2">
      <c r="A743">
        <v>19931029</v>
      </c>
      <c r="B743">
        <v>1993</v>
      </c>
      <c r="C743">
        <v>10</v>
      </c>
      <c r="D743">
        <v>5.0834999999999998E-2</v>
      </c>
      <c r="E743">
        <v>4.8182999999999997E-2</v>
      </c>
      <c r="F743">
        <v>4.5862E-2</v>
      </c>
      <c r="G743">
        <v>4.2640999999999998E-2</v>
      </c>
      <c r="H743">
        <v>4.4299999999999999E-2</v>
      </c>
      <c r="I743">
        <v>3.9319E-2</v>
      </c>
      <c r="J743">
        <v>2.1134E-2</v>
      </c>
      <c r="K743">
        <v>7.9399999999999991E-3</v>
      </c>
      <c r="L743">
        <v>1.2763999999999999E-2</v>
      </c>
      <c r="M743">
        <v>7.986E-3</v>
      </c>
      <c r="N743">
        <v>1.9480000000000001E-2</v>
      </c>
      <c r="O743">
        <v>-1.2007E-2</v>
      </c>
      <c r="P743">
        <v>6.8269999999999997E-3</v>
      </c>
      <c r="Q743">
        <v>4.5199999999999998E-4</v>
      </c>
      <c r="R743">
        <v>4.0844999999999999E-2</v>
      </c>
      <c r="S743">
        <v>3.3031999999999999E-2</v>
      </c>
      <c r="T743">
        <v>3.5950000000000001E-3</v>
      </c>
      <c r="U743">
        <v>-5.3610000000000003E-3</v>
      </c>
      <c r="V743">
        <v>-8.7609999999999997E-3</v>
      </c>
      <c r="W743">
        <v>-1.2303E-2</v>
      </c>
      <c r="X743">
        <v>4.1305000000000001E-2</v>
      </c>
      <c r="Y743">
        <v>5.4530000000000004E-3</v>
      </c>
      <c r="Z743">
        <v>-1.1379999999999999E-3</v>
      </c>
      <c r="AA743">
        <v>-7.5810000000000001E-3</v>
      </c>
      <c r="AB743">
        <v>5.7653000000000003E-2</v>
      </c>
    </row>
    <row r="744" spans="1:28" x14ac:dyDescent="0.2">
      <c r="A744">
        <v>19931130</v>
      </c>
      <c r="B744">
        <v>1993</v>
      </c>
      <c r="C744">
        <v>11</v>
      </c>
      <c r="D744">
        <v>-3.9053999999999998E-2</v>
      </c>
      <c r="E744">
        <v>-2.9083999999999999E-2</v>
      </c>
      <c r="F744">
        <v>-2.0389999999999998E-2</v>
      </c>
      <c r="G744">
        <v>-1.9946999999999999E-2</v>
      </c>
      <c r="H744">
        <v>-1.9054000000000001E-2</v>
      </c>
      <c r="I744">
        <v>-2.7387000000000002E-2</v>
      </c>
      <c r="J744">
        <v>-3.1675000000000002E-2</v>
      </c>
      <c r="K744">
        <v>-2.5572000000000001E-2</v>
      </c>
      <c r="L744">
        <v>-4.5110999999999998E-2</v>
      </c>
      <c r="M744">
        <v>-3.6965999999999999E-2</v>
      </c>
      <c r="N744">
        <v>-2.6183000000000001E-2</v>
      </c>
      <c r="O744">
        <v>-2.4757999999999999E-2</v>
      </c>
      <c r="P744">
        <v>-3.0148999999999999E-2</v>
      </c>
      <c r="Q744">
        <v>-3.3098000000000002E-2</v>
      </c>
      <c r="R744">
        <v>-9.9109999999999997E-3</v>
      </c>
      <c r="S744">
        <v>-2.2796E-2</v>
      </c>
      <c r="T744">
        <v>-2.9527000000000001E-2</v>
      </c>
      <c r="U744">
        <v>-2.1538000000000002E-2</v>
      </c>
      <c r="V744">
        <v>-2.4129999999999999E-2</v>
      </c>
      <c r="W744">
        <v>-5.1901999999999997E-2</v>
      </c>
      <c r="X744">
        <v>1.4716999999999999E-2</v>
      </c>
      <c r="Y744">
        <v>-1.6503E-2</v>
      </c>
      <c r="Z744">
        <v>-2.972E-2</v>
      </c>
      <c r="AA744">
        <v>-3.4595000000000001E-2</v>
      </c>
      <c r="AB744">
        <v>3.4238999999999999E-2</v>
      </c>
    </row>
    <row r="745" spans="1:28" x14ac:dyDescent="0.2">
      <c r="A745">
        <v>19931231</v>
      </c>
      <c r="B745">
        <v>1993</v>
      </c>
      <c r="C745">
        <v>12</v>
      </c>
      <c r="D745">
        <v>6.8240000000000002E-3</v>
      </c>
      <c r="E745">
        <v>8.1620000000000009E-3</v>
      </c>
      <c r="F745">
        <v>1.7507000000000002E-2</v>
      </c>
      <c r="G745">
        <v>1.2760000000000001E-2</v>
      </c>
      <c r="H745">
        <v>1.1488999999999999E-2</v>
      </c>
      <c r="I745">
        <v>2.1989000000000002E-2</v>
      </c>
      <c r="J745">
        <v>4.4958999999999999E-2</v>
      </c>
      <c r="K745">
        <v>4.5267000000000002E-2</v>
      </c>
      <c r="L745">
        <v>1.4685999999999999E-2</v>
      </c>
      <c r="M745">
        <v>3.8671999999999998E-2</v>
      </c>
      <c r="N745">
        <v>4.0275999999999999E-2</v>
      </c>
      <c r="O745">
        <v>6.0748000000000003E-2</v>
      </c>
      <c r="P745">
        <v>5.5694E-2</v>
      </c>
      <c r="Q745">
        <v>3.5046000000000001E-2</v>
      </c>
      <c r="R745">
        <v>2.8420999999999998E-2</v>
      </c>
      <c r="S745">
        <v>4.2046E-2</v>
      </c>
      <c r="T745">
        <v>5.5939000000000003E-2</v>
      </c>
      <c r="U745">
        <v>3.8262999999999998E-2</v>
      </c>
      <c r="V745">
        <v>2.3245999999999999E-2</v>
      </c>
      <c r="W745">
        <v>3.7198000000000002E-2</v>
      </c>
      <c r="X745">
        <v>6.1899999999999998E-4</v>
      </c>
      <c r="Y745">
        <v>2.3001000000000001E-2</v>
      </c>
      <c r="Z745">
        <v>6.4260000000000003E-3</v>
      </c>
      <c r="AA745">
        <v>1.4215E-2</v>
      </c>
      <c r="AB745">
        <v>2.6873000000000001E-2</v>
      </c>
    </row>
    <row r="746" spans="1:28" x14ac:dyDescent="0.2">
      <c r="A746">
        <v>19940131</v>
      </c>
      <c r="B746">
        <v>1994</v>
      </c>
      <c r="C746">
        <v>1</v>
      </c>
      <c r="D746">
        <v>2.5118000000000001E-2</v>
      </c>
      <c r="E746">
        <v>6.4221E-2</v>
      </c>
      <c r="F746">
        <v>5.2167999999999999E-2</v>
      </c>
      <c r="G746">
        <v>5.5874E-2</v>
      </c>
      <c r="H746">
        <v>6.0222999999999999E-2</v>
      </c>
      <c r="I746">
        <v>1.3849999999999999E-2</v>
      </c>
      <c r="J746">
        <v>2.1187999999999999E-2</v>
      </c>
      <c r="K746">
        <v>1.8339999999999999E-2</v>
      </c>
      <c r="L746">
        <v>2.9021999999999999E-2</v>
      </c>
      <c r="M746">
        <v>5.0029999999999998E-2</v>
      </c>
      <c r="N746">
        <v>1.993E-2</v>
      </c>
      <c r="O746">
        <v>1.8654E-2</v>
      </c>
      <c r="P746">
        <v>1.5579000000000001E-2</v>
      </c>
      <c r="Q746">
        <v>2.1113E-2</v>
      </c>
      <c r="R746">
        <v>7.2943999999999995E-2</v>
      </c>
      <c r="S746">
        <v>2.6863000000000001E-2</v>
      </c>
      <c r="T746">
        <v>3.2828999999999997E-2</v>
      </c>
      <c r="U746">
        <v>3.9398000000000002E-2</v>
      </c>
      <c r="V746">
        <v>2.5381999999999998E-2</v>
      </c>
      <c r="W746">
        <v>2.4777E-2</v>
      </c>
      <c r="X746">
        <v>1.3388000000000001E-2</v>
      </c>
      <c r="Y746">
        <v>3.8167E-2</v>
      </c>
      <c r="Z746">
        <v>4.8533E-2</v>
      </c>
      <c r="AA746">
        <v>2.8985E-2</v>
      </c>
      <c r="AB746">
        <v>5.9090999999999998E-2</v>
      </c>
    </row>
    <row r="747" spans="1:28" x14ac:dyDescent="0.2">
      <c r="A747">
        <v>19940228</v>
      </c>
      <c r="B747">
        <v>1994</v>
      </c>
      <c r="C747">
        <v>2</v>
      </c>
      <c r="D747">
        <v>-3.2048E-2</v>
      </c>
      <c r="E747">
        <v>1.6107E-2</v>
      </c>
      <c r="F747">
        <v>-4.6719999999999999E-3</v>
      </c>
      <c r="G747">
        <v>-2.1719999999999999E-3</v>
      </c>
      <c r="H747">
        <v>3.1300000000000002E-4</v>
      </c>
      <c r="I747">
        <v>-3.764E-3</v>
      </c>
      <c r="J747">
        <v>2.3040000000000001E-3</v>
      </c>
      <c r="K747">
        <v>2.3149999999999998E-3</v>
      </c>
      <c r="L747">
        <v>-1.7443E-2</v>
      </c>
      <c r="M747">
        <v>-1.5134E-2</v>
      </c>
      <c r="N747">
        <v>-8.5319999999999997E-3</v>
      </c>
      <c r="O747">
        <v>1.9028E-2</v>
      </c>
      <c r="P747">
        <v>8.6009999999999993E-3</v>
      </c>
      <c r="Q747">
        <v>-1.8658000000000001E-2</v>
      </c>
      <c r="R747">
        <v>-1.6962000000000001E-2</v>
      </c>
      <c r="S747">
        <v>-9.9699999999999997E-3</v>
      </c>
      <c r="T747">
        <v>9.1299999999999997E-4</v>
      </c>
      <c r="U747">
        <v>-1.7458999999999999E-2</v>
      </c>
      <c r="V747">
        <v>-2.5406000000000001E-2</v>
      </c>
      <c r="W747">
        <v>-5.1071999999999999E-2</v>
      </c>
      <c r="X747">
        <v>-1.8034000000000001E-2</v>
      </c>
      <c r="Y747">
        <v>-2.0070999999999999E-2</v>
      </c>
      <c r="Z747">
        <v>-3.4089000000000001E-2</v>
      </c>
      <c r="AA747">
        <v>-4.9451000000000002E-2</v>
      </c>
      <c r="AB747">
        <v>-4.9135999999999999E-2</v>
      </c>
    </row>
    <row r="748" spans="1:28" x14ac:dyDescent="0.2">
      <c r="A748">
        <v>19940331</v>
      </c>
      <c r="B748">
        <v>1994</v>
      </c>
      <c r="C748">
        <v>3</v>
      </c>
      <c r="D748">
        <v>-7.5055999999999998E-2</v>
      </c>
      <c r="E748">
        <v>-5.1801E-2</v>
      </c>
      <c r="F748">
        <v>-4.2089000000000001E-2</v>
      </c>
      <c r="G748">
        <v>-5.0854999999999997E-2</v>
      </c>
      <c r="H748">
        <v>-3.0689000000000001E-2</v>
      </c>
      <c r="I748">
        <v>-7.2550000000000003E-2</v>
      </c>
      <c r="J748">
        <v>-5.2891000000000001E-2</v>
      </c>
      <c r="K748">
        <v>-5.1258999999999999E-2</v>
      </c>
      <c r="L748">
        <v>-3.7652999999999999E-2</v>
      </c>
      <c r="M748">
        <v>-6.0324999999999997E-2</v>
      </c>
      <c r="N748">
        <v>-5.8040000000000001E-2</v>
      </c>
      <c r="O748">
        <v>-4.7278000000000001E-2</v>
      </c>
      <c r="P748">
        <v>-4.6383000000000001E-2</v>
      </c>
      <c r="Q748">
        <v>-3.9941999999999998E-2</v>
      </c>
      <c r="R748">
        <v>-5.6953999999999998E-2</v>
      </c>
      <c r="S748">
        <v>-5.5225999999999997E-2</v>
      </c>
      <c r="T748">
        <v>-4.9534000000000002E-2</v>
      </c>
      <c r="U748">
        <v>-4.5491999999999998E-2</v>
      </c>
      <c r="V748">
        <v>-2.751E-2</v>
      </c>
      <c r="W748">
        <v>-1.9545E-2</v>
      </c>
      <c r="X748">
        <v>-4.7551000000000003E-2</v>
      </c>
      <c r="Y748">
        <v>-3.8503999999999997E-2</v>
      </c>
      <c r="Z748">
        <v>-2.8362999999999999E-2</v>
      </c>
      <c r="AA748">
        <v>-4.6203000000000001E-2</v>
      </c>
      <c r="AB748">
        <v>-4.4331000000000002E-2</v>
      </c>
    </row>
    <row r="749" spans="1:28" x14ac:dyDescent="0.2">
      <c r="A749">
        <v>19940429</v>
      </c>
      <c r="B749">
        <v>1994</v>
      </c>
      <c r="C749">
        <v>4</v>
      </c>
      <c r="D749">
        <v>-3.7428000000000003E-2</v>
      </c>
      <c r="E749">
        <v>-5.4590000000000003E-3</v>
      </c>
      <c r="F749">
        <v>-1.4945999999999999E-2</v>
      </c>
      <c r="G749">
        <v>-6.4679999999999998E-3</v>
      </c>
      <c r="H749">
        <v>6.9480000000000002E-3</v>
      </c>
      <c r="I749">
        <v>-8.8199999999999997E-3</v>
      </c>
      <c r="J749">
        <v>6.0499999999999998E-3</v>
      </c>
      <c r="K749">
        <v>1.7543E-2</v>
      </c>
      <c r="L749">
        <v>1.3886000000000001E-2</v>
      </c>
      <c r="M749">
        <v>2.2731000000000001E-2</v>
      </c>
      <c r="N749">
        <v>-1.5440000000000001E-2</v>
      </c>
      <c r="O749">
        <v>2.2886E-2</v>
      </c>
      <c r="P749">
        <v>8.26E-3</v>
      </c>
      <c r="Q749">
        <v>9.5359999999999993E-3</v>
      </c>
      <c r="R749">
        <v>1.6924999999999999E-2</v>
      </c>
      <c r="S749">
        <v>-2.9659999999999999E-3</v>
      </c>
      <c r="T749">
        <v>9.3329999999999993E-3</v>
      </c>
      <c r="U749">
        <v>1.6427000000000001E-2</v>
      </c>
      <c r="V749">
        <v>2.3104E-2</v>
      </c>
      <c r="W749">
        <v>1.4139000000000001E-2</v>
      </c>
      <c r="X749">
        <v>1.4045E-2</v>
      </c>
      <c r="Y749">
        <v>-1.0588999999999999E-2</v>
      </c>
      <c r="Z749">
        <v>3.0745999999999999E-2</v>
      </c>
      <c r="AA749">
        <v>1.2449999999999999E-2</v>
      </c>
      <c r="AB749">
        <v>2.1552000000000002E-2</v>
      </c>
    </row>
    <row r="750" spans="1:28" x14ac:dyDescent="0.2">
      <c r="A750">
        <v>19940531</v>
      </c>
      <c r="B750">
        <v>1994</v>
      </c>
      <c r="C750">
        <v>5</v>
      </c>
      <c r="D750">
        <v>-2.3158999999999999E-2</v>
      </c>
      <c r="E750">
        <v>-2.0990999999999999E-2</v>
      </c>
      <c r="F750">
        <v>-3.5260000000000001E-3</v>
      </c>
      <c r="G750">
        <v>-4.0289999999999996E-3</v>
      </c>
      <c r="H750">
        <v>-5.3569999999999998E-3</v>
      </c>
      <c r="I750">
        <v>-2.4050999999999999E-2</v>
      </c>
      <c r="J750">
        <v>-2.3715E-2</v>
      </c>
      <c r="K750">
        <v>-1.2096000000000001E-2</v>
      </c>
      <c r="L750">
        <v>1.3910000000000001E-3</v>
      </c>
      <c r="M750">
        <v>1.1916E-2</v>
      </c>
      <c r="N750">
        <v>-2.1149999999999999E-2</v>
      </c>
      <c r="O750">
        <v>-1.5601E-2</v>
      </c>
      <c r="P750">
        <v>3.6240000000000001E-3</v>
      </c>
      <c r="Q750">
        <v>-1.2759E-2</v>
      </c>
      <c r="R750">
        <v>-1.9949999999999998E-3</v>
      </c>
      <c r="S750">
        <v>-1.704E-3</v>
      </c>
      <c r="T750">
        <v>1.885E-3</v>
      </c>
      <c r="U750">
        <v>2.4450000000000001E-3</v>
      </c>
      <c r="V750">
        <v>-1.255E-2</v>
      </c>
      <c r="W750">
        <v>-1.7544000000000001E-2</v>
      </c>
      <c r="X750">
        <v>1.1601999999999999E-2</v>
      </c>
      <c r="Y750">
        <v>3.8952000000000001E-2</v>
      </c>
      <c r="Z750">
        <v>1.8253999999999999E-2</v>
      </c>
      <c r="AA750">
        <v>6.9579999999999998E-3</v>
      </c>
      <c r="AB750">
        <v>1.1469E-2</v>
      </c>
    </row>
    <row r="751" spans="1:28" x14ac:dyDescent="0.2">
      <c r="A751">
        <v>19940630</v>
      </c>
      <c r="B751">
        <v>1994</v>
      </c>
      <c r="C751">
        <v>6</v>
      </c>
      <c r="D751">
        <v>-6.7135E-2</v>
      </c>
      <c r="E751">
        <v>-4.3805999999999998E-2</v>
      </c>
      <c r="F751">
        <v>-4.5171000000000003E-2</v>
      </c>
      <c r="G751">
        <v>-2.2003000000000002E-2</v>
      </c>
      <c r="H751">
        <v>-1.7486000000000002E-2</v>
      </c>
      <c r="I751">
        <v>-5.5166E-2</v>
      </c>
      <c r="J751">
        <v>-2.9017999999999999E-2</v>
      </c>
      <c r="K751">
        <v>-7.1760000000000001E-3</v>
      </c>
      <c r="L751">
        <v>-1.2522999999999999E-2</v>
      </c>
      <c r="M751">
        <v>-1.3167999999999999E-2</v>
      </c>
      <c r="N751">
        <v>-4.4991999999999997E-2</v>
      </c>
      <c r="O751">
        <v>-2.6204000000000002E-2</v>
      </c>
      <c r="P751">
        <v>8.2299999999999995E-4</v>
      </c>
      <c r="Q751">
        <v>-9.7789999999999995E-3</v>
      </c>
      <c r="R751">
        <v>-1.7287E-2</v>
      </c>
      <c r="S751">
        <v>-5.1754000000000001E-2</v>
      </c>
      <c r="T751">
        <v>-2.7705E-2</v>
      </c>
      <c r="U751">
        <v>-2.0473999999999999E-2</v>
      </c>
      <c r="V751">
        <v>-1.7311E-2</v>
      </c>
      <c r="W751">
        <v>-4.1841000000000003E-2</v>
      </c>
      <c r="X751">
        <v>-2.4607E-2</v>
      </c>
      <c r="Y751">
        <v>-3.0780999999999999E-2</v>
      </c>
      <c r="Z751">
        <v>-2.1278999999999999E-2</v>
      </c>
      <c r="AA751">
        <v>-1.7658E-2</v>
      </c>
      <c r="AB751">
        <v>-3.5797000000000002E-2</v>
      </c>
    </row>
    <row r="752" spans="1:28" x14ac:dyDescent="0.2">
      <c r="A752">
        <v>19940729</v>
      </c>
      <c r="B752">
        <v>1994</v>
      </c>
      <c r="C752">
        <v>7</v>
      </c>
      <c r="D752">
        <v>4.3730000000000002E-3</v>
      </c>
      <c r="E752">
        <v>-2.1320000000000002E-3</v>
      </c>
      <c r="F752">
        <v>3.3E-4</v>
      </c>
      <c r="G752">
        <v>5.045E-3</v>
      </c>
      <c r="H752">
        <v>1.3469E-2</v>
      </c>
      <c r="I752">
        <v>2.4385E-2</v>
      </c>
      <c r="J752">
        <v>1.8703000000000001E-2</v>
      </c>
      <c r="K752">
        <v>1.6784E-2</v>
      </c>
      <c r="L752">
        <v>2.1482000000000001E-2</v>
      </c>
      <c r="M752">
        <v>3.1600999999999997E-2</v>
      </c>
      <c r="N752">
        <v>3.0995999999999999E-2</v>
      </c>
      <c r="O752">
        <v>1.9539999999999998E-2</v>
      </c>
      <c r="P752">
        <v>1.8447000000000002E-2</v>
      </c>
      <c r="Q752">
        <v>3.2001000000000002E-2</v>
      </c>
      <c r="R752">
        <v>4.0494000000000002E-2</v>
      </c>
      <c r="S752">
        <v>2.2540999999999999E-2</v>
      </c>
      <c r="T752">
        <v>2.7598000000000001E-2</v>
      </c>
      <c r="U752">
        <v>3.8913000000000003E-2</v>
      </c>
      <c r="V752">
        <v>5.1415000000000002E-2</v>
      </c>
      <c r="W752">
        <v>5.2907000000000003E-2</v>
      </c>
      <c r="X752">
        <v>2.6748999999999998E-2</v>
      </c>
      <c r="Y752">
        <v>3.3299000000000002E-2</v>
      </c>
      <c r="Z752">
        <v>4.6274000000000003E-2</v>
      </c>
      <c r="AA752">
        <v>3.4779999999999998E-2</v>
      </c>
      <c r="AB752">
        <v>2.5559999999999999E-2</v>
      </c>
    </row>
    <row r="753" spans="1:28" x14ac:dyDescent="0.2">
      <c r="A753">
        <v>19940831</v>
      </c>
      <c r="B753">
        <v>1994</v>
      </c>
      <c r="C753">
        <v>8</v>
      </c>
      <c r="D753">
        <v>3.5570999999999998E-2</v>
      </c>
      <c r="E753">
        <v>4.4021999999999999E-2</v>
      </c>
      <c r="F753">
        <v>4.2776000000000002E-2</v>
      </c>
      <c r="G753">
        <v>2.3153E-2</v>
      </c>
      <c r="H753">
        <v>3.1092999999999999E-2</v>
      </c>
      <c r="I753">
        <v>9.2396000000000006E-2</v>
      </c>
      <c r="J753">
        <v>5.7313999999999997E-2</v>
      </c>
      <c r="K753">
        <v>3.7072000000000001E-2</v>
      </c>
      <c r="L753">
        <v>4.4739000000000001E-2</v>
      </c>
      <c r="M753">
        <v>4.9041000000000001E-2</v>
      </c>
      <c r="N753">
        <v>9.8086000000000007E-2</v>
      </c>
      <c r="O753">
        <v>4.2563999999999998E-2</v>
      </c>
      <c r="P753">
        <v>5.3816999999999997E-2</v>
      </c>
      <c r="Q753">
        <v>1.9418999999999999E-2</v>
      </c>
      <c r="R753">
        <v>6.2507999999999994E-2</v>
      </c>
      <c r="S753">
        <v>7.9409999999999994E-2</v>
      </c>
      <c r="T753">
        <v>5.3019999999999998E-2</v>
      </c>
      <c r="U753">
        <v>1.9154999999999998E-2</v>
      </c>
      <c r="V753">
        <v>3.1035E-2</v>
      </c>
      <c r="W753">
        <v>5.2586000000000001E-2</v>
      </c>
      <c r="X753">
        <v>6.2310999999999998E-2</v>
      </c>
      <c r="Y753">
        <v>2.8053000000000002E-2</v>
      </c>
      <c r="Z753">
        <v>1.6355000000000001E-2</v>
      </c>
      <c r="AA753">
        <v>4.2358E-2</v>
      </c>
      <c r="AB753">
        <v>1.9560999999999999E-2</v>
      </c>
    </row>
    <row r="754" spans="1:28" x14ac:dyDescent="0.2">
      <c r="A754">
        <v>19940930</v>
      </c>
      <c r="B754">
        <v>1994</v>
      </c>
      <c r="C754">
        <v>9</v>
      </c>
      <c r="D754">
        <v>1.0487E-2</v>
      </c>
      <c r="E754">
        <v>1.7118999999999999E-2</v>
      </c>
      <c r="F754">
        <v>1.0083999999999999E-2</v>
      </c>
      <c r="G754">
        <v>2.5708000000000002E-2</v>
      </c>
      <c r="H754">
        <v>7.7130000000000002E-3</v>
      </c>
      <c r="I754">
        <v>1.99E-3</v>
      </c>
      <c r="J754">
        <v>6.6880000000000004E-3</v>
      </c>
      <c r="K754">
        <v>-2.3370000000000001E-3</v>
      </c>
      <c r="L754">
        <v>-7.6699999999999997E-3</v>
      </c>
      <c r="M754">
        <v>-1.5980000000000001E-2</v>
      </c>
      <c r="N754">
        <v>1.056E-2</v>
      </c>
      <c r="O754">
        <v>-1.9536999999999999E-2</v>
      </c>
      <c r="P754">
        <v>-1.8371999999999999E-2</v>
      </c>
      <c r="Q754">
        <v>-1.4036E-2</v>
      </c>
      <c r="R754">
        <v>-1.3346999999999999E-2</v>
      </c>
      <c r="S754">
        <v>-5.1789999999999996E-3</v>
      </c>
      <c r="T754">
        <v>-2.5777000000000001E-2</v>
      </c>
      <c r="U754">
        <v>-1.9807000000000002E-2</v>
      </c>
      <c r="V754">
        <v>-3.7010000000000001E-2</v>
      </c>
      <c r="W754">
        <v>-2.8021000000000001E-2</v>
      </c>
      <c r="X754">
        <v>-5.5729999999999998E-3</v>
      </c>
      <c r="Y754">
        <v>-3.7706999999999997E-2</v>
      </c>
      <c r="Z754">
        <v>-3.0617999999999999E-2</v>
      </c>
      <c r="AA754">
        <v>-3.2312E-2</v>
      </c>
      <c r="AB754">
        <v>-6.0177000000000001E-2</v>
      </c>
    </row>
    <row r="755" spans="1:28" x14ac:dyDescent="0.2">
      <c r="A755">
        <v>19941031</v>
      </c>
      <c r="B755">
        <v>1994</v>
      </c>
      <c r="C755">
        <v>10</v>
      </c>
      <c r="D755">
        <v>-9.9159999999999995E-3</v>
      </c>
      <c r="E755">
        <v>1.2222E-2</v>
      </c>
      <c r="F755">
        <v>-4.8299999999999998E-4</v>
      </c>
      <c r="G755">
        <v>1.7142999999999999E-2</v>
      </c>
      <c r="H755">
        <v>-2.627E-3</v>
      </c>
      <c r="I755">
        <v>1.6726999999999999E-2</v>
      </c>
      <c r="J755">
        <v>-2.0599999999999999E-4</v>
      </c>
      <c r="K755">
        <v>-5.9950000000000003E-3</v>
      </c>
      <c r="L755">
        <v>-9.587E-3</v>
      </c>
      <c r="M755">
        <v>-3.4776000000000001E-2</v>
      </c>
      <c r="N755">
        <v>3.0877999999999999E-2</v>
      </c>
      <c r="O755">
        <v>-4.9600000000000002E-4</v>
      </c>
      <c r="P755">
        <v>-9.59E-4</v>
      </c>
      <c r="Q755">
        <v>-1.3493E-2</v>
      </c>
      <c r="R755">
        <v>-1.7808000000000001E-2</v>
      </c>
      <c r="S755">
        <v>1.3539000000000001E-2</v>
      </c>
      <c r="T755">
        <v>1.0005E-2</v>
      </c>
      <c r="U755">
        <v>-3.8999999999999999E-4</v>
      </c>
      <c r="V755">
        <v>-2.4030000000000002E-3</v>
      </c>
      <c r="W755">
        <v>-2.8014000000000001E-2</v>
      </c>
      <c r="X755">
        <v>3.066E-2</v>
      </c>
      <c r="Y755">
        <v>1.6431000000000001E-2</v>
      </c>
      <c r="Z755">
        <v>3.9162000000000002E-2</v>
      </c>
      <c r="AA755">
        <v>2.0760000000000001E-2</v>
      </c>
      <c r="AB755">
        <v>1.1609999999999999E-3</v>
      </c>
    </row>
    <row r="756" spans="1:28" x14ac:dyDescent="0.2">
      <c r="A756">
        <v>19941130</v>
      </c>
      <c r="B756">
        <v>1994</v>
      </c>
      <c r="C756">
        <v>11</v>
      </c>
      <c r="D756">
        <v>-4.4061999999999997E-2</v>
      </c>
      <c r="E756">
        <v>-3.2960999999999997E-2</v>
      </c>
      <c r="F756">
        <v>-3.5964999999999997E-2</v>
      </c>
      <c r="G756">
        <v>-2.9408E-2</v>
      </c>
      <c r="H756">
        <v>-3.0005E-2</v>
      </c>
      <c r="I756">
        <v>-2.6891000000000002E-2</v>
      </c>
      <c r="J756">
        <v>-3.8051000000000001E-2</v>
      </c>
      <c r="K756">
        <v>-3.7185999999999997E-2</v>
      </c>
      <c r="L756">
        <v>-3.7047999999999998E-2</v>
      </c>
      <c r="M756">
        <v>-5.3536E-2</v>
      </c>
      <c r="N756">
        <v>-5.5188000000000001E-2</v>
      </c>
      <c r="O756">
        <v>-4.2824000000000001E-2</v>
      </c>
      <c r="P756">
        <v>-4.1533E-2</v>
      </c>
      <c r="Q756">
        <v>-3.3957000000000001E-2</v>
      </c>
      <c r="R756">
        <v>-5.1114E-2</v>
      </c>
      <c r="S756">
        <v>-3.8154E-2</v>
      </c>
      <c r="T756">
        <v>-3.5076000000000003E-2</v>
      </c>
      <c r="U756">
        <v>-4.2321999999999999E-2</v>
      </c>
      <c r="V756">
        <v>-3.6165999999999997E-2</v>
      </c>
      <c r="W756">
        <v>-6.2355000000000001E-2</v>
      </c>
      <c r="X756">
        <v>-1.7822000000000001E-2</v>
      </c>
      <c r="Y756">
        <v>-4.8127999999999997E-2</v>
      </c>
      <c r="Z756">
        <v>-2.7788E-2</v>
      </c>
      <c r="AA756">
        <v>-5.4068999999999999E-2</v>
      </c>
      <c r="AB756">
        <v>-3.8288999999999997E-2</v>
      </c>
    </row>
    <row r="757" spans="1:28" x14ac:dyDescent="0.2">
      <c r="A757">
        <v>19941230</v>
      </c>
      <c r="B757">
        <v>1994</v>
      </c>
      <c r="C757">
        <v>12</v>
      </c>
      <c r="D757">
        <v>-3.1264E-2</v>
      </c>
      <c r="E757">
        <v>-4.4219999999999997E-3</v>
      </c>
      <c r="F757">
        <v>-3.5720000000000001E-3</v>
      </c>
      <c r="G757">
        <v>1.714E-3</v>
      </c>
      <c r="H757">
        <v>-2.3679999999999999E-3</v>
      </c>
      <c r="I757">
        <v>1.7544000000000001E-2</v>
      </c>
      <c r="J757">
        <v>2.1867999999999999E-2</v>
      </c>
      <c r="K757">
        <v>2.3907999999999999E-2</v>
      </c>
      <c r="L757">
        <v>2.3623999999999999E-2</v>
      </c>
      <c r="M757">
        <v>1.3805E-2</v>
      </c>
      <c r="N757">
        <v>1.7663000000000002E-2</v>
      </c>
      <c r="O757">
        <v>3.5692000000000002E-2</v>
      </c>
      <c r="P757">
        <v>2.0669E-2</v>
      </c>
      <c r="Q757">
        <v>3.1695000000000001E-2</v>
      </c>
      <c r="R757">
        <v>4.5029E-2</v>
      </c>
      <c r="S757">
        <v>1.9158999999999999E-2</v>
      </c>
      <c r="T757">
        <v>1.0503E-2</v>
      </c>
      <c r="U757">
        <v>4.3880000000000004E-3</v>
      </c>
      <c r="V757">
        <v>8.3940000000000004E-3</v>
      </c>
      <c r="W757">
        <v>1.4324E-2</v>
      </c>
      <c r="X757">
        <v>6.6010000000000001E-3</v>
      </c>
      <c r="Y757">
        <v>2.1968000000000001E-2</v>
      </c>
      <c r="Z757">
        <v>6.5430000000000002E-3</v>
      </c>
      <c r="AA757">
        <v>1.7995000000000001E-2</v>
      </c>
      <c r="AB757">
        <v>2.0812000000000001E-2</v>
      </c>
    </row>
    <row r="758" spans="1:28" x14ac:dyDescent="0.2">
      <c r="A758">
        <v>19950131</v>
      </c>
      <c r="B758">
        <v>1995</v>
      </c>
      <c r="C758">
        <v>1</v>
      </c>
      <c r="D758">
        <v>1.7229999999999999E-2</v>
      </c>
      <c r="E758">
        <v>2.1447000000000001E-2</v>
      </c>
      <c r="F758">
        <v>3.6000999999999998E-2</v>
      </c>
      <c r="G758">
        <v>1.2784E-2</v>
      </c>
      <c r="H758">
        <v>2.5947999999999999E-2</v>
      </c>
      <c r="I758">
        <v>-1.7041000000000001E-2</v>
      </c>
      <c r="J758">
        <v>-9.0379999999999992E-3</v>
      </c>
      <c r="K758">
        <v>-3.5829999999999998E-3</v>
      </c>
      <c r="L758">
        <v>-3.7200000000000002E-3</v>
      </c>
      <c r="M758">
        <v>8.9499999999999996E-4</v>
      </c>
      <c r="N758">
        <v>-1.7239000000000001E-2</v>
      </c>
      <c r="O758">
        <v>-1.2725E-2</v>
      </c>
      <c r="P758">
        <v>-9.5429999999999994E-3</v>
      </c>
      <c r="Q758">
        <v>8.1539999999999998E-3</v>
      </c>
      <c r="R758">
        <v>-2.2799999999999999E-3</v>
      </c>
      <c r="S758">
        <v>7.4359999999999999E-3</v>
      </c>
      <c r="T758">
        <v>1.0995E-2</v>
      </c>
      <c r="U758">
        <v>1.5324000000000001E-2</v>
      </c>
      <c r="V758">
        <v>3.4703999999999999E-2</v>
      </c>
      <c r="W758">
        <v>2.4080000000000001E-2</v>
      </c>
      <c r="X758">
        <v>2.8608000000000001E-2</v>
      </c>
      <c r="Y758">
        <v>3.3772999999999997E-2</v>
      </c>
      <c r="Z758">
        <v>4.1838E-2</v>
      </c>
      <c r="AA758">
        <v>2.0285999999999998E-2</v>
      </c>
      <c r="AB758">
        <v>1.3251000000000001E-2</v>
      </c>
    </row>
    <row r="759" spans="1:28" x14ac:dyDescent="0.2">
      <c r="A759">
        <v>19950228</v>
      </c>
      <c r="B759">
        <v>1995</v>
      </c>
      <c r="C759">
        <v>2</v>
      </c>
      <c r="D759">
        <v>2.2432000000000001E-2</v>
      </c>
      <c r="E759">
        <v>3.4689999999999999E-2</v>
      </c>
      <c r="F759">
        <v>1.8862E-2</v>
      </c>
      <c r="G759">
        <v>2.0361000000000001E-2</v>
      </c>
      <c r="H759">
        <v>3.5054000000000002E-2</v>
      </c>
      <c r="I759">
        <v>3.5895999999999997E-2</v>
      </c>
      <c r="J759">
        <v>3.6691000000000001E-2</v>
      </c>
      <c r="K759">
        <v>3.5532000000000001E-2</v>
      </c>
      <c r="L759">
        <v>3.9815000000000003E-2</v>
      </c>
      <c r="M759">
        <v>5.3846999999999999E-2</v>
      </c>
      <c r="N759">
        <v>5.7033E-2</v>
      </c>
      <c r="O759">
        <v>4.5053000000000003E-2</v>
      </c>
      <c r="P759">
        <v>4.3666999999999997E-2</v>
      </c>
      <c r="Q759">
        <v>4.6760999999999997E-2</v>
      </c>
      <c r="R759">
        <v>5.7446999999999998E-2</v>
      </c>
      <c r="S759">
        <v>3.9338999999999999E-2</v>
      </c>
      <c r="T759">
        <v>5.4685999999999998E-2</v>
      </c>
      <c r="U759">
        <v>4.7731000000000003E-2</v>
      </c>
      <c r="V759">
        <v>3.7723E-2</v>
      </c>
      <c r="W759">
        <v>5.1730999999999999E-2</v>
      </c>
      <c r="X759">
        <v>3.3652000000000001E-2</v>
      </c>
      <c r="Y759">
        <v>4.589E-2</v>
      </c>
      <c r="Z759">
        <v>2.6727000000000001E-2</v>
      </c>
      <c r="AA759">
        <v>4.3799999999999999E-2</v>
      </c>
      <c r="AB759">
        <v>6.4333000000000001E-2</v>
      </c>
    </row>
    <row r="760" spans="1:28" x14ac:dyDescent="0.2">
      <c r="A760">
        <v>19950331</v>
      </c>
      <c r="B760">
        <v>1995</v>
      </c>
      <c r="C760">
        <v>3</v>
      </c>
      <c r="D760">
        <v>8.4460000000000004E-3</v>
      </c>
      <c r="E760">
        <v>1.8565999999999999E-2</v>
      </c>
      <c r="F760">
        <v>9.2490000000000003E-3</v>
      </c>
      <c r="G760">
        <v>1.2433E-2</v>
      </c>
      <c r="H760">
        <v>7.3400000000000002E-3</v>
      </c>
      <c r="I760">
        <v>4.0714E-2</v>
      </c>
      <c r="J760">
        <v>1.9213000000000001E-2</v>
      </c>
      <c r="K760">
        <v>2.9293E-2</v>
      </c>
      <c r="L760">
        <v>1.4852000000000001E-2</v>
      </c>
      <c r="M760">
        <v>2.1003000000000001E-2</v>
      </c>
      <c r="N760">
        <v>3.5743999999999998E-2</v>
      </c>
      <c r="O760">
        <v>2.0552999999999998E-2</v>
      </c>
      <c r="P760">
        <v>1.1932E-2</v>
      </c>
      <c r="Q760">
        <v>3.209E-3</v>
      </c>
      <c r="R760">
        <v>1.5429999999999999E-2</v>
      </c>
      <c r="S760">
        <v>3.1495000000000002E-2</v>
      </c>
      <c r="T760">
        <v>3.4063000000000003E-2</v>
      </c>
      <c r="U760">
        <v>1.9116000000000001E-2</v>
      </c>
      <c r="V760">
        <v>2.2294999999999999E-2</v>
      </c>
      <c r="W760">
        <v>5.3150000000000003E-3</v>
      </c>
      <c r="X760">
        <v>2.9169E-2</v>
      </c>
      <c r="Y760">
        <v>3.2023999999999997E-2</v>
      </c>
      <c r="Z760">
        <v>2.6086999999999999E-2</v>
      </c>
      <c r="AA760">
        <v>2.366E-2</v>
      </c>
      <c r="AB760">
        <v>2.0374E-2</v>
      </c>
    </row>
    <row r="761" spans="1:28" x14ac:dyDescent="0.2">
      <c r="A761">
        <v>19950428</v>
      </c>
      <c r="B761">
        <v>1995</v>
      </c>
      <c r="C761">
        <v>4</v>
      </c>
      <c r="D761">
        <v>1.7100000000000001E-2</v>
      </c>
      <c r="E761">
        <v>3.3029000000000003E-2</v>
      </c>
      <c r="F761">
        <v>2.6047000000000001E-2</v>
      </c>
      <c r="G761">
        <v>2.1236000000000001E-2</v>
      </c>
      <c r="H761">
        <v>4.3228000000000003E-2</v>
      </c>
      <c r="I761">
        <v>3.0869999999999999E-3</v>
      </c>
      <c r="J761">
        <v>9.8560000000000002E-3</v>
      </c>
      <c r="K761">
        <v>3.7184000000000002E-2</v>
      </c>
      <c r="L761">
        <v>2.9513000000000001E-2</v>
      </c>
      <c r="M761">
        <v>3.0804000000000002E-2</v>
      </c>
      <c r="N761">
        <v>2.7899999999999999E-3</v>
      </c>
      <c r="O761">
        <v>7.0899999999999999E-3</v>
      </c>
      <c r="P761">
        <v>2.3462E-2</v>
      </c>
      <c r="Q761">
        <v>3.7307E-2</v>
      </c>
      <c r="R761">
        <v>2.5482000000000001E-2</v>
      </c>
      <c r="S761">
        <v>1.1008E-2</v>
      </c>
      <c r="T761">
        <v>1.7489000000000001E-2</v>
      </c>
      <c r="U761">
        <v>3.0624999999999999E-2</v>
      </c>
      <c r="V761">
        <v>1.2741000000000001E-2</v>
      </c>
      <c r="W761">
        <v>3.1905999999999997E-2</v>
      </c>
      <c r="X761">
        <v>2.5141E-2</v>
      </c>
      <c r="Y761">
        <v>2.5035000000000002E-2</v>
      </c>
      <c r="Z761">
        <v>2.8332E-2</v>
      </c>
      <c r="AA761">
        <v>3.6686999999999997E-2</v>
      </c>
      <c r="AB761">
        <v>5.1138999999999997E-2</v>
      </c>
    </row>
    <row r="762" spans="1:28" x14ac:dyDescent="0.2">
      <c r="A762">
        <v>19950531</v>
      </c>
      <c r="B762">
        <v>1995</v>
      </c>
      <c r="C762">
        <v>5</v>
      </c>
      <c r="D762">
        <v>1.7056000000000002E-2</v>
      </c>
      <c r="E762">
        <v>2.7257E-2</v>
      </c>
      <c r="F762">
        <v>1.2747E-2</v>
      </c>
      <c r="G762">
        <v>1.4711E-2</v>
      </c>
      <c r="H762">
        <v>3.3556000000000002E-2</v>
      </c>
      <c r="I762">
        <v>1.2746E-2</v>
      </c>
      <c r="J762">
        <v>1.2834999999999999E-2</v>
      </c>
      <c r="K762">
        <v>1.4416999999999999E-2</v>
      </c>
      <c r="L762">
        <v>2.6797999999999999E-2</v>
      </c>
      <c r="M762">
        <v>2.8913999999999999E-2</v>
      </c>
      <c r="N762">
        <v>2.1392000000000001E-2</v>
      </c>
      <c r="O762">
        <v>-5.568E-3</v>
      </c>
      <c r="P762">
        <v>2.8899999999999999E-2</v>
      </c>
      <c r="Q762">
        <v>2.7740999999999998E-2</v>
      </c>
      <c r="R762">
        <v>2.4528999999999999E-2</v>
      </c>
      <c r="S762">
        <v>2.0723999999999999E-2</v>
      </c>
      <c r="T762">
        <v>1.7537000000000001E-2</v>
      </c>
      <c r="U762">
        <v>2.1686E-2</v>
      </c>
      <c r="V762">
        <v>3.7218000000000001E-2</v>
      </c>
      <c r="W762">
        <v>4.7766999999999997E-2</v>
      </c>
      <c r="X762">
        <v>3.8002000000000001E-2</v>
      </c>
      <c r="Y762">
        <v>2.9749999999999999E-2</v>
      </c>
      <c r="Z762">
        <v>4.7737000000000002E-2</v>
      </c>
      <c r="AA762">
        <v>5.1560000000000002E-2</v>
      </c>
      <c r="AB762">
        <v>6.0142000000000001E-2</v>
      </c>
    </row>
    <row r="763" spans="1:28" x14ac:dyDescent="0.2">
      <c r="A763">
        <v>19950630</v>
      </c>
      <c r="B763">
        <v>1995</v>
      </c>
      <c r="C763">
        <v>6</v>
      </c>
      <c r="D763">
        <v>7.7524999999999997E-2</v>
      </c>
      <c r="E763">
        <v>7.9655000000000004E-2</v>
      </c>
      <c r="F763">
        <v>5.8376999999999998E-2</v>
      </c>
      <c r="G763">
        <v>4.3344000000000001E-2</v>
      </c>
      <c r="H763">
        <v>5.2150000000000002E-2</v>
      </c>
      <c r="I763">
        <v>9.6022999999999997E-2</v>
      </c>
      <c r="J763">
        <v>4.3769000000000002E-2</v>
      </c>
      <c r="K763">
        <v>4.0930000000000001E-2</v>
      </c>
      <c r="L763">
        <v>4.9443000000000001E-2</v>
      </c>
      <c r="M763">
        <v>4.2986000000000003E-2</v>
      </c>
      <c r="N763">
        <v>6.4578999999999998E-2</v>
      </c>
      <c r="O763">
        <v>2.4823000000000001E-2</v>
      </c>
      <c r="P763">
        <v>3.7434000000000002E-2</v>
      </c>
      <c r="Q763">
        <v>3.2096E-2</v>
      </c>
      <c r="R763">
        <v>2.4174999999999999E-2</v>
      </c>
      <c r="S763">
        <v>6.7674999999999999E-2</v>
      </c>
      <c r="T763">
        <v>3.8396E-2</v>
      </c>
      <c r="U763">
        <v>2.1191000000000002E-2</v>
      </c>
      <c r="V763">
        <v>2.4358999999999999E-2</v>
      </c>
      <c r="W763">
        <v>3.0630999999999999E-2</v>
      </c>
      <c r="X763">
        <v>3.9572999999999997E-2</v>
      </c>
      <c r="Y763">
        <v>1.6652E-2</v>
      </c>
      <c r="Z763">
        <v>2.2550000000000001E-3</v>
      </c>
      <c r="AA763">
        <v>2.1505E-2</v>
      </c>
      <c r="AB763">
        <v>1.5491E-2</v>
      </c>
    </row>
    <row r="764" spans="1:28" x14ac:dyDescent="0.2">
      <c r="A764">
        <v>19950731</v>
      </c>
      <c r="B764">
        <v>1995</v>
      </c>
      <c r="C764">
        <v>7</v>
      </c>
      <c r="D764">
        <v>7.0147000000000001E-2</v>
      </c>
      <c r="E764">
        <v>6.1855E-2</v>
      </c>
      <c r="F764">
        <v>5.8666000000000003E-2</v>
      </c>
      <c r="G764">
        <v>4.2716999999999998E-2</v>
      </c>
      <c r="H764">
        <v>4.9967999999999999E-2</v>
      </c>
      <c r="I764">
        <v>8.8248999999999994E-2</v>
      </c>
      <c r="J764">
        <v>6.0086000000000001E-2</v>
      </c>
      <c r="K764">
        <v>3.7391000000000001E-2</v>
      </c>
      <c r="L764">
        <v>6.1775999999999998E-2</v>
      </c>
      <c r="M764">
        <v>4.7170999999999998E-2</v>
      </c>
      <c r="N764">
        <v>8.2305000000000003E-2</v>
      </c>
      <c r="O764">
        <v>4.1607999999999999E-2</v>
      </c>
      <c r="P764">
        <v>4.4674999999999999E-2</v>
      </c>
      <c r="Q764">
        <v>4.6313E-2</v>
      </c>
      <c r="R764">
        <v>5.5389000000000001E-2</v>
      </c>
      <c r="S764">
        <v>8.3572999999999995E-2</v>
      </c>
      <c r="T764">
        <v>5.4032999999999998E-2</v>
      </c>
      <c r="U764">
        <v>3.6711000000000001E-2</v>
      </c>
      <c r="V764">
        <v>4.0973999999999997E-2</v>
      </c>
      <c r="W764">
        <v>3.1600999999999997E-2</v>
      </c>
      <c r="X764">
        <v>2.9607000000000001E-2</v>
      </c>
      <c r="Y764">
        <v>3.4335999999999998E-2</v>
      </c>
      <c r="Z764">
        <v>4.1473999999999997E-2</v>
      </c>
      <c r="AA764">
        <v>3.8412000000000002E-2</v>
      </c>
      <c r="AB764">
        <v>2.9930999999999999E-2</v>
      </c>
    </row>
    <row r="765" spans="1:28" x14ac:dyDescent="0.2">
      <c r="A765">
        <v>19950831</v>
      </c>
      <c r="B765">
        <v>1995</v>
      </c>
      <c r="C765">
        <v>8</v>
      </c>
      <c r="D765">
        <v>4.1953999999999998E-2</v>
      </c>
      <c r="E765">
        <v>4.7988999999999997E-2</v>
      </c>
      <c r="F765">
        <v>4.2749000000000002E-2</v>
      </c>
      <c r="G765">
        <v>3.8892999999999997E-2</v>
      </c>
      <c r="H765">
        <v>4.1202999999999997E-2</v>
      </c>
      <c r="I765">
        <v>6.8599999999999998E-3</v>
      </c>
      <c r="J765">
        <v>1.4456999999999999E-2</v>
      </c>
      <c r="K765">
        <v>1.9015000000000001E-2</v>
      </c>
      <c r="L765">
        <v>3.2405000000000003E-2</v>
      </c>
      <c r="M765">
        <v>3.7046999999999997E-2</v>
      </c>
      <c r="N765">
        <v>3.9420000000000002E-3</v>
      </c>
      <c r="O765">
        <v>1.5086E-2</v>
      </c>
      <c r="P765">
        <v>1.8454999999999999E-2</v>
      </c>
      <c r="Q765">
        <v>3.3898999999999999E-2</v>
      </c>
      <c r="R765">
        <v>3.9571000000000002E-2</v>
      </c>
      <c r="S765">
        <v>1.186E-3</v>
      </c>
      <c r="T765">
        <v>1.8630000000000001E-2</v>
      </c>
      <c r="U765">
        <v>1.8370999999999998E-2</v>
      </c>
      <c r="V765">
        <v>2.0591000000000002E-2</v>
      </c>
      <c r="W765">
        <v>3.4403999999999997E-2</v>
      </c>
      <c r="X765">
        <v>7.2999999999999999E-5</v>
      </c>
      <c r="Y765">
        <v>7.9869999999999993E-3</v>
      </c>
      <c r="Z765">
        <v>-2.1480000000000002E-3</v>
      </c>
      <c r="AA765">
        <v>1.5768999999999998E-2</v>
      </c>
      <c r="AB765">
        <v>4.2171E-2</v>
      </c>
    </row>
    <row r="766" spans="1:28" x14ac:dyDescent="0.2">
      <c r="A766">
        <v>19950929</v>
      </c>
      <c r="B766">
        <v>1995</v>
      </c>
      <c r="C766">
        <v>9</v>
      </c>
      <c r="D766">
        <v>3.2509000000000003E-2</v>
      </c>
      <c r="E766">
        <v>2.8615000000000002E-2</v>
      </c>
      <c r="F766">
        <v>1.7034000000000001E-2</v>
      </c>
      <c r="G766">
        <v>2.3108E-2</v>
      </c>
      <c r="H766">
        <v>2.3826E-2</v>
      </c>
      <c r="I766">
        <v>1.9987999999999999E-2</v>
      </c>
      <c r="J766">
        <v>2.1047E-2</v>
      </c>
      <c r="K766">
        <v>1.9209E-2</v>
      </c>
      <c r="L766">
        <v>2.5163999999999999E-2</v>
      </c>
      <c r="M766">
        <v>8.8199999999999997E-4</v>
      </c>
      <c r="N766">
        <v>2.7734000000000002E-2</v>
      </c>
      <c r="O766">
        <v>5.5779999999999996E-3</v>
      </c>
      <c r="P766">
        <v>2.1283E-2</v>
      </c>
      <c r="Q766">
        <v>2.2325000000000001E-2</v>
      </c>
      <c r="R766">
        <v>-6.7920000000000003E-3</v>
      </c>
      <c r="S766">
        <v>3.9573999999999998E-2</v>
      </c>
      <c r="T766">
        <v>1.5654999999999999E-2</v>
      </c>
      <c r="U766">
        <v>1.9073E-2</v>
      </c>
      <c r="V766">
        <v>2.4556000000000001E-2</v>
      </c>
      <c r="W766">
        <v>1.2675000000000001E-2</v>
      </c>
      <c r="X766">
        <v>5.8314999999999999E-2</v>
      </c>
      <c r="Y766">
        <v>3.9455999999999998E-2</v>
      </c>
      <c r="Z766">
        <v>2.2287999999999999E-2</v>
      </c>
      <c r="AA766">
        <v>5.5501000000000002E-2</v>
      </c>
      <c r="AB766">
        <v>3.9371999999999997E-2</v>
      </c>
    </row>
    <row r="767" spans="1:28" x14ac:dyDescent="0.2">
      <c r="A767">
        <v>19951031</v>
      </c>
      <c r="B767">
        <v>1995</v>
      </c>
      <c r="C767">
        <v>10</v>
      </c>
      <c r="D767">
        <v>-6.1004999999999997E-2</v>
      </c>
      <c r="E767">
        <v>-6.2144999999999999E-2</v>
      </c>
      <c r="F767">
        <v>-5.0562999999999997E-2</v>
      </c>
      <c r="G767">
        <v>-2.5537000000000001E-2</v>
      </c>
      <c r="H767">
        <v>-2.8636000000000002E-2</v>
      </c>
      <c r="I767">
        <v>-6.9432999999999995E-2</v>
      </c>
      <c r="J767">
        <v>-6.7325999999999997E-2</v>
      </c>
      <c r="K767">
        <v>-5.4767999999999997E-2</v>
      </c>
      <c r="L767">
        <v>-4.4422000000000003E-2</v>
      </c>
      <c r="M767">
        <v>-5.1895999999999998E-2</v>
      </c>
      <c r="N767">
        <v>-2.6287999999999999E-2</v>
      </c>
      <c r="O767">
        <v>-3.9537000000000003E-2</v>
      </c>
      <c r="P767">
        <v>-2.4081999999999999E-2</v>
      </c>
      <c r="Q767">
        <v>-3.3842999999999998E-2</v>
      </c>
      <c r="R767">
        <v>-3.4384999999999999E-2</v>
      </c>
      <c r="S767">
        <v>-1.6539999999999999E-2</v>
      </c>
      <c r="T767">
        <v>-4.4431999999999999E-2</v>
      </c>
      <c r="U767">
        <v>-2.4976999999999999E-2</v>
      </c>
      <c r="V767">
        <v>-9.6400000000000001E-4</v>
      </c>
      <c r="W767">
        <v>-2.8465000000000001E-2</v>
      </c>
      <c r="X767">
        <v>5.6490000000000004E-3</v>
      </c>
      <c r="Y767">
        <v>1.106E-2</v>
      </c>
      <c r="Z767">
        <v>5.6730000000000001E-3</v>
      </c>
      <c r="AA767">
        <v>-3.2846E-2</v>
      </c>
      <c r="AB767">
        <v>-3.8267000000000002E-2</v>
      </c>
    </row>
    <row r="768" spans="1:28" x14ac:dyDescent="0.2">
      <c r="A768">
        <v>19951130</v>
      </c>
      <c r="B768">
        <v>1995</v>
      </c>
      <c r="C768">
        <v>11</v>
      </c>
      <c r="D768">
        <v>1.8402999999999999E-2</v>
      </c>
      <c r="E768">
        <v>2.2908999999999999E-2</v>
      </c>
      <c r="F768">
        <v>1.0251E-2</v>
      </c>
      <c r="G768">
        <v>2.3441E-2</v>
      </c>
      <c r="H768">
        <v>1.4574999999999999E-2</v>
      </c>
      <c r="I768">
        <v>4.6618E-2</v>
      </c>
      <c r="J768">
        <v>4.6509000000000002E-2</v>
      </c>
      <c r="K768">
        <v>3.7766000000000001E-2</v>
      </c>
      <c r="L768">
        <v>5.3282999999999997E-2</v>
      </c>
      <c r="M768">
        <v>5.7557999999999998E-2</v>
      </c>
      <c r="N768">
        <v>6.3141000000000003E-2</v>
      </c>
      <c r="O768">
        <v>3.2410000000000001E-2</v>
      </c>
      <c r="P768">
        <v>3.6019000000000002E-2</v>
      </c>
      <c r="Q768">
        <v>4.6353999999999999E-2</v>
      </c>
      <c r="R768">
        <v>6.3384999999999997E-2</v>
      </c>
      <c r="S768">
        <v>4.4795000000000001E-2</v>
      </c>
      <c r="T768">
        <v>3.5482E-2</v>
      </c>
      <c r="U768">
        <v>4.1737000000000003E-2</v>
      </c>
      <c r="V768">
        <v>4.5768999999999997E-2</v>
      </c>
      <c r="W768">
        <v>5.9463000000000002E-2</v>
      </c>
      <c r="X768">
        <v>4.5727999999999998E-2</v>
      </c>
      <c r="Y768">
        <v>2.5191999999999999E-2</v>
      </c>
      <c r="Z768">
        <v>4.3503E-2</v>
      </c>
      <c r="AA768">
        <v>6.9565000000000002E-2</v>
      </c>
      <c r="AB768">
        <v>5.074E-2</v>
      </c>
    </row>
    <row r="769" spans="1:28" x14ac:dyDescent="0.2">
      <c r="A769">
        <v>19951229</v>
      </c>
      <c r="B769">
        <v>1995</v>
      </c>
      <c r="C769">
        <v>12</v>
      </c>
      <c r="D769">
        <v>2.3175999999999999E-2</v>
      </c>
      <c r="E769">
        <v>3.2711999999999998E-2</v>
      </c>
      <c r="F769">
        <v>1.5205E-2</v>
      </c>
      <c r="G769">
        <v>1.5640999999999999E-2</v>
      </c>
      <c r="H769">
        <v>1.3767E-2</v>
      </c>
      <c r="I769">
        <v>2.7300999999999999E-2</v>
      </c>
      <c r="J769">
        <v>3.3577000000000003E-2</v>
      </c>
      <c r="K769">
        <v>3.3215000000000001E-2</v>
      </c>
      <c r="L769">
        <v>2.7175000000000001E-2</v>
      </c>
      <c r="M769">
        <v>3.2827000000000002E-2</v>
      </c>
      <c r="N769">
        <v>1.593E-2</v>
      </c>
      <c r="O769">
        <v>2.0733000000000001E-2</v>
      </c>
      <c r="P769">
        <v>2.904E-2</v>
      </c>
      <c r="Q769">
        <v>2.9197000000000001E-2</v>
      </c>
      <c r="R769">
        <v>7.1459999999999996E-3</v>
      </c>
      <c r="S769">
        <v>-2.0230000000000001E-2</v>
      </c>
      <c r="T769">
        <v>8.7119999999999993E-3</v>
      </c>
      <c r="U769">
        <v>1.5336000000000001E-2</v>
      </c>
      <c r="V769">
        <v>1.2023000000000001E-2</v>
      </c>
      <c r="W769">
        <v>-6.9290000000000003E-3</v>
      </c>
      <c r="X769">
        <v>5.7200000000000003E-3</v>
      </c>
      <c r="Y769">
        <v>2.0858999999999999E-2</v>
      </c>
      <c r="Z769">
        <v>3.5351E-2</v>
      </c>
      <c r="AA769">
        <v>1.3245E-2</v>
      </c>
      <c r="AB769">
        <v>3.0242999999999999E-2</v>
      </c>
    </row>
    <row r="770" spans="1:28" x14ac:dyDescent="0.2">
      <c r="A770">
        <v>19960131</v>
      </c>
      <c r="B770">
        <v>1996</v>
      </c>
      <c r="C770">
        <v>1</v>
      </c>
      <c r="D770">
        <v>2.0559999999999998E-2</v>
      </c>
      <c r="E770">
        <v>-9.8200000000000002E-4</v>
      </c>
      <c r="F770">
        <v>1.1743E-2</v>
      </c>
      <c r="G770">
        <v>8.7410000000000005E-3</v>
      </c>
      <c r="H770">
        <v>1.1251000000000001E-2</v>
      </c>
      <c r="I770">
        <v>-5.7619999999999998E-3</v>
      </c>
      <c r="J770">
        <v>-9.3469999999999994E-3</v>
      </c>
      <c r="K770">
        <v>4.0210000000000003E-3</v>
      </c>
      <c r="L770">
        <v>-5.4349999999999997E-3</v>
      </c>
      <c r="M770">
        <v>1.1582E-2</v>
      </c>
      <c r="N770">
        <v>-2.5184999999999999E-2</v>
      </c>
      <c r="O770">
        <v>5.7520000000000002E-3</v>
      </c>
      <c r="P770">
        <v>-1.3190000000000001E-3</v>
      </c>
      <c r="Q770">
        <v>1.4997999999999999E-2</v>
      </c>
      <c r="R770">
        <v>2.47E-3</v>
      </c>
      <c r="S770">
        <v>1.5771E-2</v>
      </c>
      <c r="T770">
        <v>2.2334E-2</v>
      </c>
      <c r="U770">
        <v>2.0115999999999998E-2</v>
      </c>
      <c r="V770">
        <v>1.6119999999999999E-2</v>
      </c>
      <c r="W770">
        <v>2.1869E-2</v>
      </c>
      <c r="X770">
        <v>3.9213999999999999E-2</v>
      </c>
      <c r="Y770">
        <v>3.0019000000000001E-2</v>
      </c>
      <c r="Z770">
        <v>3.0539E-2</v>
      </c>
      <c r="AA770">
        <v>3.5659000000000003E-2</v>
      </c>
      <c r="AB770">
        <v>3.4507999999999997E-2</v>
      </c>
    </row>
    <row r="771" spans="1:28" x14ac:dyDescent="0.2">
      <c r="A771">
        <v>19960229</v>
      </c>
      <c r="B771">
        <v>1996</v>
      </c>
      <c r="C771">
        <v>2</v>
      </c>
      <c r="D771">
        <v>3.4111000000000002E-2</v>
      </c>
      <c r="E771">
        <v>1.9928000000000001E-2</v>
      </c>
      <c r="F771">
        <v>3.2918000000000003E-2</v>
      </c>
      <c r="G771">
        <v>2.7213999999999999E-2</v>
      </c>
      <c r="H771">
        <v>3.3265000000000003E-2</v>
      </c>
      <c r="I771">
        <v>5.0756000000000003E-2</v>
      </c>
      <c r="J771">
        <v>4.7371999999999997E-2</v>
      </c>
      <c r="K771">
        <v>1.7562000000000001E-2</v>
      </c>
      <c r="L771">
        <v>2.2218999999999999E-2</v>
      </c>
      <c r="M771">
        <v>1.6868999999999999E-2</v>
      </c>
      <c r="N771">
        <v>5.8095000000000001E-2</v>
      </c>
      <c r="O771">
        <v>3.8043E-2</v>
      </c>
      <c r="P771">
        <v>2.0872999999999999E-2</v>
      </c>
      <c r="Q771">
        <v>2.2328000000000001E-2</v>
      </c>
      <c r="R771">
        <v>1.7033E-2</v>
      </c>
      <c r="S771">
        <v>5.2103999999999998E-2</v>
      </c>
      <c r="T771">
        <v>8.0649999999999993E-3</v>
      </c>
      <c r="U771">
        <v>1.3734E-2</v>
      </c>
      <c r="V771">
        <v>9.4800000000000006E-3</v>
      </c>
      <c r="W771">
        <v>-1.0854000000000001E-2</v>
      </c>
      <c r="X771">
        <v>1.0104999999999999E-2</v>
      </c>
      <c r="Y771">
        <v>1.6407000000000001E-2</v>
      </c>
      <c r="Z771">
        <v>1.5278E-2</v>
      </c>
      <c r="AA771">
        <v>1.2541E-2</v>
      </c>
      <c r="AB771">
        <v>2.2214999999999999E-2</v>
      </c>
    </row>
    <row r="772" spans="1:28" x14ac:dyDescent="0.2">
      <c r="A772">
        <v>19960329</v>
      </c>
      <c r="B772">
        <v>1996</v>
      </c>
      <c r="C772">
        <v>3</v>
      </c>
      <c r="D772">
        <v>2.8615000000000002E-2</v>
      </c>
      <c r="E772">
        <v>3.7318999999999998E-2</v>
      </c>
      <c r="F772">
        <v>2.4361000000000001E-2</v>
      </c>
      <c r="G772">
        <v>4.6646E-2</v>
      </c>
      <c r="H772">
        <v>2.0716999999999999E-2</v>
      </c>
      <c r="I772">
        <v>2.4181999999999999E-2</v>
      </c>
      <c r="J772">
        <v>2.0632000000000001E-2</v>
      </c>
      <c r="K772">
        <v>1.3813000000000001E-2</v>
      </c>
      <c r="L772">
        <v>1.7933999999999999E-2</v>
      </c>
      <c r="M772">
        <v>3.9094999999999998E-2</v>
      </c>
      <c r="N772">
        <v>2.5647E-2</v>
      </c>
      <c r="O772">
        <v>1.6129000000000001E-2</v>
      </c>
      <c r="P772">
        <v>3.6015999999999999E-2</v>
      </c>
      <c r="Q772">
        <v>3.1267000000000003E-2</v>
      </c>
      <c r="R772">
        <v>2.1065E-2</v>
      </c>
      <c r="S772">
        <v>1.1624000000000001E-2</v>
      </c>
      <c r="T772">
        <v>1.1722E-2</v>
      </c>
      <c r="U772">
        <v>1.9864E-2</v>
      </c>
      <c r="V772">
        <v>6.5030000000000001E-3</v>
      </c>
      <c r="W772">
        <v>2.6414E-2</v>
      </c>
      <c r="X772">
        <v>-3.124E-3</v>
      </c>
      <c r="Y772">
        <v>1.3114000000000001E-2</v>
      </c>
      <c r="Z772">
        <v>1.0227999999999999E-2</v>
      </c>
      <c r="AA772">
        <v>2.2731000000000001E-2</v>
      </c>
      <c r="AB772">
        <v>2.6769000000000001E-2</v>
      </c>
    </row>
    <row r="773" spans="1:28" x14ac:dyDescent="0.2">
      <c r="A773">
        <v>19960430</v>
      </c>
      <c r="B773">
        <v>1996</v>
      </c>
      <c r="C773">
        <v>4</v>
      </c>
      <c r="D773">
        <v>8.6113999999999996E-2</v>
      </c>
      <c r="E773">
        <v>9.4923999999999994E-2</v>
      </c>
      <c r="F773">
        <v>9.1234999999999997E-2</v>
      </c>
      <c r="G773">
        <v>5.6197999999999998E-2</v>
      </c>
      <c r="H773">
        <v>5.6471E-2</v>
      </c>
      <c r="I773">
        <v>0.104548</v>
      </c>
      <c r="J773">
        <v>7.9208000000000001E-2</v>
      </c>
      <c r="K773">
        <v>2.6866000000000001E-2</v>
      </c>
      <c r="L773">
        <v>4.0202000000000002E-2</v>
      </c>
      <c r="M773">
        <v>6.2554999999999999E-2</v>
      </c>
      <c r="N773">
        <v>6.4298999999999995E-2</v>
      </c>
      <c r="O773">
        <v>3.4455E-2</v>
      </c>
      <c r="P773">
        <v>1.95E-2</v>
      </c>
      <c r="Q773">
        <v>1.6472000000000001E-2</v>
      </c>
      <c r="R773">
        <v>4.777E-3</v>
      </c>
      <c r="S773">
        <v>6.3407000000000005E-2</v>
      </c>
      <c r="T773">
        <v>5.0160000000000003E-2</v>
      </c>
      <c r="U773">
        <v>3.2544999999999998E-2</v>
      </c>
      <c r="V773">
        <v>1.8860000000000001E-3</v>
      </c>
      <c r="W773">
        <v>-1.9404999999999999E-2</v>
      </c>
      <c r="X773">
        <v>1.4479000000000001E-2</v>
      </c>
      <c r="Y773">
        <v>2.7248999999999999E-2</v>
      </c>
      <c r="Z773">
        <v>1.5108E-2</v>
      </c>
      <c r="AA773">
        <v>-9.2890000000000004E-3</v>
      </c>
      <c r="AB773">
        <v>2.6029999999999998E-3</v>
      </c>
    </row>
    <row r="774" spans="1:28" x14ac:dyDescent="0.2">
      <c r="A774">
        <v>19960531</v>
      </c>
      <c r="B774">
        <v>1996</v>
      </c>
      <c r="C774">
        <v>5</v>
      </c>
      <c r="D774">
        <v>8.0546000000000006E-2</v>
      </c>
      <c r="E774">
        <v>6.0117999999999998E-2</v>
      </c>
      <c r="F774">
        <v>8.4679000000000004E-2</v>
      </c>
      <c r="G774">
        <v>7.2951000000000002E-2</v>
      </c>
      <c r="H774">
        <v>5.0300999999999998E-2</v>
      </c>
      <c r="I774">
        <v>6.2640000000000001E-2</v>
      </c>
      <c r="J774">
        <v>3.8391000000000002E-2</v>
      </c>
      <c r="K774">
        <v>4.4187999999999998E-2</v>
      </c>
      <c r="L774">
        <v>4.7009000000000002E-2</v>
      </c>
      <c r="M774">
        <v>7.5583999999999998E-2</v>
      </c>
      <c r="N774">
        <v>3.5361999999999998E-2</v>
      </c>
      <c r="O774">
        <v>3.1599000000000002E-2</v>
      </c>
      <c r="P774">
        <v>1.5654999999999999E-2</v>
      </c>
      <c r="Q774">
        <v>1.8896E-2</v>
      </c>
      <c r="R774">
        <v>6.8469999999999998E-3</v>
      </c>
      <c r="S774">
        <v>3.0131000000000002E-2</v>
      </c>
      <c r="T774">
        <v>1.2390000000000001E-3</v>
      </c>
      <c r="U774">
        <v>1.3063999999999999E-2</v>
      </c>
      <c r="V774">
        <v>1.2282E-2</v>
      </c>
      <c r="W774">
        <v>4.1790000000000004E-3</v>
      </c>
      <c r="X774">
        <v>4.5372999999999997E-2</v>
      </c>
      <c r="Y774">
        <v>1.0122000000000001E-2</v>
      </c>
      <c r="Z774">
        <v>3.5980000000000001E-3</v>
      </c>
      <c r="AA774">
        <v>2.4924000000000002E-2</v>
      </c>
      <c r="AB774">
        <v>2.7191E-2</v>
      </c>
    </row>
    <row r="775" spans="1:28" x14ac:dyDescent="0.2">
      <c r="A775">
        <v>19960628</v>
      </c>
      <c r="B775">
        <v>1996</v>
      </c>
      <c r="C775">
        <v>6</v>
      </c>
      <c r="D775">
        <v>-7.4869000000000005E-2</v>
      </c>
      <c r="E775">
        <v>-5.8331000000000001E-2</v>
      </c>
      <c r="F775">
        <v>-4.9646000000000003E-2</v>
      </c>
      <c r="G775">
        <v>-3.2606999999999997E-2</v>
      </c>
      <c r="H775">
        <v>-2.3445000000000001E-2</v>
      </c>
      <c r="I775">
        <v>-6.6696000000000005E-2</v>
      </c>
      <c r="J775">
        <v>-3.8549E-2</v>
      </c>
      <c r="K775">
        <v>-1.9102000000000001E-2</v>
      </c>
      <c r="L775">
        <v>-3.1319999999999998E-3</v>
      </c>
      <c r="M775">
        <v>-5.4313E-2</v>
      </c>
      <c r="N775">
        <v>-7.7922000000000005E-2</v>
      </c>
      <c r="O775">
        <v>-1.3764E-2</v>
      </c>
      <c r="P775">
        <v>-1.242E-2</v>
      </c>
      <c r="Q775">
        <v>-5.2249999999999996E-3</v>
      </c>
      <c r="R775">
        <v>-1.0857E-2</v>
      </c>
      <c r="S775">
        <v>-4.1019E-2</v>
      </c>
      <c r="T775">
        <v>-2.1840999999999999E-2</v>
      </c>
      <c r="U775">
        <v>-1.2964E-2</v>
      </c>
      <c r="V775">
        <v>9.5390000000000006E-3</v>
      </c>
      <c r="W775">
        <v>5.3249999999999999E-3</v>
      </c>
      <c r="X775">
        <v>1.4527E-2</v>
      </c>
      <c r="Y775">
        <v>1.8860000000000001E-3</v>
      </c>
      <c r="Z775">
        <v>4.4289999999999998E-3</v>
      </c>
      <c r="AA775">
        <v>-6.2859999999999999E-3</v>
      </c>
      <c r="AB775">
        <v>-2.5635999999999999E-2</v>
      </c>
    </row>
    <row r="776" spans="1:28" x14ac:dyDescent="0.2">
      <c r="A776">
        <v>19960731</v>
      </c>
      <c r="B776">
        <v>1996</v>
      </c>
      <c r="C776">
        <v>7</v>
      </c>
      <c r="D776">
        <v>-0.14566899999999999</v>
      </c>
      <c r="E776">
        <v>-9.8752000000000006E-2</v>
      </c>
      <c r="F776">
        <v>-7.6165999999999998E-2</v>
      </c>
      <c r="G776">
        <v>-4.2708000000000003E-2</v>
      </c>
      <c r="H776">
        <v>-5.7306000000000003E-2</v>
      </c>
      <c r="I776">
        <v>-0.15417700000000001</v>
      </c>
      <c r="J776">
        <v>-9.3521999999999994E-2</v>
      </c>
      <c r="K776">
        <v>-7.0611999999999994E-2</v>
      </c>
      <c r="L776">
        <v>-4.9623E-2</v>
      </c>
      <c r="M776">
        <v>-6.1478999999999999E-2</v>
      </c>
      <c r="N776">
        <v>-0.117616</v>
      </c>
      <c r="O776">
        <v>-7.1884000000000003E-2</v>
      </c>
      <c r="P776">
        <v>-4.8894E-2</v>
      </c>
      <c r="Q776">
        <v>-6.1219999999999997E-2</v>
      </c>
      <c r="R776">
        <v>-6.0606E-2</v>
      </c>
      <c r="S776">
        <v>-8.9305999999999996E-2</v>
      </c>
      <c r="T776">
        <v>-5.0601E-2</v>
      </c>
      <c r="U776">
        <v>-5.2224E-2</v>
      </c>
      <c r="V776">
        <v>-4.2009999999999999E-2</v>
      </c>
      <c r="W776">
        <v>-5.3094000000000002E-2</v>
      </c>
      <c r="X776">
        <v>-5.1901999999999997E-2</v>
      </c>
      <c r="Y776">
        <v>-4.4775000000000002E-2</v>
      </c>
      <c r="Z776">
        <v>-2.7851000000000001E-2</v>
      </c>
      <c r="AA776">
        <v>-3.9727999999999999E-2</v>
      </c>
      <c r="AB776">
        <v>-4.6567999999999998E-2</v>
      </c>
    </row>
    <row r="777" spans="1:28" x14ac:dyDescent="0.2">
      <c r="A777">
        <v>19960830</v>
      </c>
      <c r="B777">
        <v>1996</v>
      </c>
      <c r="C777">
        <v>8</v>
      </c>
      <c r="D777">
        <v>4.6434999999999997E-2</v>
      </c>
      <c r="E777">
        <v>4.5831999999999998E-2</v>
      </c>
      <c r="F777">
        <v>3.9394999999999999E-2</v>
      </c>
      <c r="G777">
        <v>4.0291E-2</v>
      </c>
      <c r="H777">
        <v>3.934E-2</v>
      </c>
      <c r="I777">
        <v>7.7213000000000004E-2</v>
      </c>
      <c r="J777">
        <v>6.3185000000000005E-2</v>
      </c>
      <c r="K777">
        <v>2.5425E-2</v>
      </c>
      <c r="L777">
        <v>4.8014000000000001E-2</v>
      </c>
      <c r="M777">
        <v>5.2546000000000002E-2</v>
      </c>
      <c r="N777">
        <v>8.2015000000000005E-2</v>
      </c>
      <c r="O777">
        <v>6.3747999999999999E-2</v>
      </c>
      <c r="P777">
        <v>5.7715000000000002E-2</v>
      </c>
      <c r="Q777">
        <v>7.0192000000000004E-2</v>
      </c>
      <c r="R777">
        <v>4.3248000000000002E-2</v>
      </c>
      <c r="S777">
        <v>5.6965000000000002E-2</v>
      </c>
      <c r="T777">
        <v>5.7245999999999998E-2</v>
      </c>
      <c r="U777">
        <v>5.0373000000000001E-2</v>
      </c>
      <c r="V777">
        <v>4.8058999999999998E-2</v>
      </c>
      <c r="W777">
        <v>4.5664999999999997E-2</v>
      </c>
      <c r="X777">
        <v>1.4588E-2</v>
      </c>
      <c r="Y777">
        <v>1.7069999999999998E-2</v>
      </c>
      <c r="Z777">
        <v>4.1146000000000002E-2</v>
      </c>
      <c r="AA777">
        <v>2.3729E-2</v>
      </c>
      <c r="AB777">
        <v>2.8223999999999999E-2</v>
      </c>
    </row>
    <row r="778" spans="1:28" x14ac:dyDescent="0.2">
      <c r="A778">
        <v>19960930</v>
      </c>
      <c r="B778">
        <v>1996</v>
      </c>
      <c r="C778">
        <v>9</v>
      </c>
      <c r="D778">
        <v>2.8160999999999999E-2</v>
      </c>
      <c r="E778">
        <v>2.5801000000000001E-2</v>
      </c>
      <c r="F778">
        <v>2.3385E-2</v>
      </c>
      <c r="G778">
        <v>3.0188E-2</v>
      </c>
      <c r="H778">
        <v>2.9228000000000001E-2</v>
      </c>
      <c r="I778">
        <v>5.7077999999999997E-2</v>
      </c>
      <c r="J778">
        <v>2.8205000000000001E-2</v>
      </c>
      <c r="K778">
        <v>2.2731000000000001E-2</v>
      </c>
      <c r="L778">
        <v>3.6782000000000002E-2</v>
      </c>
      <c r="M778">
        <v>4.1473999999999997E-2</v>
      </c>
      <c r="N778">
        <v>7.9695000000000002E-2</v>
      </c>
      <c r="O778">
        <v>4.3291999999999997E-2</v>
      </c>
      <c r="P778">
        <v>3.1472E-2</v>
      </c>
      <c r="Q778">
        <v>2.0011999999999999E-2</v>
      </c>
      <c r="R778">
        <v>2.4407000000000002E-2</v>
      </c>
      <c r="S778">
        <v>5.7436000000000001E-2</v>
      </c>
      <c r="T778">
        <v>4.5532000000000003E-2</v>
      </c>
      <c r="U778">
        <v>3.0768E-2</v>
      </c>
      <c r="V778">
        <v>4.1167000000000002E-2</v>
      </c>
      <c r="W778">
        <v>3.7491999999999998E-2</v>
      </c>
      <c r="X778">
        <v>7.2927000000000006E-2</v>
      </c>
      <c r="Y778">
        <v>4.8186E-2</v>
      </c>
      <c r="Z778">
        <v>4.7156000000000003E-2</v>
      </c>
      <c r="AA778">
        <v>3.5298000000000003E-2</v>
      </c>
      <c r="AB778">
        <v>1.4872E-2</v>
      </c>
    </row>
    <row r="779" spans="1:28" x14ac:dyDescent="0.2">
      <c r="A779">
        <v>19961031</v>
      </c>
      <c r="B779">
        <v>1996</v>
      </c>
      <c r="C779">
        <v>10</v>
      </c>
      <c r="D779">
        <v>-5.6036000000000002E-2</v>
      </c>
      <c r="E779">
        <v>-2.2114999999999999E-2</v>
      </c>
      <c r="F779">
        <v>-1.2659E-2</v>
      </c>
      <c r="G779">
        <v>1.2716E-2</v>
      </c>
      <c r="H779">
        <v>8.8830000000000003E-3</v>
      </c>
      <c r="I779">
        <v>-5.2621000000000001E-2</v>
      </c>
      <c r="J779">
        <v>-2.0219000000000001E-2</v>
      </c>
      <c r="K779">
        <v>1.18E-2</v>
      </c>
      <c r="L779">
        <v>2.0538000000000001E-2</v>
      </c>
      <c r="M779">
        <v>1.1228E-2</v>
      </c>
      <c r="N779">
        <v>-6.4736000000000002E-2</v>
      </c>
      <c r="O779">
        <v>-2.6432000000000001E-2</v>
      </c>
      <c r="P779">
        <v>3.6770000000000001E-3</v>
      </c>
      <c r="Q779">
        <v>2.2061000000000001E-2</v>
      </c>
      <c r="R779">
        <v>-2.3219999999999998E-3</v>
      </c>
      <c r="S779">
        <v>-3.7593000000000001E-2</v>
      </c>
      <c r="T779">
        <v>1.8287000000000001E-2</v>
      </c>
      <c r="U779">
        <v>1.5455999999999999E-2</v>
      </c>
      <c r="V779">
        <v>2.6755000000000001E-2</v>
      </c>
      <c r="W779">
        <v>3.1488000000000002E-2</v>
      </c>
      <c r="X779">
        <v>1.4585000000000001E-2</v>
      </c>
      <c r="Y779">
        <v>1.7749000000000001E-2</v>
      </c>
      <c r="Z779">
        <v>4.4422000000000003E-2</v>
      </c>
      <c r="AA779">
        <v>4.9399999999999999E-2</v>
      </c>
      <c r="AB779">
        <v>5.9575999999999997E-2</v>
      </c>
    </row>
    <row r="780" spans="1:28" x14ac:dyDescent="0.2">
      <c r="A780">
        <v>19961129</v>
      </c>
      <c r="B780">
        <v>1996</v>
      </c>
      <c r="C780">
        <v>11</v>
      </c>
      <c r="D780">
        <v>-7.1960000000000001E-3</v>
      </c>
      <c r="E780">
        <v>2.2348E-2</v>
      </c>
      <c r="F780">
        <v>3.4257000000000003E-2</v>
      </c>
      <c r="G780">
        <v>4.5400999999999997E-2</v>
      </c>
      <c r="H780">
        <v>4.1980999999999997E-2</v>
      </c>
      <c r="I780">
        <v>1.393E-2</v>
      </c>
      <c r="J780">
        <v>3.2059999999999998E-2</v>
      </c>
      <c r="K780">
        <v>5.0186000000000001E-2</v>
      </c>
      <c r="L780">
        <v>4.0835000000000003E-2</v>
      </c>
      <c r="M780">
        <v>4.2227000000000001E-2</v>
      </c>
      <c r="N780">
        <v>1.7708999999999999E-2</v>
      </c>
      <c r="O780">
        <v>6.4263000000000001E-2</v>
      </c>
      <c r="P780">
        <v>6.2873999999999999E-2</v>
      </c>
      <c r="Q780">
        <v>6.2336999999999997E-2</v>
      </c>
      <c r="R780">
        <v>4.5838999999999998E-2</v>
      </c>
      <c r="S780">
        <v>5.6620999999999998E-2</v>
      </c>
      <c r="T780">
        <v>5.2186000000000003E-2</v>
      </c>
      <c r="U780">
        <v>6.5032000000000006E-2</v>
      </c>
      <c r="V780">
        <v>5.8358E-2</v>
      </c>
      <c r="W780">
        <v>8.6300000000000002E-2</v>
      </c>
      <c r="X780">
        <v>7.8050999999999995E-2</v>
      </c>
      <c r="Y780">
        <v>6.9843000000000002E-2</v>
      </c>
      <c r="Z780">
        <v>7.8450000000000006E-2</v>
      </c>
      <c r="AA780">
        <v>8.4690000000000001E-2</v>
      </c>
      <c r="AB780">
        <v>6.9112000000000007E-2</v>
      </c>
    </row>
    <row r="781" spans="1:28" x14ac:dyDescent="0.2">
      <c r="A781">
        <v>19961231</v>
      </c>
      <c r="B781">
        <v>1996</v>
      </c>
      <c r="C781">
        <v>12</v>
      </c>
      <c r="D781">
        <v>-8.7939999999999997E-3</v>
      </c>
      <c r="E781">
        <v>1.9289000000000001E-2</v>
      </c>
      <c r="F781">
        <v>2.2953999999999999E-2</v>
      </c>
      <c r="G781">
        <v>2.2662999999999999E-2</v>
      </c>
      <c r="H781">
        <v>1.7698999999999999E-2</v>
      </c>
      <c r="I781">
        <v>1.5067000000000001E-2</v>
      </c>
      <c r="J781">
        <v>1.5739E-2</v>
      </c>
      <c r="K781">
        <v>3.6299999999999999E-2</v>
      </c>
      <c r="L781">
        <v>3.7588000000000003E-2</v>
      </c>
      <c r="M781">
        <v>1.9805E-2</v>
      </c>
      <c r="N781">
        <v>-5.0359999999999997E-3</v>
      </c>
      <c r="O781">
        <v>4.8630000000000001E-3</v>
      </c>
      <c r="P781">
        <v>1.9519000000000002E-2</v>
      </c>
      <c r="Q781">
        <v>6.195E-3</v>
      </c>
      <c r="R781">
        <v>1.8734000000000001E-2</v>
      </c>
      <c r="S781">
        <v>-2.2089999999999999E-2</v>
      </c>
      <c r="T781">
        <v>1.598E-3</v>
      </c>
      <c r="U781">
        <v>-2.5690000000000001E-3</v>
      </c>
      <c r="V781">
        <v>4.1590000000000004E-3</v>
      </c>
      <c r="W781">
        <v>1.8016000000000001E-2</v>
      </c>
      <c r="X781">
        <v>-2.2001E-2</v>
      </c>
      <c r="Y781">
        <v>-4.6160000000000003E-3</v>
      </c>
      <c r="Z781">
        <v>-2.4240999999999999E-2</v>
      </c>
      <c r="AA781">
        <v>-1.7193E-2</v>
      </c>
      <c r="AB781">
        <v>-2.3746E-2</v>
      </c>
    </row>
    <row r="782" spans="1:28" x14ac:dyDescent="0.2">
      <c r="A782">
        <v>19970131</v>
      </c>
      <c r="B782">
        <v>1997</v>
      </c>
      <c r="C782">
        <v>1</v>
      </c>
      <c r="D782">
        <v>6.2387999999999999E-2</v>
      </c>
      <c r="E782">
        <v>5.5924000000000001E-2</v>
      </c>
      <c r="F782">
        <v>6.4681000000000002E-2</v>
      </c>
      <c r="G782">
        <v>4.7245000000000002E-2</v>
      </c>
      <c r="H782">
        <v>3.7848E-2</v>
      </c>
      <c r="I782">
        <v>3.8334E-2</v>
      </c>
      <c r="J782">
        <v>3.5338000000000001E-2</v>
      </c>
      <c r="K782">
        <v>1.2286999999999999E-2</v>
      </c>
      <c r="L782">
        <v>1.0935E-2</v>
      </c>
      <c r="M782">
        <v>1.8933999999999999E-2</v>
      </c>
      <c r="N782">
        <v>2.3240000000000001E-3</v>
      </c>
      <c r="O782">
        <v>3.5399E-2</v>
      </c>
      <c r="P782">
        <v>2.1069999999999998E-2</v>
      </c>
      <c r="Q782">
        <v>2.8583000000000001E-2</v>
      </c>
      <c r="R782">
        <v>4.5601999999999997E-2</v>
      </c>
      <c r="S782">
        <v>2.3349999999999999E-2</v>
      </c>
      <c r="T782">
        <v>3.9862000000000002E-2</v>
      </c>
      <c r="U782">
        <v>3.4985000000000002E-2</v>
      </c>
      <c r="V782">
        <v>1.5734999999999999E-2</v>
      </c>
      <c r="W782">
        <v>5.0034000000000002E-2</v>
      </c>
      <c r="X782">
        <v>7.9280000000000003E-2</v>
      </c>
      <c r="Y782">
        <v>5.5892999999999998E-2</v>
      </c>
      <c r="Z782">
        <v>5.0652000000000003E-2</v>
      </c>
      <c r="AA782">
        <v>4.9362000000000003E-2</v>
      </c>
      <c r="AB782">
        <v>3.7747000000000003E-2</v>
      </c>
    </row>
    <row r="783" spans="1:28" x14ac:dyDescent="0.2">
      <c r="A783">
        <v>19970228</v>
      </c>
      <c r="B783">
        <v>1997</v>
      </c>
      <c r="C783">
        <v>2</v>
      </c>
      <c r="D783">
        <v>-5.8837E-2</v>
      </c>
      <c r="E783">
        <v>-5.0731999999999999E-2</v>
      </c>
      <c r="F783">
        <v>-1.8001E-2</v>
      </c>
      <c r="G783">
        <v>2.879E-3</v>
      </c>
      <c r="H783">
        <v>1.0803E-2</v>
      </c>
      <c r="I783">
        <v>-9.1717000000000007E-2</v>
      </c>
      <c r="J783">
        <v>-1.9404000000000001E-2</v>
      </c>
      <c r="K783">
        <v>-1.0416E-2</v>
      </c>
      <c r="L783">
        <v>1.2404999999999999E-2</v>
      </c>
      <c r="M783">
        <v>2.2778E-2</v>
      </c>
      <c r="N783">
        <v>-6.6113000000000005E-2</v>
      </c>
      <c r="O783">
        <v>-4.836E-3</v>
      </c>
      <c r="P783">
        <v>5.2290000000000001E-3</v>
      </c>
      <c r="Q783">
        <v>9.6439999999999998E-3</v>
      </c>
      <c r="R783">
        <v>1.4369E-2</v>
      </c>
      <c r="S783">
        <v>-3.9255999999999999E-2</v>
      </c>
      <c r="T783">
        <v>1.4218E-2</v>
      </c>
      <c r="U783">
        <v>9.5359999999999993E-3</v>
      </c>
      <c r="V783">
        <v>2.3453000000000002E-2</v>
      </c>
      <c r="W783">
        <v>3.5476000000000001E-2</v>
      </c>
      <c r="X783">
        <v>6.2620000000000002E-3</v>
      </c>
      <c r="Y783">
        <v>-8.1119999999999994E-3</v>
      </c>
      <c r="Z783">
        <v>5.53E-4</v>
      </c>
      <c r="AA783">
        <v>3.1238999999999999E-2</v>
      </c>
      <c r="AB783">
        <v>3.0197999999999999E-2</v>
      </c>
    </row>
    <row r="784" spans="1:28" x14ac:dyDescent="0.2">
      <c r="A784">
        <v>19970331</v>
      </c>
      <c r="B784">
        <v>1997</v>
      </c>
      <c r="C784">
        <v>3</v>
      </c>
      <c r="D784">
        <v>-9.6576999999999996E-2</v>
      </c>
      <c r="E784">
        <v>-6.4815999999999999E-2</v>
      </c>
      <c r="F784">
        <v>-3.4058999999999999E-2</v>
      </c>
      <c r="G784">
        <v>-1.9706000000000001E-2</v>
      </c>
      <c r="H784">
        <v>-2.1731E-2</v>
      </c>
      <c r="I784">
        <v>-9.1304999999999997E-2</v>
      </c>
      <c r="J784">
        <v>-5.8043999999999998E-2</v>
      </c>
      <c r="K784">
        <v>-2.2696000000000001E-2</v>
      </c>
      <c r="L784">
        <v>-2.7188E-2</v>
      </c>
      <c r="M784">
        <v>-1.3984999999999999E-2</v>
      </c>
      <c r="N784">
        <v>-7.9435000000000006E-2</v>
      </c>
      <c r="O784">
        <v>-3.7539999999999997E-2</v>
      </c>
      <c r="P784">
        <v>-3.1567999999999999E-2</v>
      </c>
      <c r="Q784">
        <v>-2.2703999999999998E-2</v>
      </c>
      <c r="R784">
        <v>-2.6616000000000001E-2</v>
      </c>
      <c r="S784">
        <v>-7.2133000000000003E-2</v>
      </c>
      <c r="T784">
        <v>-4.8155000000000003E-2</v>
      </c>
      <c r="U784">
        <v>-2.3841999999999999E-2</v>
      </c>
      <c r="V784">
        <v>-4.2936000000000002E-2</v>
      </c>
      <c r="W784">
        <v>-3.6301E-2</v>
      </c>
      <c r="X784">
        <v>-5.4621000000000003E-2</v>
      </c>
      <c r="Y784">
        <v>-2.5557E-2</v>
      </c>
      <c r="Z784">
        <v>-2.6549E-2</v>
      </c>
      <c r="AA784">
        <v>-5.2715999999999999E-2</v>
      </c>
      <c r="AB784">
        <v>-5.5564000000000002E-2</v>
      </c>
    </row>
    <row r="785" spans="1:28" x14ac:dyDescent="0.2">
      <c r="A785">
        <v>19970430</v>
      </c>
      <c r="B785">
        <v>1997</v>
      </c>
      <c r="C785">
        <v>4</v>
      </c>
      <c r="D785">
        <v>-5.1683E-2</v>
      </c>
      <c r="E785">
        <v>-3.7781000000000002E-2</v>
      </c>
      <c r="F785">
        <v>-3.1358999999999998E-2</v>
      </c>
      <c r="G785">
        <v>-1.5354E-2</v>
      </c>
      <c r="H785">
        <v>-2.5288999999999999E-2</v>
      </c>
      <c r="I785">
        <v>-4.1625000000000002E-2</v>
      </c>
      <c r="J785">
        <v>7.3899999999999997E-4</v>
      </c>
      <c r="K785">
        <v>-6.4729999999999996E-3</v>
      </c>
      <c r="L785">
        <v>2.077E-2</v>
      </c>
      <c r="M785">
        <v>5.6930000000000001E-3</v>
      </c>
      <c r="N785">
        <v>-1.3054E-2</v>
      </c>
      <c r="O785">
        <v>2.8634E-2</v>
      </c>
      <c r="P785">
        <v>3.4006000000000002E-2</v>
      </c>
      <c r="Q785">
        <v>3.2689000000000003E-2</v>
      </c>
      <c r="R785">
        <v>1.5539000000000001E-2</v>
      </c>
      <c r="S785">
        <v>1.9184E-2</v>
      </c>
      <c r="T785">
        <v>2.8920999999999999E-2</v>
      </c>
      <c r="U785">
        <v>2.7241999999999999E-2</v>
      </c>
      <c r="V785">
        <v>2.7619000000000001E-2</v>
      </c>
      <c r="W785">
        <v>1.9182999999999999E-2</v>
      </c>
      <c r="X785">
        <v>8.1837999999999994E-2</v>
      </c>
      <c r="Y785">
        <v>3.3444000000000002E-2</v>
      </c>
      <c r="Z785">
        <v>5.1291000000000003E-2</v>
      </c>
      <c r="AA785">
        <v>3.7311999999999998E-2</v>
      </c>
      <c r="AB785">
        <v>3.9434999999999998E-2</v>
      </c>
    </row>
    <row r="786" spans="1:28" x14ac:dyDescent="0.2">
      <c r="A786">
        <v>19970530</v>
      </c>
      <c r="B786">
        <v>1997</v>
      </c>
      <c r="C786">
        <v>5</v>
      </c>
      <c r="D786">
        <v>0.122186</v>
      </c>
      <c r="E786">
        <v>0.124833</v>
      </c>
      <c r="F786">
        <v>0.103198</v>
      </c>
      <c r="G786">
        <v>8.3152000000000004E-2</v>
      </c>
      <c r="H786">
        <v>8.1625000000000003E-2</v>
      </c>
      <c r="I786">
        <v>0.17701500000000001</v>
      </c>
      <c r="J786">
        <v>0.128222</v>
      </c>
      <c r="K786">
        <v>9.6654000000000004E-2</v>
      </c>
      <c r="L786">
        <v>9.7917000000000004E-2</v>
      </c>
      <c r="M786">
        <v>8.0238000000000004E-2</v>
      </c>
      <c r="N786">
        <v>0.15415000000000001</v>
      </c>
      <c r="O786">
        <v>0.107318</v>
      </c>
      <c r="P786">
        <v>6.6976999999999995E-2</v>
      </c>
      <c r="Q786">
        <v>7.0370000000000002E-2</v>
      </c>
      <c r="R786">
        <v>8.2829E-2</v>
      </c>
      <c r="S786">
        <v>9.7637000000000002E-2</v>
      </c>
      <c r="T786">
        <v>7.2794999999999999E-2</v>
      </c>
      <c r="U786">
        <v>5.4288000000000003E-2</v>
      </c>
      <c r="V786">
        <v>7.1606000000000003E-2</v>
      </c>
      <c r="W786">
        <v>7.7507999999999994E-2</v>
      </c>
      <c r="X786">
        <v>6.3683000000000003E-2</v>
      </c>
      <c r="Y786">
        <v>6.8973999999999994E-2</v>
      </c>
      <c r="Z786">
        <v>5.4776999999999999E-2</v>
      </c>
      <c r="AA786">
        <v>5.2664999999999997E-2</v>
      </c>
      <c r="AB786">
        <v>5.4762999999999999E-2</v>
      </c>
    </row>
    <row r="787" spans="1:28" x14ac:dyDescent="0.2">
      <c r="A787">
        <v>19970630</v>
      </c>
      <c r="B787">
        <v>1997</v>
      </c>
      <c r="C787">
        <v>6</v>
      </c>
      <c r="D787">
        <v>3.9883000000000002E-2</v>
      </c>
      <c r="E787">
        <v>4.7058999999999997E-2</v>
      </c>
      <c r="F787">
        <v>5.8261E-2</v>
      </c>
      <c r="G787">
        <v>7.8653000000000001E-2</v>
      </c>
      <c r="H787">
        <v>7.0710999999999996E-2</v>
      </c>
      <c r="I787">
        <v>2.9606E-2</v>
      </c>
      <c r="J787">
        <v>4.6421999999999998E-2</v>
      </c>
      <c r="K787">
        <v>6.3303999999999999E-2</v>
      </c>
      <c r="L787">
        <v>5.8215999999999997E-2</v>
      </c>
      <c r="M787">
        <v>6.4130999999999994E-2</v>
      </c>
      <c r="N787">
        <v>4.0038999999999998E-2</v>
      </c>
      <c r="O787">
        <v>3.4283000000000001E-2</v>
      </c>
      <c r="P787">
        <v>5.2699999999999997E-2</v>
      </c>
      <c r="Q787">
        <v>5.1033000000000002E-2</v>
      </c>
      <c r="R787">
        <v>5.7362000000000003E-2</v>
      </c>
      <c r="S787">
        <v>2.0943E-2</v>
      </c>
      <c r="T787">
        <v>4.2481999999999999E-2</v>
      </c>
      <c r="U787">
        <v>4.0479000000000001E-2</v>
      </c>
      <c r="V787">
        <v>3.6165999999999997E-2</v>
      </c>
      <c r="W787">
        <v>4.1847000000000002E-2</v>
      </c>
      <c r="X787">
        <v>4.3774E-2</v>
      </c>
      <c r="Y787">
        <v>3.5513000000000003E-2</v>
      </c>
      <c r="Z787">
        <v>5.1490000000000001E-2</v>
      </c>
      <c r="AA787">
        <v>4.8105000000000002E-2</v>
      </c>
      <c r="AB787">
        <v>2.0833000000000001E-2</v>
      </c>
    </row>
    <row r="788" spans="1:28" x14ac:dyDescent="0.2">
      <c r="A788">
        <v>19970731</v>
      </c>
      <c r="B788">
        <v>1997</v>
      </c>
      <c r="C788">
        <v>7</v>
      </c>
      <c r="D788">
        <v>3.8497999999999998E-2</v>
      </c>
      <c r="E788">
        <v>5.2347999999999999E-2</v>
      </c>
      <c r="F788">
        <v>5.9921000000000002E-2</v>
      </c>
      <c r="G788">
        <v>6.0316000000000002E-2</v>
      </c>
      <c r="H788">
        <v>5.8951999999999997E-2</v>
      </c>
      <c r="I788">
        <v>4.9840000000000002E-2</v>
      </c>
      <c r="J788">
        <v>5.8113999999999999E-2</v>
      </c>
      <c r="K788">
        <v>3.8716E-2</v>
      </c>
      <c r="L788">
        <v>5.2019000000000003E-2</v>
      </c>
      <c r="M788">
        <v>5.5018999999999998E-2</v>
      </c>
      <c r="N788">
        <v>5.1423000000000003E-2</v>
      </c>
      <c r="O788">
        <v>6.8238999999999994E-2</v>
      </c>
      <c r="P788">
        <v>6.4699999999999994E-2</v>
      </c>
      <c r="Q788">
        <v>5.6235E-2</v>
      </c>
      <c r="R788">
        <v>6.2813999999999995E-2</v>
      </c>
      <c r="S788">
        <v>6.8032999999999996E-2</v>
      </c>
      <c r="T788">
        <v>6.8983000000000003E-2</v>
      </c>
      <c r="U788">
        <v>7.0935999999999999E-2</v>
      </c>
      <c r="V788">
        <v>7.2151000000000007E-2</v>
      </c>
      <c r="W788">
        <v>6.0594000000000002E-2</v>
      </c>
      <c r="X788">
        <v>8.1077999999999997E-2</v>
      </c>
      <c r="Y788">
        <v>7.7351000000000003E-2</v>
      </c>
      <c r="Z788">
        <v>0.10029100000000001</v>
      </c>
      <c r="AA788">
        <v>6.5298999999999996E-2</v>
      </c>
      <c r="AB788">
        <v>9.3789999999999998E-2</v>
      </c>
    </row>
    <row r="789" spans="1:28" x14ac:dyDescent="0.2">
      <c r="A789">
        <v>19970829</v>
      </c>
      <c r="B789">
        <v>1997</v>
      </c>
      <c r="C789">
        <v>8</v>
      </c>
      <c r="D789">
        <v>5.7735000000000002E-2</v>
      </c>
      <c r="E789">
        <v>4.5463999999999997E-2</v>
      </c>
      <c r="F789">
        <v>3.1982999999999998E-2</v>
      </c>
      <c r="G789">
        <v>4.0280999999999997E-2</v>
      </c>
      <c r="H789">
        <v>4.3045E-2</v>
      </c>
      <c r="I789">
        <v>3.8697000000000002E-2</v>
      </c>
      <c r="J789">
        <v>1.4385E-2</v>
      </c>
      <c r="K789">
        <v>4.2848999999999998E-2</v>
      </c>
      <c r="L789">
        <v>2.3837000000000001E-2</v>
      </c>
      <c r="M789">
        <v>3.5542999999999998E-2</v>
      </c>
      <c r="N789">
        <v>2.7649E-2</v>
      </c>
      <c r="O789">
        <v>3.2315000000000003E-2</v>
      </c>
      <c r="P789">
        <v>1.0536999999999999E-2</v>
      </c>
      <c r="Q789">
        <v>-1.8990000000000001E-3</v>
      </c>
      <c r="R789">
        <v>1.0028E-2</v>
      </c>
      <c r="S789">
        <v>2.1840000000000002E-3</v>
      </c>
      <c r="T789">
        <v>1.4189999999999999E-3</v>
      </c>
      <c r="U789">
        <v>2.062E-3</v>
      </c>
      <c r="V789">
        <v>-1.0054E-2</v>
      </c>
      <c r="W789">
        <v>4.0150000000000003E-3</v>
      </c>
      <c r="X789">
        <v>-7.2112999999999997E-2</v>
      </c>
      <c r="Y789">
        <v>-3.5896999999999998E-2</v>
      </c>
      <c r="Z789">
        <v>-5.7147000000000003E-2</v>
      </c>
      <c r="AA789">
        <v>-5.4646E-2</v>
      </c>
      <c r="AB789">
        <v>-2.9489000000000001E-2</v>
      </c>
    </row>
    <row r="790" spans="1:28" x14ac:dyDescent="0.2">
      <c r="A790">
        <v>19970930</v>
      </c>
      <c r="B790">
        <v>1997</v>
      </c>
      <c r="C790">
        <v>9</v>
      </c>
      <c r="D790">
        <v>0.10449799999999999</v>
      </c>
      <c r="E790">
        <v>9.8695000000000005E-2</v>
      </c>
      <c r="F790">
        <v>9.7860000000000003E-2</v>
      </c>
      <c r="G790">
        <v>8.0909999999999996E-2</v>
      </c>
      <c r="H790">
        <v>8.8038000000000005E-2</v>
      </c>
      <c r="I790">
        <v>7.5798000000000004E-2</v>
      </c>
      <c r="J790">
        <v>7.9827999999999996E-2</v>
      </c>
      <c r="K790">
        <v>7.8593999999999997E-2</v>
      </c>
      <c r="L790">
        <v>8.0377000000000004E-2</v>
      </c>
      <c r="M790">
        <v>6.6181000000000004E-2</v>
      </c>
      <c r="N790">
        <v>7.0600999999999997E-2</v>
      </c>
      <c r="O790">
        <v>6.9447999999999996E-2</v>
      </c>
      <c r="P790">
        <v>7.4469999999999995E-2</v>
      </c>
      <c r="Q790">
        <v>6.6545000000000007E-2</v>
      </c>
      <c r="R790">
        <v>6.4316999999999999E-2</v>
      </c>
      <c r="S790">
        <v>5.2079E-2</v>
      </c>
      <c r="T790">
        <v>4.8777000000000001E-2</v>
      </c>
      <c r="U790">
        <v>5.9687999999999998E-2</v>
      </c>
      <c r="V790">
        <v>6.0317000000000003E-2</v>
      </c>
      <c r="W790">
        <v>4.0085999999999997E-2</v>
      </c>
      <c r="X790">
        <v>4.8681000000000002E-2</v>
      </c>
      <c r="Y790">
        <v>5.5273999999999997E-2</v>
      </c>
      <c r="Z790">
        <v>6.0671999999999997E-2</v>
      </c>
      <c r="AA790">
        <v>6.6880999999999996E-2</v>
      </c>
      <c r="AB790">
        <v>6.3431000000000001E-2</v>
      </c>
    </row>
    <row r="791" spans="1:28" x14ac:dyDescent="0.2">
      <c r="A791">
        <v>19971031</v>
      </c>
      <c r="B791">
        <v>1997</v>
      </c>
      <c r="C791">
        <v>10</v>
      </c>
      <c r="D791">
        <v>-5.6122999999999999E-2</v>
      </c>
      <c r="E791">
        <v>-3.5747000000000001E-2</v>
      </c>
      <c r="F791">
        <v>-3.8989999999999997E-2</v>
      </c>
      <c r="G791">
        <v>-1.1108E-2</v>
      </c>
      <c r="H791">
        <v>-1.0869999999999999E-2</v>
      </c>
      <c r="I791">
        <v>-6.1865999999999997E-2</v>
      </c>
      <c r="J791">
        <v>-4.6627000000000002E-2</v>
      </c>
      <c r="K791">
        <v>-3.8871999999999997E-2</v>
      </c>
      <c r="L791">
        <v>-2.9471000000000001E-2</v>
      </c>
      <c r="M791">
        <v>-3.4770000000000002E-2</v>
      </c>
      <c r="N791">
        <v>-6.2714000000000006E-2</v>
      </c>
      <c r="O791">
        <v>-3.6098999999999999E-2</v>
      </c>
      <c r="P791">
        <v>-3.6108000000000001E-2</v>
      </c>
      <c r="Q791">
        <v>-2.2331E-2</v>
      </c>
      <c r="R791">
        <v>-3.7236999999999999E-2</v>
      </c>
      <c r="S791">
        <v>-6.5932000000000004E-2</v>
      </c>
      <c r="T791">
        <v>-5.7343999999999999E-2</v>
      </c>
      <c r="U791">
        <v>-2.3935000000000001E-2</v>
      </c>
      <c r="V791">
        <v>-3.8344999999999997E-2</v>
      </c>
      <c r="W791">
        <v>-6.0276999999999997E-2</v>
      </c>
      <c r="X791">
        <v>-2.3612000000000001E-2</v>
      </c>
      <c r="Y791">
        <v>-4.0069E-2</v>
      </c>
      <c r="Z791">
        <v>-3.1759999999999997E-2</v>
      </c>
      <c r="AA791">
        <v>-2.1295999999999999E-2</v>
      </c>
      <c r="AB791">
        <v>-3.0946999999999999E-2</v>
      </c>
    </row>
    <row r="792" spans="1:28" x14ac:dyDescent="0.2">
      <c r="A792">
        <v>19971128</v>
      </c>
      <c r="B792">
        <v>1997</v>
      </c>
      <c r="C792">
        <v>11</v>
      </c>
      <c r="D792">
        <v>-3.4626999999999998E-2</v>
      </c>
      <c r="E792">
        <v>-3.2315999999999998E-2</v>
      </c>
      <c r="F792">
        <v>-2.0499E-2</v>
      </c>
      <c r="G792">
        <v>-1.4840000000000001E-3</v>
      </c>
      <c r="H792">
        <v>-4.3920000000000001E-3</v>
      </c>
      <c r="I792">
        <v>-3.3197999999999998E-2</v>
      </c>
      <c r="J792">
        <v>-2.3674000000000001E-2</v>
      </c>
      <c r="K792">
        <v>-8.3479999999999995E-3</v>
      </c>
      <c r="L792">
        <v>5.4669999999999996E-3</v>
      </c>
      <c r="M792">
        <v>-5.8719999999999996E-3</v>
      </c>
      <c r="N792">
        <v>-3.2772999999999997E-2</v>
      </c>
      <c r="O792">
        <v>-2.7198E-2</v>
      </c>
      <c r="P792">
        <v>1.9885E-2</v>
      </c>
      <c r="Q792">
        <v>2.6438E-2</v>
      </c>
      <c r="R792">
        <v>5.9649999999999998E-3</v>
      </c>
      <c r="S792">
        <v>7.3879999999999996E-3</v>
      </c>
      <c r="T792">
        <v>6.7999999999999996E-3</v>
      </c>
      <c r="U792">
        <v>3.5353000000000002E-2</v>
      </c>
      <c r="V792">
        <v>3.8096999999999999E-2</v>
      </c>
      <c r="W792">
        <v>2.9198999999999999E-2</v>
      </c>
      <c r="X792">
        <v>5.3476000000000003E-2</v>
      </c>
      <c r="Y792">
        <v>5.2145999999999998E-2</v>
      </c>
      <c r="Z792">
        <v>2.9576000000000002E-2</v>
      </c>
      <c r="AA792">
        <v>4.6689000000000001E-2</v>
      </c>
      <c r="AB792">
        <v>2.2894999999999999E-2</v>
      </c>
    </row>
    <row r="793" spans="1:28" x14ac:dyDescent="0.2">
      <c r="A793">
        <v>19971231</v>
      </c>
      <c r="B793">
        <v>1997</v>
      </c>
      <c r="C793">
        <v>12</v>
      </c>
      <c r="D793">
        <v>-6.0356E-2</v>
      </c>
      <c r="E793">
        <v>-3.2626000000000002E-2</v>
      </c>
      <c r="F793">
        <v>-7.6429999999999996E-3</v>
      </c>
      <c r="G793">
        <v>8.8900000000000003E-4</v>
      </c>
      <c r="H793">
        <v>1.4746E-2</v>
      </c>
      <c r="I793">
        <v>-7.1390000000000004E-3</v>
      </c>
      <c r="J793">
        <v>-1.8696999999999998E-2</v>
      </c>
      <c r="K793">
        <v>1.6424000000000001E-2</v>
      </c>
      <c r="L793">
        <v>3.7489000000000001E-2</v>
      </c>
      <c r="M793">
        <v>2.2848E-2</v>
      </c>
      <c r="N793">
        <v>9.0010000000000003E-3</v>
      </c>
      <c r="O793">
        <v>3.7950000000000002E-3</v>
      </c>
      <c r="P793">
        <v>2.9218000000000001E-2</v>
      </c>
      <c r="Q793">
        <v>4.7730000000000002E-2</v>
      </c>
      <c r="R793">
        <v>2.8629000000000002E-2</v>
      </c>
      <c r="S793">
        <v>-1.7434999999999999E-2</v>
      </c>
      <c r="T793">
        <v>1.9511000000000001E-2</v>
      </c>
      <c r="U793">
        <v>3.5181999999999998E-2</v>
      </c>
      <c r="V793">
        <v>6.1795000000000003E-2</v>
      </c>
      <c r="W793">
        <v>9.5270000000000007E-3</v>
      </c>
      <c r="X793">
        <v>1.1728000000000001E-2</v>
      </c>
      <c r="Y793">
        <v>1.6583000000000001E-2</v>
      </c>
      <c r="Z793">
        <v>3.5049999999999998E-2</v>
      </c>
      <c r="AA793">
        <v>3.1664999999999999E-2</v>
      </c>
      <c r="AB793">
        <v>5.0221000000000002E-2</v>
      </c>
    </row>
    <row r="794" spans="1:28" x14ac:dyDescent="0.2">
      <c r="A794">
        <v>19980130</v>
      </c>
      <c r="B794">
        <v>1998</v>
      </c>
      <c r="C794">
        <v>1</v>
      </c>
      <c r="D794">
        <v>2.2790000000000002E-3</v>
      </c>
      <c r="E794">
        <v>-7.7120000000000001E-3</v>
      </c>
      <c r="F794">
        <v>-1.2009000000000001E-2</v>
      </c>
      <c r="G794">
        <v>-1.1475000000000001E-2</v>
      </c>
      <c r="H794">
        <v>-6.0949999999999997E-3</v>
      </c>
      <c r="I794">
        <v>-1.44E-4</v>
      </c>
      <c r="J794">
        <v>-1.1159000000000001E-2</v>
      </c>
      <c r="K794">
        <v>-2.4389000000000001E-2</v>
      </c>
      <c r="L794">
        <v>-2.1644E-2</v>
      </c>
      <c r="M794">
        <v>-1.5739E-2</v>
      </c>
      <c r="N794">
        <v>-4.1460000000000004E-3</v>
      </c>
      <c r="O794">
        <v>-2.0237999999999999E-2</v>
      </c>
      <c r="P794">
        <v>-1.7080000000000001E-2</v>
      </c>
      <c r="Q794">
        <v>-4.4568000000000003E-2</v>
      </c>
      <c r="R794">
        <v>2.6879E-2</v>
      </c>
      <c r="S794">
        <v>-1.8554999999999999E-2</v>
      </c>
      <c r="T794">
        <v>-2.4699999999999999E-4</v>
      </c>
      <c r="U794">
        <v>-2.4236000000000001E-2</v>
      </c>
      <c r="V794">
        <v>-1.2735E-2</v>
      </c>
      <c r="W794">
        <v>1.3512E-2</v>
      </c>
      <c r="X794">
        <v>3.9468000000000003E-2</v>
      </c>
      <c r="Y794">
        <v>-2.2139999999999998E-3</v>
      </c>
      <c r="Z794">
        <v>-3.3741E-2</v>
      </c>
      <c r="AA794">
        <v>1.598E-3</v>
      </c>
      <c r="AB794">
        <v>6.1549999999999999E-3</v>
      </c>
    </row>
    <row r="795" spans="1:28" x14ac:dyDescent="0.2">
      <c r="A795">
        <v>19980227</v>
      </c>
      <c r="B795">
        <v>1998</v>
      </c>
      <c r="C795">
        <v>2</v>
      </c>
      <c r="D795">
        <v>6.0485999999999998E-2</v>
      </c>
      <c r="E795">
        <v>6.8876000000000007E-2</v>
      </c>
      <c r="F795">
        <v>5.6337999999999999E-2</v>
      </c>
      <c r="G795">
        <v>5.8452999999999998E-2</v>
      </c>
      <c r="H795">
        <v>6.6070000000000004E-2</v>
      </c>
      <c r="I795">
        <v>9.0870999999999993E-2</v>
      </c>
      <c r="J795">
        <v>8.2600000000000007E-2</v>
      </c>
      <c r="K795">
        <v>9.3237E-2</v>
      </c>
      <c r="L795">
        <v>7.0335999999999996E-2</v>
      </c>
      <c r="M795">
        <v>7.0866999999999999E-2</v>
      </c>
      <c r="N795">
        <v>8.9992000000000003E-2</v>
      </c>
      <c r="O795">
        <v>9.3450000000000005E-2</v>
      </c>
      <c r="P795">
        <v>7.0023000000000002E-2</v>
      </c>
      <c r="Q795">
        <v>8.7816000000000005E-2</v>
      </c>
      <c r="R795">
        <v>8.7415000000000007E-2</v>
      </c>
      <c r="S795">
        <v>9.6226999999999993E-2</v>
      </c>
      <c r="T795">
        <v>7.5878000000000001E-2</v>
      </c>
      <c r="U795">
        <v>7.0484000000000005E-2</v>
      </c>
      <c r="V795">
        <v>5.7978000000000002E-2</v>
      </c>
      <c r="W795">
        <v>6.4667000000000002E-2</v>
      </c>
      <c r="X795">
        <v>7.2358000000000006E-2</v>
      </c>
      <c r="Y795">
        <v>6.1607000000000002E-2</v>
      </c>
      <c r="Z795">
        <v>9.1162999999999994E-2</v>
      </c>
      <c r="AA795">
        <v>7.0401000000000005E-2</v>
      </c>
      <c r="AB795">
        <v>9.3990000000000004E-2</v>
      </c>
    </row>
    <row r="796" spans="1:28" x14ac:dyDescent="0.2">
      <c r="A796">
        <v>19980331</v>
      </c>
      <c r="B796">
        <v>1998</v>
      </c>
      <c r="C796">
        <v>3</v>
      </c>
      <c r="D796">
        <v>5.1846999999999997E-2</v>
      </c>
      <c r="E796">
        <v>5.0908000000000002E-2</v>
      </c>
      <c r="F796">
        <v>5.4667E-2</v>
      </c>
      <c r="G796">
        <v>4.7460000000000002E-2</v>
      </c>
      <c r="H796">
        <v>4.9621999999999999E-2</v>
      </c>
      <c r="I796">
        <v>4.5716E-2</v>
      </c>
      <c r="J796">
        <v>5.9706000000000002E-2</v>
      </c>
      <c r="K796">
        <v>2.6685E-2</v>
      </c>
      <c r="L796">
        <v>4.3270000000000003E-2</v>
      </c>
      <c r="M796">
        <v>4.6864999999999997E-2</v>
      </c>
      <c r="N796">
        <v>4.1881000000000002E-2</v>
      </c>
      <c r="O796">
        <v>3.0852000000000001E-2</v>
      </c>
      <c r="P796">
        <v>4.8911000000000003E-2</v>
      </c>
      <c r="Q796">
        <v>4.3133999999999999E-2</v>
      </c>
      <c r="R796">
        <v>6.4659999999999995E-2</v>
      </c>
      <c r="S796">
        <v>3.7108000000000002E-2</v>
      </c>
      <c r="T796">
        <v>5.4293000000000001E-2</v>
      </c>
      <c r="U796">
        <v>5.1347999999999998E-2</v>
      </c>
      <c r="V796">
        <v>4.0876000000000003E-2</v>
      </c>
      <c r="W796">
        <v>7.5435000000000002E-2</v>
      </c>
      <c r="X796">
        <v>4.5817999999999998E-2</v>
      </c>
      <c r="Y796">
        <v>5.1381000000000003E-2</v>
      </c>
      <c r="Z796">
        <v>5.5149999999999998E-2</v>
      </c>
      <c r="AA796">
        <v>7.4355000000000004E-2</v>
      </c>
      <c r="AB796">
        <v>7.3941999999999994E-2</v>
      </c>
    </row>
    <row r="797" spans="1:28" x14ac:dyDescent="0.2">
      <c r="A797">
        <v>19980430</v>
      </c>
      <c r="B797">
        <v>1998</v>
      </c>
      <c r="C797">
        <v>4</v>
      </c>
      <c r="D797">
        <v>2.2270000000000002E-2</v>
      </c>
      <c r="E797">
        <v>2.8663000000000001E-2</v>
      </c>
      <c r="F797">
        <v>3.6003E-2</v>
      </c>
      <c r="G797">
        <v>2.7699000000000001E-2</v>
      </c>
      <c r="H797">
        <v>2.3869000000000001E-2</v>
      </c>
      <c r="I797">
        <v>-2.7299999999999998E-3</v>
      </c>
      <c r="J797">
        <v>1.5776999999999999E-2</v>
      </c>
      <c r="K797">
        <v>9.9909999999999999E-3</v>
      </c>
      <c r="L797">
        <v>2.5721999999999998E-2</v>
      </c>
      <c r="M797">
        <v>1.8794000000000002E-2</v>
      </c>
      <c r="N797">
        <v>1.1254999999999999E-2</v>
      </c>
      <c r="O797">
        <v>-3.1589999999999999E-3</v>
      </c>
      <c r="P797">
        <v>5.6979999999999999E-3</v>
      </c>
      <c r="Q797">
        <v>-1.671E-3</v>
      </c>
      <c r="R797">
        <v>1.1969E-2</v>
      </c>
      <c r="S797">
        <v>-1.1199999999999999E-3</v>
      </c>
      <c r="T797">
        <v>-7.6800000000000002E-4</v>
      </c>
      <c r="U797">
        <v>2.1199999999999999E-3</v>
      </c>
      <c r="V797">
        <v>4.15E-4</v>
      </c>
      <c r="W797">
        <v>1.1835E-2</v>
      </c>
      <c r="X797">
        <v>1.1809999999999999E-2</v>
      </c>
      <c r="Y797">
        <v>1.7659000000000001E-2</v>
      </c>
      <c r="Z797">
        <v>1.5544000000000001E-2</v>
      </c>
      <c r="AA797">
        <v>9.8429999999999993E-3</v>
      </c>
      <c r="AB797">
        <v>1.4047E-2</v>
      </c>
    </row>
    <row r="798" spans="1:28" x14ac:dyDescent="0.2">
      <c r="A798">
        <v>19980529</v>
      </c>
      <c r="B798">
        <v>1998</v>
      </c>
      <c r="C798">
        <v>5</v>
      </c>
      <c r="D798">
        <v>-6.2460000000000002E-2</v>
      </c>
      <c r="E798">
        <v>-7.084E-2</v>
      </c>
      <c r="F798">
        <v>-3.3631000000000001E-2</v>
      </c>
      <c r="G798">
        <v>-2.9017000000000001E-2</v>
      </c>
      <c r="H798">
        <v>-2.5947000000000001E-2</v>
      </c>
      <c r="I798">
        <v>-8.6356000000000002E-2</v>
      </c>
      <c r="J798">
        <v>-5.9466999999999999E-2</v>
      </c>
      <c r="K798">
        <v>-5.1676E-2</v>
      </c>
      <c r="L798">
        <v>-2.7692999999999999E-2</v>
      </c>
      <c r="M798">
        <v>-3.7226000000000002E-2</v>
      </c>
      <c r="N798">
        <v>-7.3730000000000004E-2</v>
      </c>
      <c r="O798">
        <v>-6.3131000000000007E-2</v>
      </c>
      <c r="P798">
        <v>-4.7839E-2</v>
      </c>
      <c r="Q798">
        <v>-4.3333999999999998E-2</v>
      </c>
      <c r="R798">
        <v>-3.2384999999999997E-2</v>
      </c>
      <c r="S798">
        <v>-5.3988000000000001E-2</v>
      </c>
      <c r="T798">
        <v>-2.9697000000000001E-2</v>
      </c>
      <c r="U798">
        <v>-3.6266E-2</v>
      </c>
      <c r="V798">
        <v>-2.1749999999999999E-2</v>
      </c>
      <c r="W798">
        <v>-3.5400000000000001E-2</v>
      </c>
      <c r="X798">
        <v>-2.3470999999999999E-2</v>
      </c>
      <c r="Y798">
        <v>-1.652E-2</v>
      </c>
      <c r="Z798">
        <v>-2.7126999999999998E-2</v>
      </c>
      <c r="AA798">
        <v>-8.7790000000000003E-3</v>
      </c>
      <c r="AB798">
        <v>4.2973999999999998E-2</v>
      </c>
    </row>
    <row r="799" spans="1:28" x14ac:dyDescent="0.2">
      <c r="A799">
        <v>19980630</v>
      </c>
      <c r="B799">
        <v>1998</v>
      </c>
      <c r="C799">
        <v>6</v>
      </c>
      <c r="D799">
        <v>-5.0299999999999997E-3</v>
      </c>
      <c r="E799">
        <v>1.2231000000000001E-2</v>
      </c>
      <c r="F799">
        <v>-1.4892000000000001E-2</v>
      </c>
      <c r="G799">
        <v>-8.6309999999999998E-3</v>
      </c>
      <c r="H799">
        <v>-1.6698000000000001E-2</v>
      </c>
      <c r="I799">
        <v>1.8799E-2</v>
      </c>
      <c r="J799">
        <v>-1.2512000000000001E-2</v>
      </c>
      <c r="K799">
        <v>-7.6379999999999998E-3</v>
      </c>
      <c r="L799">
        <v>-8.4189999999999994E-3</v>
      </c>
      <c r="M799">
        <v>-1.7160000000000001E-3</v>
      </c>
      <c r="N799">
        <v>3.7796000000000003E-2</v>
      </c>
      <c r="O799">
        <v>-1.8005E-2</v>
      </c>
      <c r="P799">
        <v>-1.4434000000000001E-2</v>
      </c>
      <c r="Q799">
        <v>5.2389999999999997E-3</v>
      </c>
      <c r="R799">
        <v>-2.7309999999999999E-3</v>
      </c>
      <c r="S799">
        <v>1.1155E-2</v>
      </c>
      <c r="T799">
        <v>-7.8299999999999995E-4</v>
      </c>
      <c r="U799">
        <v>4.7390000000000002E-3</v>
      </c>
      <c r="V799">
        <v>1.2145E-2</v>
      </c>
      <c r="W799">
        <v>-1.5219999999999999E-3</v>
      </c>
      <c r="X799">
        <v>7.6650999999999997E-2</v>
      </c>
      <c r="Y799">
        <v>1.4059E-2</v>
      </c>
      <c r="Z799">
        <v>2.7947E-2</v>
      </c>
      <c r="AA799">
        <v>3.2923000000000001E-2</v>
      </c>
      <c r="AB799">
        <v>2.9925E-2</v>
      </c>
    </row>
    <row r="800" spans="1:28" x14ac:dyDescent="0.2">
      <c r="A800">
        <v>19980731</v>
      </c>
      <c r="B800">
        <v>1998</v>
      </c>
      <c r="C800">
        <v>7</v>
      </c>
      <c r="D800">
        <v>-7.6235999999999998E-2</v>
      </c>
      <c r="E800">
        <v>-7.6007000000000005E-2</v>
      </c>
      <c r="F800">
        <v>-5.5759000000000003E-2</v>
      </c>
      <c r="G800">
        <v>-6.1935999999999998E-2</v>
      </c>
      <c r="H800">
        <v>-5.9149E-2</v>
      </c>
      <c r="I800">
        <v>-7.5841000000000006E-2</v>
      </c>
      <c r="J800">
        <v>-7.2817000000000007E-2</v>
      </c>
      <c r="K800">
        <v>-9.5754000000000006E-2</v>
      </c>
      <c r="L800">
        <v>-8.2114999999999994E-2</v>
      </c>
      <c r="M800">
        <v>-7.3042999999999997E-2</v>
      </c>
      <c r="N800">
        <v>-8.1433000000000005E-2</v>
      </c>
      <c r="O800">
        <v>-7.2918999999999998E-2</v>
      </c>
      <c r="P800">
        <v>-8.0644999999999994E-2</v>
      </c>
      <c r="Q800">
        <v>-8.9299000000000003E-2</v>
      </c>
      <c r="R800">
        <v>-7.3317999999999994E-2</v>
      </c>
      <c r="S800">
        <v>-5.7317E-2</v>
      </c>
      <c r="T800">
        <v>-5.8557999999999999E-2</v>
      </c>
      <c r="U800">
        <v>-5.3577E-2</v>
      </c>
      <c r="V800">
        <v>-5.0430999999999997E-2</v>
      </c>
      <c r="W800">
        <v>-4.2606999999999999E-2</v>
      </c>
      <c r="X800">
        <v>-2.5000000000000001E-5</v>
      </c>
      <c r="Y800">
        <v>-3.1220000000000002E-3</v>
      </c>
      <c r="Z800">
        <v>-2.5557E-2</v>
      </c>
      <c r="AA800">
        <v>-4.0965000000000001E-2</v>
      </c>
      <c r="AB800">
        <v>-5.7829999999999999E-3</v>
      </c>
    </row>
    <row r="801" spans="1:28" x14ac:dyDescent="0.2">
      <c r="A801">
        <v>19980831</v>
      </c>
      <c r="B801">
        <v>1998</v>
      </c>
      <c r="C801">
        <v>8</v>
      </c>
      <c r="D801">
        <v>-0.274171</v>
      </c>
      <c r="E801">
        <v>-0.21319299999999999</v>
      </c>
      <c r="F801">
        <v>-0.20733399999999999</v>
      </c>
      <c r="G801">
        <v>-0.190243</v>
      </c>
      <c r="H801">
        <v>-0.183614</v>
      </c>
      <c r="I801">
        <v>-0.25359100000000001</v>
      </c>
      <c r="J801">
        <v>-0.19808400000000001</v>
      </c>
      <c r="K801">
        <v>-0.17632</v>
      </c>
      <c r="L801">
        <v>-0.17452699999999999</v>
      </c>
      <c r="M801">
        <v>-0.17255400000000001</v>
      </c>
      <c r="N801">
        <v>-0.23344000000000001</v>
      </c>
      <c r="O801">
        <v>-0.214113</v>
      </c>
      <c r="P801">
        <v>-0.170264</v>
      </c>
      <c r="Q801">
        <v>-0.162602</v>
      </c>
      <c r="R801">
        <v>-0.16991800000000001</v>
      </c>
      <c r="S801">
        <v>-0.20605299999999999</v>
      </c>
      <c r="T801">
        <v>-0.188778</v>
      </c>
      <c r="U801">
        <v>-0.16955200000000001</v>
      </c>
      <c r="V801">
        <v>-0.118326</v>
      </c>
      <c r="W801">
        <v>-0.13036400000000001</v>
      </c>
      <c r="X801">
        <v>-0.131162</v>
      </c>
      <c r="Y801">
        <v>-0.16090699999999999</v>
      </c>
      <c r="Z801">
        <v>-0.17197100000000001</v>
      </c>
      <c r="AA801">
        <v>-0.12993299999999999</v>
      </c>
      <c r="AB801">
        <v>-0.15601599999999999</v>
      </c>
    </row>
    <row r="802" spans="1:28" x14ac:dyDescent="0.2">
      <c r="A802">
        <v>19980930</v>
      </c>
      <c r="B802">
        <v>1998</v>
      </c>
      <c r="C802">
        <v>9</v>
      </c>
      <c r="D802">
        <v>6.5114000000000005E-2</v>
      </c>
      <c r="E802">
        <v>3.9447999999999997E-2</v>
      </c>
      <c r="F802">
        <v>3.8718000000000002E-2</v>
      </c>
      <c r="G802">
        <v>2.9635999999999999E-2</v>
      </c>
      <c r="H802">
        <v>1.4756E-2</v>
      </c>
      <c r="I802">
        <v>0.11953900000000001</v>
      </c>
      <c r="J802">
        <v>7.7263999999999999E-2</v>
      </c>
      <c r="K802">
        <v>5.1378E-2</v>
      </c>
      <c r="L802">
        <v>4.7386999999999999E-2</v>
      </c>
      <c r="M802">
        <v>4.9959999999999997E-2</v>
      </c>
      <c r="N802">
        <v>0.118945</v>
      </c>
      <c r="O802">
        <v>4.8439999999999997E-2</v>
      </c>
      <c r="P802">
        <v>8.7067000000000005E-2</v>
      </c>
      <c r="Q802">
        <v>4.8687000000000001E-2</v>
      </c>
      <c r="R802">
        <v>1.9896E-2</v>
      </c>
      <c r="S802">
        <v>6.7790000000000003E-2</v>
      </c>
      <c r="T802">
        <v>6.8567000000000003E-2</v>
      </c>
      <c r="U802">
        <v>6.8428000000000003E-2</v>
      </c>
      <c r="V802">
        <v>5.0962E-2</v>
      </c>
      <c r="W802">
        <v>6.1093000000000001E-2</v>
      </c>
      <c r="X802">
        <v>8.4718000000000002E-2</v>
      </c>
      <c r="Y802">
        <v>4.2106999999999999E-2</v>
      </c>
      <c r="Z802">
        <v>4.5453E-2</v>
      </c>
      <c r="AA802">
        <v>1.9951E-2</v>
      </c>
      <c r="AB802">
        <v>7.2198999999999999E-2</v>
      </c>
    </row>
    <row r="803" spans="1:28" x14ac:dyDescent="0.2">
      <c r="A803">
        <v>19981030</v>
      </c>
      <c r="B803">
        <v>1998</v>
      </c>
      <c r="C803">
        <v>10</v>
      </c>
      <c r="D803">
        <v>3.3916000000000002E-2</v>
      </c>
      <c r="E803">
        <v>2.8240999999999999E-2</v>
      </c>
      <c r="F803">
        <v>1.6836E-2</v>
      </c>
      <c r="G803">
        <v>2.9746999999999999E-2</v>
      </c>
      <c r="H803">
        <v>9.7210000000000005E-3</v>
      </c>
      <c r="I803">
        <v>4.7025999999999998E-2</v>
      </c>
      <c r="J803">
        <v>6.0081000000000002E-2</v>
      </c>
      <c r="K803">
        <v>3.4686000000000002E-2</v>
      </c>
      <c r="L803">
        <v>3.0419999999999999E-2</v>
      </c>
      <c r="M803">
        <v>2.6270000000000002E-2</v>
      </c>
      <c r="N803">
        <v>4.3697E-2</v>
      </c>
      <c r="O803">
        <v>6.7095000000000002E-2</v>
      </c>
      <c r="P803">
        <v>4.2020000000000002E-2</v>
      </c>
      <c r="Q803">
        <v>3.8413999999999997E-2</v>
      </c>
      <c r="R803">
        <v>4.4325999999999997E-2</v>
      </c>
      <c r="S803">
        <v>8.5425000000000001E-2</v>
      </c>
      <c r="T803">
        <v>9.6403000000000003E-2</v>
      </c>
      <c r="U803">
        <v>5.9293999999999999E-2</v>
      </c>
      <c r="V803">
        <v>3.8558000000000002E-2</v>
      </c>
      <c r="W803">
        <v>4.1293000000000003E-2</v>
      </c>
      <c r="X803">
        <v>7.6779E-2</v>
      </c>
      <c r="Y803">
        <v>9.1414999999999996E-2</v>
      </c>
      <c r="Z803">
        <v>8.2557000000000005E-2</v>
      </c>
      <c r="AA803">
        <v>7.0907999999999999E-2</v>
      </c>
      <c r="AB803">
        <v>6.8336999999999995E-2</v>
      </c>
    </row>
    <row r="804" spans="1:28" x14ac:dyDescent="0.2">
      <c r="A804">
        <v>19981130</v>
      </c>
      <c r="B804">
        <v>1998</v>
      </c>
      <c r="C804">
        <v>11</v>
      </c>
      <c r="D804">
        <v>0.100199</v>
      </c>
      <c r="E804">
        <v>8.4453E-2</v>
      </c>
      <c r="F804">
        <v>6.4255000000000007E-2</v>
      </c>
      <c r="G804">
        <v>6.9838999999999998E-2</v>
      </c>
      <c r="H804">
        <v>8.3645999999999998E-2</v>
      </c>
      <c r="I804">
        <v>9.6858E-2</v>
      </c>
      <c r="J804">
        <v>6.2548000000000006E-2</v>
      </c>
      <c r="K804">
        <v>3.8200999999999999E-2</v>
      </c>
      <c r="L804">
        <v>4.5254000000000003E-2</v>
      </c>
      <c r="M804">
        <v>5.0936000000000002E-2</v>
      </c>
      <c r="N804">
        <v>8.8858999999999994E-2</v>
      </c>
      <c r="O804">
        <v>6.1905000000000002E-2</v>
      </c>
      <c r="P804">
        <v>3.6388999999999998E-2</v>
      </c>
      <c r="Q804">
        <v>1.9699999999999999E-2</v>
      </c>
      <c r="R804">
        <v>3.9455999999999998E-2</v>
      </c>
      <c r="S804">
        <v>7.3653999999999997E-2</v>
      </c>
      <c r="T804">
        <v>2.3497000000000001E-2</v>
      </c>
      <c r="U804">
        <v>3.9937E-2</v>
      </c>
      <c r="V804">
        <v>4.1659000000000002E-2</v>
      </c>
      <c r="W804">
        <v>3.3166000000000001E-2</v>
      </c>
      <c r="X804">
        <v>7.6215000000000005E-2</v>
      </c>
      <c r="Y804">
        <v>6.5675999999999998E-2</v>
      </c>
      <c r="Z804">
        <v>4.3575999999999997E-2</v>
      </c>
      <c r="AA804">
        <v>5.3239000000000002E-2</v>
      </c>
      <c r="AB804">
        <v>5.2068000000000003E-2</v>
      </c>
    </row>
    <row r="805" spans="1:28" x14ac:dyDescent="0.2">
      <c r="A805">
        <v>19981231</v>
      </c>
      <c r="B805">
        <v>1998</v>
      </c>
      <c r="C805">
        <v>12</v>
      </c>
      <c r="D805">
        <v>4.3389999999999998E-2</v>
      </c>
      <c r="E805">
        <v>1.7156000000000001E-2</v>
      </c>
      <c r="F805">
        <v>3.5424999999999998E-2</v>
      </c>
      <c r="G805">
        <v>3.5609999999999999E-3</v>
      </c>
      <c r="H805">
        <v>1.6677999999999998E-2</v>
      </c>
      <c r="I805">
        <v>7.1753999999999998E-2</v>
      </c>
      <c r="J805">
        <v>5.2514999999999999E-2</v>
      </c>
      <c r="K805">
        <v>2.5732000000000001E-2</v>
      </c>
      <c r="L805">
        <v>4.2897999999999999E-2</v>
      </c>
      <c r="M805">
        <v>5.0161999999999998E-2</v>
      </c>
      <c r="N805">
        <v>0.118923</v>
      </c>
      <c r="O805">
        <v>7.0998000000000006E-2</v>
      </c>
      <c r="P805">
        <v>4.0103E-2</v>
      </c>
      <c r="Q805">
        <v>3.9143999999999998E-2</v>
      </c>
      <c r="R805">
        <v>3.7221999999999998E-2</v>
      </c>
      <c r="S805">
        <v>0.106382</v>
      </c>
      <c r="T805">
        <v>4.2651000000000001E-2</v>
      </c>
      <c r="U805">
        <v>3.3415E-2</v>
      </c>
      <c r="V805">
        <v>3.4127999999999999E-2</v>
      </c>
      <c r="W805">
        <v>2.0653999999999999E-2</v>
      </c>
      <c r="X805">
        <v>9.2892000000000002E-2</v>
      </c>
      <c r="Y805">
        <v>3.9836999999999997E-2</v>
      </c>
      <c r="Z805">
        <v>1.8752999999999999E-2</v>
      </c>
      <c r="AA805">
        <v>1.0937000000000001E-2</v>
      </c>
      <c r="AB805">
        <v>4.8202000000000002E-2</v>
      </c>
    </row>
    <row r="806" spans="1:28" x14ac:dyDescent="0.2">
      <c r="A806">
        <v>19990129</v>
      </c>
      <c r="B806">
        <v>1999</v>
      </c>
      <c r="C806">
        <v>1</v>
      </c>
      <c r="D806">
        <v>8.1259999999999999E-2</v>
      </c>
      <c r="E806">
        <v>4.6352999999999998E-2</v>
      </c>
      <c r="F806">
        <v>5.4778E-2</v>
      </c>
      <c r="G806">
        <v>3.6292999999999999E-2</v>
      </c>
      <c r="H806">
        <v>4.3268000000000001E-2</v>
      </c>
      <c r="I806">
        <v>5.9933E-2</v>
      </c>
      <c r="J806">
        <v>1.0926E-2</v>
      </c>
      <c r="K806">
        <v>-2.3503E-2</v>
      </c>
      <c r="L806">
        <v>-2.3286999999999999E-2</v>
      </c>
      <c r="M806">
        <v>6.8910000000000004E-3</v>
      </c>
      <c r="N806">
        <v>4.6802999999999997E-2</v>
      </c>
      <c r="O806">
        <v>1.6379999999999999E-2</v>
      </c>
      <c r="P806">
        <v>-2.3911999999999999E-2</v>
      </c>
      <c r="Q806">
        <v>-2.2674E-2</v>
      </c>
      <c r="R806">
        <v>-3.0095E-2</v>
      </c>
      <c r="S806">
        <v>1.4456999999999999E-2</v>
      </c>
      <c r="T806">
        <v>-2.2832000000000002E-2</v>
      </c>
      <c r="U806">
        <v>-2.7518000000000001E-2</v>
      </c>
      <c r="V806">
        <v>-3.6887999999999997E-2</v>
      </c>
      <c r="W806">
        <v>-2.4691000000000001E-2</v>
      </c>
      <c r="X806">
        <v>6.0978999999999998E-2</v>
      </c>
      <c r="Y806">
        <v>3.0917E-2</v>
      </c>
      <c r="Z806">
        <v>-5.4929999999999996E-3</v>
      </c>
      <c r="AA806">
        <v>-1.3849999999999999E-3</v>
      </c>
      <c r="AB806">
        <v>4.761E-2</v>
      </c>
    </row>
    <row r="807" spans="1:28" x14ac:dyDescent="0.2">
      <c r="A807">
        <v>19990226</v>
      </c>
      <c r="B807">
        <v>1999</v>
      </c>
      <c r="C807">
        <v>2</v>
      </c>
      <c r="D807">
        <v>-7.6177999999999996E-2</v>
      </c>
      <c r="E807">
        <v>-7.6400999999999997E-2</v>
      </c>
      <c r="F807">
        <v>-6.5339999999999995E-2</v>
      </c>
      <c r="G807">
        <v>-5.2868999999999999E-2</v>
      </c>
      <c r="H807">
        <v>-5.858E-2</v>
      </c>
      <c r="I807">
        <v>-9.2690999999999996E-2</v>
      </c>
      <c r="J807">
        <v>-9.8332000000000003E-2</v>
      </c>
      <c r="K807">
        <v>-6.3737000000000002E-2</v>
      </c>
      <c r="L807">
        <v>-8.3367999999999998E-2</v>
      </c>
      <c r="M807">
        <v>-0.105849</v>
      </c>
      <c r="N807">
        <v>-9.1329999999999995E-2</v>
      </c>
      <c r="O807">
        <v>-9.0541999999999997E-2</v>
      </c>
      <c r="P807">
        <v>-5.3454000000000002E-2</v>
      </c>
      <c r="Q807">
        <v>-7.4751999999999999E-2</v>
      </c>
      <c r="R807">
        <v>-4.8375000000000001E-2</v>
      </c>
      <c r="S807">
        <v>-5.3998999999999998E-2</v>
      </c>
      <c r="T807">
        <v>-3.5217999999999999E-2</v>
      </c>
      <c r="U807">
        <v>-2.9783E-2</v>
      </c>
      <c r="V807">
        <v>-3.9477999999999999E-2</v>
      </c>
      <c r="W807">
        <v>-2.1079000000000001E-2</v>
      </c>
      <c r="X807">
        <v>-4.7507000000000001E-2</v>
      </c>
      <c r="Y807">
        <v>-1.9972E-2</v>
      </c>
      <c r="Z807">
        <v>1.8890000000000001E-2</v>
      </c>
      <c r="AA807">
        <v>-1.3284000000000001E-2</v>
      </c>
      <c r="AB807">
        <v>-2.7667000000000001E-2</v>
      </c>
    </row>
    <row r="808" spans="1:28" x14ac:dyDescent="0.2">
      <c r="A808">
        <v>19990331</v>
      </c>
      <c r="B808">
        <v>1999</v>
      </c>
      <c r="C808">
        <v>3</v>
      </c>
      <c r="D808">
        <v>-3.1993000000000001E-2</v>
      </c>
      <c r="E808">
        <v>-6.2783000000000005E-2</v>
      </c>
      <c r="F808">
        <v>-1.7999000000000001E-2</v>
      </c>
      <c r="G808">
        <v>-3.4351E-2</v>
      </c>
      <c r="H808">
        <v>-3.1932000000000002E-2</v>
      </c>
      <c r="I808">
        <v>5.7679999999999997E-3</v>
      </c>
      <c r="J808">
        <v>-1.0629999999999999E-3</v>
      </c>
      <c r="K808">
        <v>8.4989999999999996E-3</v>
      </c>
      <c r="L808">
        <v>-6.404E-3</v>
      </c>
      <c r="M808">
        <v>-2.9721000000000001E-2</v>
      </c>
      <c r="N808">
        <v>4.0398000000000003E-2</v>
      </c>
      <c r="O808">
        <v>3.4778000000000003E-2</v>
      </c>
      <c r="P808">
        <v>2.6772000000000001E-2</v>
      </c>
      <c r="Q808">
        <v>-2.1635999999999999E-2</v>
      </c>
      <c r="R808">
        <v>-4.4840000000000001E-3</v>
      </c>
      <c r="S808">
        <v>3.2897999999999997E-2</v>
      </c>
      <c r="T808">
        <v>4.0808999999999998E-2</v>
      </c>
      <c r="U808">
        <v>1.4038999999999999E-2</v>
      </c>
      <c r="V808">
        <v>4.555E-3</v>
      </c>
      <c r="W808">
        <v>-3.0309999999999998E-3</v>
      </c>
      <c r="X808">
        <v>4.8119000000000002E-2</v>
      </c>
      <c r="Y808">
        <v>1.5800999999999999E-2</v>
      </c>
      <c r="Z808">
        <v>5.8422000000000002E-2</v>
      </c>
      <c r="AA808">
        <v>4.2567000000000001E-2</v>
      </c>
      <c r="AB808">
        <v>1.6034E-2</v>
      </c>
    </row>
    <row r="809" spans="1:28" x14ac:dyDescent="0.2">
      <c r="A809">
        <v>19990430</v>
      </c>
      <c r="B809">
        <v>1999</v>
      </c>
      <c r="C809">
        <v>4</v>
      </c>
      <c r="D809">
        <v>7.7721999999999999E-2</v>
      </c>
      <c r="E809">
        <v>8.6930999999999994E-2</v>
      </c>
      <c r="F809">
        <v>0.12446</v>
      </c>
      <c r="G809">
        <v>0.10403800000000001</v>
      </c>
      <c r="H809">
        <v>9.1550999999999993E-2</v>
      </c>
      <c r="I809">
        <v>0.108665</v>
      </c>
      <c r="J809">
        <v>9.3827999999999995E-2</v>
      </c>
      <c r="K809">
        <v>7.5589000000000003E-2</v>
      </c>
      <c r="L809">
        <v>8.0962000000000006E-2</v>
      </c>
      <c r="M809">
        <v>8.4129999999999996E-2</v>
      </c>
      <c r="N809">
        <v>7.5753000000000001E-2</v>
      </c>
      <c r="O809">
        <v>0.131384</v>
      </c>
      <c r="P809">
        <v>0.10440199999999999</v>
      </c>
      <c r="Q809">
        <v>8.2252000000000006E-2</v>
      </c>
      <c r="R809">
        <v>9.8181000000000004E-2</v>
      </c>
      <c r="S809">
        <v>7.0189000000000001E-2</v>
      </c>
      <c r="T809">
        <v>0.101815</v>
      </c>
      <c r="U809">
        <v>9.5092999999999997E-2</v>
      </c>
      <c r="V809">
        <v>9.9187999999999998E-2</v>
      </c>
      <c r="W809">
        <v>0.10975500000000001</v>
      </c>
      <c r="X809">
        <v>-3.6649999999999999E-3</v>
      </c>
      <c r="Y809">
        <v>9.1110999999999998E-2</v>
      </c>
      <c r="Z809">
        <v>7.6289999999999997E-2</v>
      </c>
      <c r="AA809">
        <v>7.8021999999999994E-2</v>
      </c>
      <c r="AB809">
        <v>4.8994999999999997E-2</v>
      </c>
    </row>
    <row r="810" spans="1:28" x14ac:dyDescent="0.2">
      <c r="A810">
        <v>19990528</v>
      </c>
      <c r="B810">
        <v>1999</v>
      </c>
      <c r="C810">
        <v>5</v>
      </c>
      <c r="D810">
        <v>1.8335000000000001E-2</v>
      </c>
      <c r="E810">
        <v>4.3027999999999997E-2</v>
      </c>
      <c r="F810">
        <v>3.7690000000000002E-3</v>
      </c>
      <c r="G810">
        <v>3.2998E-2</v>
      </c>
      <c r="H810">
        <v>4.6271E-2</v>
      </c>
      <c r="I810">
        <v>1.4274999999999999E-2</v>
      </c>
      <c r="J810">
        <v>4.8690000000000001E-3</v>
      </c>
      <c r="K810">
        <v>2.2617000000000002E-2</v>
      </c>
      <c r="L810">
        <v>4.6011999999999997E-2</v>
      </c>
      <c r="M810">
        <v>4.1370999999999998E-2</v>
      </c>
      <c r="N810">
        <v>-2.349E-3</v>
      </c>
      <c r="O810">
        <v>-5.8890000000000001E-3</v>
      </c>
      <c r="P810">
        <v>1.1514999999999999E-2</v>
      </c>
      <c r="Q810">
        <v>2.4979000000000001E-2</v>
      </c>
      <c r="R810">
        <v>2.5954000000000001E-2</v>
      </c>
      <c r="S810">
        <v>3.0294000000000001E-2</v>
      </c>
      <c r="T810">
        <v>-4.744E-3</v>
      </c>
      <c r="U810">
        <v>1.307E-2</v>
      </c>
      <c r="V810">
        <v>2.5344999999999999E-2</v>
      </c>
      <c r="W810">
        <v>4.6099999999999998E-4</v>
      </c>
      <c r="X810">
        <v>-3.7478999999999998E-2</v>
      </c>
      <c r="Y810">
        <v>-2.2160000000000001E-3</v>
      </c>
      <c r="Z810">
        <v>-1.9356999999999999E-2</v>
      </c>
      <c r="AA810">
        <v>-4.4499999999999997E-4</v>
      </c>
      <c r="AB810">
        <v>-1.2848E-2</v>
      </c>
    </row>
    <row r="811" spans="1:28" x14ac:dyDescent="0.2">
      <c r="A811">
        <v>19990630</v>
      </c>
      <c r="B811">
        <v>1999</v>
      </c>
      <c r="C811">
        <v>6</v>
      </c>
      <c r="D811">
        <v>6.5626000000000004E-2</v>
      </c>
      <c r="E811">
        <v>8.3271999999999999E-2</v>
      </c>
      <c r="F811">
        <v>8.3308999999999994E-2</v>
      </c>
      <c r="G811">
        <v>6.0786E-2</v>
      </c>
      <c r="H811">
        <v>5.9880000000000003E-2</v>
      </c>
      <c r="I811">
        <v>8.1457000000000002E-2</v>
      </c>
      <c r="J811">
        <v>7.5116000000000002E-2</v>
      </c>
      <c r="K811">
        <v>7.3437000000000002E-2</v>
      </c>
      <c r="L811">
        <v>4.6861E-2</v>
      </c>
      <c r="M811">
        <v>6.5176999999999999E-2</v>
      </c>
      <c r="N811">
        <v>4.6195E-2</v>
      </c>
      <c r="O811">
        <v>4.3090999999999997E-2</v>
      </c>
      <c r="P811">
        <v>2.7954E-2</v>
      </c>
      <c r="Q811">
        <v>2.8112000000000002E-2</v>
      </c>
      <c r="R811">
        <v>4.9762000000000001E-2</v>
      </c>
      <c r="S811">
        <v>7.7664999999999998E-2</v>
      </c>
      <c r="T811">
        <v>8.7654999999999997E-2</v>
      </c>
      <c r="U811">
        <v>2.6564999999999998E-2</v>
      </c>
      <c r="V811">
        <v>2.3938999999999998E-2</v>
      </c>
      <c r="W811">
        <v>4.1326000000000002E-2</v>
      </c>
      <c r="X811">
        <v>6.7441000000000001E-2</v>
      </c>
      <c r="Y811">
        <v>4.9738999999999998E-2</v>
      </c>
      <c r="Z811">
        <v>2.3753E-2</v>
      </c>
      <c r="AA811">
        <v>7.54E-4</v>
      </c>
      <c r="AB811">
        <v>-6.3889999999999997E-3</v>
      </c>
    </row>
    <row r="812" spans="1:28" x14ac:dyDescent="0.2">
      <c r="A812">
        <v>19990730</v>
      </c>
      <c r="B812">
        <v>1999</v>
      </c>
      <c r="C812">
        <v>7</v>
      </c>
      <c r="D812">
        <v>8.0160000000000006E-3</v>
      </c>
      <c r="E812">
        <v>2.4445000000000001E-2</v>
      </c>
      <c r="F812">
        <v>1.0777999999999999E-2</v>
      </c>
      <c r="G812">
        <v>1.2711E-2</v>
      </c>
      <c r="H812">
        <v>1.8287999999999999E-2</v>
      </c>
      <c r="I812">
        <v>-2.3540999999999999E-2</v>
      </c>
      <c r="J812">
        <v>-3.614E-3</v>
      </c>
      <c r="K812">
        <v>-1.3736E-2</v>
      </c>
      <c r="L812">
        <v>-1.9786000000000002E-2</v>
      </c>
      <c r="M812">
        <v>-3.9086999999999997E-2</v>
      </c>
      <c r="N812">
        <v>-3.0794999999999999E-2</v>
      </c>
      <c r="O812">
        <v>-2.1047E-2</v>
      </c>
      <c r="P812">
        <v>-1.7486999999999999E-2</v>
      </c>
      <c r="Q812">
        <v>-1.8599000000000001E-2</v>
      </c>
      <c r="R812">
        <v>-8.4580000000000002E-3</v>
      </c>
      <c r="S812">
        <v>-2.5337999999999999E-2</v>
      </c>
      <c r="T812">
        <v>-2.5170999999999999E-2</v>
      </c>
      <c r="U812">
        <v>1.0759999999999999E-3</v>
      </c>
      <c r="V812">
        <v>-1.4156E-2</v>
      </c>
      <c r="W812">
        <v>-1.8193000000000001E-2</v>
      </c>
      <c r="X812">
        <v>-3.0075000000000001E-2</v>
      </c>
      <c r="Y812">
        <v>-3.6791999999999998E-2</v>
      </c>
      <c r="Z812">
        <v>-4.8162000000000003E-2</v>
      </c>
      <c r="AA812">
        <v>-2.7838000000000002E-2</v>
      </c>
      <c r="AB812">
        <v>-7.6594999999999996E-2</v>
      </c>
    </row>
    <row r="813" spans="1:28" x14ac:dyDescent="0.2">
      <c r="A813">
        <v>19990831</v>
      </c>
      <c r="B813">
        <v>1999</v>
      </c>
      <c r="C813">
        <v>8</v>
      </c>
      <c r="D813">
        <v>-3.2874E-2</v>
      </c>
      <c r="E813">
        <v>-1.2704E-2</v>
      </c>
      <c r="F813">
        <v>-2.8323000000000001E-2</v>
      </c>
      <c r="G813">
        <v>-1.6483999999999999E-2</v>
      </c>
      <c r="H813">
        <v>-3.3572999999999999E-2</v>
      </c>
      <c r="I813">
        <v>-3.2030000000000003E-2</v>
      </c>
      <c r="J813">
        <v>-3.9440999999999997E-2</v>
      </c>
      <c r="K813">
        <v>-4.1651000000000001E-2</v>
      </c>
      <c r="L813">
        <v>-3.3405999999999998E-2</v>
      </c>
      <c r="M813">
        <v>-4.1707000000000001E-2</v>
      </c>
      <c r="N813">
        <v>-2.2768E-2</v>
      </c>
      <c r="O813">
        <v>-5.5934999999999999E-2</v>
      </c>
      <c r="P813">
        <v>-3.8441000000000003E-2</v>
      </c>
      <c r="Q813">
        <v>-3.2655999999999998E-2</v>
      </c>
      <c r="R813">
        <v>-9.7800000000000005E-3</v>
      </c>
      <c r="S813">
        <v>-1.839E-2</v>
      </c>
      <c r="T813">
        <v>-4.4669E-2</v>
      </c>
      <c r="U813">
        <v>-2.5099E-2</v>
      </c>
      <c r="V813">
        <v>-2.3847E-2</v>
      </c>
      <c r="W813">
        <v>-6.2368E-2</v>
      </c>
      <c r="X813">
        <v>8.0059999999999992E-3</v>
      </c>
      <c r="Y813">
        <v>-3.6399000000000001E-2</v>
      </c>
      <c r="Z813">
        <v>-2.0154999999999999E-2</v>
      </c>
      <c r="AA813">
        <v>-4.4637000000000003E-2</v>
      </c>
      <c r="AB813">
        <v>2.5266E-2</v>
      </c>
    </row>
    <row r="814" spans="1:28" x14ac:dyDescent="0.2">
      <c r="A814">
        <v>19990930</v>
      </c>
      <c r="B814">
        <v>1999</v>
      </c>
      <c r="C814">
        <v>9</v>
      </c>
      <c r="D814">
        <v>1.8648000000000001E-2</v>
      </c>
      <c r="E814">
        <v>-2.513E-3</v>
      </c>
      <c r="F814">
        <v>-1.2012E-2</v>
      </c>
      <c r="G814">
        <v>-2.6245999999999998E-2</v>
      </c>
      <c r="H814">
        <v>-3.8946000000000001E-2</v>
      </c>
      <c r="I814">
        <v>3.9090000000000001E-3</v>
      </c>
      <c r="J814">
        <v>1.0344000000000001E-2</v>
      </c>
      <c r="K814">
        <v>-8.3719999999999992E-3</v>
      </c>
      <c r="L814">
        <v>-2.2931E-2</v>
      </c>
      <c r="M814">
        <v>-1.4071E-2</v>
      </c>
      <c r="N814">
        <v>3.1613000000000002E-2</v>
      </c>
      <c r="O814">
        <v>1.2479000000000001E-2</v>
      </c>
      <c r="P814">
        <v>-3.3621999999999999E-2</v>
      </c>
      <c r="Q814">
        <v>-2.8062E-2</v>
      </c>
      <c r="R814">
        <v>-2.7942000000000002E-2</v>
      </c>
      <c r="S814">
        <v>1.8941E-2</v>
      </c>
      <c r="T814">
        <v>-3.7144000000000003E-2</v>
      </c>
      <c r="U814">
        <v>-3.6235000000000003E-2</v>
      </c>
      <c r="V814">
        <v>-4.8147000000000002E-2</v>
      </c>
      <c r="W814">
        <v>-1.5239000000000001E-2</v>
      </c>
      <c r="X814">
        <v>-1.9390000000000001E-2</v>
      </c>
      <c r="Y814">
        <v>-3.1993000000000001E-2</v>
      </c>
      <c r="Z814">
        <v>-6.8968000000000002E-2</v>
      </c>
      <c r="AA814">
        <v>-8.9906E-2</v>
      </c>
      <c r="AB814">
        <v>-7.6382000000000005E-2</v>
      </c>
    </row>
    <row r="815" spans="1:28" x14ac:dyDescent="0.2">
      <c r="A815">
        <v>19991029</v>
      </c>
      <c r="B815">
        <v>1999</v>
      </c>
      <c r="C815">
        <v>10</v>
      </c>
      <c r="D815">
        <v>-2.6800000000000001E-3</v>
      </c>
      <c r="E815">
        <v>1.3518000000000001E-2</v>
      </c>
      <c r="F815">
        <v>-2.3271E-2</v>
      </c>
      <c r="G815">
        <v>-4.3090000000000003E-3</v>
      </c>
      <c r="H815">
        <v>-2.708E-2</v>
      </c>
      <c r="I815">
        <v>2.9024999999999999E-2</v>
      </c>
      <c r="J815">
        <v>-6.5040000000000002E-3</v>
      </c>
      <c r="K815">
        <v>-7.6519999999999999E-3</v>
      </c>
      <c r="L815">
        <v>-1.5074000000000001E-2</v>
      </c>
      <c r="M815">
        <v>-5.2299999999999999E-2</v>
      </c>
      <c r="N815">
        <v>2.7084E-2</v>
      </c>
      <c r="O815">
        <v>5.0559999999999997E-3</v>
      </c>
      <c r="P815">
        <v>-9.0760000000000007E-3</v>
      </c>
      <c r="Q815">
        <v>-1.1183E-2</v>
      </c>
      <c r="R815">
        <v>-3.1809999999999998E-3</v>
      </c>
      <c r="S815">
        <v>8.2603999999999997E-2</v>
      </c>
      <c r="T815">
        <v>1.2316000000000001E-2</v>
      </c>
      <c r="U815">
        <v>2.4764000000000001E-2</v>
      </c>
      <c r="V815">
        <v>2.8275999999999999E-2</v>
      </c>
      <c r="W815">
        <v>4.9102E-2</v>
      </c>
      <c r="X815">
        <v>6.4855999999999997E-2</v>
      </c>
      <c r="Y815">
        <v>0.104217</v>
      </c>
      <c r="Z815">
        <v>7.1879999999999999E-2</v>
      </c>
      <c r="AA815">
        <v>3.0698E-2</v>
      </c>
      <c r="AB815">
        <v>7.3693999999999996E-2</v>
      </c>
    </row>
    <row r="816" spans="1:28" x14ac:dyDescent="0.2">
      <c r="A816">
        <v>19991130</v>
      </c>
      <c r="B816">
        <v>1999</v>
      </c>
      <c r="C816">
        <v>11</v>
      </c>
      <c r="D816">
        <v>0.19938900000000001</v>
      </c>
      <c r="E816">
        <v>0.113801</v>
      </c>
      <c r="F816">
        <v>0.104851</v>
      </c>
      <c r="G816">
        <v>7.1093000000000003E-2</v>
      </c>
      <c r="H816">
        <v>6.7221000000000003E-2</v>
      </c>
      <c r="I816">
        <v>0.123893</v>
      </c>
      <c r="J816">
        <v>7.8837000000000004E-2</v>
      </c>
      <c r="K816">
        <v>5.3386000000000003E-2</v>
      </c>
      <c r="L816">
        <v>2.9520000000000001E-2</v>
      </c>
      <c r="M816">
        <v>3.2850999999999998E-2</v>
      </c>
      <c r="N816">
        <v>0.117909</v>
      </c>
      <c r="O816">
        <v>7.1176000000000003E-2</v>
      </c>
      <c r="P816">
        <v>-1.4985999999999999E-2</v>
      </c>
      <c r="Q816">
        <v>-6.5599999999999999E-3</v>
      </c>
      <c r="R816">
        <v>9.6799999999999994E-3</v>
      </c>
      <c r="S816">
        <v>0.115845</v>
      </c>
      <c r="T816">
        <v>-1.2156E-2</v>
      </c>
      <c r="U816">
        <v>-1.1580999999999999E-2</v>
      </c>
      <c r="V816">
        <v>1.176E-3</v>
      </c>
      <c r="W816">
        <v>2.9343999999999999E-2</v>
      </c>
      <c r="X816">
        <v>4.5608999999999997E-2</v>
      </c>
      <c r="Y816">
        <v>-8.5030000000000001E-3</v>
      </c>
      <c r="Z816">
        <v>-4.0647000000000003E-2</v>
      </c>
      <c r="AA816">
        <v>-5.8113999999999999E-2</v>
      </c>
      <c r="AB816">
        <v>3.0720000000000001E-3</v>
      </c>
    </row>
    <row r="817" spans="1:28" x14ac:dyDescent="0.2">
      <c r="A817">
        <v>19991231</v>
      </c>
      <c r="B817">
        <v>1999</v>
      </c>
      <c r="C817">
        <v>12</v>
      </c>
      <c r="D817">
        <v>0.24849199999999999</v>
      </c>
      <c r="E817">
        <v>0.25574400000000003</v>
      </c>
      <c r="F817">
        <v>7.8847E-2</v>
      </c>
      <c r="G817">
        <v>0.11994199999999999</v>
      </c>
      <c r="H817">
        <v>7.6702000000000006E-2</v>
      </c>
      <c r="I817">
        <v>0.174653</v>
      </c>
      <c r="J817">
        <v>0.119121</v>
      </c>
      <c r="K817">
        <v>4.7331999999999999E-2</v>
      </c>
      <c r="L817">
        <v>3.8642999999999997E-2</v>
      </c>
      <c r="M817">
        <v>6.6950999999999997E-2</v>
      </c>
      <c r="N817">
        <v>0.15984599999999999</v>
      </c>
      <c r="O817">
        <v>9.3534000000000006E-2</v>
      </c>
      <c r="P817">
        <v>-2.3499999999999999E-4</v>
      </c>
      <c r="Q817">
        <v>4.0422E-2</v>
      </c>
      <c r="R817">
        <v>3.6091999999999999E-2</v>
      </c>
      <c r="S817">
        <v>0.21215200000000001</v>
      </c>
      <c r="T817">
        <v>3.3230999999999997E-2</v>
      </c>
      <c r="U817">
        <v>7.9220000000000002E-3</v>
      </c>
      <c r="V817">
        <v>6.7215999999999998E-2</v>
      </c>
      <c r="W817">
        <v>4.7011999999999998E-2</v>
      </c>
      <c r="X817">
        <v>8.2042000000000004E-2</v>
      </c>
      <c r="Y817">
        <v>1.8853999999999999E-2</v>
      </c>
      <c r="Z817">
        <v>1.7527000000000001E-2</v>
      </c>
      <c r="AA817">
        <v>-4.46E-4</v>
      </c>
      <c r="AB817">
        <v>-1.3320000000000001E-3</v>
      </c>
    </row>
    <row r="818" spans="1:28" x14ac:dyDescent="0.2">
      <c r="A818">
        <v>20000131</v>
      </c>
      <c r="B818">
        <v>2000</v>
      </c>
      <c r="C818">
        <v>1</v>
      </c>
      <c r="D818">
        <v>9.9423999999999998E-2</v>
      </c>
      <c r="E818">
        <v>5.4182000000000001E-2</v>
      </c>
      <c r="F818">
        <v>4.8119000000000002E-2</v>
      </c>
      <c r="G818">
        <v>3.5099999999999999E-2</v>
      </c>
      <c r="H818">
        <v>5.0479000000000003E-2</v>
      </c>
      <c r="I818">
        <v>4.1390000000000003E-3</v>
      </c>
      <c r="J818">
        <v>-2.1749999999999999E-2</v>
      </c>
      <c r="K818">
        <v>-2.1808999999999999E-2</v>
      </c>
      <c r="L818">
        <v>5.9119999999999997E-3</v>
      </c>
      <c r="M818">
        <v>-2.8910999999999999E-2</v>
      </c>
      <c r="N818">
        <v>-3.3819000000000002E-2</v>
      </c>
      <c r="O818">
        <v>-4.8667000000000002E-2</v>
      </c>
      <c r="P818">
        <v>-1.7804E-2</v>
      </c>
      <c r="Q818">
        <v>-3.7162000000000001E-2</v>
      </c>
      <c r="R818">
        <v>-6.8110000000000004E-2</v>
      </c>
      <c r="S818">
        <v>-3.8982000000000003E-2</v>
      </c>
      <c r="T818">
        <v>-3.0533000000000001E-2</v>
      </c>
      <c r="U818">
        <v>-3.1213000000000001E-2</v>
      </c>
      <c r="V818">
        <v>-4.6854E-2</v>
      </c>
      <c r="W818">
        <v>-0.109026</v>
      </c>
      <c r="X818">
        <v>-5.0342999999999999E-2</v>
      </c>
      <c r="Y818">
        <v>-3.2124E-2</v>
      </c>
      <c r="Z818">
        <v>-5.7165000000000001E-2</v>
      </c>
      <c r="AA818">
        <v>-7.2367000000000001E-2</v>
      </c>
      <c r="AB818">
        <v>-1.6292000000000001E-2</v>
      </c>
    </row>
    <row r="819" spans="1:28" x14ac:dyDescent="0.2">
      <c r="A819">
        <v>20000229</v>
      </c>
      <c r="B819">
        <v>2000</v>
      </c>
      <c r="C819">
        <v>2</v>
      </c>
      <c r="D819">
        <v>0.38906200000000002</v>
      </c>
      <c r="E819">
        <v>0.41051599999999999</v>
      </c>
      <c r="F819">
        <v>0.21862500000000001</v>
      </c>
      <c r="G819">
        <v>0.25400400000000001</v>
      </c>
      <c r="H819">
        <v>0.147865</v>
      </c>
      <c r="I819">
        <v>0.28175699999999998</v>
      </c>
      <c r="J819">
        <v>0.17622099999999999</v>
      </c>
      <c r="K819">
        <v>6.7395999999999998E-2</v>
      </c>
      <c r="L819">
        <v>7.6122999999999996E-2</v>
      </c>
      <c r="M819">
        <v>0.145348</v>
      </c>
      <c r="N819">
        <v>0.24606500000000001</v>
      </c>
      <c r="O819">
        <v>0.10023</v>
      </c>
      <c r="P819">
        <v>1.8461000000000002E-2</v>
      </c>
      <c r="Q819">
        <v>-5.7540000000000004E-3</v>
      </c>
      <c r="R819">
        <v>-5.3270000000000001E-3</v>
      </c>
      <c r="S819">
        <v>0.26221899999999998</v>
      </c>
      <c r="T819">
        <v>-9.6299999999999999E-4</v>
      </c>
      <c r="U819">
        <v>-1.3348E-2</v>
      </c>
      <c r="V819">
        <v>2.5794000000000001E-2</v>
      </c>
      <c r="W819">
        <v>-5.3577E-2</v>
      </c>
      <c r="X819">
        <v>5.4219999999999997E-3</v>
      </c>
      <c r="Y819">
        <v>-5.3134000000000001E-2</v>
      </c>
      <c r="Z819">
        <v>-0.100009</v>
      </c>
      <c r="AA819">
        <v>-0.101914</v>
      </c>
      <c r="AB819">
        <v>-8.2628999999999994E-2</v>
      </c>
    </row>
    <row r="820" spans="1:28" x14ac:dyDescent="0.2">
      <c r="A820">
        <v>20000331</v>
      </c>
      <c r="B820">
        <v>2000</v>
      </c>
      <c r="C820">
        <v>3</v>
      </c>
      <c r="D820">
        <v>-0.13353599999999999</v>
      </c>
      <c r="E820">
        <v>-0.19902</v>
      </c>
      <c r="F820">
        <v>-8.6476999999999998E-2</v>
      </c>
      <c r="G820">
        <v>-6.4277000000000001E-2</v>
      </c>
      <c r="H820">
        <v>-3.0342000000000001E-2</v>
      </c>
      <c r="I820">
        <v>-0.134493</v>
      </c>
      <c r="J820">
        <v>-4.7031999999999997E-2</v>
      </c>
      <c r="K820">
        <v>-1.8837E-2</v>
      </c>
      <c r="L820">
        <v>-1.2409999999999999E-3</v>
      </c>
      <c r="M820">
        <v>-1.5459000000000001E-2</v>
      </c>
      <c r="N820">
        <v>-0.14990700000000001</v>
      </c>
      <c r="O820">
        <v>4.1431999999999997E-2</v>
      </c>
      <c r="P820">
        <v>0.1052</v>
      </c>
      <c r="Q820">
        <v>6.8048999999999998E-2</v>
      </c>
      <c r="R820">
        <v>0.119225</v>
      </c>
      <c r="S820">
        <v>-3.2800000000000003E-2</v>
      </c>
      <c r="T820">
        <v>0.13402800000000001</v>
      </c>
      <c r="U820">
        <v>0.14010400000000001</v>
      </c>
      <c r="V820">
        <v>0.102395</v>
      </c>
      <c r="W820">
        <v>0.13103799999999999</v>
      </c>
      <c r="X820">
        <v>9.2567999999999998E-2</v>
      </c>
      <c r="Y820">
        <v>0.11468399999999999</v>
      </c>
      <c r="Z820">
        <v>9.7693000000000002E-2</v>
      </c>
      <c r="AA820">
        <v>0.160942</v>
      </c>
      <c r="AB820">
        <v>0.156473</v>
      </c>
    </row>
    <row r="821" spans="1:28" x14ac:dyDescent="0.2">
      <c r="A821">
        <v>20000428</v>
      </c>
      <c r="B821">
        <v>2000</v>
      </c>
      <c r="C821">
        <v>4</v>
      </c>
      <c r="D821">
        <v>-0.235989</v>
      </c>
      <c r="E821">
        <v>-0.17722299999999999</v>
      </c>
      <c r="F821">
        <v>-9.7302E-2</v>
      </c>
      <c r="G821">
        <v>-0.113469</v>
      </c>
      <c r="H821">
        <v>-9.7549999999999998E-2</v>
      </c>
      <c r="I821">
        <v>-0.12439699999999999</v>
      </c>
      <c r="J821">
        <v>-8.4027000000000004E-2</v>
      </c>
      <c r="K821">
        <v>-4.2389999999999997E-2</v>
      </c>
      <c r="L821">
        <v>-2.7799999999999998E-2</v>
      </c>
      <c r="M821">
        <v>-2.6199E-2</v>
      </c>
      <c r="N821">
        <v>-9.8816000000000001E-2</v>
      </c>
      <c r="O821">
        <v>3.62E-3</v>
      </c>
      <c r="P821">
        <v>-2.9187000000000001E-2</v>
      </c>
      <c r="Q821">
        <v>3.9148000000000002E-2</v>
      </c>
      <c r="R821">
        <v>1.323E-3</v>
      </c>
      <c r="S821">
        <v>-7.4438000000000004E-2</v>
      </c>
      <c r="T821">
        <v>-2.3261E-2</v>
      </c>
      <c r="U821">
        <v>3.6734000000000003E-2</v>
      </c>
      <c r="V821">
        <v>-9.3199999999999999E-4</v>
      </c>
      <c r="W821">
        <v>2.0393999999999999E-2</v>
      </c>
      <c r="X821">
        <v>-4.4725000000000001E-2</v>
      </c>
      <c r="Y821">
        <v>-3.3355999999999997E-2</v>
      </c>
      <c r="Z821">
        <v>3.2869000000000002E-2</v>
      </c>
      <c r="AA821">
        <v>2.7036999999999999E-2</v>
      </c>
      <c r="AB821">
        <v>6.6697000000000006E-2</v>
      </c>
    </row>
    <row r="822" spans="1:28" x14ac:dyDescent="0.2">
      <c r="A822">
        <v>20000531</v>
      </c>
      <c r="B822">
        <v>2000</v>
      </c>
      <c r="C822">
        <v>5</v>
      </c>
      <c r="D822">
        <v>-0.13980300000000001</v>
      </c>
      <c r="E822">
        <v>-9.6799999999999997E-2</v>
      </c>
      <c r="F822">
        <v>-4.7600000000000003E-2</v>
      </c>
      <c r="G822">
        <v>-8.0351000000000006E-2</v>
      </c>
      <c r="H822">
        <v>-6.7169000000000006E-2</v>
      </c>
      <c r="I822">
        <v>-0.102053</v>
      </c>
      <c r="J822">
        <v>-4.8943E-2</v>
      </c>
      <c r="K822">
        <v>-5.9470000000000002E-2</v>
      </c>
      <c r="L822">
        <v>-7.5207999999999997E-2</v>
      </c>
      <c r="M822">
        <v>-9.0050000000000009E-3</v>
      </c>
      <c r="N822">
        <v>-4.9321999999999998E-2</v>
      </c>
      <c r="O822">
        <v>-3.5574000000000001E-2</v>
      </c>
      <c r="P822">
        <v>-1.0858E-2</v>
      </c>
      <c r="Q822">
        <v>-4.1460000000000004E-3</v>
      </c>
      <c r="R822">
        <v>2.4643999999999999E-2</v>
      </c>
      <c r="S822">
        <v>-7.7604000000000006E-2</v>
      </c>
      <c r="T822">
        <v>1.2174000000000001E-2</v>
      </c>
      <c r="U822">
        <v>-1.8499000000000002E-2</v>
      </c>
      <c r="V822">
        <v>5.7200000000000003E-4</v>
      </c>
      <c r="W822">
        <v>1.358E-3</v>
      </c>
      <c r="X822">
        <v>-3.7171999999999997E-2</v>
      </c>
      <c r="Y822">
        <v>1.4090000000000001E-3</v>
      </c>
      <c r="Z822">
        <v>4.2557999999999999E-2</v>
      </c>
      <c r="AA822">
        <v>4.5989999999999998E-3</v>
      </c>
      <c r="AB822">
        <v>-4.7119000000000001E-2</v>
      </c>
    </row>
    <row r="823" spans="1:28" x14ac:dyDescent="0.2">
      <c r="A823">
        <v>20000630</v>
      </c>
      <c r="B823">
        <v>2000</v>
      </c>
      <c r="C823">
        <v>6</v>
      </c>
      <c r="D823">
        <v>0.29941000000000001</v>
      </c>
      <c r="E823">
        <v>0.270061</v>
      </c>
      <c r="F823">
        <v>0.17377600000000001</v>
      </c>
      <c r="G823">
        <v>0.183196</v>
      </c>
      <c r="H823">
        <v>0.106667</v>
      </c>
      <c r="I823">
        <v>0.140875</v>
      </c>
      <c r="J823">
        <v>0.109986</v>
      </c>
      <c r="K823">
        <v>3.9754999999999999E-2</v>
      </c>
      <c r="L823">
        <v>4.8658E-2</v>
      </c>
      <c r="M823">
        <v>9.3165999999999999E-2</v>
      </c>
      <c r="N823">
        <v>0.15306700000000001</v>
      </c>
      <c r="O823">
        <v>1.5408E-2</v>
      </c>
      <c r="P823">
        <v>3.8809999999999999E-3</v>
      </c>
      <c r="Q823">
        <v>-9.8239999999999994E-3</v>
      </c>
      <c r="R823">
        <v>2.4135E-2</v>
      </c>
      <c r="S823">
        <v>0.10962</v>
      </c>
      <c r="T823">
        <v>2.802E-2</v>
      </c>
      <c r="U823">
        <v>-3.4014999999999997E-2</v>
      </c>
      <c r="V823">
        <v>-3.2936E-2</v>
      </c>
      <c r="W823">
        <v>-4.4179999999999997E-2</v>
      </c>
      <c r="X823">
        <v>5.8573E-2</v>
      </c>
      <c r="Y823">
        <v>-4.2139000000000003E-2</v>
      </c>
      <c r="Z823">
        <v>-7.5304999999999997E-2</v>
      </c>
      <c r="AA823">
        <v>-8.5470000000000004E-2</v>
      </c>
      <c r="AB823">
        <v>-7.7356999999999995E-2</v>
      </c>
    </row>
    <row r="824" spans="1:28" x14ac:dyDescent="0.2">
      <c r="A824">
        <v>20000731</v>
      </c>
      <c r="B824">
        <v>2000</v>
      </c>
      <c r="C824">
        <v>7</v>
      </c>
      <c r="D824">
        <v>-8.6568999999999993E-2</v>
      </c>
      <c r="E824">
        <v>-1.2244E-2</v>
      </c>
      <c r="F824">
        <v>7.5469999999999999E-3</v>
      </c>
      <c r="G824">
        <v>1.2628E-2</v>
      </c>
      <c r="H824">
        <v>1.3722E-2</v>
      </c>
      <c r="I824">
        <v>-7.6883000000000007E-2</v>
      </c>
      <c r="J824">
        <v>-1.0409E-2</v>
      </c>
      <c r="K824">
        <v>1.6073E-2</v>
      </c>
      <c r="L824">
        <v>9.0760000000000007E-3</v>
      </c>
      <c r="M824">
        <v>2.1604000000000002E-2</v>
      </c>
      <c r="N824">
        <v>-0.103197</v>
      </c>
      <c r="O824">
        <v>-7.3410000000000003E-3</v>
      </c>
      <c r="P824">
        <v>3.1865999999999998E-2</v>
      </c>
      <c r="Q824">
        <v>4.0126000000000002E-2</v>
      </c>
      <c r="R824">
        <v>8.3668999999999993E-2</v>
      </c>
      <c r="S824">
        <v>-7.0810999999999999E-2</v>
      </c>
      <c r="T824">
        <v>-1.2369E-2</v>
      </c>
      <c r="U824">
        <v>2.9974000000000001E-2</v>
      </c>
      <c r="V824">
        <v>3.3529000000000003E-2</v>
      </c>
      <c r="W824">
        <v>1.2843E-2</v>
      </c>
      <c r="X824">
        <v>-2.9641000000000001E-2</v>
      </c>
      <c r="Y824">
        <v>1.256E-3</v>
      </c>
      <c r="Z824">
        <v>5.7327000000000003E-2</v>
      </c>
      <c r="AA824">
        <v>8.2824999999999996E-2</v>
      </c>
      <c r="AB824">
        <v>1.1313E-2</v>
      </c>
    </row>
    <row r="825" spans="1:28" x14ac:dyDescent="0.2">
      <c r="A825">
        <v>20000831</v>
      </c>
      <c r="B825">
        <v>2000</v>
      </c>
      <c r="C825">
        <v>8</v>
      </c>
      <c r="D825">
        <v>9.2426999999999995E-2</v>
      </c>
      <c r="E825">
        <v>8.5851999999999998E-2</v>
      </c>
      <c r="F825">
        <v>3.9515000000000002E-2</v>
      </c>
      <c r="G825">
        <v>5.5086999999999997E-2</v>
      </c>
      <c r="H825">
        <v>5.1261000000000001E-2</v>
      </c>
      <c r="I825">
        <v>8.0323000000000006E-2</v>
      </c>
      <c r="J825">
        <v>3.7308000000000001E-2</v>
      </c>
      <c r="K825">
        <v>5.0301999999999999E-2</v>
      </c>
      <c r="L825">
        <v>6.1395999999999999E-2</v>
      </c>
      <c r="M825">
        <v>7.0064000000000001E-2</v>
      </c>
      <c r="N825">
        <v>8.7264999999999995E-2</v>
      </c>
      <c r="O825">
        <v>9.4062999999999994E-2</v>
      </c>
      <c r="P825">
        <v>6.8878999999999996E-2</v>
      </c>
      <c r="Q825">
        <v>6.5999000000000002E-2</v>
      </c>
      <c r="R825">
        <v>7.7099000000000001E-2</v>
      </c>
      <c r="S825">
        <v>0.13608100000000001</v>
      </c>
      <c r="T825">
        <v>6.6732E-2</v>
      </c>
      <c r="U825">
        <v>5.1142E-2</v>
      </c>
      <c r="V825">
        <v>7.5582999999999997E-2</v>
      </c>
      <c r="W825">
        <v>5.4525999999999998E-2</v>
      </c>
      <c r="X825">
        <v>7.4372999999999995E-2</v>
      </c>
      <c r="Y825">
        <v>7.4049000000000004E-2</v>
      </c>
      <c r="Z825">
        <v>0.10173</v>
      </c>
      <c r="AA825">
        <v>1.8782E-2</v>
      </c>
      <c r="AB825">
        <v>0.12857099999999999</v>
      </c>
    </row>
    <row r="826" spans="1:28" x14ac:dyDescent="0.2">
      <c r="A826">
        <v>20000929</v>
      </c>
      <c r="B826">
        <v>2000</v>
      </c>
      <c r="C826">
        <v>9</v>
      </c>
      <c r="D826">
        <v>-0.103294</v>
      </c>
      <c r="E826">
        <v>-9.4629999999999992E-3</v>
      </c>
      <c r="F826">
        <v>-3.771E-2</v>
      </c>
      <c r="G826">
        <v>-1.1460000000000001E-3</v>
      </c>
      <c r="H826">
        <v>-8.6420000000000004E-3</v>
      </c>
      <c r="I826">
        <v>-4.6505999999999999E-2</v>
      </c>
      <c r="J826">
        <v>-2.9448999999999999E-2</v>
      </c>
      <c r="K826">
        <v>1.7769999999999999E-3</v>
      </c>
      <c r="L826">
        <v>-1.2017999999999999E-2</v>
      </c>
      <c r="M826">
        <v>-2.2318999999999999E-2</v>
      </c>
      <c r="N826">
        <v>-0.103395</v>
      </c>
      <c r="O826">
        <v>-2.6360999999999999E-2</v>
      </c>
      <c r="P826">
        <v>6.1809999999999999E-3</v>
      </c>
      <c r="Q826">
        <v>2.6816E-2</v>
      </c>
      <c r="R826">
        <v>-1.1747E-2</v>
      </c>
      <c r="S826">
        <v>-9.4227000000000005E-2</v>
      </c>
      <c r="T826">
        <v>-1.8109999999999999E-3</v>
      </c>
      <c r="U826">
        <v>-8.9580000000000007E-3</v>
      </c>
      <c r="V826">
        <v>2.6549E-2</v>
      </c>
      <c r="W826">
        <v>-3.1432000000000002E-2</v>
      </c>
      <c r="X826">
        <v>-6.0673999999999999E-2</v>
      </c>
      <c r="Y826">
        <v>-2.7001000000000001E-2</v>
      </c>
      <c r="Z826">
        <v>4.3583999999999998E-2</v>
      </c>
      <c r="AA826">
        <v>6.7977999999999997E-2</v>
      </c>
      <c r="AB826">
        <v>-3.8128000000000002E-2</v>
      </c>
    </row>
    <row r="827" spans="1:28" x14ac:dyDescent="0.2">
      <c r="A827">
        <v>20001031</v>
      </c>
      <c r="B827">
        <v>2000</v>
      </c>
      <c r="C827">
        <v>10</v>
      </c>
      <c r="D827">
        <v>-0.119783</v>
      </c>
      <c r="E827">
        <v>-0.10506600000000001</v>
      </c>
      <c r="F827">
        <v>-2.4478E-2</v>
      </c>
      <c r="G827">
        <v>-5.8901000000000002E-2</v>
      </c>
      <c r="H827">
        <v>-4.1986000000000002E-2</v>
      </c>
      <c r="I827">
        <v>-9.1107999999999995E-2</v>
      </c>
      <c r="J827">
        <v>-7.8840000000000004E-3</v>
      </c>
      <c r="K827">
        <v>-9.8010000000000007E-3</v>
      </c>
      <c r="L827">
        <v>1.3370000000000001E-3</v>
      </c>
      <c r="M827">
        <v>-1.8034999999999999E-2</v>
      </c>
      <c r="N827">
        <v>-0.104931</v>
      </c>
      <c r="O827">
        <v>-1.4666E-2</v>
      </c>
      <c r="P827">
        <v>-1.3953E-2</v>
      </c>
      <c r="Q827">
        <v>4.934E-3</v>
      </c>
      <c r="R827">
        <v>2.7924000000000001E-2</v>
      </c>
      <c r="S827">
        <v>-5.5774999999999998E-2</v>
      </c>
      <c r="T827">
        <v>1.8422000000000001E-2</v>
      </c>
      <c r="U827">
        <v>2.9075E-2</v>
      </c>
      <c r="V827">
        <v>-1.8598E-2</v>
      </c>
      <c r="W827">
        <v>4.1967999999999998E-2</v>
      </c>
      <c r="X827">
        <v>-2.1609E-2</v>
      </c>
      <c r="Y827">
        <v>1.8554999999999999E-2</v>
      </c>
      <c r="Z827">
        <v>-3.9877000000000003E-2</v>
      </c>
      <c r="AA827">
        <v>4.1606999999999998E-2</v>
      </c>
      <c r="AB827">
        <v>1.8890000000000001E-3</v>
      </c>
    </row>
    <row r="828" spans="1:28" x14ac:dyDescent="0.2">
      <c r="A828">
        <v>20001130</v>
      </c>
      <c r="B828">
        <v>2000</v>
      </c>
      <c r="C828">
        <v>11</v>
      </c>
      <c r="D828">
        <v>-0.20891899999999999</v>
      </c>
      <c r="E828">
        <v>-0.12470000000000001</v>
      </c>
      <c r="F828">
        <v>-6.6743999999999998E-2</v>
      </c>
      <c r="G828">
        <v>-4.3206000000000001E-2</v>
      </c>
      <c r="H828">
        <v>-4.4847999999999999E-2</v>
      </c>
      <c r="I828">
        <v>-0.18063899999999999</v>
      </c>
      <c r="J828">
        <v>-6.1976000000000003E-2</v>
      </c>
      <c r="K828">
        <v>-2.9189E-2</v>
      </c>
      <c r="L828">
        <v>-4.1901000000000001E-2</v>
      </c>
      <c r="M828">
        <v>-3.7538000000000002E-2</v>
      </c>
      <c r="N828">
        <v>-0.199849</v>
      </c>
      <c r="O828">
        <v>-7.0866999999999999E-2</v>
      </c>
      <c r="P828">
        <v>-5.7827999999999997E-2</v>
      </c>
      <c r="Q828">
        <v>6.2740000000000001E-3</v>
      </c>
      <c r="R828">
        <v>1.8592999999999998E-2</v>
      </c>
      <c r="S828">
        <v>-0.18587300000000001</v>
      </c>
      <c r="T828">
        <v>-4.5909999999999996E-3</v>
      </c>
      <c r="U828">
        <v>3.545E-3</v>
      </c>
      <c r="V828">
        <v>2.1406999999999999E-2</v>
      </c>
      <c r="W828">
        <v>-1.0361E-2</v>
      </c>
      <c r="X828">
        <v>-0.10609300000000001</v>
      </c>
      <c r="Y828">
        <v>-5.6544999999999998E-2</v>
      </c>
      <c r="Z828">
        <v>-5.0091999999999998E-2</v>
      </c>
      <c r="AA828">
        <v>-1.7950000000000001E-2</v>
      </c>
      <c r="AB828">
        <v>-5.8513000000000003E-2</v>
      </c>
    </row>
    <row r="829" spans="1:28" x14ac:dyDescent="0.2">
      <c r="A829">
        <v>20001229</v>
      </c>
      <c r="B829">
        <v>2000</v>
      </c>
      <c r="C829">
        <v>12</v>
      </c>
      <c r="D829">
        <v>-9.6698000000000006E-2</v>
      </c>
      <c r="E829">
        <v>1.3998999999999999E-2</v>
      </c>
      <c r="F829">
        <v>1.58E-3</v>
      </c>
      <c r="G829">
        <v>3.7002E-2</v>
      </c>
      <c r="H829">
        <v>2.7254E-2</v>
      </c>
      <c r="I829">
        <v>-3.0890000000000002E-3</v>
      </c>
      <c r="J829">
        <v>7.7337000000000003E-2</v>
      </c>
      <c r="K829">
        <v>0.12518599999999999</v>
      </c>
      <c r="L829">
        <v>0.10263</v>
      </c>
      <c r="M829">
        <v>0.12056600000000001</v>
      </c>
      <c r="N829">
        <v>2.8996000000000001E-2</v>
      </c>
      <c r="O829">
        <v>0.13514000000000001</v>
      </c>
      <c r="P829">
        <v>0.11243</v>
      </c>
      <c r="Q829">
        <v>0.13613</v>
      </c>
      <c r="R829">
        <v>9.9394999999999997E-2</v>
      </c>
      <c r="S829">
        <v>4.6031000000000002E-2</v>
      </c>
      <c r="T829">
        <v>9.4741000000000006E-2</v>
      </c>
      <c r="U829">
        <v>0.10679</v>
      </c>
      <c r="V829">
        <v>0.11558300000000001</v>
      </c>
      <c r="W829">
        <v>0.159576</v>
      </c>
      <c r="X829">
        <v>-1.3152E-2</v>
      </c>
      <c r="Y829">
        <v>8.1697000000000006E-2</v>
      </c>
      <c r="Z829">
        <v>7.3413999999999993E-2</v>
      </c>
      <c r="AA829">
        <v>7.2622999999999993E-2</v>
      </c>
      <c r="AB829">
        <v>1.0604000000000001E-2</v>
      </c>
    </row>
    <row r="830" spans="1:28" x14ac:dyDescent="0.2">
      <c r="A830">
        <v>20010131</v>
      </c>
      <c r="B830">
        <v>2001</v>
      </c>
      <c r="C830">
        <v>1</v>
      </c>
      <c r="D830">
        <v>0.26977499999999999</v>
      </c>
      <c r="E830">
        <v>0.17203399999999999</v>
      </c>
      <c r="F830">
        <v>0.14041699999999999</v>
      </c>
      <c r="G830">
        <v>0.11827</v>
      </c>
      <c r="H830">
        <v>0.130909</v>
      </c>
      <c r="I830">
        <v>0.150177</v>
      </c>
      <c r="J830">
        <v>8.1699999999999995E-2</v>
      </c>
      <c r="K830">
        <v>4.3062999999999997E-2</v>
      </c>
      <c r="L830">
        <v>5.5148999999999997E-2</v>
      </c>
      <c r="M830">
        <v>5.6743000000000002E-2</v>
      </c>
      <c r="N830">
        <v>0.128112</v>
      </c>
      <c r="O830">
        <v>2.8042999999999998E-2</v>
      </c>
      <c r="P830">
        <v>-2.7230000000000002E-3</v>
      </c>
      <c r="Q830">
        <v>-1.6528000000000001E-2</v>
      </c>
      <c r="R830">
        <v>3.3064999999999997E-2</v>
      </c>
      <c r="S830">
        <v>7.0785000000000001E-2</v>
      </c>
      <c r="T830">
        <v>9.8689999999999993E-3</v>
      </c>
      <c r="U830">
        <v>-3.5400000000000002E-3</v>
      </c>
      <c r="V830">
        <v>-2.7570000000000001E-2</v>
      </c>
      <c r="W830">
        <v>3.2854000000000001E-2</v>
      </c>
      <c r="X830">
        <v>3.2649999999999998E-2</v>
      </c>
      <c r="Y830">
        <v>3.0006000000000001E-2</v>
      </c>
      <c r="Z830">
        <v>3.7873999999999998E-2</v>
      </c>
      <c r="AA830">
        <v>-1.1350000000000001E-2</v>
      </c>
      <c r="AB830">
        <v>2.8982999999999998E-2</v>
      </c>
    </row>
    <row r="831" spans="1:28" x14ac:dyDescent="0.2">
      <c r="A831">
        <v>20010228</v>
      </c>
      <c r="B831">
        <v>2001</v>
      </c>
      <c r="C831">
        <v>2</v>
      </c>
      <c r="D831">
        <v>-0.13729</v>
      </c>
      <c r="E831">
        <v>-9.1966999999999993E-2</v>
      </c>
      <c r="F831">
        <v>-1.8020000000000001E-2</v>
      </c>
      <c r="G831">
        <v>4.6109999999999996E-3</v>
      </c>
      <c r="H831">
        <v>-2.3410000000000002E-3</v>
      </c>
      <c r="I831">
        <v>-0.13814000000000001</v>
      </c>
      <c r="J831">
        <v>-2.4039000000000001E-2</v>
      </c>
      <c r="K831">
        <v>-1.3703E-2</v>
      </c>
      <c r="L831">
        <v>-2.001E-2</v>
      </c>
      <c r="M831">
        <v>2.3399E-2</v>
      </c>
      <c r="N831">
        <v>-0.17333000000000001</v>
      </c>
      <c r="O831">
        <v>-3.8269999999999998E-2</v>
      </c>
      <c r="P831">
        <v>-4.0400000000000002E-3</v>
      </c>
      <c r="Q831">
        <v>1.2189E-2</v>
      </c>
      <c r="R831">
        <v>6.2909999999999997E-3</v>
      </c>
      <c r="S831">
        <v>-0.14899200000000001</v>
      </c>
      <c r="T831">
        <v>-2.4826999999999998E-2</v>
      </c>
      <c r="U831">
        <v>2.5669999999999998E-3</v>
      </c>
      <c r="V831">
        <v>5.7879999999999997E-3</v>
      </c>
      <c r="W831">
        <v>6.8320000000000004E-3</v>
      </c>
      <c r="X831">
        <v>-0.119841</v>
      </c>
      <c r="Y831">
        <v>-2.8813999999999999E-2</v>
      </c>
      <c r="Z831">
        <v>-7.0699999999999999E-3</v>
      </c>
      <c r="AA831">
        <v>2.8486000000000001E-2</v>
      </c>
      <c r="AB831">
        <v>3.1302000000000003E-2</v>
      </c>
    </row>
    <row r="832" spans="1:28" x14ac:dyDescent="0.2">
      <c r="A832">
        <v>20010330</v>
      </c>
      <c r="B832">
        <v>2001</v>
      </c>
      <c r="C832">
        <v>3</v>
      </c>
      <c r="D832">
        <v>-0.122074</v>
      </c>
      <c r="E832">
        <v>-1.1609E-2</v>
      </c>
      <c r="F832">
        <v>-1.1813000000000001E-2</v>
      </c>
      <c r="G832">
        <v>-1.1360000000000001E-3</v>
      </c>
      <c r="H832">
        <v>-1.8203E-2</v>
      </c>
      <c r="I832">
        <v>-5.6300000000000003E-2</v>
      </c>
      <c r="J832">
        <v>-5.6140000000000001E-3</v>
      </c>
      <c r="K832">
        <v>-2.5607999999999999E-2</v>
      </c>
      <c r="L832">
        <v>-1.2362E-2</v>
      </c>
      <c r="M832">
        <v>-1.2278000000000001E-2</v>
      </c>
      <c r="N832">
        <v>-0.11654299999999999</v>
      </c>
      <c r="O832">
        <v>-4.4783999999999997E-2</v>
      </c>
      <c r="P832">
        <v>-3.4001999999999998E-2</v>
      </c>
      <c r="Q832">
        <v>-3.6740000000000002E-2</v>
      </c>
      <c r="R832">
        <v>7.2399999999999999E-3</v>
      </c>
      <c r="S832">
        <v>-0.11344799999999999</v>
      </c>
      <c r="T832">
        <v>-3.1045E-2</v>
      </c>
      <c r="U832">
        <v>-2.0542999999999999E-2</v>
      </c>
      <c r="V832">
        <v>-5.2659999999999998E-3</v>
      </c>
      <c r="W832">
        <v>-1.5636000000000001E-2</v>
      </c>
      <c r="X832">
        <v>-8.5222999999999993E-2</v>
      </c>
      <c r="Y832">
        <v>-2.4230999999999999E-2</v>
      </c>
      <c r="Z832">
        <v>-3.6059999999999998E-3</v>
      </c>
      <c r="AA832">
        <v>-1.1821999999999999E-2</v>
      </c>
      <c r="AB832">
        <v>-2.9725000000000001E-2</v>
      </c>
    </row>
    <row r="833" spans="1:28" x14ac:dyDescent="0.2">
      <c r="A833">
        <v>20010430</v>
      </c>
      <c r="B833">
        <v>2001</v>
      </c>
      <c r="C833">
        <v>4</v>
      </c>
      <c r="D833">
        <v>8.9106000000000005E-2</v>
      </c>
      <c r="E833">
        <v>7.0239999999999997E-2</v>
      </c>
      <c r="F833">
        <v>2.5149999999999999E-2</v>
      </c>
      <c r="G833">
        <v>4.929E-2</v>
      </c>
      <c r="H833">
        <v>5.0678000000000001E-2</v>
      </c>
      <c r="I833">
        <v>0.11240600000000001</v>
      </c>
      <c r="J833">
        <v>4.9632999999999997E-2</v>
      </c>
      <c r="K833">
        <v>6.9936999999999999E-2</v>
      </c>
      <c r="L833">
        <v>4.3563999999999999E-2</v>
      </c>
      <c r="M833">
        <v>5.4459E-2</v>
      </c>
      <c r="N833">
        <v>0.113736</v>
      </c>
      <c r="O833">
        <v>8.9540999999999996E-2</v>
      </c>
      <c r="P833">
        <v>5.8640999999999999E-2</v>
      </c>
      <c r="Q833">
        <v>4.7312E-2</v>
      </c>
      <c r="R833">
        <v>6.0911E-2</v>
      </c>
      <c r="S833">
        <v>0.16018299999999999</v>
      </c>
      <c r="T833">
        <v>7.7229000000000006E-2</v>
      </c>
      <c r="U833">
        <v>4.8749000000000001E-2</v>
      </c>
      <c r="V833">
        <v>8.1267000000000006E-2</v>
      </c>
      <c r="W833">
        <v>8.0940999999999999E-2</v>
      </c>
      <c r="X833">
        <v>9.1110999999999998E-2</v>
      </c>
      <c r="Y833">
        <v>4.8571999999999997E-2</v>
      </c>
      <c r="Z833">
        <v>3.6199000000000002E-2</v>
      </c>
      <c r="AA833">
        <v>2.7077E-2</v>
      </c>
      <c r="AB833">
        <v>6.6171999999999995E-2</v>
      </c>
    </row>
    <row r="834" spans="1:28" x14ac:dyDescent="0.2">
      <c r="A834">
        <v>20010531</v>
      </c>
      <c r="B834">
        <v>2001</v>
      </c>
      <c r="C834">
        <v>5</v>
      </c>
      <c r="D834">
        <v>0.12943399999999999</v>
      </c>
      <c r="E834">
        <v>0.112978</v>
      </c>
      <c r="F834">
        <v>9.2646999999999993E-2</v>
      </c>
      <c r="G834">
        <v>0.11378199999999999</v>
      </c>
      <c r="H834">
        <v>0.105628</v>
      </c>
      <c r="I834">
        <v>2.4357E-2</v>
      </c>
      <c r="J834">
        <v>3.9687E-2</v>
      </c>
      <c r="K834">
        <v>2.2183999999999999E-2</v>
      </c>
      <c r="L834">
        <v>4.9124000000000001E-2</v>
      </c>
      <c r="M834">
        <v>4.3257999999999998E-2</v>
      </c>
      <c r="N834">
        <v>4.9001000000000003E-2</v>
      </c>
      <c r="O834">
        <v>2.1229999999999999E-3</v>
      </c>
      <c r="P834">
        <v>3.1944E-2</v>
      </c>
      <c r="Q834">
        <v>6.685E-3</v>
      </c>
      <c r="R834">
        <v>1.6707E-2</v>
      </c>
      <c r="S834">
        <v>3.4759999999999999E-2</v>
      </c>
      <c r="T834">
        <v>3.7893999999999997E-2</v>
      </c>
      <c r="U834">
        <v>3.1321000000000002E-2</v>
      </c>
      <c r="V834">
        <v>1.0869E-2</v>
      </c>
      <c r="W834">
        <v>4.4502E-2</v>
      </c>
      <c r="X834">
        <v>3.1E-4</v>
      </c>
      <c r="Y834">
        <v>1.7423000000000001E-2</v>
      </c>
      <c r="Z834">
        <v>3.0613000000000001E-2</v>
      </c>
      <c r="AA834">
        <v>9.9059999999999999E-3</v>
      </c>
      <c r="AB834">
        <v>4.9399999999999999E-2</v>
      </c>
    </row>
    <row r="835" spans="1:28" x14ac:dyDescent="0.2">
      <c r="A835">
        <v>20010629</v>
      </c>
      <c r="B835">
        <v>2001</v>
      </c>
      <c r="C835">
        <v>6</v>
      </c>
      <c r="D835">
        <v>2.3956000000000002E-2</v>
      </c>
      <c r="E835">
        <v>2.8896999999999999E-2</v>
      </c>
      <c r="F835">
        <v>4.9331E-2</v>
      </c>
      <c r="G835">
        <v>3.1064000000000001E-2</v>
      </c>
      <c r="H835">
        <v>1.4270000000000001E-3</v>
      </c>
      <c r="I835">
        <v>6.5675999999999998E-2</v>
      </c>
      <c r="J835">
        <v>9.6034999999999995E-2</v>
      </c>
      <c r="K835">
        <v>7.1377999999999997E-2</v>
      </c>
      <c r="L835">
        <v>6.3556000000000001E-2</v>
      </c>
      <c r="M835">
        <v>4.1618000000000002E-2</v>
      </c>
      <c r="N835">
        <v>4.9140999999999997E-2</v>
      </c>
      <c r="O835">
        <v>-1.0181000000000001E-2</v>
      </c>
      <c r="P835">
        <v>1.1383000000000001E-2</v>
      </c>
      <c r="Q835">
        <v>2.9489999999999998E-3</v>
      </c>
      <c r="R835">
        <v>7.6509999999999998E-3</v>
      </c>
      <c r="S835">
        <v>3.6344000000000001E-2</v>
      </c>
      <c r="T835">
        <v>-1.2331E-2</v>
      </c>
      <c r="U835">
        <v>-1.1615E-2</v>
      </c>
      <c r="V835">
        <v>-3.4624000000000002E-2</v>
      </c>
      <c r="W835">
        <v>3.1935999999999999E-2</v>
      </c>
      <c r="X835">
        <v>-2.2216E-2</v>
      </c>
      <c r="Y835">
        <v>-3.8585000000000001E-2</v>
      </c>
      <c r="Z835">
        <v>-1.9289999999999999E-3</v>
      </c>
      <c r="AA835">
        <v>-2.3251000000000001E-2</v>
      </c>
      <c r="AB835">
        <v>1.9424E-2</v>
      </c>
    </row>
    <row r="836" spans="1:28" x14ac:dyDescent="0.2">
      <c r="A836">
        <v>20010731</v>
      </c>
      <c r="B836">
        <v>2001</v>
      </c>
      <c r="C836">
        <v>7</v>
      </c>
      <c r="D836">
        <v>-9.3461000000000002E-2</v>
      </c>
      <c r="E836">
        <v>-7.6425000000000007E-2</v>
      </c>
      <c r="F836">
        <v>-2.3472E-2</v>
      </c>
      <c r="G836">
        <v>1.9780000000000002E-3</v>
      </c>
      <c r="H836">
        <v>-3.3500000000000001E-3</v>
      </c>
      <c r="I836">
        <v>-0.102434</v>
      </c>
      <c r="J836">
        <v>-7.4938000000000005E-2</v>
      </c>
      <c r="K836">
        <v>-6.5948999999999994E-2</v>
      </c>
      <c r="L836">
        <v>-3.0845000000000001E-2</v>
      </c>
      <c r="M836">
        <v>-3.465E-2</v>
      </c>
      <c r="N836">
        <v>-9.2164999999999997E-2</v>
      </c>
      <c r="O836">
        <v>-4.3159000000000003E-2</v>
      </c>
      <c r="P836">
        <v>-2.9336999999999998E-2</v>
      </c>
      <c r="Q836">
        <v>-7.3159999999999996E-3</v>
      </c>
      <c r="R836">
        <v>2.0462000000000001E-2</v>
      </c>
      <c r="S836">
        <v>-5.0706000000000001E-2</v>
      </c>
      <c r="T836">
        <v>-1.1561999999999999E-2</v>
      </c>
      <c r="U836">
        <v>1.0237E-2</v>
      </c>
      <c r="V836">
        <v>1.9480999999999998E-2</v>
      </c>
      <c r="W836">
        <v>-7.0679999999999996E-3</v>
      </c>
      <c r="X836">
        <v>-1.6247999999999999E-2</v>
      </c>
      <c r="Y836">
        <v>-3.686E-3</v>
      </c>
      <c r="Z836">
        <v>-2.1262E-2</v>
      </c>
      <c r="AA836">
        <v>-2.2044999999999999E-2</v>
      </c>
      <c r="AB836">
        <v>5.4028E-2</v>
      </c>
    </row>
    <row r="837" spans="1:28" x14ac:dyDescent="0.2">
      <c r="A837">
        <v>20010831</v>
      </c>
      <c r="B837">
        <v>2001</v>
      </c>
      <c r="C837">
        <v>8</v>
      </c>
      <c r="D837">
        <v>-8.2686999999999997E-2</v>
      </c>
      <c r="E837">
        <v>-5.2614000000000001E-2</v>
      </c>
      <c r="F837">
        <v>-3.4014999999999997E-2</v>
      </c>
      <c r="G837">
        <v>-1.2683E-2</v>
      </c>
      <c r="H837">
        <v>-1.0763999999999999E-2</v>
      </c>
      <c r="I837">
        <v>-0.100589</v>
      </c>
      <c r="J837">
        <v>-4.3228000000000003E-2</v>
      </c>
      <c r="K837">
        <v>-2.4583000000000001E-2</v>
      </c>
      <c r="L837">
        <v>-1.5037999999999999E-2</v>
      </c>
      <c r="M837">
        <v>-1.1906999999999999E-2</v>
      </c>
      <c r="N837">
        <v>-7.3446999999999998E-2</v>
      </c>
      <c r="O837">
        <v>-3.2079000000000003E-2</v>
      </c>
      <c r="P837">
        <v>-3.0658999999999999E-2</v>
      </c>
      <c r="Q837">
        <v>-9.0830000000000008E-3</v>
      </c>
      <c r="R837">
        <v>-1.4215999999999999E-2</v>
      </c>
      <c r="S837">
        <v>-7.1720999999999993E-2</v>
      </c>
      <c r="T837">
        <v>-4.1457000000000001E-2</v>
      </c>
      <c r="U837">
        <v>-3.2218999999999998E-2</v>
      </c>
      <c r="V837">
        <v>-1.5991999999999999E-2</v>
      </c>
      <c r="W837">
        <v>-0.10463600000000001</v>
      </c>
      <c r="X837">
        <v>-7.2596999999999995E-2</v>
      </c>
      <c r="Y837">
        <v>-4.1758000000000003E-2</v>
      </c>
      <c r="Z837">
        <v>-3.0792E-2</v>
      </c>
      <c r="AA837">
        <v>-8.3520999999999998E-2</v>
      </c>
      <c r="AB837">
        <v>-8.5044999999999996E-2</v>
      </c>
    </row>
    <row r="838" spans="1:28" x14ac:dyDescent="0.2">
      <c r="A838">
        <v>20010928</v>
      </c>
      <c r="B838">
        <v>2001</v>
      </c>
      <c r="C838">
        <v>9</v>
      </c>
      <c r="D838">
        <v>-0.15948799999999999</v>
      </c>
      <c r="E838">
        <v>-0.15145500000000001</v>
      </c>
      <c r="F838">
        <v>-0.101189</v>
      </c>
      <c r="G838">
        <v>-9.3345999999999998E-2</v>
      </c>
      <c r="H838">
        <v>-0.137656</v>
      </c>
      <c r="I838">
        <v>-0.18684000000000001</v>
      </c>
      <c r="J838">
        <v>-0.155503</v>
      </c>
      <c r="K838">
        <v>-0.121375</v>
      </c>
      <c r="L838">
        <v>-0.153533</v>
      </c>
      <c r="M838">
        <v>-0.166687</v>
      </c>
      <c r="N838">
        <v>-0.15562999999999999</v>
      </c>
      <c r="O838">
        <v>-0.130888</v>
      </c>
      <c r="P838">
        <v>-0.121599</v>
      </c>
      <c r="Q838">
        <v>-0.124029</v>
      </c>
      <c r="R838">
        <v>-0.191889</v>
      </c>
      <c r="S838">
        <v>-0.16633800000000001</v>
      </c>
      <c r="T838">
        <v>-0.13097400000000001</v>
      </c>
      <c r="U838">
        <v>-9.6599000000000004E-2</v>
      </c>
      <c r="V838">
        <v>-0.13822200000000001</v>
      </c>
      <c r="W838">
        <v>-0.17519899999999999</v>
      </c>
      <c r="X838">
        <v>-7.4383000000000005E-2</v>
      </c>
      <c r="Y838">
        <v>-8.8139999999999996E-2</v>
      </c>
      <c r="Z838">
        <v>-7.1873999999999993E-2</v>
      </c>
      <c r="AA838">
        <v>-0.111503</v>
      </c>
      <c r="AB838">
        <v>-2.2526999999999998E-2</v>
      </c>
    </row>
    <row r="839" spans="1:28" x14ac:dyDescent="0.2">
      <c r="A839">
        <v>20011031</v>
      </c>
      <c r="B839">
        <v>2001</v>
      </c>
      <c r="C839">
        <v>10</v>
      </c>
      <c r="D839">
        <v>9.0966000000000005E-2</v>
      </c>
      <c r="E839">
        <v>7.3809E-2</v>
      </c>
      <c r="F839">
        <v>6.8848999999999994E-2</v>
      </c>
      <c r="G839">
        <v>4.2215999999999997E-2</v>
      </c>
      <c r="H839">
        <v>4.7666E-2</v>
      </c>
      <c r="I839">
        <v>0.118496</v>
      </c>
      <c r="J839">
        <v>8.7196999999999997E-2</v>
      </c>
      <c r="K839">
        <v>5.0372E-2</v>
      </c>
      <c r="L839">
        <v>2.4868000000000001E-2</v>
      </c>
      <c r="M839">
        <v>4.1184999999999999E-2</v>
      </c>
      <c r="N839">
        <v>0.13505700000000001</v>
      </c>
      <c r="O839">
        <v>6.4337000000000005E-2</v>
      </c>
      <c r="P839">
        <v>4.2659999999999997E-2</v>
      </c>
      <c r="Q839">
        <v>3.9727999999999999E-2</v>
      </c>
      <c r="R839">
        <v>9.7766000000000006E-2</v>
      </c>
      <c r="S839">
        <v>8.5268999999999998E-2</v>
      </c>
      <c r="T839">
        <v>3.5492000000000003E-2</v>
      </c>
      <c r="U839">
        <v>8.3140000000000002E-3</v>
      </c>
      <c r="V839">
        <v>3.9271E-2</v>
      </c>
      <c r="W839">
        <v>2.2003999999999999E-2</v>
      </c>
      <c r="X839">
        <v>3.4691E-2</v>
      </c>
      <c r="Y839">
        <v>-4.5570000000000003E-3</v>
      </c>
      <c r="Z839">
        <v>-1.7388000000000001E-2</v>
      </c>
      <c r="AA839">
        <v>1.4097E-2</v>
      </c>
      <c r="AB839">
        <v>-0.13238900000000001</v>
      </c>
    </row>
    <row r="840" spans="1:28" x14ac:dyDescent="0.2">
      <c r="A840">
        <v>20011130</v>
      </c>
      <c r="B840">
        <v>2001</v>
      </c>
      <c r="C840">
        <v>11</v>
      </c>
      <c r="D840">
        <v>7.1066000000000004E-2</v>
      </c>
      <c r="E840">
        <v>0.103751</v>
      </c>
      <c r="F840">
        <v>4.5096999999999998E-2</v>
      </c>
      <c r="G840">
        <v>6.2861E-2</v>
      </c>
      <c r="H840">
        <v>6.794E-2</v>
      </c>
      <c r="I840">
        <v>0.105063</v>
      </c>
      <c r="J840">
        <v>8.4251999999999994E-2</v>
      </c>
      <c r="K840">
        <v>5.8090000000000003E-2</v>
      </c>
      <c r="L840">
        <v>0.102711</v>
      </c>
      <c r="M840">
        <v>0.115111</v>
      </c>
      <c r="N840">
        <v>9.9388000000000004E-2</v>
      </c>
      <c r="O840">
        <v>6.4746999999999999E-2</v>
      </c>
      <c r="P840">
        <v>7.2245000000000004E-2</v>
      </c>
      <c r="Q840">
        <v>8.8154999999999997E-2</v>
      </c>
      <c r="R840">
        <v>0.12794900000000001</v>
      </c>
      <c r="S840">
        <v>0.10583099999999999</v>
      </c>
      <c r="T840">
        <v>9.2026999999999998E-2</v>
      </c>
      <c r="U840">
        <v>6.4990999999999993E-2</v>
      </c>
      <c r="V840">
        <v>0.103892</v>
      </c>
      <c r="W840">
        <v>0.101413</v>
      </c>
      <c r="X840">
        <v>7.9039999999999999E-2</v>
      </c>
      <c r="Y840">
        <v>6.1178999999999997E-2</v>
      </c>
      <c r="Z840">
        <v>5.2866000000000003E-2</v>
      </c>
      <c r="AA840">
        <v>0.10861999999999999</v>
      </c>
      <c r="AB840">
        <v>0.128382</v>
      </c>
    </row>
    <row r="841" spans="1:28" x14ac:dyDescent="0.2">
      <c r="A841">
        <v>20011231</v>
      </c>
      <c r="B841">
        <v>2001</v>
      </c>
      <c r="C841">
        <v>12</v>
      </c>
      <c r="D841">
        <v>0.12506900000000001</v>
      </c>
      <c r="E841">
        <v>7.1346000000000007E-2</v>
      </c>
      <c r="F841">
        <v>5.8654999999999999E-2</v>
      </c>
      <c r="G841">
        <v>5.6996999999999999E-2</v>
      </c>
      <c r="H841">
        <v>7.2328000000000003E-2</v>
      </c>
      <c r="I841">
        <v>8.301E-2</v>
      </c>
      <c r="J841">
        <v>5.7424999999999997E-2</v>
      </c>
      <c r="K841">
        <v>7.0129999999999998E-2</v>
      </c>
      <c r="L841">
        <v>7.8888E-2</v>
      </c>
      <c r="M841">
        <v>7.5930999999999998E-2</v>
      </c>
      <c r="N841">
        <v>5.0680000000000003E-2</v>
      </c>
      <c r="O841">
        <v>6.2327E-2</v>
      </c>
      <c r="P841">
        <v>6.8097000000000005E-2</v>
      </c>
      <c r="Q841">
        <v>5.6559999999999999E-2</v>
      </c>
      <c r="R841">
        <v>7.4257000000000004E-2</v>
      </c>
      <c r="S841">
        <v>3.6899000000000001E-2</v>
      </c>
      <c r="T841">
        <v>4.6155000000000002E-2</v>
      </c>
      <c r="U841">
        <v>6.0028999999999999E-2</v>
      </c>
      <c r="V841">
        <v>5.1922000000000003E-2</v>
      </c>
      <c r="W841">
        <v>4.3228000000000003E-2</v>
      </c>
      <c r="X841">
        <v>2.3699999999999999E-4</v>
      </c>
      <c r="Y841">
        <v>2.7927E-2</v>
      </c>
      <c r="Z841">
        <v>3.5150000000000001E-2</v>
      </c>
      <c r="AA841">
        <v>-1.2442999999999999E-2</v>
      </c>
      <c r="AB841">
        <v>1.4929E-2</v>
      </c>
    </row>
    <row r="842" spans="1:28" x14ac:dyDescent="0.2">
      <c r="A842">
        <v>20020131</v>
      </c>
      <c r="B842">
        <v>2002</v>
      </c>
      <c r="C842">
        <v>1</v>
      </c>
      <c r="D842">
        <v>-7.9709000000000002E-2</v>
      </c>
      <c r="E842">
        <v>-1.0329E-2</v>
      </c>
      <c r="F842">
        <v>2.6308999999999999E-2</v>
      </c>
      <c r="G842">
        <v>3.3528000000000002E-2</v>
      </c>
      <c r="H842">
        <v>5.0982E-2</v>
      </c>
      <c r="I842">
        <v>-6.5248E-2</v>
      </c>
      <c r="J842">
        <v>-2.3744999999999999E-2</v>
      </c>
      <c r="K842">
        <v>3.921E-3</v>
      </c>
      <c r="L842">
        <v>9.3500000000000007E-3</v>
      </c>
      <c r="M842">
        <v>1.4215E-2</v>
      </c>
      <c r="N842">
        <v>-4.7863000000000003E-2</v>
      </c>
      <c r="O842">
        <v>-1.4076999999999999E-2</v>
      </c>
      <c r="P842">
        <v>-1.1775000000000001E-2</v>
      </c>
      <c r="Q842">
        <v>1.9217000000000001E-2</v>
      </c>
      <c r="R842">
        <v>3.8635999999999997E-2</v>
      </c>
      <c r="S842">
        <v>-3.7731000000000001E-2</v>
      </c>
      <c r="T842">
        <v>3.19E-4</v>
      </c>
      <c r="U842">
        <v>1.6971E-2</v>
      </c>
      <c r="V842">
        <v>2.7276000000000002E-2</v>
      </c>
      <c r="W842">
        <v>-4.0793000000000003E-2</v>
      </c>
      <c r="X842">
        <v>-7.345E-3</v>
      </c>
      <c r="Y842">
        <v>-2.2703000000000001E-2</v>
      </c>
      <c r="Z842">
        <v>-1.2506E-2</v>
      </c>
      <c r="AA842">
        <v>-1.0043E-2</v>
      </c>
      <c r="AB842">
        <v>-6.6354999999999997E-2</v>
      </c>
    </row>
    <row r="843" spans="1:28" x14ac:dyDescent="0.2">
      <c r="A843">
        <v>20020228</v>
      </c>
      <c r="B843">
        <v>2002</v>
      </c>
      <c r="C843">
        <v>2</v>
      </c>
      <c r="D843">
        <v>-0.10306899999999999</v>
      </c>
      <c r="E843">
        <v>-5.8659000000000003E-2</v>
      </c>
      <c r="F843">
        <v>-3.7031000000000001E-2</v>
      </c>
      <c r="G843">
        <v>-1.4138E-2</v>
      </c>
      <c r="H843">
        <v>-3.4016999999999999E-2</v>
      </c>
      <c r="I843">
        <v>-9.7295999999999994E-2</v>
      </c>
      <c r="J843">
        <v>-5.9610000000000003E-2</v>
      </c>
      <c r="K843">
        <v>-5.2750000000000002E-3</v>
      </c>
      <c r="L843">
        <v>1.4023000000000001E-2</v>
      </c>
      <c r="M843">
        <v>-3.7680000000000001E-3</v>
      </c>
      <c r="N843">
        <v>-7.1242E-2</v>
      </c>
      <c r="O843">
        <v>-8.5100000000000002E-3</v>
      </c>
      <c r="P843">
        <v>-2.464E-3</v>
      </c>
      <c r="Q843">
        <v>6.3699999999999998E-4</v>
      </c>
      <c r="R843">
        <v>3.8677999999999997E-2</v>
      </c>
      <c r="S843">
        <v>-4.1334999999999997E-2</v>
      </c>
      <c r="T843">
        <v>1.1783999999999999E-2</v>
      </c>
      <c r="U843">
        <v>1.2964E-2</v>
      </c>
      <c r="V843">
        <v>-2.4589E-2</v>
      </c>
      <c r="W843">
        <v>3.5143000000000001E-2</v>
      </c>
      <c r="X843">
        <v>-2.7102000000000001E-2</v>
      </c>
      <c r="Y843">
        <v>7.5389999999999997E-3</v>
      </c>
      <c r="Z843">
        <v>-2.3080000000000002E-3</v>
      </c>
      <c r="AA843">
        <v>-1.3285999999999999E-2</v>
      </c>
      <c r="AB843">
        <v>-0.102423</v>
      </c>
    </row>
    <row r="844" spans="1:28" x14ac:dyDescent="0.2">
      <c r="A844">
        <v>20020328</v>
      </c>
      <c r="B844">
        <v>2002</v>
      </c>
      <c r="C844">
        <v>3</v>
      </c>
      <c r="D844">
        <v>5.9020000000000003E-2</v>
      </c>
      <c r="E844">
        <v>7.7483999999999997E-2</v>
      </c>
      <c r="F844">
        <v>7.8478999999999993E-2</v>
      </c>
      <c r="G844">
        <v>8.0346000000000001E-2</v>
      </c>
      <c r="H844">
        <v>9.8895999999999998E-2</v>
      </c>
      <c r="I844">
        <v>8.6759000000000003E-2</v>
      </c>
      <c r="J844">
        <v>9.0482000000000007E-2</v>
      </c>
      <c r="K844">
        <v>7.6962000000000003E-2</v>
      </c>
      <c r="L844">
        <v>7.7804999999999999E-2</v>
      </c>
      <c r="M844">
        <v>0.12439500000000001</v>
      </c>
      <c r="N844">
        <v>8.3867999999999998E-2</v>
      </c>
      <c r="O844">
        <v>6.8668000000000007E-2</v>
      </c>
      <c r="P844">
        <v>7.2075E-2</v>
      </c>
      <c r="Q844">
        <v>7.3256000000000002E-2</v>
      </c>
      <c r="R844">
        <v>9.4125E-2</v>
      </c>
      <c r="S844">
        <v>6.8049999999999999E-2</v>
      </c>
      <c r="T844">
        <v>6.7834000000000005E-2</v>
      </c>
      <c r="U844">
        <v>5.8687999999999997E-2</v>
      </c>
      <c r="V844">
        <v>5.076E-2</v>
      </c>
      <c r="W844">
        <v>7.7103000000000005E-2</v>
      </c>
      <c r="X844">
        <v>3.0511E-2</v>
      </c>
      <c r="Y844">
        <v>5.6833000000000002E-2</v>
      </c>
      <c r="Z844">
        <v>4.1251999999999997E-2</v>
      </c>
      <c r="AA844">
        <v>6.4008999999999996E-2</v>
      </c>
      <c r="AB844">
        <v>2.9457000000000001E-2</v>
      </c>
    </row>
    <row r="845" spans="1:28" x14ac:dyDescent="0.2">
      <c r="A845">
        <v>20020430</v>
      </c>
      <c r="B845">
        <v>2002</v>
      </c>
      <c r="C845">
        <v>4</v>
      </c>
      <c r="D845">
        <v>-9.4796000000000005E-2</v>
      </c>
      <c r="E845">
        <v>2.879E-3</v>
      </c>
      <c r="F845">
        <v>2.3702000000000001E-2</v>
      </c>
      <c r="G845">
        <v>3.4256000000000002E-2</v>
      </c>
      <c r="H845">
        <v>5.4968999999999997E-2</v>
      </c>
      <c r="I845">
        <v>-4.9043000000000003E-2</v>
      </c>
      <c r="J845">
        <v>5.6429999999999996E-3</v>
      </c>
      <c r="K845">
        <v>3.5869999999999999E-2</v>
      </c>
      <c r="L845">
        <v>4.4075999999999997E-2</v>
      </c>
      <c r="M845">
        <v>4.5533999999999998E-2</v>
      </c>
      <c r="N845">
        <v>-5.0037999999999999E-2</v>
      </c>
      <c r="O845">
        <v>1.3284000000000001E-2</v>
      </c>
      <c r="P845">
        <v>1.4505000000000001E-2</v>
      </c>
      <c r="Q845">
        <v>1.1003000000000001E-2</v>
      </c>
      <c r="R845">
        <v>-3.5209999999999998E-3</v>
      </c>
      <c r="S845">
        <v>-3.3716000000000003E-2</v>
      </c>
      <c r="T845">
        <v>1.0567E-2</v>
      </c>
      <c r="U845">
        <v>-7.8110000000000002E-3</v>
      </c>
      <c r="V845">
        <v>-9.7400000000000004E-3</v>
      </c>
      <c r="W845">
        <v>-5.2789999999999998E-3</v>
      </c>
      <c r="X845">
        <v>-7.8845999999999999E-2</v>
      </c>
      <c r="Y845">
        <v>-3.8958E-2</v>
      </c>
      <c r="Z845">
        <v>6.3070000000000001E-3</v>
      </c>
      <c r="AA845">
        <v>-1.8273000000000001E-2</v>
      </c>
      <c r="AB845">
        <v>-0.16545499999999999</v>
      </c>
    </row>
    <row r="846" spans="1:28" x14ac:dyDescent="0.2">
      <c r="A846">
        <v>20020531</v>
      </c>
      <c r="B846">
        <v>2002</v>
      </c>
      <c r="C846">
        <v>5</v>
      </c>
      <c r="D846">
        <v>-7.2214E-2</v>
      </c>
      <c r="E846">
        <v>-5.4651999999999999E-2</v>
      </c>
      <c r="F846">
        <v>-2.3851000000000001E-2</v>
      </c>
      <c r="G846">
        <v>9.6849999999999992E-3</v>
      </c>
      <c r="H846">
        <v>1.944E-3</v>
      </c>
      <c r="I846">
        <v>-7.4745000000000006E-2</v>
      </c>
      <c r="J846">
        <v>-5.6391999999999998E-2</v>
      </c>
      <c r="K846">
        <v>-4.0668999999999997E-2</v>
      </c>
      <c r="L846">
        <v>-3.1342000000000002E-2</v>
      </c>
      <c r="M846">
        <v>-6.2014E-2</v>
      </c>
      <c r="N846">
        <v>-5.7147999999999997E-2</v>
      </c>
      <c r="O846">
        <v>-3.1752000000000002E-2</v>
      </c>
      <c r="P846">
        <v>-3.6180999999999998E-2</v>
      </c>
      <c r="Q846">
        <v>-2.3255000000000001E-2</v>
      </c>
      <c r="R846">
        <v>-3.5242000000000002E-2</v>
      </c>
      <c r="S846">
        <v>-3.2600999999999998E-2</v>
      </c>
      <c r="T846">
        <v>-2.9940000000000001E-3</v>
      </c>
      <c r="U846">
        <v>-2.7239999999999999E-3</v>
      </c>
      <c r="V846">
        <v>-1.6209000000000001E-2</v>
      </c>
      <c r="W846">
        <v>1.1646E-2</v>
      </c>
      <c r="X846">
        <v>-1.4267999999999999E-2</v>
      </c>
      <c r="Y846">
        <v>3.3119999999999998E-3</v>
      </c>
      <c r="Z846">
        <v>1.4270000000000001E-3</v>
      </c>
      <c r="AA846">
        <v>2.6425000000000001E-2</v>
      </c>
      <c r="AB846">
        <v>-6.0144000000000003E-2</v>
      </c>
    </row>
    <row r="847" spans="1:28" x14ac:dyDescent="0.2">
      <c r="A847">
        <v>20020628</v>
      </c>
      <c r="B847">
        <v>2002</v>
      </c>
      <c r="C847">
        <v>6</v>
      </c>
      <c r="D847">
        <v>-9.1291999999999998E-2</v>
      </c>
      <c r="E847">
        <v>-6.1440000000000002E-2</v>
      </c>
      <c r="F847">
        <v>-7.7730000000000004E-3</v>
      </c>
      <c r="G847">
        <v>4.6849999999999999E-3</v>
      </c>
      <c r="H847">
        <v>-1.0511E-2</v>
      </c>
      <c r="I847">
        <v>-8.0367999999999995E-2</v>
      </c>
      <c r="J847">
        <v>-5.4945000000000001E-2</v>
      </c>
      <c r="K847">
        <v>-1.4969E-2</v>
      </c>
      <c r="L847">
        <v>-1.4435E-2</v>
      </c>
      <c r="M847">
        <v>-3.4527000000000002E-2</v>
      </c>
      <c r="N847">
        <v>-7.4692999999999996E-2</v>
      </c>
      <c r="O847">
        <v>-7.4154999999999999E-2</v>
      </c>
      <c r="P847">
        <v>-5.5529000000000002E-2</v>
      </c>
      <c r="Q847">
        <v>-4.4249999999999998E-2</v>
      </c>
      <c r="R847">
        <v>-7.2494000000000003E-2</v>
      </c>
      <c r="S847">
        <v>-9.5330999999999999E-2</v>
      </c>
      <c r="T847">
        <v>-7.3787000000000005E-2</v>
      </c>
      <c r="U847">
        <v>-6.7488000000000006E-2</v>
      </c>
      <c r="V847">
        <v>-5.4684000000000003E-2</v>
      </c>
      <c r="W847">
        <v>-0.10045800000000001</v>
      </c>
      <c r="X847">
        <v>-7.5789999999999996E-2</v>
      </c>
      <c r="Y847">
        <v>-4.6650999999999998E-2</v>
      </c>
      <c r="Z847">
        <v>-5.6695000000000002E-2</v>
      </c>
      <c r="AA847">
        <v>-0.107337</v>
      </c>
      <c r="AB847">
        <v>-0.14074900000000001</v>
      </c>
    </row>
    <row r="848" spans="1:28" x14ac:dyDescent="0.2">
      <c r="A848">
        <v>20020731</v>
      </c>
      <c r="B848">
        <v>2002</v>
      </c>
      <c r="C848">
        <v>7</v>
      </c>
      <c r="D848">
        <v>-0.19358900000000001</v>
      </c>
      <c r="E848">
        <v>-0.156697</v>
      </c>
      <c r="F848">
        <v>-0.14180599999999999</v>
      </c>
      <c r="G848">
        <v>-0.11387899999999999</v>
      </c>
      <c r="H848">
        <v>-0.121466</v>
      </c>
      <c r="I848">
        <v>-0.16220699999999999</v>
      </c>
      <c r="J848">
        <v>-0.16748299999999999</v>
      </c>
      <c r="K848">
        <v>-0.140182</v>
      </c>
      <c r="L848">
        <v>-0.156084</v>
      </c>
      <c r="M848">
        <v>-0.192522</v>
      </c>
      <c r="N848">
        <v>-8.4828000000000001E-2</v>
      </c>
      <c r="O848">
        <v>-0.101355</v>
      </c>
      <c r="P848">
        <v>-0.11476600000000001</v>
      </c>
      <c r="Q848">
        <v>-0.13336600000000001</v>
      </c>
      <c r="R848">
        <v>-0.158225</v>
      </c>
      <c r="S848">
        <v>-0.107409</v>
      </c>
      <c r="T848">
        <v>-8.2570000000000005E-2</v>
      </c>
      <c r="U848">
        <v>-0.105294</v>
      </c>
      <c r="V848">
        <v>-0.110624</v>
      </c>
      <c r="W848">
        <v>-0.18443300000000001</v>
      </c>
      <c r="X848">
        <v>-5.1795000000000001E-2</v>
      </c>
      <c r="Y848">
        <v>-0.10062</v>
      </c>
      <c r="Z848">
        <v>-7.6327000000000006E-2</v>
      </c>
      <c r="AA848">
        <v>-9.9408999999999997E-2</v>
      </c>
      <c r="AB848">
        <v>-0.14317099999999999</v>
      </c>
    </row>
    <row r="849" spans="1:28" x14ac:dyDescent="0.2">
      <c r="A849">
        <v>20020830</v>
      </c>
      <c r="B849">
        <v>2002</v>
      </c>
      <c r="C849">
        <v>8</v>
      </c>
      <c r="D849">
        <v>7.8530000000000006E-3</v>
      </c>
      <c r="E849">
        <v>-1.7996999999999999E-2</v>
      </c>
      <c r="F849">
        <v>-2.7320000000000001E-2</v>
      </c>
      <c r="G849">
        <v>-3.385E-3</v>
      </c>
      <c r="H849">
        <v>-2.1003000000000001E-2</v>
      </c>
      <c r="I849">
        <v>2.0379999999999999E-3</v>
      </c>
      <c r="J849">
        <v>8.4880000000000008E-3</v>
      </c>
      <c r="K849">
        <v>-5.2750000000000002E-3</v>
      </c>
      <c r="L849">
        <v>9.7289999999999998E-3</v>
      </c>
      <c r="M849">
        <v>-7.5620000000000001E-3</v>
      </c>
      <c r="N849">
        <v>2.6779999999999998E-3</v>
      </c>
      <c r="O849">
        <v>-1.1529999999999999E-3</v>
      </c>
      <c r="P849">
        <v>2.5287E-2</v>
      </c>
      <c r="Q849">
        <v>2.1392999999999999E-2</v>
      </c>
      <c r="R849">
        <v>3.9952000000000001E-2</v>
      </c>
      <c r="S849">
        <v>-1.0155000000000001E-2</v>
      </c>
      <c r="T849">
        <v>-2.2139999999999998E-3</v>
      </c>
      <c r="U849">
        <v>1.3565000000000001E-2</v>
      </c>
      <c r="V849">
        <v>1.756E-3</v>
      </c>
      <c r="W849">
        <v>5.1122000000000001E-2</v>
      </c>
      <c r="X849">
        <v>2.196E-3</v>
      </c>
      <c r="Y849">
        <v>1.3010000000000001E-3</v>
      </c>
      <c r="Z849">
        <v>1.4978E-2</v>
      </c>
      <c r="AA849">
        <v>4.1415E-2</v>
      </c>
      <c r="AB849">
        <v>7.9067999999999999E-2</v>
      </c>
    </row>
    <row r="850" spans="1:28" x14ac:dyDescent="0.2">
      <c r="A850">
        <v>20020930</v>
      </c>
      <c r="B850">
        <v>2002</v>
      </c>
      <c r="C850">
        <v>9</v>
      </c>
      <c r="D850">
        <v>-0.10925700000000001</v>
      </c>
      <c r="E850">
        <v>-7.8229000000000007E-2</v>
      </c>
      <c r="F850">
        <v>-7.9987000000000003E-2</v>
      </c>
      <c r="G850">
        <v>-6.7404000000000006E-2</v>
      </c>
      <c r="H850">
        <v>-6.8465999999999999E-2</v>
      </c>
      <c r="I850">
        <v>-8.0190999999999998E-2</v>
      </c>
      <c r="J850">
        <v>-6.7321000000000006E-2</v>
      </c>
      <c r="K850">
        <v>-5.8058999999999999E-2</v>
      </c>
      <c r="L850">
        <v>-8.3849999999999994E-2</v>
      </c>
      <c r="M850">
        <v>-7.8176999999999996E-2</v>
      </c>
      <c r="N850">
        <v>-7.9201999999999995E-2</v>
      </c>
      <c r="O850">
        <v>-8.4790000000000004E-2</v>
      </c>
      <c r="P850">
        <v>-9.2739000000000002E-2</v>
      </c>
      <c r="Q850">
        <v>-7.177E-2</v>
      </c>
      <c r="R850">
        <v>-0.101227</v>
      </c>
      <c r="S850">
        <v>-8.5565000000000002E-2</v>
      </c>
      <c r="T850">
        <v>-8.9482000000000006E-2</v>
      </c>
      <c r="U850">
        <v>-0.12659599999999999</v>
      </c>
      <c r="V850">
        <v>-0.11540499999999999</v>
      </c>
      <c r="W850">
        <v>-0.21812500000000001</v>
      </c>
      <c r="X850">
        <v>-0.109961</v>
      </c>
      <c r="Y850">
        <v>-0.114485</v>
      </c>
      <c r="Z850">
        <v>-8.3628999999999995E-2</v>
      </c>
      <c r="AA850">
        <v>-8.6523000000000003E-2</v>
      </c>
      <c r="AB850">
        <v>-8.8729000000000002E-2</v>
      </c>
    </row>
    <row r="851" spans="1:28" x14ac:dyDescent="0.2">
      <c r="A851">
        <v>20021031</v>
      </c>
      <c r="B851">
        <v>2002</v>
      </c>
      <c r="C851">
        <v>10</v>
      </c>
      <c r="D851">
        <v>5.7348999999999997E-2</v>
      </c>
      <c r="E851">
        <v>4.8452000000000002E-2</v>
      </c>
      <c r="F851">
        <v>3.3709999999999997E-2</v>
      </c>
      <c r="G851">
        <v>1.4515E-2</v>
      </c>
      <c r="H851">
        <v>1.2914E-2</v>
      </c>
      <c r="I851">
        <v>9.9002000000000007E-2</v>
      </c>
      <c r="J851">
        <v>3.0422999999999999E-2</v>
      </c>
      <c r="K851">
        <v>3.8717000000000001E-2</v>
      </c>
      <c r="L851">
        <v>2.1305999999999999E-2</v>
      </c>
      <c r="M851">
        <v>-2.2431E-2</v>
      </c>
      <c r="N851">
        <v>6.5883999999999998E-2</v>
      </c>
      <c r="O851">
        <v>3.202E-2</v>
      </c>
      <c r="P851">
        <v>6.0248999999999997E-2</v>
      </c>
      <c r="Q851">
        <v>3.0018E-2</v>
      </c>
      <c r="R851">
        <v>-5.94E-3</v>
      </c>
      <c r="S851">
        <v>6.8215999999999999E-2</v>
      </c>
      <c r="T851">
        <v>5.7845000000000001E-2</v>
      </c>
      <c r="U851">
        <v>3.0728999999999999E-2</v>
      </c>
      <c r="V851">
        <v>4.1949E-2</v>
      </c>
      <c r="W851">
        <v>3.2292000000000001E-2</v>
      </c>
      <c r="X851">
        <v>9.6387E-2</v>
      </c>
      <c r="Y851">
        <v>0.107945</v>
      </c>
      <c r="Z851">
        <v>3.3654000000000003E-2</v>
      </c>
      <c r="AA851">
        <v>6.7783999999999997E-2</v>
      </c>
      <c r="AB851">
        <v>9.3591999999999995E-2</v>
      </c>
    </row>
    <row r="852" spans="1:28" x14ac:dyDescent="0.2">
      <c r="A852">
        <v>20021129</v>
      </c>
      <c r="B852">
        <v>2002</v>
      </c>
      <c r="C852">
        <v>11</v>
      </c>
      <c r="D852">
        <v>0.17902999999999999</v>
      </c>
      <c r="E852">
        <v>0.12453</v>
      </c>
      <c r="F852">
        <v>0.10508199999999999</v>
      </c>
      <c r="G852">
        <v>7.9423999999999995E-2</v>
      </c>
      <c r="H852">
        <v>9.3667E-2</v>
      </c>
      <c r="I852">
        <v>0.13156200000000001</v>
      </c>
      <c r="J852">
        <v>0.104032</v>
      </c>
      <c r="K852">
        <v>7.9746999999999998E-2</v>
      </c>
      <c r="L852">
        <v>5.9997000000000002E-2</v>
      </c>
      <c r="M852">
        <v>6.0076999999999998E-2</v>
      </c>
      <c r="N852">
        <v>9.7698999999999994E-2</v>
      </c>
      <c r="O852">
        <v>7.6870999999999995E-2</v>
      </c>
      <c r="P852">
        <v>6.2155000000000002E-2</v>
      </c>
      <c r="Q852">
        <v>6.2881000000000006E-2</v>
      </c>
      <c r="R852">
        <v>0.11045000000000001</v>
      </c>
      <c r="S852">
        <v>9.6226000000000006E-2</v>
      </c>
      <c r="T852">
        <v>7.2255E-2</v>
      </c>
      <c r="U852">
        <v>9.5638000000000001E-2</v>
      </c>
      <c r="V852">
        <v>8.6305999999999994E-2</v>
      </c>
      <c r="W852">
        <v>0.15516099999999999</v>
      </c>
      <c r="X852">
        <v>4.6688E-2</v>
      </c>
      <c r="Y852">
        <v>6.2453000000000002E-2</v>
      </c>
      <c r="Z852">
        <v>4.8721E-2</v>
      </c>
      <c r="AA852">
        <v>6.8491999999999997E-2</v>
      </c>
      <c r="AB852">
        <v>7.2204000000000004E-2</v>
      </c>
    </row>
    <row r="853" spans="1:28" x14ac:dyDescent="0.2">
      <c r="A853">
        <v>20021231</v>
      </c>
      <c r="B853">
        <v>2002</v>
      </c>
      <c r="C853">
        <v>12</v>
      </c>
      <c r="D853">
        <v>-0.100229</v>
      </c>
      <c r="E853">
        <v>-5.8531E-2</v>
      </c>
      <c r="F853">
        <v>-5.4932000000000002E-2</v>
      </c>
      <c r="G853">
        <v>-1.7861999999999999E-2</v>
      </c>
      <c r="H853">
        <v>-2.3744000000000001E-2</v>
      </c>
      <c r="I853">
        <v>-0.102494</v>
      </c>
      <c r="J853">
        <v>-6.9561999999999999E-2</v>
      </c>
      <c r="K853">
        <v>-4.7301999999999997E-2</v>
      </c>
      <c r="L853">
        <v>-3.2010999999999998E-2</v>
      </c>
      <c r="M853">
        <v>-3.3971000000000001E-2</v>
      </c>
      <c r="N853">
        <v>-7.5010999999999994E-2</v>
      </c>
      <c r="O853">
        <v>-4.4117000000000003E-2</v>
      </c>
      <c r="P853">
        <v>-2.8174000000000001E-2</v>
      </c>
      <c r="Q853">
        <v>-3.9315999999999997E-2</v>
      </c>
      <c r="R853">
        <v>-5.9604999999999998E-2</v>
      </c>
      <c r="S853">
        <v>-7.1980000000000002E-2</v>
      </c>
      <c r="T853">
        <v>-4.9501999999999997E-2</v>
      </c>
      <c r="U853">
        <v>-3.4805000000000003E-2</v>
      </c>
      <c r="V853">
        <v>-4.4461000000000001E-2</v>
      </c>
      <c r="W853">
        <v>-1.8456E-2</v>
      </c>
      <c r="X853">
        <v>-6.3155000000000003E-2</v>
      </c>
      <c r="Y853">
        <v>-5.9406E-2</v>
      </c>
      <c r="Z853">
        <v>-3.1303999999999998E-2</v>
      </c>
      <c r="AA853">
        <v>-4.7012999999999999E-2</v>
      </c>
      <c r="AB853">
        <v>-8.4044999999999995E-2</v>
      </c>
    </row>
    <row r="854" spans="1:28" x14ac:dyDescent="0.2">
      <c r="A854">
        <v>20030131</v>
      </c>
      <c r="B854">
        <v>2003</v>
      </c>
      <c r="C854">
        <v>1</v>
      </c>
      <c r="D854">
        <v>-2.9970000000000001E-3</v>
      </c>
      <c r="E854">
        <v>-6.2189999999999997E-3</v>
      </c>
      <c r="F854">
        <v>-1.7798000000000001E-2</v>
      </c>
      <c r="G854">
        <v>-5.0600000000000003E-3</v>
      </c>
      <c r="H854">
        <v>2.2680000000000001E-3</v>
      </c>
      <c r="I854">
        <v>-3.5548000000000003E-2</v>
      </c>
      <c r="J854">
        <v>-3.1399000000000003E-2</v>
      </c>
      <c r="K854">
        <v>-2.6821000000000001E-2</v>
      </c>
      <c r="L854">
        <v>-2.0861999999999999E-2</v>
      </c>
      <c r="M854">
        <v>-3.2029000000000002E-2</v>
      </c>
      <c r="N854">
        <v>-1.6670999999999998E-2</v>
      </c>
      <c r="O854">
        <v>-3.798E-2</v>
      </c>
      <c r="P854">
        <v>-3.2124E-2</v>
      </c>
      <c r="Q854">
        <v>-4.0329999999999998E-2</v>
      </c>
      <c r="R854">
        <v>-3.8165999999999999E-2</v>
      </c>
      <c r="S854">
        <v>-1.3618999999999999E-2</v>
      </c>
      <c r="T854">
        <v>-3.1022000000000001E-2</v>
      </c>
      <c r="U854">
        <v>6.9999999999999994E-5</v>
      </c>
      <c r="V854">
        <v>-2.9971999999999999E-2</v>
      </c>
      <c r="W854">
        <v>-6.4713999999999994E-2</v>
      </c>
      <c r="X854">
        <v>-2.8004000000000001E-2</v>
      </c>
      <c r="Y854">
        <v>-2.7657000000000001E-2</v>
      </c>
      <c r="Z854">
        <v>-1.6056000000000001E-2</v>
      </c>
      <c r="AA854">
        <v>-5.1067000000000001E-2</v>
      </c>
      <c r="AB854">
        <v>-4.743E-2</v>
      </c>
    </row>
    <row r="855" spans="1:28" x14ac:dyDescent="0.2">
      <c r="A855">
        <v>20030228</v>
      </c>
      <c r="B855">
        <v>2003</v>
      </c>
      <c r="C855">
        <v>2</v>
      </c>
      <c r="D855">
        <v>-6.4506999999999995E-2</v>
      </c>
      <c r="E855">
        <v>-2.8192999999999999E-2</v>
      </c>
      <c r="F855">
        <v>-2.1644E-2</v>
      </c>
      <c r="G855">
        <v>-1.4269E-2</v>
      </c>
      <c r="H855">
        <v>-2.3393000000000001E-2</v>
      </c>
      <c r="I855">
        <v>-2.6636E-2</v>
      </c>
      <c r="J855">
        <v>-1.7926999999999998E-2</v>
      </c>
      <c r="K855">
        <v>-2.1850999999999999E-2</v>
      </c>
      <c r="L855">
        <v>-2.7437E-2</v>
      </c>
      <c r="M855">
        <v>-6.6572000000000006E-2</v>
      </c>
      <c r="N855">
        <v>-4.1668999999999998E-2</v>
      </c>
      <c r="O855">
        <v>-9.1090000000000008E-3</v>
      </c>
      <c r="P855">
        <v>-2.1988000000000001E-2</v>
      </c>
      <c r="Q855">
        <v>-3.7594000000000002E-2</v>
      </c>
      <c r="R855">
        <v>-3.0831999999999998E-2</v>
      </c>
      <c r="S855">
        <v>-3.0797999999999999E-2</v>
      </c>
      <c r="T855">
        <v>-1.6608000000000001E-2</v>
      </c>
      <c r="U855">
        <v>-2.0816000000000001E-2</v>
      </c>
      <c r="V855">
        <v>-1.2463999999999999E-2</v>
      </c>
      <c r="W855">
        <v>-6.8624000000000004E-2</v>
      </c>
      <c r="X855">
        <v>-5.3280000000000003E-3</v>
      </c>
      <c r="Y855">
        <v>-3.8529000000000001E-2</v>
      </c>
      <c r="Z855">
        <v>-2.8715999999999998E-2</v>
      </c>
      <c r="AA855">
        <v>-3.8422999999999999E-2</v>
      </c>
      <c r="AB855">
        <v>-5.3043E-2</v>
      </c>
    </row>
    <row r="856" spans="1:28" x14ac:dyDescent="0.2">
      <c r="A856">
        <v>20030331</v>
      </c>
      <c r="B856">
        <v>2003</v>
      </c>
      <c r="C856">
        <v>3</v>
      </c>
      <c r="D856">
        <v>1.8537999999999999E-2</v>
      </c>
      <c r="E856">
        <v>1.6902E-2</v>
      </c>
      <c r="F856">
        <v>5.2940000000000001E-3</v>
      </c>
      <c r="G856">
        <v>1.7257000000000002E-2</v>
      </c>
      <c r="H856">
        <v>-1.64E-3</v>
      </c>
      <c r="I856">
        <v>2.6128999999999999E-2</v>
      </c>
      <c r="J856">
        <v>5.1739999999999998E-3</v>
      </c>
      <c r="K856">
        <v>4.3569999999999998E-3</v>
      </c>
      <c r="L856">
        <v>1.8242000000000001E-2</v>
      </c>
      <c r="M856">
        <v>-9.5289999999999993E-3</v>
      </c>
      <c r="N856">
        <v>3.2242E-2</v>
      </c>
      <c r="O856">
        <v>7.1269999999999997E-3</v>
      </c>
      <c r="P856">
        <v>-6.87E-4</v>
      </c>
      <c r="Q856">
        <v>-3.849E-3</v>
      </c>
      <c r="R856">
        <v>9.5049999999999996E-3</v>
      </c>
      <c r="S856">
        <v>1.3266E-2</v>
      </c>
      <c r="T856">
        <v>-6.901E-3</v>
      </c>
      <c r="U856">
        <v>9.0519999999999993E-3</v>
      </c>
      <c r="V856">
        <v>1.4381E-2</v>
      </c>
      <c r="W856">
        <v>-4.2969E-2</v>
      </c>
      <c r="X856">
        <v>1.9726E-2</v>
      </c>
      <c r="Y856">
        <v>1.7769999999999999E-3</v>
      </c>
      <c r="Z856">
        <v>1.0652999999999999E-2</v>
      </c>
      <c r="AA856">
        <v>-9.4909999999999994E-3</v>
      </c>
      <c r="AB856">
        <v>-3.3849999999999998E-2</v>
      </c>
    </row>
    <row r="857" spans="1:28" x14ac:dyDescent="0.2">
      <c r="A857">
        <v>20030430</v>
      </c>
      <c r="B857">
        <v>2003</v>
      </c>
      <c r="C857">
        <v>4</v>
      </c>
      <c r="D857">
        <v>0.123742</v>
      </c>
      <c r="E857">
        <v>0.11190700000000001</v>
      </c>
      <c r="F857">
        <v>7.9896999999999996E-2</v>
      </c>
      <c r="G857">
        <v>7.2072999999999998E-2</v>
      </c>
      <c r="H857">
        <v>9.6407999999999994E-2</v>
      </c>
      <c r="I857">
        <v>0.10296</v>
      </c>
      <c r="J857">
        <v>9.6450999999999995E-2</v>
      </c>
      <c r="K857">
        <v>9.0754000000000001E-2</v>
      </c>
      <c r="L857">
        <v>9.6636E-2</v>
      </c>
      <c r="M857">
        <v>9.4E-2</v>
      </c>
      <c r="N857">
        <v>8.8005E-2</v>
      </c>
      <c r="O857">
        <v>8.3801E-2</v>
      </c>
      <c r="P857">
        <v>9.7394999999999995E-2</v>
      </c>
      <c r="Q857">
        <v>0.120672</v>
      </c>
      <c r="R857">
        <v>0.10626099999999999</v>
      </c>
      <c r="S857">
        <v>8.9098999999999998E-2</v>
      </c>
      <c r="T857">
        <v>7.4262999999999996E-2</v>
      </c>
      <c r="U857">
        <v>0.105779</v>
      </c>
      <c r="V857">
        <v>7.6115000000000002E-2</v>
      </c>
      <c r="W857">
        <v>8.7275000000000005E-2</v>
      </c>
      <c r="X857">
        <v>7.1767999999999998E-2</v>
      </c>
      <c r="Y857">
        <v>9.5864000000000005E-2</v>
      </c>
      <c r="Z857">
        <v>8.4025000000000002E-2</v>
      </c>
      <c r="AA857">
        <v>0.106574</v>
      </c>
      <c r="AB857">
        <v>0.133856</v>
      </c>
    </row>
    <row r="858" spans="1:28" x14ac:dyDescent="0.2">
      <c r="A858">
        <v>20030530</v>
      </c>
      <c r="B858">
        <v>2003</v>
      </c>
      <c r="C858">
        <v>5</v>
      </c>
      <c r="D858">
        <v>0.20560300000000001</v>
      </c>
      <c r="E858">
        <v>0.147345</v>
      </c>
      <c r="F858">
        <v>0.118122</v>
      </c>
      <c r="G858">
        <v>9.9638000000000004E-2</v>
      </c>
      <c r="H858">
        <v>0.11174199999999999</v>
      </c>
      <c r="I858">
        <v>0.12909499999999999</v>
      </c>
      <c r="J858">
        <v>0.103399</v>
      </c>
      <c r="K858">
        <v>0.11118699999999999</v>
      </c>
      <c r="L858">
        <v>9.3983999999999998E-2</v>
      </c>
      <c r="M858">
        <v>9.8086999999999994E-2</v>
      </c>
      <c r="N858">
        <v>8.7648000000000004E-2</v>
      </c>
      <c r="O858">
        <v>8.6645E-2</v>
      </c>
      <c r="P858">
        <v>9.2183000000000001E-2</v>
      </c>
      <c r="Q858">
        <v>0.10116</v>
      </c>
      <c r="R858">
        <v>8.2930000000000004E-2</v>
      </c>
      <c r="S858">
        <v>0.102647</v>
      </c>
      <c r="T858">
        <v>9.9515999999999993E-2</v>
      </c>
      <c r="U858">
        <v>8.9426000000000005E-2</v>
      </c>
      <c r="V858">
        <v>9.7126000000000004E-2</v>
      </c>
      <c r="W858">
        <v>9.3328999999999995E-2</v>
      </c>
      <c r="X858">
        <v>4.2806999999999998E-2</v>
      </c>
      <c r="Y858">
        <v>6.5037999999999999E-2</v>
      </c>
      <c r="Z858">
        <v>6.4530000000000004E-2</v>
      </c>
      <c r="AA858">
        <v>6.5710000000000005E-2</v>
      </c>
      <c r="AB858">
        <v>7.3540999999999995E-2</v>
      </c>
    </row>
    <row r="859" spans="1:28" x14ac:dyDescent="0.2">
      <c r="A859">
        <v>20030630</v>
      </c>
      <c r="B859">
        <v>2003</v>
      </c>
      <c r="C859">
        <v>6</v>
      </c>
      <c r="D859">
        <v>6.5420000000000006E-2</v>
      </c>
      <c r="E859">
        <v>4.3055999999999997E-2</v>
      </c>
      <c r="F859">
        <v>4.8958000000000002E-2</v>
      </c>
      <c r="G859">
        <v>3.8094999999999997E-2</v>
      </c>
      <c r="H859">
        <v>5.9214000000000003E-2</v>
      </c>
      <c r="I859">
        <v>1.8931E-2</v>
      </c>
      <c r="J859">
        <v>3.8119999999999999E-3</v>
      </c>
      <c r="K859">
        <v>1.1598000000000001E-2</v>
      </c>
      <c r="L859">
        <v>2.5007999999999999E-2</v>
      </c>
      <c r="M859">
        <v>4.0842000000000003E-2</v>
      </c>
      <c r="N859">
        <v>2.6211999999999999E-2</v>
      </c>
      <c r="O859">
        <v>1.9012999999999999E-2</v>
      </c>
      <c r="P859">
        <v>1.523E-3</v>
      </c>
      <c r="Q859">
        <v>8.8199999999999997E-3</v>
      </c>
      <c r="R859">
        <v>3.8796999999999998E-2</v>
      </c>
      <c r="S859">
        <v>1.3004999999999999E-2</v>
      </c>
      <c r="T859">
        <v>6.8230000000000001E-3</v>
      </c>
      <c r="U859">
        <v>-1.4009999999999999E-3</v>
      </c>
      <c r="V859">
        <v>-6.9350000000000002E-3</v>
      </c>
      <c r="W859">
        <v>8.0957000000000001E-2</v>
      </c>
      <c r="X859">
        <v>9.6889999999999997E-3</v>
      </c>
      <c r="Y859">
        <v>2.0802000000000001E-2</v>
      </c>
      <c r="Z859">
        <v>2.5832000000000001E-2</v>
      </c>
      <c r="AA859">
        <v>-9.4990000000000005E-3</v>
      </c>
      <c r="AB859">
        <v>3.2236000000000001E-2</v>
      </c>
    </row>
    <row r="860" spans="1:28" x14ac:dyDescent="0.2">
      <c r="A860">
        <v>20030731</v>
      </c>
      <c r="B860">
        <v>2003</v>
      </c>
      <c r="C860">
        <v>7</v>
      </c>
      <c r="D860">
        <v>9.0426999999999993E-2</v>
      </c>
      <c r="E860">
        <v>7.8076999999999994E-2</v>
      </c>
      <c r="F860">
        <v>8.4780999999999995E-2</v>
      </c>
      <c r="G860">
        <v>9.2762999999999998E-2</v>
      </c>
      <c r="H860">
        <v>7.5360999999999997E-2</v>
      </c>
      <c r="I860">
        <v>8.0175999999999997E-2</v>
      </c>
      <c r="J860">
        <v>5.7477E-2</v>
      </c>
      <c r="K860">
        <v>6.1201999999999999E-2</v>
      </c>
      <c r="L860">
        <v>6.3731999999999997E-2</v>
      </c>
      <c r="M860">
        <v>7.6361999999999999E-2</v>
      </c>
      <c r="N860">
        <v>7.7161999999999994E-2</v>
      </c>
      <c r="O860">
        <v>4.7857999999999998E-2</v>
      </c>
      <c r="P860">
        <v>1.6683E-2</v>
      </c>
      <c r="Q860">
        <v>4.0642999999999999E-2</v>
      </c>
      <c r="R860">
        <v>2.9950000000000001E-2</v>
      </c>
      <c r="S860">
        <v>3.8031000000000002E-2</v>
      </c>
      <c r="T860">
        <v>4.1280999999999998E-2</v>
      </c>
      <c r="U860">
        <v>3.1074999999999998E-2</v>
      </c>
      <c r="V860">
        <v>6.0373000000000003E-2</v>
      </c>
      <c r="W860">
        <v>1.2671E-2</v>
      </c>
      <c r="X860">
        <v>1.2281E-2</v>
      </c>
      <c r="Y860">
        <v>3.8397000000000001E-2</v>
      </c>
      <c r="Z860">
        <v>1.2404999999999999E-2</v>
      </c>
      <c r="AA860">
        <v>-1.3978000000000001E-2</v>
      </c>
      <c r="AB860">
        <v>2.8464E-2</v>
      </c>
    </row>
    <row r="861" spans="1:28" x14ac:dyDescent="0.2">
      <c r="A861">
        <v>20030829</v>
      </c>
      <c r="B861">
        <v>2003</v>
      </c>
      <c r="C861">
        <v>8</v>
      </c>
      <c r="D861">
        <v>4.5394999999999998E-2</v>
      </c>
      <c r="E861">
        <v>4.897E-2</v>
      </c>
      <c r="F861">
        <v>3.9593000000000003E-2</v>
      </c>
      <c r="G861">
        <v>4.5168E-2</v>
      </c>
      <c r="H861">
        <v>7.1887999999999994E-2</v>
      </c>
      <c r="I861">
        <v>4.4006000000000003E-2</v>
      </c>
      <c r="J861">
        <v>3.0488000000000001E-2</v>
      </c>
      <c r="K861">
        <v>5.2816000000000002E-2</v>
      </c>
      <c r="L861">
        <v>5.2028999999999999E-2</v>
      </c>
      <c r="M861">
        <v>6.2878000000000003E-2</v>
      </c>
      <c r="N861">
        <v>4.1465000000000002E-2</v>
      </c>
      <c r="O861">
        <v>3.9442999999999999E-2</v>
      </c>
      <c r="P861">
        <v>4.2709999999999998E-2</v>
      </c>
      <c r="Q861">
        <v>8.6806999999999995E-2</v>
      </c>
      <c r="R861">
        <v>7.6943999999999999E-2</v>
      </c>
      <c r="S861">
        <v>5.0977000000000001E-2</v>
      </c>
      <c r="T861">
        <v>3.7834E-2</v>
      </c>
      <c r="U861">
        <v>4.0447999999999998E-2</v>
      </c>
      <c r="V861">
        <v>5.0053E-2</v>
      </c>
      <c r="W861">
        <v>9.5859E-2</v>
      </c>
      <c r="X861">
        <v>1.9451E-2</v>
      </c>
      <c r="Y861">
        <v>8.3809999999999996E-3</v>
      </c>
      <c r="Z861">
        <v>1.0442E-2</v>
      </c>
      <c r="AA861">
        <v>2.0792000000000001E-2</v>
      </c>
      <c r="AB861">
        <v>4.0329999999999998E-2</v>
      </c>
    </row>
    <row r="862" spans="1:28" x14ac:dyDescent="0.2">
      <c r="A862">
        <v>20030930</v>
      </c>
      <c r="B862">
        <v>2003</v>
      </c>
      <c r="C862">
        <v>9</v>
      </c>
      <c r="D862">
        <v>3.3216000000000002E-2</v>
      </c>
      <c r="E862">
        <v>1.99E-3</v>
      </c>
      <c r="F862">
        <v>2.4729999999999999E-3</v>
      </c>
      <c r="G862">
        <v>2.3359999999999999E-2</v>
      </c>
      <c r="H862">
        <v>4.7159E-2</v>
      </c>
      <c r="I862">
        <v>-2.3116000000000001E-2</v>
      </c>
      <c r="J862">
        <v>-2.2262000000000001E-2</v>
      </c>
      <c r="K862">
        <v>-2.4164000000000001E-2</v>
      </c>
      <c r="L862">
        <v>-4.3915999999999997E-2</v>
      </c>
      <c r="M862">
        <v>-1.1714E-2</v>
      </c>
      <c r="N862">
        <v>-1.9462E-2</v>
      </c>
      <c r="O862">
        <v>-2.8577999999999999E-2</v>
      </c>
      <c r="P862">
        <v>-1.9342000000000002E-2</v>
      </c>
      <c r="Q862">
        <v>-1.7652999999999999E-2</v>
      </c>
      <c r="R862">
        <v>-4.7450000000000001E-3</v>
      </c>
      <c r="S862">
        <v>-1.7833999999999999E-2</v>
      </c>
      <c r="T862">
        <v>-2.2426999999999999E-2</v>
      </c>
      <c r="U862">
        <v>-9.9270000000000001E-3</v>
      </c>
      <c r="V862">
        <v>-1.0703000000000001E-2</v>
      </c>
      <c r="W862">
        <v>2.0920000000000001E-3</v>
      </c>
      <c r="X862">
        <v>-6.4619999999999999E-3</v>
      </c>
      <c r="Y862">
        <v>-1.2808999999999999E-2</v>
      </c>
      <c r="Z862">
        <v>-1.0026999999999999E-2</v>
      </c>
      <c r="AA862">
        <v>-3.3910000000000003E-2</v>
      </c>
      <c r="AB862">
        <v>-3.6298999999999998E-2</v>
      </c>
    </row>
    <row r="863" spans="1:28" x14ac:dyDescent="0.2">
      <c r="A863">
        <v>20031031</v>
      </c>
      <c r="B863">
        <v>2003</v>
      </c>
      <c r="C863">
        <v>10</v>
      </c>
      <c r="D863">
        <v>5.9521999999999999E-2</v>
      </c>
      <c r="E863">
        <v>8.9043999999999998E-2</v>
      </c>
      <c r="F863">
        <v>7.4735999999999997E-2</v>
      </c>
      <c r="G863">
        <v>0.109178</v>
      </c>
      <c r="H863">
        <v>0.113374</v>
      </c>
      <c r="I863">
        <v>9.4184000000000004E-2</v>
      </c>
      <c r="J863">
        <v>7.4758000000000005E-2</v>
      </c>
      <c r="K863">
        <v>6.7473000000000005E-2</v>
      </c>
      <c r="L863">
        <v>0.104946</v>
      </c>
      <c r="M863">
        <v>0.109795</v>
      </c>
      <c r="N863">
        <v>9.1506000000000004E-2</v>
      </c>
      <c r="O863">
        <v>6.3421000000000005E-2</v>
      </c>
      <c r="P863">
        <v>6.4924999999999997E-2</v>
      </c>
      <c r="Q863">
        <v>0.10249800000000001</v>
      </c>
      <c r="R863">
        <v>0.11989</v>
      </c>
      <c r="S863">
        <v>7.7691999999999997E-2</v>
      </c>
      <c r="T863">
        <v>8.6692000000000005E-2</v>
      </c>
      <c r="U863">
        <v>8.5127999999999995E-2</v>
      </c>
      <c r="V863">
        <v>9.3755000000000005E-2</v>
      </c>
      <c r="W863">
        <v>8.1686999999999996E-2</v>
      </c>
      <c r="X863">
        <v>4.0103E-2</v>
      </c>
      <c r="Y863">
        <v>7.5219999999999995E-2</v>
      </c>
      <c r="Z863">
        <v>8.2700999999999997E-2</v>
      </c>
      <c r="AA863">
        <v>5.6252999999999997E-2</v>
      </c>
      <c r="AB863">
        <v>4.5567000000000003E-2</v>
      </c>
    </row>
    <row r="864" spans="1:28" x14ac:dyDescent="0.2">
      <c r="A864">
        <v>20031128</v>
      </c>
      <c r="B864">
        <v>2003</v>
      </c>
      <c r="C864">
        <v>11</v>
      </c>
      <c r="D864">
        <v>2.6655000000000002E-2</v>
      </c>
      <c r="E864">
        <v>3.4174000000000003E-2</v>
      </c>
      <c r="F864">
        <v>4.947E-2</v>
      </c>
      <c r="G864">
        <v>3.6167999999999999E-2</v>
      </c>
      <c r="H864">
        <v>6.9356000000000001E-2</v>
      </c>
      <c r="I864">
        <v>2.6162000000000001E-2</v>
      </c>
      <c r="J864">
        <v>3.4751999999999998E-2</v>
      </c>
      <c r="K864">
        <v>2.9737E-2</v>
      </c>
      <c r="L864">
        <v>4.0280000000000003E-2</v>
      </c>
      <c r="M864">
        <v>3.6871000000000001E-2</v>
      </c>
      <c r="N864">
        <v>3.6977000000000003E-2</v>
      </c>
      <c r="O864">
        <v>3.0811999999999999E-2</v>
      </c>
      <c r="P864">
        <v>1.9229E-2</v>
      </c>
      <c r="Q864">
        <v>5.4905000000000002E-2</v>
      </c>
      <c r="R864">
        <v>3.0991000000000001E-2</v>
      </c>
      <c r="S864">
        <v>1.2885000000000001E-2</v>
      </c>
      <c r="T864">
        <v>2.9930999999999999E-2</v>
      </c>
      <c r="U864">
        <v>3.6386000000000002E-2</v>
      </c>
      <c r="V864">
        <v>3.4275E-2</v>
      </c>
      <c r="W864">
        <v>3.8741999999999999E-2</v>
      </c>
      <c r="X864">
        <v>8.8149999999999999E-3</v>
      </c>
      <c r="Y864">
        <v>4.4200000000000003E-3</v>
      </c>
      <c r="Z864">
        <v>1.0525E-2</v>
      </c>
      <c r="AA864">
        <v>5.6369999999999996E-3</v>
      </c>
      <c r="AB864">
        <v>4.8633000000000003E-2</v>
      </c>
    </row>
    <row r="865" spans="1:28" x14ac:dyDescent="0.2">
      <c r="A865">
        <v>20031231</v>
      </c>
      <c r="B865">
        <v>2003</v>
      </c>
      <c r="C865">
        <v>12</v>
      </c>
      <c r="D865">
        <v>3.0720000000000001E-3</v>
      </c>
      <c r="E865">
        <v>2.6495999999999999E-2</v>
      </c>
      <c r="F865">
        <v>2.9510000000000002E-2</v>
      </c>
      <c r="G865">
        <v>1.4473E-2</v>
      </c>
      <c r="H865">
        <v>4.3505000000000002E-2</v>
      </c>
      <c r="I865">
        <v>1.3665999999999999E-2</v>
      </c>
      <c r="J865">
        <v>2.6450999999999999E-2</v>
      </c>
      <c r="K865">
        <v>2.4825E-2</v>
      </c>
      <c r="L865">
        <v>2.3417E-2</v>
      </c>
      <c r="M865">
        <v>3.5316E-2</v>
      </c>
      <c r="N865">
        <v>-5.522E-3</v>
      </c>
      <c r="O865">
        <v>2.6398000000000001E-2</v>
      </c>
      <c r="P865">
        <v>4.1440999999999999E-2</v>
      </c>
      <c r="Q865">
        <v>1.8527999999999999E-2</v>
      </c>
      <c r="R865">
        <v>8.3219000000000001E-2</v>
      </c>
      <c r="S865">
        <v>8.6169999999999997E-3</v>
      </c>
      <c r="T865">
        <v>3.2752999999999997E-2</v>
      </c>
      <c r="U865">
        <v>2.5665E-2</v>
      </c>
      <c r="V865">
        <v>5.0948E-2</v>
      </c>
      <c r="W865">
        <v>2.8160999999999999E-2</v>
      </c>
      <c r="X865">
        <v>4.6019999999999998E-2</v>
      </c>
      <c r="Y865">
        <v>5.0768000000000001E-2</v>
      </c>
      <c r="Z865">
        <v>4.8787999999999998E-2</v>
      </c>
      <c r="AA865">
        <v>7.4260999999999994E-2</v>
      </c>
      <c r="AB865">
        <v>6.4486000000000002E-2</v>
      </c>
    </row>
    <row r="866" spans="1:28" x14ac:dyDescent="0.2">
      <c r="A866">
        <v>20040130</v>
      </c>
      <c r="B866">
        <v>2004</v>
      </c>
      <c r="C866">
        <v>1</v>
      </c>
      <c r="D866">
        <v>5.9371E-2</v>
      </c>
      <c r="E866">
        <v>6.3131000000000007E-2</v>
      </c>
      <c r="F866">
        <v>5.4871000000000003E-2</v>
      </c>
      <c r="G866">
        <v>6.3019000000000006E-2</v>
      </c>
      <c r="H866">
        <v>8.3273E-2</v>
      </c>
      <c r="I866">
        <v>3.3305000000000001E-2</v>
      </c>
      <c r="J866">
        <v>3.8184000000000003E-2</v>
      </c>
      <c r="K866">
        <v>3.1808999999999997E-2</v>
      </c>
      <c r="L866">
        <v>4.1562000000000002E-2</v>
      </c>
      <c r="M866">
        <v>7.3136000000000007E-2</v>
      </c>
      <c r="N866">
        <v>3.2126000000000002E-2</v>
      </c>
      <c r="O866">
        <v>2.0088999999999999E-2</v>
      </c>
      <c r="P866">
        <v>1.7985999999999999E-2</v>
      </c>
      <c r="Q866">
        <v>3.4211999999999999E-2</v>
      </c>
      <c r="R866">
        <v>6.3E-2</v>
      </c>
      <c r="S866">
        <v>1.7062000000000001E-2</v>
      </c>
      <c r="T866">
        <v>1.4873000000000001E-2</v>
      </c>
      <c r="U866">
        <v>4.4753000000000001E-2</v>
      </c>
      <c r="V866">
        <v>2.6690999999999999E-2</v>
      </c>
      <c r="W866">
        <v>4.7842000000000003E-2</v>
      </c>
      <c r="X866">
        <v>1.4533000000000001E-2</v>
      </c>
      <c r="Y866">
        <v>1.4383999999999999E-2</v>
      </c>
      <c r="Z866">
        <v>2.9621000000000001E-2</v>
      </c>
      <c r="AA866">
        <v>1.3093E-2</v>
      </c>
      <c r="AB866">
        <v>3.8213999999999998E-2</v>
      </c>
    </row>
    <row r="867" spans="1:28" x14ac:dyDescent="0.2">
      <c r="A867">
        <v>20040227</v>
      </c>
      <c r="B867">
        <v>2004</v>
      </c>
      <c r="C867">
        <v>2</v>
      </c>
      <c r="D867">
        <v>5.4640000000000001E-3</v>
      </c>
      <c r="E867">
        <v>1.472E-3</v>
      </c>
      <c r="F867">
        <v>-1.17E-4</v>
      </c>
      <c r="G867">
        <v>9.9579999999999998E-3</v>
      </c>
      <c r="H867">
        <v>3.4400000000000001E-4</v>
      </c>
      <c r="I867">
        <v>1.1337E-2</v>
      </c>
      <c r="J867">
        <v>1.9337E-2</v>
      </c>
      <c r="K867">
        <v>9.4420000000000007E-3</v>
      </c>
      <c r="L867">
        <v>-3.434E-3</v>
      </c>
      <c r="M867">
        <v>3.0010000000000002E-3</v>
      </c>
      <c r="N867">
        <v>-7.7499999999999997E-4</v>
      </c>
      <c r="O867">
        <v>2.6501E-2</v>
      </c>
      <c r="P867">
        <v>3.7905000000000001E-2</v>
      </c>
      <c r="Q867">
        <v>1.8558999999999999E-2</v>
      </c>
      <c r="R867">
        <v>5.522E-3</v>
      </c>
      <c r="S867">
        <v>2.3508000000000001E-2</v>
      </c>
      <c r="T867">
        <v>2.0420000000000001E-2</v>
      </c>
      <c r="U867">
        <v>2.2832000000000002E-2</v>
      </c>
      <c r="V867">
        <v>3.4835999999999999E-2</v>
      </c>
      <c r="W867">
        <v>7.3569999999999998E-3</v>
      </c>
      <c r="X867">
        <v>1.0486000000000001E-2</v>
      </c>
      <c r="Y867">
        <v>2.1989999999999999E-2</v>
      </c>
      <c r="Z867">
        <v>1.2534999999999999E-2</v>
      </c>
      <c r="AA867">
        <v>1.8874999999999999E-2</v>
      </c>
      <c r="AB867">
        <v>4.2227000000000001E-2</v>
      </c>
    </row>
    <row r="868" spans="1:28" x14ac:dyDescent="0.2">
      <c r="A868">
        <v>20040331</v>
      </c>
      <c r="B868">
        <v>2004</v>
      </c>
      <c r="C868">
        <v>3</v>
      </c>
      <c r="D868">
        <v>-1.54E-2</v>
      </c>
      <c r="E868">
        <v>-5.2360000000000002E-3</v>
      </c>
      <c r="F868">
        <v>-7.561E-3</v>
      </c>
      <c r="G868">
        <v>5.2909999999999997E-3</v>
      </c>
      <c r="H868">
        <v>-8.4910000000000003E-3</v>
      </c>
      <c r="I868">
        <v>2.3730999999999999E-2</v>
      </c>
      <c r="J868">
        <v>1.8218000000000002E-2</v>
      </c>
      <c r="K868">
        <v>-7.3720000000000001E-3</v>
      </c>
      <c r="L868">
        <v>1.5079E-2</v>
      </c>
      <c r="M868">
        <v>1.5004999999999999E-2</v>
      </c>
      <c r="N868">
        <v>1.6598999999999999E-2</v>
      </c>
      <c r="O868">
        <v>6.7450000000000001E-3</v>
      </c>
      <c r="P868">
        <v>1.7570000000000001E-3</v>
      </c>
      <c r="Q868">
        <v>2.771E-3</v>
      </c>
      <c r="R868">
        <v>8.8240000000000002E-3</v>
      </c>
      <c r="S868">
        <v>4.091E-3</v>
      </c>
      <c r="T868">
        <v>-7.9330000000000008E-3</v>
      </c>
      <c r="U868">
        <v>1.0905E-2</v>
      </c>
      <c r="V868">
        <v>-1.0553E-2</v>
      </c>
      <c r="W868">
        <v>-1.1705E-2</v>
      </c>
      <c r="X868">
        <v>-2.3016999999999999E-2</v>
      </c>
      <c r="Y868">
        <v>-7.7619999999999998E-3</v>
      </c>
      <c r="Z868">
        <v>-1.6677999999999998E-2</v>
      </c>
      <c r="AA868">
        <v>2.9810000000000001E-3</v>
      </c>
      <c r="AB868">
        <v>-1.3178E-2</v>
      </c>
    </row>
    <row r="869" spans="1:28" x14ac:dyDescent="0.2">
      <c r="A869">
        <v>20040430</v>
      </c>
      <c r="B869">
        <v>2004</v>
      </c>
      <c r="C869">
        <v>4</v>
      </c>
      <c r="D869">
        <v>-4.1702000000000003E-2</v>
      </c>
      <c r="E869">
        <v>-5.1666999999999998E-2</v>
      </c>
      <c r="F869">
        <v>-3.3784000000000002E-2</v>
      </c>
      <c r="G869">
        <v>-3.8621000000000003E-2</v>
      </c>
      <c r="H869">
        <v>-6.5731999999999999E-2</v>
      </c>
      <c r="I869">
        <v>-3.9933000000000003E-2</v>
      </c>
      <c r="J869">
        <v>-4.4803000000000003E-2</v>
      </c>
      <c r="K869">
        <v>-2.2020000000000001E-2</v>
      </c>
      <c r="L869">
        <v>-4.3459999999999999E-2</v>
      </c>
      <c r="M869">
        <v>-8.4810999999999998E-2</v>
      </c>
      <c r="N869">
        <v>-1.9616000000000001E-2</v>
      </c>
      <c r="O869">
        <v>-2.6889E-2</v>
      </c>
      <c r="P869">
        <v>-3.0561999999999999E-2</v>
      </c>
      <c r="Q869">
        <v>-5.7159000000000001E-2</v>
      </c>
      <c r="R869">
        <v>-6.4645999999999995E-2</v>
      </c>
      <c r="S869">
        <v>-1.5369000000000001E-2</v>
      </c>
      <c r="T869">
        <v>-4.6619000000000001E-2</v>
      </c>
      <c r="U869">
        <v>-3.9278E-2</v>
      </c>
      <c r="V869">
        <v>-2.7383000000000001E-2</v>
      </c>
      <c r="W869">
        <v>-3.5818999999999997E-2</v>
      </c>
      <c r="X869">
        <v>2.928E-3</v>
      </c>
      <c r="Y869">
        <v>-3.1800000000000002E-2</v>
      </c>
      <c r="Z869">
        <v>-3.1704999999999997E-2</v>
      </c>
      <c r="AA869">
        <v>-2.3682000000000002E-2</v>
      </c>
      <c r="AB869">
        <v>-9.4999999999999998E-3</v>
      </c>
    </row>
    <row r="870" spans="1:28" x14ac:dyDescent="0.2">
      <c r="A870">
        <v>20040528</v>
      </c>
      <c r="B870">
        <v>2004</v>
      </c>
      <c r="C870">
        <v>5</v>
      </c>
      <c r="D870">
        <v>-2.0833999999999998E-2</v>
      </c>
      <c r="E870">
        <v>-5.4289999999999998E-3</v>
      </c>
      <c r="F870">
        <v>2.2409999999999999E-3</v>
      </c>
      <c r="G870">
        <v>-6.437E-3</v>
      </c>
      <c r="H870">
        <v>7.7619999999999998E-3</v>
      </c>
      <c r="I870">
        <v>1.5982E-2</v>
      </c>
      <c r="J870">
        <v>1.3958E-2</v>
      </c>
      <c r="K870">
        <v>1.4342000000000001E-2</v>
      </c>
      <c r="L870">
        <v>1.1679999999999999E-2</v>
      </c>
      <c r="M870">
        <v>3.8113000000000001E-2</v>
      </c>
      <c r="N870">
        <v>1.4618000000000001E-2</v>
      </c>
      <c r="O870">
        <v>2.3099000000000001E-2</v>
      </c>
      <c r="P870">
        <v>2.1228E-2</v>
      </c>
      <c r="Q870">
        <v>1.5453E-2</v>
      </c>
      <c r="R870">
        <v>1.7503000000000001E-2</v>
      </c>
      <c r="S870">
        <v>1.1512E-2</v>
      </c>
      <c r="T870">
        <v>2.2001E-2</v>
      </c>
      <c r="U870">
        <v>2.6446999999999998E-2</v>
      </c>
      <c r="V870">
        <v>1.2713E-2</v>
      </c>
      <c r="W870">
        <v>4.0078000000000003E-2</v>
      </c>
      <c r="X870">
        <v>1.3908E-2</v>
      </c>
      <c r="Y870">
        <v>1.0838E-2</v>
      </c>
      <c r="Z870">
        <v>4.0549999999999996E-3</v>
      </c>
      <c r="AA870">
        <v>5.4970000000000001E-3</v>
      </c>
      <c r="AB870">
        <v>2.7590000000000002E-3</v>
      </c>
    </row>
    <row r="871" spans="1:28" x14ac:dyDescent="0.2">
      <c r="A871">
        <v>20040630</v>
      </c>
      <c r="B871">
        <v>2004</v>
      </c>
      <c r="C871">
        <v>6</v>
      </c>
      <c r="D871">
        <v>1.2525E-2</v>
      </c>
      <c r="E871">
        <v>4.6662000000000002E-2</v>
      </c>
      <c r="F871">
        <v>4.2282E-2</v>
      </c>
      <c r="G871">
        <v>3.2030000000000003E-2</v>
      </c>
      <c r="H871">
        <v>4.1527000000000001E-2</v>
      </c>
      <c r="I871">
        <v>3.2209000000000002E-2</v>
      </c>
      <c r="J871">
        <v>5.0998000000000002E-2</v>
      </c>
      <c r="K871">
        <v>5.8712E-2</v>
      </c>
      <c r="L871">
        <v>5.4196000000000001E-2</v>
      </c>
      <c r="M871">
        <v>8.3579000000000001E-2</v>
      </c>
      <c r="N871">
        <v>2.2582999999999999E-2</v>
      </c>
      <c r="O871">
        <v>4.4290000000000003E-2</v>
      </c>
      <c r="P871">
        <v>1.7686E-2</v>
      </c>
      <c r="Q871">
        <v>2.2020000000000001E-2</v>
      </c>
      <c r="R871">
        <v>4.8007000000000001E-2</v>
      </c>
      <c r="S871">
        <v>1.4785E-2</v>
      </c>
      <c r="T871">
        <v>2.5766000000000001E-2</v>
      </c>
      <c r="U871">
        <v>2.4244999999999999E-2</v>
      </c>
      <c r="V871">
        <v>3.3098000000000002E-2</v>
      </c>
      <c r="W871">
        <v>4.2120999999999999E-2</v>
      </c>
      <c r="X871">
        <v>1.4256E-2</v>
      </c>
      <c r="Y871">
        <v>1.5192000000000001E-2</v>
      </c>
      <c r="Z871">
        <v>3.2260000000000001E-3</v>
      </c>
      <c r="AA871">
        <v>3.2545999999999999E-2</v>
      </c>
      <c r="AB871">
        <v>2.8802999999999999E-2</v>
      </c>
    </row>
    <row r="872" spans="1:28" x14ac:dyDescent="0.2">
      <c r="A872">
        <v>20040730</v>
      </c>
      <c r="B872">
        <v>2004</v>
      </c>
      <c r="C872">
        <v>7</v>
      </c>
      <c r="D872">
        <v>-0.128248</v>
      </c>
      <c r="E872">
        <v>-7.6021000000000005E-2</v>
      </c>
      <c r="F872">
        <v>-6.7660999999999999E-2</v>
      </c>
      <c r="G872">
        <v>-5.4727999999999999E-2</v>
      </c>
      <c r="H872">
        <v>-4.3146999999999998E-2</v>
      </c>
      <c r="I872">
        <v>-8.9644000000000001E-2</v>
      </c>
      <c r="J872">
        <v>-8.0432000000000003E-2</v>
      </c>
      <c r="K872">
        <v>-6.1547999999999999E-2</v>
      </c>
      <c r="L872">
        <v>-4.7864999999999998E-2</v>
      </c>
      <c r="M872">
        <v>-4.0440999999999998E-2</v>
      </c>
      <c r="N872">
        <v>-8.8699E-2</v>
      </c>
      <c r="O872">
        <v>-5.8152000000000002E-2</v>
      </c>
      <c r="P872">
        <v>-3.5269000000000002E-2</v>
      </c>
      <c r="Q872">
        <v>-2.4170000000000001E-2</v>
      </c>
      <c r="R872">
        <v>-4.5367999999999999E-2</v>
      </c>
      <c r="S872">
        <v>-5.8992999999999997E-2</v>
      </c>
      <c r="T872">
        <v>-5.6425999999999997E-2</v>
      </c>
      <c r="U872">
        <v>-4.0559999999999999E-2</v>
      </c>
      <c r="V872">
        <v>-5.8470000000000001E-2</v>
      </c>
      <c r="W872">
        <v>-1.7922E-2</v>
      </c>
      <c r="X872">
        <v>-4.9471000000000001E-2</v>
      </c>
      <c r="Y872">
        <v>-1.4857E-2</v>
      </c>
      <c r="Z872">
        <v>-7.9050000000000006E-3</v>
      </c>
      <c r="AA872">
        <v>-1.9455E-2</v>
      </c>
      <c r="AB872">
        <v>-1.3866E-2</v>
      </c>
    </row>
    <row r="873" spans="1:28" x14ac:dyDescent="0.2">
      <c r="A873">
        <v>20040831</v>
      </c>
      <c r="B873">
        <v>2004</v>
      </c>
      <c r="C873">
        <v>8</v>
      </c>
      <c r="D873">
        <v>-1.6344999999999998E-2</v>
      </c>
      <c r="E873">
        <v>-7.2189999999999997E-3</v>
      </c>
      <c r="F873">
        <v>-9.757E-3</v>
      </c>
      <c r="G873">
        <v>-1.5499000000000001E-2</v>
      </c>
      <c r="H873">
        <v>-1.8232000000000002E-2</v>
      </c>
      <c r="I873">
        <v>-4.4098999999999999E-2</v>
      </c>
      <c r="J873">
        <v>-1.6407000000000001E-2</v>
      </c>
      <c r="K873">
        <v>2.0430000000000001E-3</v>
      </c>
      <c r="L873">
        <v>3.3800000000000002E-3</v>
      </c>
      <c r="M873">
        <v>6.744E-3</v>
      </c>
      <c r="N873">
        <v>-2.3612999999999999E-2</v>
      </c>
      <c r="O873">
        <v>-1.6476000000000001E-2</v>
      </c>
      <c r="P873">
        <v>9.5300000000000003E-3</v>
      </c>
      <c r="Q873">
        <v>3.8180000000000002E-3</v>
      </c>
      <c r="R873">
        <v>-1.6374E-2</v>
      </c>
      <c r="S873">
        <v>-1.5779000000000001E-2</v>
      </c>
      <c r="T873">
        <v>-8.9680000000000003E-3</v>
      </c>
      <c r="U873">
        <v>4.6750000000000003E-3</v>
      </c>
      <c r="V873">
        <v>7.6309999999999998E-3</v>
      </c>
      <c r="W873">
        <v>9.6100000000000005E-4</v>
      </c>
      <c r="X873">
        <v>-3.3730000000000001E-3</v>
      </c>
      <c r="Y873">
        <v>1.6794E-2</v>
      </c>
      <c r="Z873">
        <v>1.0411999999999999E-2</v>
      </c>
      <c r="AA873">
        <v>9.6089999999999995E-3</v>
      </c>
      <c r="AB873">
        <v>1.897E-3</v>
      </c>
    </row>
    <row r="874" spans="1:28" x14ac:dyDescent="0.2">
      <c r="A874">
        <v>20040930</v>
      </c>
      <c r="B874">
        <v>2004</v>
      </c>
      <c r="C874">
        <v>9</v>
      </c>
      <c r="D874">
        <v>4.7669000000000003E-2</v>
      </c>
      <c r="E874">
        <v>4.2000000000000003E-2</v>
      </c>
      <c r="F874">
        <v>5.4253999999999997E-2</v>
      </c>
      <c r="G874">
        <v>4.1464000000000001E-2</v>
      </c>
      <c r="H874">
        <v>3.7400999999999997E-2</v>
      </c>
      <c r="I874">
        <v>8.3171999999999996E-2</v>
      </c>
      <c r="J874">
        <v>5.5027E-2</v>
      </c>
      <c r="K874">
        <v>5.3655000000000001E-2</v>
      </c>
      <c r="L874">
        <v>4.3528999999999998E-2</v>
      </c>
      <c r="M874">
        <v>4.0377000000000003E-2</v>
      </c>
      <c r="N874">
        <v>4.0682999999999997E-2</v>
      </c>
      <c r="O874">
        <v>4.6758000000000001E-2</v>
      </c>
      <c r="P874">
        <v>3.4939999999999999E-2</v>
      </c>
      <c r="Q874">
        <v>3.3392999999999999E-2</v>
      </c>
      <c r="R874">
        <v>2.6987000000000001E-2</v>
      </c>
      <c r="S874">
        <v>2.9943000000000001E-2</v>
      </c>
      <c r="T874">
        <v>3.0289E-2</v>
      </c>
      <c r="U874">
        <v>4.6163000000000003E-2</v>
      </c>
      <c r="V874">
        <v>3.0394999999999998E-2</v>
      </c>
      <c r="W874">
        <v>3.3550000000000003E-2</v>
      </c>
      <c r="X874">
        <v>8.3000000000000001E-4</v>
      </c>
      <c r="Y874">
        <v>1.4906000000000001E-2</v>
      </c>
      <c r="Z874">
        <v>1.7894E-2</v>
      </c>
      <c r="AA874">
        <v>1.3096999999999999E-2</v>
      </c>
      <c r="AB874">
        <v>4.1378999999999999E-2</v>
      </c>
    </row>
    <row r="875" spans="1:28" x14ac:dyDescent="0.2">
      <c r="A875">
        <v>20041029</v>
      </c>
      <c r="B875">
        <v>2004</v>
      </c>
      <c r="C875">
        <v>10</v>
      </c>
      <c r="D875">
        <v>1.072E-2</v>
      </c>
      <c r="E875">
        <v>2.2402999999999999E-2</v>
      </c>
      <c r="F875">
        <v>3.2287000000000003E-2</v>
      </c>
      <c r="G875">
        <v>4.9199999999999999E-3</v>
      </c>
      <c r="H875">
        <v>5.4479999999999997E-3</v>
      </c>
      <c r="I875">
        <v>3.6072E-2</v>
      </c>
      <c r="J875">
        <v>3.3071000000000003E-2</v>
      </c>
      <c r="K875">
        <v>1.6732E-2</v>
      </c>
      <c r="L875">
        <v>3.2499999999999999E-4</v>
      </c>
      <c r="M875">
        <v>2.8320999999999999E-2</v>
      </c>
      <c r="N875">
        <v>2.2175E-2</v>
      </c>
      <c r="O875">
        <v>4.1334000000000003E-2</v>
      </c>
      <c r="P875">
        <v>1.8193999999999998E-2</v>
      </c>
      <c r="Q875">
        <v>7.1479999999999998E-3</v>
      </c>
      <c r="R875">
        <v>1.1684999999999999E-2</v>
      </c>
      <c r="S875">
        <v>3.8119E-2</v>
      </c>
      <c r="T875">
        <v>2.9763999999999999E-2</v>
      </c>
      <c r="U875">
        <v>1.1708E-2</v>
      </c>
      <c r="V875">
        <v>1.3778E-2</v>
      </c>
      <c r="W875">
        <v>-3.6489999999999999E-3</v>
      </c>
      <c r="X875">
        <v>1.4423E-2</v>
      </c>
      <c r="Y875">
        <v>6.5630000000000003E-3</v>
      </c>
      <c r="Z875">
        <v>3.3592999999999998E-2</v>
      </c>
      <c r="AA875">
        <v>2.9060000000000002E-3</v>
      </c>
      <c r="AB875">
        <v>2.249E-2</v>
      </c>
    </row>
    <row r="876" spans="1:28" x14ac:dyDescent="0.2">
      <c r="A876">
        <v>20041130</v>
      </c>
      <c r="B876">
        <v>2004</v>
      </c>
      <c r="C876">
        <v>11</v>
      </c>
      <c r="D876">
        <v>0.106961</v>
      </c>
      <c r="E876">
        <v>8.3812999999999999E-2</v>
      </c>
      <c r="F876">
        <v>8.1598000000000004E-2</v>
      </c>
      <c r="G876">
        <v>7.5578000000000006E-2</v>
      </c>
      <c r="H876">
        <v>9.6887000000000001E-2</v>
      </c>
      <c r="I876">
        <v>7.4060000000000001E-2</v>
      </c>
      <c r="J876">
        <v>9.5239000000000004E-2</v>
      </c>
      <c r="K876">
        <v>9.1603000000000004E-2</v>
      </c>
      <c r="L876">
        <v>9.3318999999999999E-2</v>
      </c>
      <c r="M876">
        <v>0.111745</v>
      </c>
      <c r="N876">
        <v>5.8266999999999999E-2</v>
      </c>
      <c r="O876">
        <v>6.9985000000000006E-2</v>
      </c>
      <c r="P876">
        <v>7.4129E-2</v>
      </c>
      <c r="Q876">
        <v>7.0462999999999998E-2</v>
      </c>
      <c r="R876">
        <v>9.6137E-2</v>
      </c>
      <c r="S876">
        <v>5.2587000000000002E-2</v>
      </c>
      <c r="T876">
        <v>7.1289000000000005E-2</v>
      </c>
      <c r="U876">
        <v>7.6156000000000001E-2</v>
      </c>
      <c r="V876">
        <v>7.2758000000000003E-2</v>
      </c>
      <c r="W876">
        <v>9.3725000000000003E-2</v>
      </c>
      <c r="X876">
        <v>3.0463E-2</v>
      </c>
      <c r="Y876">
        <v>4.4169E-2</v>
      </c>
      <c r="Z876">
        <v>5.7270000000000001E-2</v>
      </c>
      <c r="AA876">
        <v>3.5028999999999998E-2</v>
      </c>
      <c r="AB876">
        <v>6.1601999999999997E-2</v>
      </c>
    </row>
    <row r="877" spans="1:28" x14ac:dyDescent="0.2">
      <c r="A877">
        <v>20041231</v>
      </c>
      <c r="B877">
        <v>2004</v>
      </c>
      <c r="C877">
        <v>12</v>
      </c>
      <c r="D877">
        <v>5.3547999999999998E-2</v>
      </c>
      <c r="E877">
        <v>4.5811999999999999E-2</v>
      </c>
      <c r="F877">
        <v>3.9912000000000003E-2</v>
      </c>
      <c r="G877">
        <v>3.1161000000000001E-2</v>
      </c>
      <c r="H877">
        <v>6.2489999999999997E-2</v>
      </c>
      <c r="I877">
        <v>3.4252999999999999E-2</v>
      </c>
      <c r="J877">
        <v>3.3126999999999997E-2</v>
      </c>
      <c r="K877">
        <v>2.4121E-2</v>
      </c>
      <c r="L877">
        <v>2.4124E-2</v>
      </c>
      <c r="M877">
        <v>3.7220000000000003E-2</v>
      </c>
      <c r="N877">
        <v>5.4350999999999997E-2</v>
      </c>
      <c r="O877">
        <v>3.5101E-2</v>
      </c>
      <c r="P877">
        <v>1.5810000000000001E-2</v>
      </c>
      <c r="Q877">
        <v>2.1956E-2</v>
      </c>
      <c r="R877">
        <v>4.4359000000000003E-2</v>
      </c>
      <c r="S877">
        <v>4.3358000000000001E-2</v>
      </c>
      <c r="T877">
        <v>4.2145000000000002E-2</v>
      </c>
      <c r="U877">
        <v>4.1794999999999999E-2</v>
      </c>
      <c r="V877">
        <v>5.2260000000000001E-2</v>
      </c>
      <c r="W877">
        <v>3.0582999999999999E-2</v>
      </c>
      <c r="X877">
        <v>3.8094000000000003E-2</v>
      </c>
      <c r="Y877">
        <v>2.7543999999999999E-2</v>
      </c>
      <c r="Z877">
        <v>1.4075000000000001E-2</v>
      </c>
      <c r="AA877">
        <v>5.5345999999999999E-2</v>
      </c>
      <c r="AB877">
        <v>2.3747000000000001E-2</v>
      </c>
    </row>
    <row r="878" spans="1:28" x14ac:dyDescent="0.2">
      <c r="A878">
        <v>20050131</v>
      </c>
      <c r="B878">
        <v>2005</v>
      </c>
      <c r="C878">
        <v>1</v>
      </c>
      <c r="D878">
        <v>-6.3579999999999998E-2</v>
      </c>
      <c r="E878">
        <v>-4.1715000000000002E-2</v>
      </c>
      <c r="F878">
        <v>-4.0958000000000001E-2</v>
      </c>
      <c r="G878">
        <v>-3.0131000000000002E-2</v>
      </c>
      <c r="H878">
        <v>-1.3454000000000001E-2</v>
      </c>
      <c r="I878">
        <v>-5.4311999999999999E-2</v>
      </c>
      <c r="J878">
        <v>-3.2050000000000002E-2</v>
      </c>
      <c r="K878">
        <v>-4.1234E-2</v>
      </c>
      <c r="L878">
        <v>-2.7885E-2</v>
      </c>
      <c r="M878">
        <v>-2.4274E-2</v>
      </c>
      <c r="N878">
        <v>-3.5564999999999999E-2</v>
      </c>
      <c r="O878">
        <v>-3.8727999999999999E-2</v>
      </c>
      <c r="P878">
        <v>-3.3690999999999999E-2</v>
      </c>
      <c r="Q878">
        <v>-6.6610000000000003E-3</v>
      </c>
      <c r="R878">
        <v>-3.1698999999999998E-2</v>
      </c>
      <c r="S878">
        <v>-2.6657E-2</v>
      </c>
      <c r="T878">
        <v>-3.9205999999999998E-2</v>
      </c>
      <c r="U878">
        <v>-3.0136E-2</v>
      </c>
      <c r="V878">
        <v>-1.7666000000000001E-2</v>
      </c>
      <c r="W878">
        <v>-2.0284E-2</v>
      </c>
      <c r="X878">
        <v>-3.1875000000000001E-2</v>
      </c>
      <c r="Y878">
        <v>-1.5336000000000001E-2</v>
      </c>
      <c r="Z878">
        <v>-1.6264000000000001E-2</v>
      </c>
      <c r="AA878">
        <v>-2.2942000000000001E-2</v>
      </c>
      <c r="AB878">
        <v>-1.423E-3</v>
      </c>
    </row>
    <row r="879" spans="1:28" x14ac:dyDescent="0.2">
      <c r="A879">
        <v>20050228</v>
      </c>
      <c r="B879">
        <v>2005</v>
      </c>
      <c r="C879">
        <v>2</v>
      </c>
      <c r="D879">
        <v>-9.2519999999999998E-3</v>
      </c>
      <c r="E879">
        <v>-3.5200000000000001E-3</v>
      </c>
      <c r="F879">
        <v>-5.3350000000000003E-3</v>
      </c>
      <c r="G879">
        <v>1.3679999999999999E-2</v>
      </c>
      <c r="H879">
        <v>3.0346000000000001E-2</v>
      </c>
      <c r="I879">
        <v>2.3717999999999999E-2</v>
      </c>
      <c r="J879">
        <v>1.423E-2</v>
      </c>
      <c r="K879">
        <v>2.4281E-2</v>
      </c>
      <c r="L879">
        <v>4.4345000000000002E-2</v>
      </c>
      <c r="M879">
        <v>3.3381000000000001E-2</v>
      </c>
      <c r="N879">
        <v>7.0980000000000001E-3</v>
      </c>
      <c r="O879">
        <v>2.9432E-2</v>
      </c>
      <c r="P879">
        <v>3.4853000000000002E-2</v>
      </c>
      <c r="Q879">
        <v>2.3377999999999999E-2</v>
      </c>
      <c r="R879">
        <v>2.0820000000000002E-2</v>
      </c>
      <c r="S879">
        <v>2.0268000000000001E-2</v>
      </c>
      <c r="T879">
        <v>2.1017000000000001E-2</v>
      </c>
      <c r="U879">
        <v>3.5017E-2</v>
      </c>
      <c r="V879">
        <v>3.3787999999999999E-2</v>
      </c>
      <c r="W879">
        <v>4.9193000000000001E-2</v>
      </c>
      <c r="X879">
        <v>7.1830000000000001E-3</v>
      </c>
      <c r="Y879">
        <v>4.7754999999999999E-2</v>
      </c>
      <c r="Z879">
        <v>2.6350999999999999E-2</v>
      </c>
      <c r="AA879">
        <v>4.8710000000000003E-3</v>
      </c>
      <c r="AB879">
        <v>4.9731999999999998E-2</v>
      </c>
    </row>
    <row r="880" spans="1:28" x14ac:dyDescent="0.2">
      <c r="A880">
        <v>20050331</v>
      </c>
      <c r="B880">
        <v>2005</v>
      </c>
      <c r="C880">
        <v>3</v>
      </c>
      <c r="D880">
        <v>-5.7688000000000003E-2</v>
      </c>
      <c r="E880">
        <v>-2.8667000000000002E-2</v>
      </c>
      <c r="F880">
        <v>-3.2287999999999997E-2</v>
      </c>
      <c r="G880">
        <v>-2.3932999999999999E-2</v>
      </c>
      <c r="H880">
        <v>-2.4146999999999998E-2</v>
      </c>
      <c r="I880">
        <v>-4.3186000000000002E-2</v>
      </c>
      <c r="J880">
        <v>-2.1975999999999999E-2</v>
      </c>
      <c r="K880">
        <v>-2.4569000000000001E-2</v>
      </c>
      <c r="L880">
        <v>-7.4920000000000004E-3</v>
      </c>
      <c r="M880">
        <v>-1.3665E-2</v>
      </c>
      <c r="N880">
        <v>-1.8006999999999999E-2</v>
      </c>
      <c r="O880">
        <v>-2.4594000000000001E-2</v>
      </c>
      <c r="P880">
        <v>-2.5128999999999999E-2</v>
      </c>
      <c r="Q880">
        <v>-2.4126000000000002E-2</v>
      </c>
      <c r="R880">
        <v>-1.4959999999999999E-3</v>
      </c>
      <c r="S880">
        <v>-2.2832999999999999E-2</v>
      </c>
      <c r="T880">
        <v>-3.5E-4</v>
      </c>
      <c r="U880">
        <v>7.2199999999999999E-3</v>
      </c>
      <c r="V880">
        <v>-2.3996E-2</v>
      </c>
      <c r="W880">
        <v>-1.6746E-2</v>
      </c>
      <c r="X880">
        <v>-1.1186E-2</v>
      </c>
      <c r="Y880">
        <v>-3.7846999999999999E-2</v>
      </c>
      <c r="Z880">
        <v>-6.9820000000000004E-3</v>
      </c>
      <c r="AA880">
        <v>-3.5170000000000002E-3</v>
      </c>
      <c r="AB880">
        <v>-7.7499999999999999E-3</v>
      </c>
    </row>
    <row r="881" spans="1:28" x14ac:dyDescent="0.2">
      <c r="A881">
        <v>20050429</v>
      </c>
      <c r="B881">
        <v>2005</v>
      </c>
      <c r="C881">
        <v>4</v>
      </c>
      <c r="D881">
        <v>-5.5148000000000003E-2</v>
      </c>
      <c r="E881">
        <v>-6.7345000000000002E-2</v>
      </c>
      <c r="F881">
        <v>-5.321E-2</v>
      </c>
      <c r="G881">
        <v>-6.7576999999999998E-2</v>
      </c>
      <c r="H881">
        <v>-6.5978999999999996E-2</v>
      </c>
      <c r="I881">
        <v>-7.6925999999999994E-2</v>
      </c>
      <c r="J881">
        <v>-6.3395999999999994E-2</v>
      </c>
      <c r="K881">
        <v>-6.2724000000000002E-2</v>
      </c>
      <c r="L881">
        <v>-5.8763000000000003E-2</v>
      </c>
      <c r="M881">
        <v>-5.8597999999999997E-2</v>
      </c>
      <c r="N881">
        <v>-5.2658999999999997E-2</v>
      </c>
      <c r="O881">
        <v>-3.8973000000000001E-2</v>
      </c>
      <c r="P881">
        <v>-5.5251000000000001E-2</v>
      </c>
      <c r="Q881">
        <v>-5.4436999999999999E-2</v>
      </c>
      <c r="R881">
        <v>-4.2084999999999997E-2</v>
      </c>
      <c r="S881">
        <v>-3.8818999999999999E-2</v>
      </c>
      <c r="T881">
        <v>-4.5724000000000001E-2</v>
      </c>
      <c r="U881">
        <v>-3.9671999999999999E-2</v>
      </c>
      <c r="V881">
        <v>-2.6505999999999998E-2</v>
      </c>
      <c r="W881">
        <v>-3.1524000000000003E-2</v>
      </c>
      <c r="X881">
        <v>-1.0435E-2</v>
      </c>
      <c r="Y881">
        <v>-2.3581999999999999E-2</v>
      </c>
      <c r="Z881">
        <v>-2.1558000000000001E-2</v>
      </c>
      <c r="AA881">
        <v>-1.0404E-2</v>
      </c>
      <c r="AB881">
        <v>-3.0439999999999998E-2</v>
      </c>
    </row>
    <row r="882" spans="1:28" x14ac:dyDescent="0.2">
      <c r="A882">
        <v>20050531</v>
      </c>
      <c r="B882">
        <v>2005</v>
      </c>
      <c r="C882">
        <v>5</v>
      </c>
      <c r="D882">
        <v>6.6799999999999998E-2</v>
      </c>
      <c r="E882">
        <v>6.2594999999999998E-2</v>
      </c>
      <c r="F882">
        <v>4.8606000000000003E-2</v>
      </c>
      <c r="G882">
        <v>3.7263999999999999E-2</v>
      </c>
      <c r="H882">
        <v>5.5121999999999997E-2</v>
      </c>
      <c r="I882">
        <v>9.4888E-2</v>
      </c>
      <c r="J882">
        <v>8.2070000000000004E-2</v>
      </c>
      <c r="K882">
        <v>6.6821000000000005E-2</v>
      </c>
      <c r="L882">
        <v>5.7699E-2</v>
      </c>
      <c r="M882">
        <v>7.0185999999999998E-2</v>
      </c>
      <c r="N882">
        <v>6.1515E-2</v>
      </c>
      <c r="O882">
        <v>6.2189000000000001E-2</v>
      </c>
      <c r="P882">
        <v>5.28E-2</v>
      </c>
      <c r="Q882">
        <v>4.3552E-2</v>
      </c>
      <c r="R882">
        <v>7.2620000000000004E-2</v>
      </c>
      <c r="S882">
        <v>6.2307000000000001E-2</v>
      </c>
      <c r="T882">
        <v>5.9804999999999997E-2</v>
      </c>
      <c r="U882">
        <v>5.4503000000000003E-2</v>
      </c>
      <c r="V882">
        <v>6.5240999999999993E-2</v>
      </c>
      <c r="W882">
        <v>5.1442000000000002E-2</v>
      </c>
      <c r="X882">
        <v>3.8265E-2</v>
      </c>
      <c r="Y882">
        <v>2.7446000000000002E-2</v>
      </c>
      <c r="Z882">
        <v>1.2411999999999999E-2</v>
      </c>
      <c r="AA882">
        <v>2.2304999999999998E-2</v>
      </c>
      <c r="AB882">
        <v>3.7815000000000001E-2</v>
      </c>
    </row>
    <row r="883" spans="1:28" x14ac:dyDescent="0.2">
      <c r="A883">
        <v>20050630</v>
      </c>
      <c r="B883">
        <v>2005</v>
      </c>
      <c r="C883">
        <v>6</v>
      </c>
      <c r="D883">
        <v>3.7468000000000001E-2</v>
      </c>
      <c r="E883">
        <v>3.5812999999999998E-2</v>
      </c>
      <c r="F883">
        <v>4.5789999999999997E-2</v>
      </c>
      <c r="G883">
        <v>4.2563999999999998E-2</v>
      </c>
      <c r="H883">
        <v>5.3506999999999999E-2</v>
      </c>
      <c r="I883">
        <v>2.0629000000000002E-2</v>
      </c>
      <c r="J883">
        <v>4.4170000000000001E-2</v>
      </c>
      <c r="K883">
        <v>4.4423999999999998E-2</v>
      </c>
      <c r="L883">
        <v>4.2842999999999999E-2</v>
      </c>
      <c r="M883">
        <v>4.0639000000000002E-2</v>
      </c>
      <c r="N883">
        <v>2.2103000000000001E-2</v>
      </c>
      <c r="O883">
        <v>2.2886E-2</v>
      </c>
      <c r="P883">
        <v>3.0394999999999998E-2</v>
      </c>
      <c r="Q883">
        <v>4.4416999999999998E-2</v>
      </c>
      <c r="R883">
        <v>3.5770000000000003E-2</v>
      </c>
      <c r="S883">
        <v>1.2351000000000001E-2</v>
      </c>
      <c r="T883">
        <v>1.6392E-2</v>
      </c>
      <c r="U883">
        <v>3.5490000000000001E-2</v>
      </c>
      <c r="V883">
        <v>4.4438999999999999E-2</v>
      </c>
      <c r="W883">
        <v>2.9843999999999999E-2</v>
      </c>
      <c r="X883">
        <v>-1.6334000000000001E-2</v>
      </c>
      <c r="Y883">
        <v>1.2612E-2</v>
      </c>
      <c r="Z883">
        <v>1.5176E-2</v>
      </c>
      <c r="AA883">
        <v>1.4279E-2</v>
      </c>
      <c r="AB883">
        <v>3.0806E-2</v>
      </c>
    </row>
    <row r="884" spans="1:28" x14ac:dyDescent="0.2">
      <c r="A884">
        <v>20050729</v>
      </c>
      <c r="B884">
        <v>2005</v>
      </c>
      <c r="C884">
        <v>7</v>
      </c>
      <c r="D884">
        <v>7.8923999999999994E-2</v>
      </c>
      <c r="E884">
        <v>7.7068999999999999E-2</v>
      </c>
      <c r="F884">
        <v>7.0185999999999998E-2</v>
      </c>
      <c r="G884">
        <v>6.9237000000000007E-2</v>
      </c>
      <c r="H884">
        <v>6.8252999999999994E-2</v>
      </c>
      <c r="I884">
        <v>6.8185999999999997E-2</v>
      </c>
      <c r="J884">
        <v>6.7613999999999994E-2</v>
      </c>
      <c r="K884">
        <v>7.4389999999999998E-2</v>
      </c>
      <c r="L884">
        <v>5.9097999999999998E-2</v>
      </c>
      <c r="M884">
        <v>6.9316000000000003E-2</v>
      </c>
      <c r="N884">
        <v>4.5308000000000001E-2</v>
      </c>
      <c r="O884">
        <v>6.2579999999999997E-2</v>
      </c>
      <c r="P884">
        <v>6.7243999999999998E-2</v>
      </c>
      <c r="Q884">
        <v>4.8180000000000001E-2</v>
      </c>
      <c r="R884">
        <v>4.7400999999999999E-2</v>
      </c>
      <c r="S884">
        <v>5.9412E-2</v>
      </c>
      <c r="T884">
        <v>5.3696000000000001E-2</v>
      </c>
      <c r="U884">
        <v>5.2268000000000002E-2</v>
      </c>
      <c r="V884">
        <v>7.0934999999999998E-2</v>
      </c>
      <c r="W884">
        <v>5.1317000000000002E-2</v>
      </c>
      <c r="X884">
        <v>4.7462999999999998E-2</v>
      </c>
      <c r="Y884">
        <v>2.8434000000000001E-2</v>
      </c>
      <c r="Z884">
        <v>1.0078999999999999E-2</v>
      </c>
      <c r="AA884">
        <v>3.8386999999999998E-2</v>
      </c>
      <c r="AB884">
        <v>4.2617000000000002E-2</v>
      </c>
    </row>
    <row r="885" spans="1:28" x14ac:dyDescent="0.2">
      <c r="A885">
        <v>20050831</v>
      </c>
      <c r="B885">
        <v>2005</v>
      </c>
      <c r="C885">
        <v>8</v>
      </c>
      <c r="D885">
        <v>-2.3951E-2</v>
      </c>
      <c r="E885">
        <v>-4.4749999999999998E-3</v>
      </c>
      <c r="F885">
        <v>-1.4241E-2</v>
      </c>
      <c r="G885">
        <v>-8.9720000000000008E-3</v>
      </c>
      <c r="H885">
        <v>-8.2730000000000008E-3</v>
      </c>
      <c r="I885">
        <v>-2.6928000000000001E-2</v>
      </c>
      <c r="J885">
        <v>-8.3029999999999996E-3</v>
      </c>
      <c r="K885">
        <v>-1.4199E-2</v>
      </c>
      <c r="L885">
        <v>-1.5689000000000002E-2</v>
      </c>
      <c r="M885">
        <v>-2.1340000000000001E-2</v>
      </c>
      <c r="N885">
        <v>-2.4558E-2</v>
      </c>
      <c r="O885">
        <v>-4.9230000000000003E-3</v>
      </c>
      <c r="P885">
        <v>-8.0590000000000002E-3</v>
      </c>
      <c r="Q885">
        <v>-1.3958999999999999E-2</v>
      </c>
      <c r="R885">
        <v>-3.9659999999999999E-3</v>
      </c>
      <c r="S885">
        <v>-1.7228E-2</v>
      </c>
      <c r="T885">
        <v>-5.8929999999999998E-3</v>
      </c>
      <c r="U885">
        <v>-2.7439999999999999E-3</v>
      </c>
      <c r="V885">
        <v>1.0607999999999999E-2</v>
      </c>
      <c r="W885">
        <v>-1.4883E-2</v>
      </c>
      <c r="X885">
        <v>-1.5184E-2</v>
      </c>
      <c r="Y885">
        <v>-9.9579999999999998E-3</v>
      </c>
      <c r="Z885">
        <v>-7.1640000000000002E-3</v>
      </c>
      <c r="AA885">
        <v>8.7419999999999998E-3</v>
      </c>
      <c r="AB885">
        <v>-6.3480000000000003E-3</v>
      </c>
    </row>
    <row r="886" spans="1:28" x14ac:dyDescent="0.2">
      <c r="A886">
        <v>20050930</v>
      </c>
      <c r="B886">
        <v>2005</v>
      </c>
      <c r="C886">
        <v>9</v>
      </c>
      <c r="D886">
        <v>1.1592E-2</v>
      </c>
      <c r="E886">
        <v>1.8223E-2</v>
      </c>
      <c r="F886">
        <v>1.4189999999999999E-3</v>
      </c>
      <c r="G886">
        <v>1.2534E-2</v>
      </c>
      <c r="H886">
        <v>-8.9230000000000004E-3</v>
      </c>
      <c r="I886">
        <v>3.0230000000000001E-3</v>
      </c>
      <c r="J886">
        <v>1.1350000000000001E-2</v>
      </c>
      <c r="K886">
        <v>1.0666E-2</v>
      </c>
      <c r="L886">
        <v>4.6430000000000004E-3</v>
      </c>
      <c r="M886">
        <v>4.96E-3</v>
      </c>
      <c r="N886">
        <v>-8.1869999999999998E-3</v>
      </c>
      <c r="O886">
        <v>2.2246999999999999E-2</v>
      </c>
      <c r="P886">
        <v>1.1844E-2</v>
      </c>
      <c r="Q886">
        <v>-6.6290000000000003E-3</v>
      </c>
      <c r="R886">
        <v>3.9699999999999996E-3</v>
      </c>
      <c r="S886">
        <v>5.4749999999999998E-3</v>
      </c>
      <c r="T886">
        <v>-6.5139999999999998E-3</v>
      </c>
      <c r="U886">
        <v>1.8405999999999999E-2</v>
      </c>
      <c r="V886">
        <v>3.6635000000000001E-2</v>
      </c>
      <c r="W886">
        <v>1.7484E-2</v>
      </c>
      <c r="X886">
        <v>-2.4260000000000002E-3</v>
      </c>
      <c r="Y886">
        <v>1.2737E-2</v>
      </c>
      <c r="Z886">
        <v>1.4657999999999999E-2</v>
      </c>
      <c r="AA886">
        <v>1.3401E-2</v>
      </c>
      <c r="AB886">
        <v>2.5182E-2</v>
      </c>
    </row>
    <row r="887" spans="1:28" x14ac:dyDescent="0.2">
      <c r="A887">
        <v>20051031</v>
      </c>
      <c r="B887">
        <v>2005</v>
      </c>
      <c r="C887">
        <v>10</v>
      </c>
      <c r="D887">
        <v>-3.8958E-2</v>
      </c>
      <c r="E887">
        <v>-3.2377999999999997E-2</v>
      </c>
      <c r="F887">
        <v>-2.7654999999999999E-2</v>
      </c>
      <c r="G887">
        <v>-2.0428000000000002E-2</v>
      </c>
      <c r="H887">
        <v>-2.2218999999999999E-2</v>
      </c>
      <c r="I887">
        <v>-3.3332000000000001E-2</v>
      </c>
      <c r="J887">
        <v>-1.8685E-2</v>
      </c>
      <c r="K887">
        <v>-3.1087E-2</v>
      </c>
      <c r="L887">
        <v>-2.8687000000000001E-2</v>
      </c>
      <c r="M887">
        <v>-2.8992E-2</v>
      </c>
      <c r="N887">
        <v>-3.1551999999999997E-2</v>
      </c>
      <c r="O887">
        <v>-3.9546999999999999E-2</v>
      </c>
      <c r="P887">
        <v>-1.6095999999999999E-2</v>
      </c>
      <c r="Q887">
        <v>-3.6818999999999998E-2</v>
      </c>
      <c r="R887">
        <v>-3.4852000000000001E-2</v>
      </c>
      <c r="S887">
        <v>-1.0666999999999999E-2</v>
      </c>
      <c r="T887">
        <v>-3.5105999999999998E-2</v>
      </c>
      <c r="U887">
        <v>-2.664E-2</v>
      </c>
      <c r="V887">
        <v>-4.7083E-2</v>
      </c>
      <c r="W887">
        <v>-3.6334999999999999E-2</v>
      </c>
      <c r="X887">
        <v>-3.2200000000000002E-3</v>
      </c>
      <c r="Y887">
        <v>-3.0106999999999998E-2</v>
      </c>
      <c r="Z887">
        <v>-1.332E-2</v>
      </c>
      <c r="AA887">
        <v>-1.2597000000000001E-2</v>
      </c>
      <c r="AB887">
        <v>-1.4121999999999999E-2</v>
      </c>
    </row>
    <row r="888" spans="1:28" x14ac:dyDescent="0.2">
      <c r="A888">
        <v>20051130</v>
      </c>
      <c r="B888">
        <v>2005</v>
      </c>
      <c r="C888">
        <v>11</v>
      </c>
      <c r="D888">
        <v>4.8384000000000003E-2</v>
      </c>
      <c r="E888">
        <v>4.7599000000000002E-2</v>
      </c>
      <c r="F888">
        <v>4.9029999999999997E-2</v>
      </c>
      <c r="G888">
        <v>3.9822000000000003E-2</v>
      </c>
      <c r="H888">
        <v>3.5750999999999998E-2</v>
      </c>
      <c r="I888">
        <v>5.2704000000000001E-2</v>
      </c>
      <c r="J888">
        <v>4.7548E-2</v>
      </c>
      <c r="K888">
        <v>4.8633999999999997E-2</v>
      </c>
      <c r="L888">
        <v>4.9313999999999997E-2</v>
      </c>
      <c r="M888">
        <v>3.5153999999999998E-2</v>
      </c>
      <c r="N888">
        <v>7.0288000000000003E-2</v>
      </c>
      <c r="O888">
        <v>5.8911999999999999E-2</v>
      </c>
      <c r="P888">
        <v>4.5044000000000001E-2</v>
      </c>
      <c r="Q888">
        <v>4.2326999999999997E-2</v>
      </c>
      <c r="R888">
        <v>1.6709999999999999E-2</v>
      </c>
      <c r="S888">
        <v>5.4029000000000001E-2</v>
      </c>
      <c r="T888">
        <v>4.8120000000000003E-2</v>
      </c>
      <c r="U888">
        <v>3.8030000000000001E-2</v>
      </c>
      <c r="V888">
        <v>2.8115999999999999E-2</v>
      </c>
      <c r="W888">
        <v>4.8655999999999998E-2</v>
      </c>
      <c r="X888">
        <v>3.6007999999999998E-2</v>
      </c>
      <c r="Y888">
        <v>4.163E-2</v>
      </c>
      <c r="Z888">
        <v>3.8193999999999999E-2</v>
      </c>
      <c r="AA888">
        <v>3.3908000000000001E-2</v>
      </c>
      <c r="AB888">
        <v>2.2904000000000001E-2</v>
      </c>
    </row>
    <row r="889" spans="1:28" x14ac:dyDescent="0.2">
      <c r="A889">
        <v>20051230</v>
      </c>
      <c r="B889">
        <v>2005</v>
      </c>
      <c r="C889">
        <v>12</v>
      </c>
      <c r="D889">
        <v>-4.9410000000000001E-3</v>
      </c>
      <c r="E889">
        <v>4.267E-3</v>
      </c>
      <c r="F889">
        <v>-4.2839999999999996E-3</v>
      </c>
      <c r="G889">
        <v>2.2680000000000001E-3</v>
      </c>
      <c r="H889">
        <v>6.0400000000000002E-3</v>
      </c>
      <c r="I889">
        <v>7.8799999999999996E-4</v>
      </c>
      <c r="J889">
        <v>-9.3670000000000003E-3</v>
      </c>
      <c r="K889">
        <v>-4.6950000000000004E-3</v>
      </c>
      <c r="L889">
        <v>-6.3499999999999997E-3</v>
      </c>
      <c r="M889">
        <v>-6.1879999999999999E-3</v>
      </c>
      <c r="N889">
        <v>5.5079999999999999E-3</v>
      </c>
      <c r="O889">
        <v>9.0550000000000005E-3</v>
      </c>
      <c r="P889">
        <v>7.3709999999999999E-3</v>
      </c>
      <c r="Q889">
        <v>4.6750000000000003E-3</v>
      </c>
      <c r="R889">
        <v>1.0741000000000001E-2</v>
      </c>
      <c r="S889">
        <v>4.3090000000000003E-3</v>
      </c>
      <c r="T889">
        <v>1.5145E-2</v>
      </c>
      <c r="U889">
        <v>1.7021000000000001E-2</v>
      </c>
      <c r="V889">
        <v>2.2252999999999998E-2</v>
      </c>
      <c r="W889">
        <v>7.1130000000000004E-3</v>
      </c>
      <c r="X889">
        <v>-9.3399999999999993E-3</v>
      </c>
      <c r="Y889">
        <v>8.0900000000000004E-4</v>
      </c>
      <c r="Z889">
        <v>7.3759999999999997E-3</v>
      </c>
      <c r="AA889">
        <v>6.5890000000000002E-3</v>
      </c>
      <c r="AB889">
        <v>-3.6210000000000001E-3</v>
      </c>
    </row>
    <row r="890" spans="1:28" x14ac:dyDescent="0.2">
      <c r="A890">
        <v>20060131</v>
      </c>
      <c r="B890">
        <v>2006</v>
      </c>
      <c r="C890">
        <v>1</v>
      </c>
      <c r="D890">
        <v>0.114799</v>
      </c>
      <c r="E890">
        <v>9.3157000000000004E-2</v>
      </c>
      <c r="F890">
        <v>8.5276000000000005E-2</v>
      </c>
      <c r="G890">
        <v>8.0768000000000006E-2</v>
      </c>
      <c r="H890">
        <v>8.3008999999999999E-2</v>
      </c>
      <c r="I890">
        <v>6.8366999999999997E-2</v>
      </c>
      <c r="J890">
        <v>8.7175000000000002E-2</v>
      </c>
      <c r="K890">
        <v>0.103698</v>
      </c>
      <c r="L890">
        <v>9.9049999999999999E-2</v>
      </c>
      <c r="M890">
        <v>7.8220999999999999E-2</v>
      </c>
      <c r="N890">
        <v>5.6252999999999997E-2</v>
      </c>
      <c r="O890">
        <v>8.2503999999999994E-2</v>
      </c>
      <c r="P890">
        <v>9.0570999999999999E-2</v>
      </c>
      <c r="Q890">
        <v>4.7226999999999998E-2</v>
      </c>
      <c r="R890">
        <v>6.1594000000000003E-2</v>
      </c>
      <c r="S890">
        <v>5.3166999999999999E-2</v>
      </c>
      <c r="T890">
        <v>4.8578000000000003E-2</v>
      </c>
      <c r="U890">
        <v>4.9535000000000003E-2</v>
      </c>
      <c r="V890">
        <v>3.8628999999999997E-2</v>
      </c>
      <c r="W890">
        <v>4.6341E-2</v>
      </c>
      <c r="X890">
        <v>1.2574E-2</v>
      </c>
      <c r="Y890">
        <v>2.3774E-2</v>
      </c>
      <c r="Z890">
        <v>1.6524E-2</v>
      </c>
      <c r="AA890">
        <v>5.3069999999999999E-2</v>
      </c>
      <c r="AB890">
        <v>4.1300000000000003E-2</v>
      </c>
    </row>
    <row r="891" spans="1:28" x14ac:dyDescent="0.2">
      <c r="A891">
        <v>20060228</v>
      </c>
      <c r="B891">
        <v>2006</v>
      </c>
      <c r="C891">
        <v>2</v>
      </c>
      <c r="D891">
        <v>-3.4139999999999999E-3</v>
      </c>
      <c r="E891">
        <v>9.2890000000000004E-3</v>
      </c>
      <c r="F891">
        <v>-2.7980000000000001E-3</v>
      </c>
      <c r="G891">
        <v>-5.7000000000000002E-3</v>
      </c>
      <c r="H891">
        <v>2.9429999999999999E-3</v>
      </c>
      <c r="I891">
        <v>-1.27E-4</v>
      </c>
      <c r="J891">
        <v>-2.9480000000000001E-3</v>
      </c>
      <c r="K891">
        <v>-1.1745999999999999E-2</v>
      </c>
      <c r="L891">
        <v>4.1770000000000002E-3</v>
      </c>
      <c r="M891">
        <v>-1.8467000000000001E-2</v>
      </c>
      <c r="N891">
        <v>6.7070000000000003E-3</v>
      </c>
      <c r="O891">
        <v>-1.7857999999999999E-2</v>
      </c>
      <c r="P891">
        <v>-3.0010000000000002E-3</v>
      </c>
      <c r="Q891">
        <v>-8.6099999999999996E-3</v>
      </c>
      <c r="R891">
        <v>-1.5966000000000001E-2</v>
      </c>
      <c r="S891">
        <v>6.4939999999999998E-3</v>
      </c>
      <c r="T891">
        <v>-4.189E-3</v>
      </c>
      <c r="U891">
        <v>-2.9239999999999999E-3</v>
      </c>
      <c r="V891">
        <v>-2.2712E-2</v>
      </c>
      <c r="W891">
        <v>1.3133000000000001E-2</v>
      </c>
      <c r="X891">
        <v>-2.3259999999999999E-3</v>
      </c>
      <c r="Y891">
        <v>5.3790000000000001E-3</v>
      </c>
      <c r="Z891">
        <v>1.0714E-2</v>
      </c>
      <c r="AA891">
        <v>2.6199999999999999E-3</v>
      </c>
      <c r="AB891">
        <v>-9.3120000000000008E-3</v>
      </c>
    </row>
    <row r="892" spans="1:28" x14ac:dyDescent="0.2">
      <c r="A892">
        <v>20060331</v>
      </c>
      <c r="B892">
        <v>2006</v>
      </c>
      <c r="C892">
        <v>3</v>
      </c>
      <c r="D892">
        <v>4.0730000000000002E-2</v>
      </c>
      <c r="E892">
        <v>5.5160000000000001E-2</v>
      </c>
      <c r="F892">
        <v>4.4533000000000003E-2</v>
      </c>
      <c r="G892">
        <v>5.459E-2</v>
      </c>
      <c r="H892">
        <v>6.6102999999999995E-2</v>
      </c>
      <c r="I892">
        <v>3.2133000000000002E-2</v>
      </c>
      <c r="J892">
        <v>5.3331999999999997E-2</v>
      </c>
      <c r="K892">
        <v>6.4323000000000005E-2</v>
      </c>
      <c r="L892">
        <v>5.3061999999999998E-2</v>
      </c>
      <c r="M892">
        <v>4.1091000000000003E-2</v>
      </c>
      <c r="N892">
        <v>4.9292999999999997E-2</v>
      </c>
      <c r="O892">
        <v>3.8671999999999998E-2</v>
      </c>
      <c r="P892">
        <v>2.8205999999999998E-2</v>
      </c>
      <c r="Q892">
        <v>2.8143999999999999E-2</v>
      </c>
      <c r="R892">
        <v>1.7587999999999999E-2</v>
      </c>
      <c r="S892">
        <v>3.5019000000000002E-2</v>
      </c>
      <c r="T892">
        <v>2.4368000000000001E-2</v>
      </c>
      <c r="U892">
        <v>2.7387000000000002E-2</v>
      </c>
      <c r="V892">
        <v>2.0407000000000002E-2</v>
      </c>
      <c r="W892">
        <v>2.6010999999999999E-2</v>
      </c>
      <c r="X892">
        <v>8.8559999999999993E-3</v>
      </c>
      <c r="Y892">
        <v>1.9441E-2</v>
      </c>
      <c r="Z892">
        <v>1.2576E-2</v>
      </c>
      <c r="AA892">
        <v>1.0742E-2</v>
      </c>
      <c r="AB892">
        <v>8.8719999999999997E-3</v>
      </c>
    </row>
    <row r="893" spans="1:28" x14ac:dyDescent="0.2">
      <c r="A893">
        <v>20060428</v>
      </c>
      <c r="B893">
        <v>2006</v>
      </c>
      <c r="C893">
        <v>4</v>
      </c>
      <c r="D893">
        <v>-1.1521E-2</v>
      </c>
      <c r="E893">
        <v>-1.376E-2</v>
      </c>
      <c r="F893">
        <v>1.9750000000000002E-3</v>
      </c>
      <c r="G893">
        <v>4.7559999999999998E-3</v>
      </c>
      <c r="H893">
        <v>1.7517999999999999E-2</v>
      </c>
      <c r="I893">
        <v>-7.0410000000000004E-3</v>
      </c>
      <c r="J893">
        <v>8.1370000000000001E-3</v>
      </c>
      <c r="K893">
        <v>3.6117999999999997E-2</v>
      </c>
      <c r="L893">
        <v>-1.1199000000000001E-2</v>
      </c>
      <c r="M893">
        <v>2.5673999999999999E-2</v>
      </c>
      <c r="N893">
        <v>-1.2258E-2</v>
      </c>
      <c r="O893">
        <v>-4.0340000000000003E-3</v>
      </c>
      <c r="P893">
        <v>2.2466E-2</v>
      </c>
      <c r="Q893">
        <v>-3.7130000000000002E-3</v>
      </c>
      <c r="R893">
        <v>2.6478999999999999E-2</v>
      </c>
      <c r="S893">
        <v>1.6069999999999999E-3</v>
      </c>
      <c r="T893">
        <v>2.343E-3</v>
      </c>
      <c r="U893">
        <v>1.1207999999999999E-2</v>
      </c>
      <c r="V893">
        <v>3.1951E-2</v>
      </c>
      <c r="W893">
        <v>3.2572999999999998E-2</v>
      </c>
      <c r="X893">
        <v>-8.0020000000000004E-3</v>
      </c>
      <c r="Y893">
        <v>2.1832000000000001E-2</v>
      </c>
      <c r="Z893">
        <v>2.5742999999999999E-2</v>
      </c>
      <c r="AA893">
        <v>2.0827999999999999E-2</v>
      </c>
      <c r="AB893">
        <v>4.8648999999999998E-2</v>
      </c>
    </row>
    <row r="894" spans="1:28" x14ac:dyDescent="0.2">
      <c r="A894">
        <v>20060531</v>
      </c>
      <c r="B894">
        <v>2006</v>
      </c>
      <c r="C894">
        <v>5</v>
      </c>
      <c r="D894">
        <v>-9.3264E-2</v>
      </c>
      <c r="E894">
        <v>-6.4107999999999998E-2</v>
      </c>
      <c r="F894">
        <v>-4.3435000000000001E-2</v>
      </c>
      <c r="G894">
        <v>-4.4636000000000002E-2</v>
      </c>
      <c r="H894">
        <v>-3.9609999999999999E-2</v>
      </c>
      <c r="I894">
        <v>-6.2276999999999999E-2</v>
      </c>
      <c r="J894">
        <v>-6.0306999999999999E-2</v>
      </c>
      <c r="K894">
        <v>-4.2521999999999997E-2</v>
      </c>
      <c r="L894">
        <v>-5.2759E-2</v>
      </c>
      <c r="M894">
        <v>-3.0783000000000001E-2</v>
      </c>
      <c r="N894">
        <v>-6.1977999999999998E-2</v>
      </c>
      <c r="O894">
        <v>-4.8787999999999998E-2</v>
      </c>
      <c r="P894">
        <v>-4.1666000000000002E-2</v>
      </c>
      <c r="Q894">
        <v>-3.091E-2</v>
      </c>
      <c r="R894">
        <v>-1.8304999999999998E-2</v>
      </c>
      <c r="S894">
        <v>-5.5014E-2</v>
      </c>
      <c r="T894">
        <v>-2.8107E-2</v>
      </c>
      <c r="U894">
        <v>-2.6554000000000001E-2</v>
      </c>
      <c r="V894">
        <v>-1.9491999999999999E-2</v>
      </c>
      <c r="W894">
        <v>-2.7227999999999999E-2</v>
      </c>
      <c r="X894">
        <v>-2.8646000000000001E-2</v>
      </c>
      <c r="Y894">
        <v>-2.7029999999999998E-2</v>
      </c>
      <c r="Z894">
        <v>-2.461E-2</v>
      </c>
      <c r="AA894">
        <v>-1.2692E-2</v>
      </c>
      <c r="AB894">
        <v>-2.6494E-2</v>
      </c>
    </row>
    <row r="895" spans="1:28" x14ac:dyDescent="0.2">
      <c r="A895">
        <v>20060630</v>
      </c>
      <c r="B895">
        <v>2006</v>
      </c>
      <c r="C895">
        <v>6</v>
      </c>
      <c r="D895">
        <v>-8.9250000000000006E-3</v>
      </c>
      <c r="E895">
        <v>-9.8530000000000006E-3</v>
      </c>
      <c r="F895">
        <v>-7.0140000000000003E-3</v>
      </c>
      <c r="G895">
        <v>-9.0700000000000004E-4</v>
      </c>
      <c r="H895">
        <v>-2.9169999999999999E-3</v>
      </c>
      <c r="I895">
        <v>1.0020000000000001E-3</v>
      </c>
      <c r="J895">
        <v>1.4094000000000001E-2</v>
      </c>
      <c r="K895">
        <v>-5.6099999999999998E-4</v>
      </c>
      <c r="L895">
        <v>4.5510000000000004E-3</v>
      </c>
      <c r="M895">
        <v>-1.8760000000000001E-3</v>
      </c>
      <c r="N895">
        <v>-8.0160000000000006E-3</v>
      </c>
      <c r="O895">
        <v>-6.463E-3</v>
      </c>
      <c r="P895">
        <v>-3.3E-3</v>
      </c>
      <c r="Q895">
        <v>2.8210000000000002E-3</v>
      </c>
      <c r="R895">
        <v>2.6090000000000002E-3</v>
      </c>
      <c r="S895">
        <v>-3.516E-3</v>
      </c>
      <c r="T895">
        <v>-1.7531999999999999E-2</v>
      </c>
      <c r="U895">
        <v>-1.0206E-2</v>
      </c>
      <c r="V895">
        <v>1.7489999999999999E-3</v>
      </c>
      <c r="W895">
        <v>-7.195E-3</v>
      </c>
      <c r="X895">
        <v>3.6840000000000002E-3</v>
      </c>
      <c r="Y895">
        <v>-7.6819999999999996E-3</v>
      </c>
      <c r="Z895">
        <v>5.6969999999999998E-3</v>
      </c>
      <c r="AA895">
        <v>1.2090999999999999E-2</v>
      </c>
      <c r="AB895">
        <v>1.1344E-2</v>
      </c>
    </row>
    <row r="896" spans="1:28" x14ac:dyDescent="0.2">
      <c r="A896">
        <v>20060731</v>
      </c>
      <c r="B896">
        <v>2006</v>
      </c>
      <c r="C896">
        <v>7</v>
      </c>
      <c r="D896">
        <v>-5.7622E-2</v>
      </c>
      <c r="E896">
        <v>-3.4188999999999997E-2</v>
      </c>
      <c r="F896">
        <v>-3.5458000000000003E-2</v>
      </c>
      <c r="G896">
        <v>-2.1413000000000001E-2</v>
      </c>
      <c r="H896">
        <v>-2.6176999999999999E-2</v>
      </c>
      <c r="I896">
        <v>-5.2183E-2</v>
      </c>
      <c r="J896">
        <v>-4.4795000000000001E-2</v>
      </c>
      <c r="K896">
        <v>-2.963E-2</v>
      </c>
      <c r="L896">
        <v>-1.7003999999999998E-2</v>
      </c>
      <c r="M896">
        <v>-3.6193999999999997E-2</v>
      </c>
      <c r="N896">
        <v>-6.2789999999999999E-2</v>
      </c>
      <c r="O896">
        <v>-2.9753000000000002E-2</v>
      </c>
      <c r="P896">
        <v>-4.1871999999999999E-2</v>
      </c>
      <c r="Q896">
        <v>-1.8762000000000001E-2</v>
      </c>
      <c r="R896">
        <v>-1.3217E-2</v>
      </c>
      <c r="S896">
        <v>-4.8237000000000002E-2</v>
      </c>
      <c r="T896">
        <v>-3.0157E-2</v>
      </c>
      <c r="U896">
        <v>-2.5440000000000001E-2</v>
      </c>
      <c r="V896">
        <v>-3.1510000000000003E-2</v>
      </c>
      <c r="W896">
        <v>-1.3271E-2</v>
      </c>
      <c r="X896">
        <v>-9.9839999999999998E-3</v>
      </c>
      <c r="Y896">
        <v>1.6211E-2</v>
      </c>
      <c r="Z896">
        <v>1.4423999999999999E-2</v>
      </c>
      <c r="AA896">
        <v>1.8297999999999998E-2</v>
      </c>
      <c r="AB896">
        <v>3.8004999999999997E-2</v>
      </c>
    </row>
    <row r="897" spans="1:28" x14ac:dyDescent="0.2">
      <c r="A897">
        <v>20060831</v>
      </c>
      <c r="B897">
        <v>2006</v>
      </c>
      <c r="C897">
        <v>8</v>
      </c>
      <c r="D897">
        <v>3.3884999999999998E-2</v>
      </c>
      <c r="E897">
        <v>2.4494999999999999E-2</v>
      </c>
      <c r="F897">
        <v>3.1564000000000002E-2</v>
      </c>
      <c r="G897">
        <v>2.5843999999999999E-2</v>
      </c>
      <c r="H897">
        <v>2.7577999999999998E-2</v>
      </c>
      <c r="I897">
        <v>3.3887E-2</v>
      </c>
      <c r="J897">
        <v>2.3907999999999999E-2</v>
      </c>
      <c r="K897">
        <v>3.2864999999999998E-2</v>
      </c>
      <c r="L897">
        <v>3.3605000000000003E-2</v>
      </c>
      <c r="M897">
        <v>1.7984E-2</v>
      </c>
      <c r="N897">
        <v>2.4431999999999999E-2</v>
      </c>
      <c r="O897">
        <v>2.1271999999999999E-2</v>
      </c>
      <c r="P897">
        <v>2.1554E-2</v>
      </c>
      <c r="Q897">
        <v>2.8486999999999998E-2</v>
      </c>
      <c r="R897">
        <v>2.1534000000000001E-2</v>
      </c>
      <c r="S897">
        <v>1.4621E-2</v>
      </c>
      <c r="T897">
        <v>3.3521000000000002E-2</v>
      </c>
      <c r="U897">
        <v>3.382E-3</v>
      </c>
      <c r="V897">
        <v>3.2049000000000001E-2</v>
      </c>
      <c r="W897">
        <v>2.6734000000000001E-2</v>
      </c>
      <c r="X897">
        <v>4.2152000000000002E-2</v>
      </c>
      <c r="Y897">
        <v>1.9623000000000002E-2</v>
      </c>
      <c r="Z897">
        <v>2.5233999999999999E-2</v>
      </c>
      <c r="AA897">
        <v>8.4199999999999998E-4</v>
      </c>
      <c r="AB897">
        <v>4.8739999999999999E-3</v>
      </c>
    </row>
    <row r="898" spans="1:28" x14ac:dyDescent="0.2">
      <c r="A898">
        <v>20060929</v>
      </c>
      <c r="B898">
        <v>2006</v>
      </c>
      <c r="C898">
        <v>9</v>
      </c>
      <c r="D898">
        <v>-2.7469999999999999E-3</v>
      </c>
      <c r="E898">
        <v>2.434E-3</v>
      </c>
      <c r="F898">
        <v>-1.077E-3</v>
      </c>
      <c r="G898">
        <v>6.8890000000000002E-3</v>
      </c>
      <c r="H898">
        <v>2.0310999999999999E-2</v>
      </c>
      <c r="I898">
        <v>8.2959999999999996E-3</v>
      </c>
      <c r="J898">
        <v>1.4199E-2</v>
      </c>
      <c r="K898">
        <v>1.0645999999999999E-2</v>
      </c>
      <c r="L898">
        <v>1.7156000000000001E-2</v>
      </c>
      <c r="M898">
        <v>1.1913999999999999E-2</v>
      </c>
      <c r="N898">
        <v>2.2695E-2</v>
      </c>
      <c r="O898">
        <v>2.4699999999999999E-4</v>
      </c>
      <c r="P898">
        <v>1.3719E-2</v>
      </c>
      <c r="Q898">
        <v>1.047E-2</v>
      </c>
      <c r="R898">
        <v>1.0661E-2</v>
      </c>
      <c r="S898">
        <v>1.9553999999999998E-2</v>
      </c>
      <c r="T898">
        <v>2.7924999999999998E-2</v>
      </c>
      <c r="U898">
        <v>1.1637E-2</v>
      </c>
      <c r="V898">
        <v>1.1783999999999999E-2</v>
      </c>
      <c r="W898">
        <v>8.8430000000000002E-3</v>
      </c>
      <c r="X898">
        <v>2.5977E-2</v>
      </c>
      <c r="Y898">
        <v>2.7799000000000001E-2</v>
      </c>
      <c r="Z898">
        <v>1.8863999999999999E-2</v>
      </c>
      <c r="AA898">
        <v>2.3119000000000001E-2</v>
      </c>
      <c r="AB898">
        <v>4.2634999999999999E-2</v>
      </c>
    </row>
    <row r="899" spans="1:28" x14ac:dyDescent="0.2">
      <c r="A899">
        <v>20061031</v>
      </c>
      <c r="B899">
        <v>2006</v>
      </c>
      <c r="C899">
        <v>10</v>
      </c>
      <c r="D899">
        <v>7.0622000000000004E-2</v>
      </c>
      <c r="E899">
        <v>6.0442000000000003E-2</v>
      </c>
      <c r="F899">
        <v>6.1192999999999997E-2</v>
      </c>
      <c r="G899">
        <v>4.7123999999999999E-2</v>
      </c>
      <c r="H899">
        <v>5.3295000000000002E-2</v>
      </c>
      <c r="I899">
        <v>6.2086000000000002E-2</v>
      </c>
      <c r="J899">
        <v>5.2332999999999998E-2</v>
      </c>
      <c r="K899">
        <v>4.8273999999999997E-2</v>
      </c>
      <c r="L899">
        <v>4.7704999999999997E-2</v>
      </c>
      <c r="M899">
        <v>4.6580999999999997E-2</v>
      </c>
      <c r="N899">
        <v>5.7605999999999997E-2</v>
      </c>
      <c r="O899">
        <v>4.2354000000000003E-2</v>
      </c>
      <c r="P899">
        <v>3.8656000000000003E-2</v>
      </c>
      <c r="Q899">
        <v>3.6455000000000001E-2</v>
      </c>
      <c r="R899">
        <v>5.2947000000000001E-2</v>
      </c>
      <c r="S899">
        <v>4.335E-2</v>
      </c>
      <c r="T899">
        <v>4.7490999999999998E-2</v>
      </c>
      <c r="U899">
        <v>3.6184000000000001E-2</v>
      </c>
      <c r="V899">
        <v>2.8583000000000001E-2</v>
      </c>
      <c r="W899">
        <v>3.2115999999999999E-2</v>
      </c>
      <c r="X899">
        <v>3.2002999999999997E-2</v>
      </c>
      <c r="Y899">
        <v>2.2193000000000001E-2</v>
      </c>
      <c r="Z899">
        <v>3.8233000000000003E-2</v>
      </c>
      <c r="AA899">
        <v>3.5619999999999999E-2</v>
      </c>
      <c r="AB899">
        <v>5.0556999999999998E-2</v>
      </c>
    </row>
    <row r="900" spans="1:28" x14ac:dyDescent="0.2">
      <c r="A900">
        <v>20061130</v>
      </c>
      <c r="B900">
        <v>2006</v>
      </c>
      <c r="C900">
        <v>11</v>
      </c>
      <c r="D900">
        <v>1.1610000000000001E-2</v>
      </c>
      <c r="E900">
        <v>3.4418999999999998E-2</v>
      </c>
      <c r="F900">
        <v>1.6694000000000001E-2</v>
      </c>
      <c r="G900">
        <v>2.1201000000000001E-2</v>
      </c>
      <c r="H900">
        <v>2.7064000000000001E-2</v>
      </c>
      <c r="I900">
        <v>1.6722999999999998E-2</v>
      </c>
      <c r="J900">
        <v>3.0705E-2</v>
      </c>
      <c r="K900">
        <v>3.0079999999999999E-2</v>
      </c>
      <c r="L900">
        <v>3.2702000000000002E-2</v>
      </c>
      <c r="M900">
        <v>2.9191999999999999E-2</v>
      </c>
      <c r="N900">
        <v>3.7007999999999999E-2</v>
      </c>
      <c r="O900">
        <v>3.8809999999999997E-2</v>
      </c>
      <c r="P900">
        <v>4.548E-2</v>
      </c>
      <c r="Q900">
        <v>3.9553999999999999E-2</v>
      </c>
      <c r="R900">
        <v>3.4449E-2</v>
      </c>
      <c r="S900">
        <v>3.8239000000000002E-2</v>
      </c>
      <c r="T900">
        <v>4.1683999999999999E-2</v>
      </c>
      <c r="U900">
        <v>3.5368999999999998E-2</v>
      </c>
      <c r="V900">
        <v>2.2721999999999999E-2</v>
      </c>
      <c r="W900">
        <v>4.7527E-2</v>
      </c>
      <c r="X900">
        <v>9.7970000000000002E-3</v>
      </c>
      <c r="Y900">
        <v>2.2394000000000001E-2</v>
      </c>
      <c r="Z900">
        <v>2.5510000000000001E-2</v>
      </c>
      <c r="AA900">
        <v>2.0663999999999998E-2</v>
      </c>
      <c r="AB900">
        <v>-2.085E-3</v>
      </c>
    </row>
    <row r="901" spans="1:28" x14ac:dyDescent="0.2">
      <c r="A901">
        <v>20061229</v>
      </c>
      <c r="B901">
        <v>2006</v>
      </c>
      <c r="C901">
        <v>12</v>
      </c>
      <c r="D901">
        <v>2.7789999999999998E-3</v>
      </c>
      <c r="E901">
        <v>9.4990000000000005E-3</v>
      </c>
      <c r="F901">
        <v>1.6501999999999999E-2</v>
      </c>
      <c r="G901">
        <v>2.0777E-2</v>
      </c>
      <c r="H901">
        <v>3.6844000000000002E-2</v>
      </c>
      <c r="I901">
        <v>-2.1514999999999999E-2</v>
      </c>
      <c r="J901">
        <v>-7.8530000000000006E-3</v>
      </c>
      <c r="K901">
        <v>1.0555999999999999E-2</v>
      </c>
      <c r="L901">
        <v>3.7230000000000002E-3</v>
      </c>
      <c r="M901">
        <v>1.6309000000000001E-2</v>
      </c>
      <c r="N901">
        <v>-1.0565E-2</v>
      </c>
      <c r="O901">
        <v>-8.0699999999999999E-4</v>
      </c>
      <c r="P901">
        <v>9.195E-3</v>
      </c>
      <c r="Q901">
        <v>1.0892000000000001E-2</v>
      </c>
      <c r="R901">
        <v>1.0111999999999999E-2</v>
      </c>
      <c r="S901">
        <v>-1.0822E-2</v>
      </c>
      <c r="T901">
        <v>3.1099999999999999E-3</v>
      </c>
      <c r="U901">
        <v>-4.7460000000000002E-3</v>
      </c>
      <c r="V901">
        <v>1.9363999999999999E-2</v>
      </c>
      <c r="W901">
        <v>2.4528000000000001E-2</v>
      </c>
      <c r="X901">
        <v>-7.1900000000000002E-4</v>
      </c>
      <c r="Y901">
        <v>1.3337999999999999E-2</v>
      </c>
      <c r="Z901">
        <v>3.4543999999999998E-2</v>
      </c>
      <c r="AA901">
        <v>2.7362999999999998E-2</v>
      </c>
      <c r="AB901">
        <v>3.5639999999999998E-2</v>
      </c>
    </row>
    <row r="902" spans="1:28" x14ac:dyDescent="0.2">
      <c r="A902">
        <v>20070131</v>
      </c>
      <c r="B902">
        <v>2007</v>
      </c>
      <c r="C902">
        <v>1</v>
      </c>
      <c r="D902">
        <v>1.4109E-2</v>
      </c>
      <c r="E902">
        <v>1.526E-3</v>
      </c>
      <c r="F902">
        <v>1.555E-3</v>
      </c>
      <c r="G902">
        <v>4.235E-3</v>
      </c>
      <c r="H902">
        <v>3.1514E-2</v>
      </c>
      <c r="I902">
        <v>2.1845E-2</v>
      </c>
      <c r="J902">
        <v>1.4446000000000001E-2</v>
      </c>
      <c r="K902">
        <v>1.5949000000000001E-2</v>
      </c>
      <c r="L902">
        <v>8.9630000000000005E-3</v>
      </c>
      <c r="M902">
        <v>2.5134E-2</v>
      </c>
      <c r="N902">
        <v>3.7594000000000002E-2</v>
      </c>
      <c r="O902">
        <v>3.0039E-2</v>
      </c>
      <c r="P902">
        <v>1.9282000000000001E-2</v>
      </c>
      <c r="Q902">
        <v>3.8120000000000001E-2</v>
      </c>
      <c r="R902">
        <v>8.9510000000000006E-3</v>
      </c>
      <c r="S902">
        <v>4.3227000000000002E-2</v>
      </c>
      <c r="T902">
        <v>3.5922999999999997E-2</v>
      </c>
      <c r="U902">
        <v>2.034E-2</v>
      </c>
      <c r="V902">
        <v>2.5675E-2</v>
      </c>
      <c r="W902">
        <v>2.0417000000000001E-2</v>
      </c>
      <c r="X902">
        <v>2.1627E-2</v>
      </c>
      <c r="Y902">
        <v>1.0893E-2</v>
      </c>
      <c r="Z902">
        <v>9.6989999999999993E-3</v>
      </c>
      <c r="AA902">
        <v>3.1779999999999998E-3</v>
      </c>
      <c r="AB902">
        <v>3.7801000000000001E-2</v>
      </c>
    </row>
    <row r="903" spans="1:28" x14ac:dyDescent="0.2">
      <c r="A903">
        <v>20070228</v>
      </c>
      <c r="B903">
        <v>2007</v>
      </c>
      <c r="C903">
        <v>2</v>
      </c>
      <c r="D903">
        <v>-7.8250000000000004E-3</v>
      </c>
      <c r="E903">
        <v>-5.8389999999999996E-3</v>
      </c>
      <c r="F903">
        <v>-1.0946000000000001E-2</v>
      </c>
      <c r="G903">
        <v>-7.8969999999999995E-3</v>
      </c>
      <c r="H903">
        <v>1.2780000000000001E-3</v>
      </c>
      <c r="I903">
        <v>-9.1070000000000005E-3</v>
      </c>
      <c r="J903">
        <v>-1.859E-3</v>
      </c>
      <c r="K903">
        <v>2.4889999999999999E-3</v>
      </c>
      <c r="L903">
        <v>-1.5772000000000001E-2</v>
      </c>
      <c r="M903">
        <v>5.96E-3</v>
      </c>
      <c r="N903">
        <v>4.4889999999999999E-3</v>
      </c>
      <c r="O903">
        <v>4.7999999999999996E-3</v>
      </c>
      <c r="P903">
        <v>1.3979E-2</v>
      </c>
      <c r="Q903">
        <v>3.8960000000000002E-3</v>
      </c>
      <c r="R903">
        <v>4.9769999999999997E-3</v>
      </c>
      <c r="S903">
        <v>-4.3709999999999999E-3</v>
      </c>
      <c r="T903">
        <v>2.1700000000000001E-3</v>
      </c>
      <c r="U903">
        <v>1.0376E-2</v>
      </c>
      <c r="V903">
        <v>-3.3700000000000001E-4</v>
      </c>
      <c r="W903">
        <v>6.4570000000000001E-3</v>
      </c>
      <c r="X903">
        <v>-2.4043999999999999E-2</v>
      </c>
      <c r="Y903">
        <v>-1.5049E-2</v>
      </c>
      <c r="Z903">
        <v>-3.0588000000000001E-2</v>
      </c>
      <c r="AA903">
        <v>-1.2547000000000001E-2</v>
      </c>
      <c r="AB903">
        <v>-2.9922000000000001E-2</v>
      </c>
    </row>
    <row r="904" spans="1:28" x14ac:dyDescent="0.2">
      <c r="A904">
        <v>20070330</v>
      </c>
      <c r="B904">
        <v>2007</v>
      </c>
      <c r="C904">
        <v>3</v>
      </c>
      <c r="D904">
        <v>5.5599999999999998E-3</v>
      </c>
      <c r="E904">
        <v>-2.2959999999999999E-3</v>
      </c>
      <c r="F904">
        <v>1.0552000000000001E-2</v>
      </c>
      <c r="G904">
        <v>1.1441E-2</v>
      </c>
      <c r="H904">
        <v>7.2319999999999997E-3</v>
      </c>
      <c r="I904">
        <v>1.0193000000000001E-2</v>
      </c>
      <c r="J904">
        <v>1.4276E-2</v>
      </c>
      <c r="K904">
        <v>-3.2699999999999999E-3</v>
      </c>
      <c r="L904">
        <v>1.112E-2</v>
      </c>
      <c r="M904">
        <v>-1.1145E-2</v>
      </c>
      <c r="N904">
        <v>2.6669000000000002E-2</v>
      </c>
      <c r="O904">
        <v>2.1378000000000001E-2</v>
      </c>
      <c r="P904">
        <v>1.8134999999999998E-2</v>
      </c>
      <c r="Q904">
        <v>1.2829999999999999E-2</v>
      </c>
      <c r="R904">
        <v>1.3327E-2</v>
      </c>
      <c r="S904">
        <v>1.0305999999999999E-2</v>
      </c>
      <c r="T904">
        <v>1.0666E-2</v>
      </c>
      <c r="U904">
        <v>6.0530000000000002E-3</v>
      </c>
      <c r="V904">
        <v>6.9999999999999999E-4</v>
      </c>
      <c r="W904">
        <v>3.4405999999999999E-2</v>
      </c>
      <c r="X904">
        <v>5.7219999999999997E-3</v>
      </c>
      <c r="Y904">
        <v>1.1433E-2</v>
      </c>
      <c r="Z904">
        <v>2.6096999999999999E-2</v>
      </c>
      <c r="AA904">
        <v>0.01</v>
      </c>
      <c r="AB904">
        <v>7.5950000000000002E-3</v>
      </c>
    </row>
    <row r="905" spans="1:28" x14ac:dyDescent="0.2">
      <c r="A905">
        <v>20070430</v>
      </c>
      <c r="B905">
        <v>2007</v>
      </c>
      <c r="C905">
        <v>4</v>
      </c>
      <c r="D905">
        <v>3.2996999999999999E-2</v>
      </c>
      <c r="E905">
        <v>1.622E-3</v>
      </c>
      <c r="F905">
        <v>5.9090000000000002E-3</v>
      </c>
      <c r="G905">
        <v>-1.227E-3</v>
      </c>
      <c r="H905">
        <v>1.7238E-2</v>
      </c>
      <c r="I905">
        <v>2.3439999999999999E-2</v>
      </c>
      <c r="J905">
        <v>2.716E-2</v>
      </c>
      <c r="K905">
        <v>1.3906999999999999E-2</v>
      </c>
      <c r="L905">
        <v>7.0270000000000003E-3</v>
      </c>
      <c r="M905">
        <v>2.2932999999999999E-2</v>
      </c>
      <c r="N905">
        <v>3.3111000000000002E-2</v>
      </c>
      <c r="O905">
        <v>4.0647999999999997E-2</v>
      </c>
      <c r="P905">
        <v>4.3482E-2</v>
      </c>
      <c r="Q905">
        <v>3.1595999999999999E-2</v>
      </c>
      <c r="R905">
        <v>2.5599E-2</v>
      </c>
      <c r="S905">
        <v>4.4302000000000001E-2</v>
      </c>
      <c r="T905">
        <v>3.8794000000000002E-2</v>
      </c>
      <c r="U905">
        <v>4.3948000000000001E-2</v>
      </c>
      <c r="V905">
        <v>5.7096000000000001E-2</v>
      </c>
      <c r="W905">
        <v>2.6158000000000001E-2</v>
      </c>
      <c r="X905">
        <v>5.2115000000000002E-2</v>
      </c>
      <c r="Y905">
        <v>4.2562999999999997E-2</v>
      </c>
      <c r="Z905">
        <v>4.0773999999999998E-2</v>
      </c>
      <c r="AA905">
        <v>2.7248999999999999E-2</v>
      </c>
      <c r="AB905">
        <v>3.7893999999999997E-2</v>
      </c>
    </row>
    <row r="906" spans="1:28" x14ac:dyDescent="0.2">
      <c r="A906">
        <v>20070531</v>
      </c>
      <c r="B906">
        <v>2007</v>
      </c>
      <c r="C906">
        <v>5</v>
      </c>
      <c r="D906">
        <v>2.1284999999999998E-2</v>
      </c>
      <c r="E906">
        <v>3.4562000000000002E-2</v>
      </c>
      <c r="F906">
        <v>2.5925E-2</v>
      </c>
      <c r="G906">
        <v>3.1281000000000003E-2</v>
      </c>
      <c r="H906">
        <v>3.0637000000000001E-2</v>
      </c>
      <c r="I906">
        <v>3.4946999999999999E-2</v>
      </c>
      <c r="J906">
        <v>4.0933999999999998E-2</v>
      </c>
      <c r="K906">
        <v>4.2033000000000001E-2</v>
      </c>
      <c r="L906">
        <v>2.2374999999999999E-2</v>
      </c>
      <c r="M906">
        <v>3.4518E-2</v>
      </c>
      <c r="N906">
        <v>6.9736000000000006E-2</v>
      </c>
      <c r="O906">
        <v>4.9561000000000001E-2</v>
      </c>
      <c r="P906">
        <v>5.0722000000000003E-2</v>
      </c>
      <c r="Q906">
        <v>4.6816999999999998E-2</v>
      </c>
      <c r="R906">
        <v>3.7212000000000002E-2</v>
      </c>
      <c r="S906">
        <v>4.4650000000000002E-2</v>
      </c>
      <c r="T906">
        <v>3.3342999999999998E-2</v>
      </c>
      <c r="U906">
        <v>4.5675E-2</v>
      </c>
      <c r="V906">
        <v>4.9001999999999997E-2</v>
      </c>
      <c r="W906">
        <v>2.5166000000000001E-2</v>
      </c>
      <c r="X906">
        <v>2.5507999999999999E-2</v>
      </c>
      <c r="Y906">
        <v>4.1679000000000001E-2</v>
      </c>
      <c r="Z906">
        <v>3.8155000000000001E-2</v>
      </c>
      <c r="AA906">
        <v>3.6110000000000003E-2</v>
      </c>
      <c r="AB906">
        <v>3.5277999999999997E-2</v>
      </c>
    </row>
    <row r="907" spans="1:28" x14ac:dyDescent="0.2">
      <c r="A907">
        <v>20070629</v>
      </c>
      <c r="B907">
        <v>2007</v>
      </c>
      <c r="C907">
        <v>6</v>
      </c>
      <c r="D907">
        <v>3.6080000000000001E-3</v>
      </c>
      <c r="E907">
        <v>-3.006E-3</v>
      </c>
      <c r="F907">
        <v>-8.5380000000000005E-3</v>
      </c>
      <c r="G907">
        <v>-6.1250000000000002E-3</v>
      </c>
      <c r="H907">
        <v>2.127E-3</v>
      </c>
      <c r="I907">
        <v>-1.2341E-2</v>
      </c>
      <c r="J907">
        <v>-1.8371999999999999E-2</v>
      </c>
      <c r="K907">
        <v>-1.2807000000000001E-2</v>
      </c>
      <c r="L907">
        <v>-2.5458000000000001E-2</v>
      </c>
      <c r="M907">
        <v>-2.0011000000000001E-2</v>
      </c>
      <c r="N907">
        <v>-8.3750000000000005E-3</v>
      </c>
      <c r="O907">
        <v>2.0000000000000002E-5</v>
      </c>
      <c r="P907">
        <v>-4.3020000000000003E-3</v>
      </c>
      <c r="Q907">
        <v>-1.8738999999999999E-2</v>
      </c>
      <c r="R907">
        <v>-2.6631999999999999E-2</v>
      </c>
      <c r="S907">
        <v>-6.1180000000000002E-3</v>
      </c>
      <c r="T907">
        <v>-2.2068999999999998E-2</v>
      </c>
      <c r="U907">
        <v>-3.1537000000000003E-2</v>
      </c>
      <c r="V907">
        <v>-2.809E-2</v>
      </c>
      <c r="W907">
        <v>-1.7342E-2</v>
      </c>
      <c r="X907">
        <v>-1.5145E-2</v>
      </c>
      <c r="Y907">
        <v>-7.2849999999999998E-3</v>
      </c>
      <c r="Z907">
        <v>-2.0570999999999999E-2</v>
      </c>
      <c r="AA907">
        <v>-3.0380999999999998E-2</v>
      </c>
      <c r="AB907">
        <v>-1.8228999999999999E-2</v>
      </c>
    </row>
    <row r="908" spans="1:28" x14ac:dyDescent="0.2">
      <c r="A908">
        <v>20070731</v>
      </c>
      <c r="B908">
        <v>2007</v>
      </c>
      <c r="C908">
        <v>7</v>
      </c>
      <c r="D908">
        <v>-5.6038999999999999E-2</v>
      </c>
      <c r="E908">
        <v>-6.5466999999999997E-2</v>
      </c>
      <c r="F908">
        <v>-6.3726000000000005E-2</v>
      </c>
      <c r="G908">
        <v>-6.9452E-2</v>
      </c>
      <c r="H908">
        <v>-7.8202999999999995E-2</v>
      </c>
      <c r="I908">
        <v>-4.6436999999999999E-2</v>
      </c>
      <c r="J908">
        <v>-5.9500999999999998E-2</v>
      </c>
      <c r="K908">
        <v>-5.5368000000000001E-2</v>
      </c>
      <c r="L908">
        <v>-6.9629999999999997E-2</v>
      </c>
      <c r="M908">
        <v>-9.8030999999999993E-2</v>
      </c>
      <c r="N908">
        <v>-3.3140000000000003E-2</v>
      </c>
      <c r="O908">
        <v>-3.2455999999999999E-2</v>
      </c>
      <c r="P908">
        <v>-5.1492000000000003E-2</v>
      </c>
      <c r="Q908">
        <v>-5.806E-2</v>
      </c>
      <c r="R908">
        <v>-7.3618000000000003E-2</v>
      </c>
      <c r="S908">
        <v>-2.6973E-2</v>
      </c>
      <c r="T908">
        <v>-4.5051000000000001E-2</v>
      </c>
      <c r="U908">
        <v>-5.8888999999999997E-2</v>
      </c>
      <c r="V908">
        <v>-5.0466999999999998E-2</v>
      </c>
      <c r="W908">
        <v>-7.2121000000000005E-2</v>
      </c>
      <c r="X908">
        <v>-1.1771999999999999E-2</v>
      </c>
      <c r="Y908">
        <v>-1.405E-2</v>
      </c>
      <c r="Z908">
        <v>-4.7149999999999997E-2</v>
      </c>
      <c r="AA908">
        <v>-4.6365999999999997E-2</v>
      </c>
      <c r="AB908">
        <v>-5.2413000000000001E-2</v>
      </c>
    </row>
    <row r="909" spans="1:28" x14ac:dyDescent="0.2">
      <c r="A909">
        <v>20070831</v>
      </c>
      <c r="B909">
        <v>2007</v>
      </c>
      <c r="C909">
        <v>8</v>
      </c>
      <c r="D909">
        <v>7.6220000000000003E-3</v>
      </c>
      <c r="E909">
        <v>1.3011E-2</v>
      </c>
      <c r="F909">
        <v>1.1214999999999999E-2</v>
      </c>
      <c r="G909">
        <v>8.5450000000000005E-3</v>
      </c>
      <c r="H909">
        <v>-3.1343999999999997E-2</v>
      </c>
      <c r="I909">
        <v>2.3966999999999999E-2</v>
      </c>
      <c r="J909">
        <v>2.5283E-2</v>
      </c>
      <c r="K909">
        <v>2.5572999999999999E-2</v>
      </c>
      <c r="L909">
        <v>3.6143000000000002E-2</v>
      </c>
      <c r="M909">
        <v>-1.1828E-2</v>
      </c>
      <c r="N909">
        <v>-4.8849999999999996E-3</v>
      </c>
      <c r="O909">
        <v>2.7852999999999999E-2</v>
      </c>
      <c r="P909">
        <v>3.2950000000000002E-3</v>
      </c>
      <c r="Q909">
        <v>3.6120000000000002E-3</v>
      </c>
      <c r="R909">
        <v>-3.5791000000000003E-2</v>
      </c>
      <c r="S909">
        <v>1.5277000000000001E-2</v>
      </c>
      <c r="T909">
        <v>2.9629999999999999E-3</v>
      </c>
      <c r="U909">
        <v>-1.5513000000000001E-2</v>
      </c>
      <c r="V909">
        <v>-1.0251E-2</v>
      </c>
      <c r="W909">
        <v>-1.0762000000000001E-2</v>
      </c>
      <c r="X909">
        <v>1.9413E-2</v>
      </c>
      <c r="Y909">
        <v>2.3425999999999999E-2</v>
      </c>
      <c r="Z909">
        <v>1.6309000000000001E-2</v>
      </c>
      <c r="AA909">
        <v>1.7076000000000001E-2</v>
      </c>
      <c r="AB909">
        <v>-1.523E-3</v>
      </c>
    </row>
    <row r="910" spans="1:28" x14ac:dyDescent="0.2">
      <c r="A910">
        <v>20070928</v>
      </c>
      <c r="B910">
        <v>2007</v>
      </c>
      <c r="C910">
        <v>9</v>
      </c>
      <c r="D910">
        <v>2.2741999999999998E-2</v>
      </c>
      <c r="E910">
        <v>2.3226E-2</v>
      </c>
      <c r="F910">
        <v>2.8839999999999998E-3</v>
      </c>
      <c r="G910">
        <v>9.5759999999999994E-3</v>
      </c>
      <c r="H910">
        <v>-1.0970000000000001E-2</v>
      </c>
      <c r="I910">
        <v>2.9399999999999999E-2</v>
      </c>
      <c r="J910">
        <v>9.7330000000000003E-3</v>
      </c>
      <c r="K910">
        <v>6.1339999999999997E-3</v>
      </c>
      <c r="L910">
        <v>9.417E-3</v>
      </c>
      <c r="M910">
        <v>-5.1419999999999999E-3</v>
      </c>
      <c r="N910">
        <v>3.0939000000000001E-2</v>
      </c>
      <c r="O910">
        <v>3.2864999999999998E-2</v>
      </c>
      <c r="P910">
        <v>2.0150000000000001E-2</v>
      </c>
      <c r="Q910">
        <v>1.5809E-2</v>
      </c>
      <c r="R910">
        <v>1.5800000000000002E-2</v>
      </c>
      <c r="S910">
        <v>3.4455E-2</v>
      </c>
      <c r="T910">
        <v>2.5083000000000001E-2</v>
      </c>
      <c r="U910">
        <v>1.8298999999999999E-2</v>
      </c>
      <c r="V910">
        <v>2.2790000000000001E-2</v>
      </c>
      <c r="W910">
        <v>6.3959999999999998E-3</v>
      </c>
      <c r="X910">
        <v>5.0776000000000002E-2</v>
      </c>
      <c r="Y910">
        <v>3.7581999999999997E-2</v>
      </c>
      <c r="Z910">
        <v>2.8872999999999999E-2</v>
      </c>
      <c r="AA910">
        <v>2.6408999999999998E-2</v>
      </c>
      <c r="AB910">
        <v>4.4803999999999997E-2</v>
      </c>
    </row>
    <row r="911" spans="1:28" x14ac:dyDescent="0.2">
      <c r="A911">
        <v>20071031</v>
      </c>
      <c r="B911">
        <v>2007</v>
      </c>
      <c r="C911">
        <v>10</v>
      </c>
      <c r="D911">
        <v>3.4841999999999998E-2</v>
      </c>
      <c r="E911">
        <v>1.2581E-2</v>
      </c>
      <c r="F911">
        <v>-2.5900000000000001E-4</v>
      </c>
      <c r="G911">
        <v>-1.27E-4</v>
      </c>
      <c r="H911">
        <v>-8.9250000000000006E-3</v>
      </c>
      <c r="I911">
        <v>3.7097999999999999E-2</v>
      </c>
      <c r="J911">
        <v>4.5340999999999999E-2</v>
      </c>
      <c r="K911">
        <v>1.001E-2</v>
      </c>
      <c r="L911">
        <v>1.7845E-2</v>
      </c>
      <c r="M911">
        <v>-2.0409999999999998E-3</v>
      </c>
      <c r="N911">
        <v>3.8692999999999998E-2</v>
      </c>
      <c r="O911">
        <v>2.0847999999999998E-2</v>
      </c>
      <c r="P911">
        <v>4.0716000000000002E-2</v>
      </c>
      <c r="Q911">
        <v>1.1691999999999999E-2</v>
      </c>
      <c r="R911">
        <v>3.7039999999999997E-2</v>
      </c>
      <c r="S911">
        <v>2.7962000000000001E-2</v>
      </c>
      <c r="T911">
        <v>1.9917000000000001E-2</v>
      </c>
      <c r="U911">
        <v>2.0081000000000002E-2</v>
      </c>
      <c r="V911">
        <v>2.4903000000000002E-2</v>
      </c>
      <c r="W911">
        <v>-1.8995000000000001E-2</v>
      </c>
      <c r="X911">
        <v>4.5938E-2</v>
      </c>
      <c r="Y911">
        <v>1.6122999999999998E-2</v>
      </c>
      <c r="Z911">
        <v>7.8930000000000007E-3</v>
      </c>
      <c r="AA911">
        <v>6.9870000000000002E-3</v>
      </c>
      <c r="AB911">
        <v>-5.6280000000000002E-3</v>
      </c>
    </row>
    <row r="912" spans="1:28" x14ac:dyDescent="0.2">
      <c r="A912">
        <v>20071130</v>
      </c>
      <c r="B912">
        <v>2007</v>
      </c>
      <c r="C912">
        <v>11</v>
      </c>
      <c r="D912">
        <v>-9.6296999999999994E-2</v>
      </c>
      <c r="E912">
        <v>-8.6789000000000005E-2</v>
      </c>
      <c r="F912">
        <v>-7.9735E-2</v>
      </c>
      <c r="G912">
        <v>-7.9072000000000003E-2</v>
      </c>
      <c r="H912">
        <v>-8.9931999999999998E-2</v>
      </c>
      <c r="I912">
        <v>-6.7295999999999995E-2</v>
      </c>
      <c r="J912">
        <v>-6.8820000000000006E-2</v>
      </c>
      <c r="K912">
        <v>-6.2237000000000001E-2</v>
      </c>
      <c r="L912">
        <v>-6.7710999999999993E-2</v>
      </c>
      <c r="M912">
        <v>-8.7329000000000004E-2</v>
      </c>
      <c r="N912">
        <v>-6.7832000000000003E-2</v>
      </c>
      <c r="O912">
        <v>-6.4408000000000007E-2</v>
      </c>
      <c r="P912">
        <v>-5.9740000000000001E-2</v>
      </c>
      <c r="Q912">
        <v>-5.1000999999999998E-2</v>
      </c>
      <c r="R912">
        <v>-5.1978000000000003E-2</v>
      </c>
      <c r="S912">
        <v>-4.2139999999999997E-2</v>
      </c>
      <c r="T912">
        <v>-4.5727999999999998E-2</v>
      </c>
      <c r="U912">
        <v>-7.1922E-2</v>
      </c>
      <c r="V912">
        <v>-5.7423000000000002E-2</v>
      </c>
      <c r="W912">
        <v>-6.5540000000000001E-2</v>
      </c>
      <c r="X912">
        <v>-3.5862999999999999E-2</v>
      </c>
      <c r="Y912">
        <v>-2.4053999999999999E-2</v>
      </c>
      <c r="Z912">
        <v>-5.3348E-2</v>
      </c>
      <c r="AA912">
        <v>-5.1371E-2</v>
      </c>
      <c r="AB912">
        <v>-6.0518000000000002E-2</v>
      </c>
    </row>
    <row r="913" spans="1:28" x14ac:dyDescent="0.2">
      <c r="A913">
        <v>20071231</v>
      </c>
      <c r="B913">
        <v>2007</v>
      </c>
      <c r="C913">
        <v>12</v>
      </c>
      <c r="D913">
        <v>-1.1533E-2</v>
      </c>
      <c r="E913">
        <v>9.2860000000000009E-3</v>
      </c>
      <c r="F913">
        <v>-1.7353E-2</v>
      </c>
      <c r="G913">
        <v>-5.1659999999999996E-3</v>
      </c>
      <c r="H913">
        <v>-9.8499999999999994E-3</v>
      </c>
      <c r="I913">
        <v>8.9339999999999992E-3</v>
      </c>
      <c r="J913">
        <v>1.936E-3</v>
      </c>
      <c r="K913">
        <v>5.9599999999999996E-4</v>
      </c>
      <c r="L913">
        <v>7.6790000000000001E-3</v>
      </c>
      <c r="M913">
        <v>-1.0451999999999999E-2</v>
      </c>
      <c r="N913">
        <v>-1.7114000000000001E-2</v>
      </c>
      <c r="O913">
        <v>-8.4790000000000004E-3</v>
      </c>
      <c r="P913">
        <v>-5.9179999999999996E-3</v>
      </c>
      <c r="Q913">
        <v>-9.1839999999999995E-3</v>
      </c>
      <c r="R913">
        <v>-3.9760000000000004E-3</v>
      </c>
      <c r="S913">
        <v>-3.1979999999999999E-3</v>
      </c>
      <c r="T913">
        <v>3.3300000000000001E-3</v>
      </c>
      <c r="U913">
        <v>-3.2584000000000002E-2</v>
      </c>
      <c r="V913">
        <v>-1.3379E-2</v>
      </c>
      <c r="W913">
        <v>-2.1901E-2</v>
      </c>
      <c r="X913">
        <v>-9.0139999999999994E-3</v>
      </c>
      <c r="Y913">
        <v>2.5850000000000001E-3</v>
      </c>
      <c r="Z913">
        <v>-1.1497E-2</v>
      </c>
      <c r="AA913">
        <v>-1.1738999999999999E-2</v>
      </c>
      <c r="AB913">
        <v>6.7629999999999999E-3</v>
      </c>
    </row>
    <row r="914" spans="1:28" x14ac:dyDescent="0.2">
      <c r="A914">
        <v>20080131</v>
      </c>
      <c r="B914">
        <v>2008</v>
      </c>
      <c r="C914">
        <v>1</v>
      </c>
      <c r="D914">
        <v>-0.111965</v>
      </c>
      <c r="E914">
        <v>-8.4613999999999995E-2</v>
      </c>
      <c r="F914">
        <v>-7.1997000000000005E-2</v>
      </c>
      <c r="G914">
        <v>-4.7065999999999997E-2</v>
      </c>
      <c r="H914">
        <v>-4.7120000000000002E-2</v>
      </c>
      <c r="I914">
        <v>-9.6105999999999997E-2</v>
      </c>
      <c r="J914">
        <v>-7.0195999999999995E-2</v>
      </c>
      <c r="K914">
        <v>-7.2824E-2</v>
      </c>
      <c r="L914">
        <v>-3.2480000000000002E-2</v>
      </c>
      <c r="M914">
        <v>-3.8018000000000003E-2</v>
      </c>
      <c r="N914">
        <v>-5.8277000000000002E-2</v>
      </c>
      <c r="O914">
        <v>-5.8085999999999999E-2</v>
      </c>
      <c r="P914">
        <v>-6.5991999999999995E-2</v>
      </c>
      <c r="Q914">
        <v>-3.1294000000000002E-2</v>
      </c>
      <c r="R914">
        <v>-6.5636E-2</v>
      </c>
      <c r="S914">
        <v>-7.2759000000000004E-2</v>
      </c>
      <c r="T914">
        <v>-7.3867000000000002E-2</v>
      </c>
      <c r="U914">
        <v>-4.6185999999999998E-2</v>
      </c>
      <c r="V914">
        <v>-4.1660000000000003E-2</v>
      </c>
      <c r="W914">
        <v>-2.8791000000000001E-2</v>
      </c>
      <c r="X914">
        <v>-8.4470000000000003E-2</v>
      </c>
      <c r="Y914">
        <v>-4.7713999999999999E-2</v>
      </c>
      <c r="Z914">
        <v>-4.7946000000000003E-2</v>
      </c>
      <c r="AA914">
        <v>-3.9521000000000001E-2</v>
      </c>
      <c r="AB914">
        <v>-3.9083E-2</v>
      </c>
    </row>
    <row r="915" spans="1:28" x14ac:dyDescent="0.2">
      <c r="A915">
        <v>20080229</v>
      </c>
      <c r="B915">
        <v>2008</v>
      </c>
      <c r="C915">
        <v>2</v>
      </c>
      <c r="D915">
        <v>-5.6673000000000001E-2</v>
      </c>
      <c r="E915">
        <v>-4.1269E-2</v>
      </c>
      <c r="F915">
        <v>-4.9127999999999998E-2</v>
      </c>
      <c r="G915">
        <v>-2.3163E-2</v>
      </c>
      <c r="H915">
        <v>-3.9669000000000003E-2</v>
      </c>
      <c r="I915">
        <v>-5.0287999999999999E-2</v>
      </c>
      <c r="J915">
        <v>-1.1112E-2</v>
      </c>
      <c r="K915">
        <v>-1.1730000000000001E-2</v>
      </c>
      <c r="L915">
        <v>-3.3134999999999998E-2</v>
      </c>
      <c r="M915">
        <v>-4.6822000000000003E-2</v>
      </c>
      <c r="N915">
        <v>-3.5450000000000002E-2</v>
      </c>
      <c r="O915">
        <v>-1.1724999999999999E-2</v>
      </c>
      <c r="P915">
        <v>-2.0098000000000001E-2</v>
      </c>
      <c r="Q915">
        <v>-1.5570000000000001E-2</v>
      </c>
      <c r="R915">
        <v>-2.9325E-2</v>
      </c>
      <c r="S915">
        <v>-8.2679999999999993E-3</v>
      </c>
      <c r="T915">
        <v>-1.1506000000000001E-2</v>
      </c>
      <c r="U915">
        <v>-2.2055000000000002E-2</v>
      </c>
      <c r="V915">
        <v>-2.5780000000000001E-2</v>
      </c>
      <c r="W915">
        <v>-5.3418E-2</v>
      </c>
      <c r="X915">
        <v>-2.5162E-2</v>
      </c>
      <c r="Y915">
        <v>-1.7430000000000001E-2</v>
      </c>
      <c r="Z915">
        <v>-3.9592000000000002E-2</v>
      </c>
      <c r="AA915">
        <v>-5.0203999999999999E-2</v>
      </c>
      <c r="AB915">
        <v>-6.0852000000000003E-2</v>
      </c>
    </row>
    <row r="916" spans="1:28" x14ac:dyDescent="0.2">
      <c r="A916">
        <v>20080331</v>
      </c>
      <c r="B916">
        <v>2008</v>
      </c>
      <c r="C916">
        <v>3</v>
      </c>
      <c r="D916">
        <v>-4.0485E-2</v>
      </c>
      <c r="E916">
        <v>-1.2219000000000001E-2</v>
      </c>
      <c r="F916">
        <v>2.3050999999999999E-2</v>
      </c>
      <c r="G916">
        <v>9.8400000000000007E-4</v>
      </c>
      <c r="H916">
        <v>-3.0070000000000001E-3</v>
      </c>
      <c r="I916">
        <v>-7.3070000000000001E-3</v>
      </c>
      <c r="J916">
        <v>1.7433000000000001E-2</v>
      </c>
      <c r="K916">
        <v>1.9845999999999999E-2</v>
      </c>
      <c r="L916">
        <v>1.537E-2</v>
      </c>
      <c r="M916">
        <v>5.8900000000000003E-3</v>
      </c>
      <c r="N916">
        <v>-3.1613000000000002E-2</v>
      </c>
      <c r="O916">
        <v>1.2333E-2</v>
      </c>
      <c r="P916">
        <v>-2.4257999999999998E-2</v>
      </c>
      <c r="Q916">
        <v>-1.0562E-2</v>
      </c>
      <c r="R916">
        <v>-7.9380000000000006E-3</v>
      </c>
      <c r="S916">
        <v>6.2699999999999995E-4</v>
      </c>
      <c r="T916">
        <v>-2.0655E-2</v>
      </c>
      <c r="U916">
        <v>-2.4129999999999999E-2</v>
      </c>
      <c r="V916">
        <v>-3.0464999999999999E-2</v>
      </c>
      <c r="W916">
        <v>-1.2178E-2</v>
      </c>
      <c r="X916">
        <v>2.0890000000000001E-3</v>
      </c>
      <c r="Y916">
        <v>1.4466E-2</v>
      </c>
      <c r="Z916">
        <v>-4.2800999999999999E-2</v>
      </c>
      <c r="AA916">
        <v>-3.1884999999999997E-2</v>
      </c>
      <c r="AB916">
        <v>6.5129999999999997E-3</v>
      </c>
    </row>
    <row r="917" spans="1:28" x14ac:dyDescent="0.2">
      <c r="A917">
        <v>20080430</v>
      </c>
      <c r="B917">
        <v>2008</v>
      </c>
      <c r="C917">
        <v>4</v>
      </c>
      <c r="D917">
        <v>3.1536000000000002E-2</v>
      </c>
      <c r="E917">
        <v>3.4132000000000003E-2</v>
      </c>
      <c r="F917">
        <v>1.0966999999999999E-2</v>
      </c>
      <c r="G917">
        <v>6.0759999999999998E-3</v>
      </c>
      <c r="H917">
        <v>6.9309999999999997E-3</v>
      </c>
      <c r="I917">
        <v>2.9073999999999999E-2</v>
      </c>
      <c r="J917">
        <v>4.2566E-2</v>
      </c>
      <c r="K917">
        <v>3.5179000000000002E-2</v>
      </c>
      <c r="L917">
        <v>2.8608000000000001E-2</v>
      </c>
      <c r="M917">
        <v>5.1799999999999997E-3</v>
      </c>
      <c r="N917">
        <v>7.0370000000000002E-2</v>
      </c>
      <c r="O917">
        <v>6.7091999999999999E-2</v>
      </c>
      <c r="P917">
        <v>9.0038999999999994E-2</v>
      </c>
      <c r="Q917">
        <v>9.8693000000000003E-2</v>
      </c>
      <c r="R917">
        <v>7.5177999999999995E-2</v>
      </c>
      <c r="S917">
        <v>6.0690000000000001E-2</v>
      </c>
      <c r="T917">
        <v>6.7068000000000003E-2</v>
      </c>
      <c r="U917">
        <v>5.8735000000000002E-2</v>
      </c>
      <c r="V917">
        <v>7.9946000000000003E-2</v>
      </c>
      <c r="W917">
        <v>2.7126999999999998E-2</v>
      </c>
      <c r="X917">
        <v>3.4361999999999997E-2</v>
      </c>
      <c r="Y917">
        <v>3.4688999999999998E-2</v>
      </c>
      <c r="Z917">
        <v>7.1655999999999997E-2</v>
      </c>
      <c r="AA917">
        <v>4.1075E-2</v>
      </c>
      <c r="AB917">
        <v>6.7843000000000001E-2</v>
      </c>
    </row>
    <row r="918" spans="1:28" x14ac:dyDescent="0.2">
      <c r="A918">
        <v>20080530</v>
      </c>
      <c r="B918">
        <v>2008</v>
      </c>
      <c r="C918">
        <v>5</v>
      </c>
      <c r="D918">
        <v>5.7936000000000001E-2</v>
      </c>
      <c r="E918">
        <v>4.2009999999999999E-2</v>
      </c>
      <c r="F918">
        <v>2.2256999999999999E-2</v>
      </c>
      <c r="G918">
        <v>3.4462E-2</v>
      </c>
      <c r="H918">
        <v>1.6511000000000001E-2</v>
      </c>
      <c r="I918">
        <v>7.1291999999999994E-2</v>
      </c>
      <c r="J918">
        <v>3.5174999999999998E-2</v>
      </c>
      <c r="K918">
        <v>7.9478999999999994E-2</v>
      </c>
      <c r="L918">
        <v>5.6000000000000001E-2</v>
      </c>
      <c r="M918">
        <v>1.7774000000000002E-2</v>
      </c>
      <c r="N918">
        <v>3.9508000000000001E-2</v>
      </c>
      <c r="O918">
        <v>3.6653999999999999E-2</v>
      </c>
      <c r="P918">
        <v>6.8005999999999997E-2</v>
      </c>
      <c r="Q918">
        <v>6.3839999999999994E-2</v>
      </c>
      <c r="R918">
        <v>4.6196000000000001E-2</v>
      </c>
      <c r="S918">
        <v>4.2541000000000002E-2</v>
      </c>
      <c r="T918">
        <v>5.2897E-2</v>
      </c>
      <c r="U918">
        <v>3.8552000000000003E-2</v>
      </c>
      <c r="V918">
        <v>5.0180000000000002E-2</v>
      </c>
      <c r="W918">
        <v>2.8178999999999999E-2</v>
      </c>
      <c r="X918">
        <v>3.542E-2</v>
      </c>
      <c r="Y918">
        <v>-3.8289999999999999E-3</v>
      </c>
      <c r="Z918">
        <v>7.5960000000000003E-3</v>
      </c>
      <c r="AA918">
        <v>-1.8062999999999999E-2</v>
      </c>
      <c r="AB918">
        <v>1.7342E-2</v>
      </c>
    </row>
    <row r="919" spans="1:28" x14ac:dyDescent="0.2">
      <c r="A919">
        <v>20080630</v>
      </c>
      <c r="B919">
        <v>2008</v>
      </c>
      <c r="C919">
        <v>6</v>
      </c>
      <c r="D919">
        <v>-6.1685999999999998E-2</v>
      </c>
      <c r="E919">
        <v>-9.0287999999999993E-2</v>
      </c>
      <c r="F919">
        <v>-0.10924</v>
      </c>
      <c r="G919">
        <v>-7.2317000000000006E-2</v>
      </c>
      <c r="H919">
        <v>-9.9351999999999996E-2</v>
      </c>
      <c r="I919">
        <v>-7.6454999999999995E-2</v>
      </c>
      <c r="J919">
        <v>-7.1443999999999994E-2</v>
      </c>
      <c r="K919">
        <v>-5.1781000000000001E-2</v>
      </c>
      <c r="L919">
        <v>-8.2742999999999997E-2</v>
      </c>
      <c r="M919">
        <v>-0.114978</v>
      </c>
      <c r="N919">
        <v>-8.5760000000000003E-2</v>
      </c>
      <c r="O919">
        <v>-6.9445999999999994E-2</v>
      </c>
      <c r="P919">
        <v>-6.8225999999999995E-2</v>
      </c>
      <c r="Q919">
        <v>-7.0677000000000004E-2</v>
      </c>
      <c r="R919">
        <v>-6.4044000000000004E-2</v>
      </c>
      <c r="S919">
        <v>-7.0777999999999994E-2</v>
      </c>
      <c r="T919">
        <v>-8.9035000000000003E-2</v>
      </c>
      <c r="U919">
        <v>-9.8108000000000001E-2</v>
      </c>
      <c r="V919">
        <v>-5.534E-2</v>
      </c>
      <c r="W919">
        <v>-0.13358200000000001</v>
      </c>
      <c r="X919">
        <v>-7.0119000000000001E-2</v>
      </c>
      <c r="Y919">
        <v>-7.1304000000000006E-2</v>
      </c>
      <c r="Z919">
        <v>-9.2105000000000006E-2</v>
      </c>
      <c r="AA919">
        <v>-0.130804</v>
      </c>
      <c r="AB919">
        <v>-0.109219</v>
      </c>
    </row>
    <row r="920" spans="1:28" x14ac:dyDescent="0.2">
      <c r="A920">
        <v>20080731</v>
      </c>
      <c r="B920">
        <v>2008</v>
      </c>
      <c r="C920">
        <v>7</v>
      </c>
      <c r="D920">
        <v>4.9706E-2</v>
      </c>
      <c r="E920">
        <v>4.4248000000000003E-2</v>
      </c>
      <c r="F920">
        <v>4.9613999999999998E-2</v>
      </c>
      <c r="G920">
        <v>7.1244000000000002E-2</v>
      </c>
      <c r="H920">
        <v>3.3281999999999999E-2</v>
      </c>
      <c r="I920">
        <v>1.6022999999999999E-2</v>
      </c>
      <c r="J920">
        <v>2.8629000000000002E-2</v>
      </c>
      <c r="K920">
        <v>4.4823000000000002E-2</v>
      </c>
      <c r="L920">
        <v>3.5441E-2</v>
      </c>
      <c r="M920">
        <v>8.0657999999999994E-2</v>
      </c>
      <c r="N920">
        <v>-4.9810000000000002E-3</v>
      </c>
      <c r="O920">
        <v>1.6509999999999999E-3</v>
      </c>
      <c r="P920">
        <v>1.7401E-2</v>
      </c>
      <c r="Q920">
        <v>-4.9779999999999998E-3</v>
      </c>
      <c r="R920">
        <v>5.7813000000000003E-2</v>
      </c>
      <c r="S920">
        <v>-3.8340000000000002E-3</v>
      </c>
      <c r="T920">
        <v>-1.6185000000000001E-2</v>
      </c>
      <c r="U920">
        <v>-7.5637999999999997E-2</v>
      </c>
      <c r="V920">
        <v>-2.129E-2</v>
      </c>
      <c r="W920">
        <v>-2.2263999999999999E-2</v>
      </c>
      <c r="X920">
        <v>-1.3261E-2</v>
      </c>
      <c r="Y920">
        <v>-2.0150000000000001E-2</v>
      </c>
      <c r="Z920">
        <v>-1.8765E-2</v>
      </c>
      <c r="AA920">
        <v>2.9456E-2</v>
      </c>
      <c r="AB920">
        <v>7.9544000000000004E-2</v>
      </c>
    </row>
    <row r="921" spans="1:28" x14ac:dyDescent="0.2">
      <c r="A921">
        <v>20080829</v>
      </c>
      <c r="B921">
        <v>2008</v>
      </c>
      <c r="C921">
        <v>8</v>
      </c>
      <c r="D921">
        <v>1.1133000000000001E-2</v>
      </c>
      <c r="E921">
        <v>3.1863000000000002E-2</v>
      </c>
      <c r="F921">
        <v>2.9276E-2</v>
      </c>
      <c r="G921">
        <v>3.0790999999999999E-2</v>
      </c>
      <c r="H921">
        <v>6.8268999999999996E-2</v>
      </c>
      <c r="I921">
        <v>4.4625999999999999E-2</v>
      </c>
      <c r="J921">
        <v>4.8016999999999997E-2</v>
      </c>
      <c r="K921">
        <v>3.5646999999999998E-2</v>
      </c>
      <c r="L921">
        <v>5.4793000000000001E-2</v>
      </c>
      <c r="M921">
        <v>0.122307</v>
      </c>
      <c r="N921">
        <v>3.1565000000000003E-2</v>
      </c>
      <c r="O921">
        <v>2.9956E-2</v>
      </c>
      <c r="P921">
        <v>4.4158000000000003E-2</v>
      </c>
      <c r="Q921">
        <v>2.445E-2</v>
      </c>
      <c r="R921">
        <v>5.8631000000000003E-2</v>
      </c>
      <c r="S921">
        <v>1.0871E-2</v>
      </c>
      <c r="T921">
        <v>1.8388999999999999E-2</v>
      </c>
      <c r="U921">
        <v>1.9758999999999999E-2</v>
      </c>
      <c r="V921">
        <v>4.5553000000000003E-2</v>
      </c>
      <c r="W921">
        <v>2.5669000000000001E-2</v>
      </c>
      <c r="X921">
        <v>1.1018999999999999E-2</v>
      </c>
      <c r="Y921">
        <v>1.5195999999999999E-2</v>
      </c>
      <c r="Z921">
        <v>2.2762999999999999E-2</v>
      </c>
      <c r="AA921">
        <v>-2.3973999999999999E-2</v>
      </c>
      <c r="AB921">
        <v>1.652E-3</v>
      </c>
    </row>
    <row r="922" spans="1:28" x14ac:dyDescent="0.2">
      <c r="A922">
        <v>20080930</v>
      </c>
      <c r="B922">
        <v>2008</v>
      </c>
      <c r="C922">
        <v>9</v>
      </c>
      <c r="D922">
        <v>-0.130518</v>
      </c>
      <c r="E922">
        <v>-9.5862000000000003E-2</v>
      </c>
      <c r="F922">
        <v>-8.5934999999999997E-2</v>
      </c>
      <c r="G922">
        <v>-3.5286999999999999E-2</v>
      </c>
      <c r="H922">
        <v>-6.4629000000000006E-2</v>
      </c>
      <c r="I922">
        <v>-9.0454000000000007E-2</v>
      </c>
      <c r="J922">
        <v>-8.4735000000000005E-2</v>
      </c>
      <c r="K922">
        <v>-6.8281999999999995E-2</v>
      </c>
      <c r="L922">
        <v>-4.5712000000000003E-2</v>
      </c>
      <c r="M922">
        <v>-6.8291000000000004E-2</v>
      </c>
      <c r="N922">
        <v>-0.13793900000000001</v>
      </c>
      <c r="O922">
        <v>-0.11546099999999999</v>
      </c>
      <c r="P922">
        <v>-8.1091999999999997E-2</v>
      </c>
      <c r="Q922">
        <v>-6.6984000000000002E-2</v>
      </c>
      <c r="R922">
        <v>-6.0863E-2</v>
      </c>
      <c r="S922">
        <v>-0.13192300000000001</v>
      </c>
      <c r="T922">
        <v>-0.13336700000000001</v>
      </c>
      <c r="U922">
        <v>-0.148204</v>
      </c>
      <c r="V922">
        <v>-0.104963</v>
      </c>
      <c r="W922">
        <v>-8.7458999999999995E-2</v>
      </c>
      <c r="X922">
        <v>-9.5144999999999993E-2</v>
      </c>
      <c r="Y922">
        <v>-8.6901999999999993E-2</v>
      </c>
      <c r="Z922">
        <v>-7.0444999999999994E-2</v>
      </c>
      <c r="AA922">
        <v>-7.8547000000000006E-2</v>
      </c>
      <c r="AB922">
        <v>-3.5922000000000003E-2</v>
      </c>
    </row>
    <row r="923" spans="1:28" x14ac:dyDescent="0.2">
      <c r="A923">
        <v>20081031</v>
      </c>
      <c r="B923">
        <v>2008</v>
      </c>
      <c r="C923">
        <v>10</v>
      </c>
      <c r="D923">
        <v>-0.23577200000000001</v>
      </c>
      <c r="E923">
        <v>-0.20089899999999999</v>
      </c>
      <c r="F923">
        <v>-0.18989300000000001</v>
      </c>
      <c r="G923">
        <v>-0.153588</v>
      </c>
      <c r="H923">
        <v>-0.216947</v>
      </c>
      <c r="I923">
        <v>-0.22534399999999999</v>
      </c>
      <c r="J923">
        <v>-0.23504700000000001</v>
      </c>
      <c r="K923">
        <v>-0.18607599999999999</v>
      </c>
      <c r="L923">
        <v>-0.19577800000000001</v>
      </c>
      <c r="M923">
        <v>-0.208258</v>
      </c>
      <c r="N923">
        <v>-0.22983799999999999</v>
      </c>
      <c r="O923">
        <v>-0.182728</v>
      </c>
      <c r="P923">
        <v>-0.17476700000000001</v>
      </c>
      <c r="Q923">
        <v>-0.199244</v>
      </c>
      <c r="R923">
        <v>-0.203843</v>
      </c>
      <c r="S923">
        <v>-0.20730100000000001</v>
      </c>
      <c r="T923">
        <v>-0.20404600000000001</v>
      </c>
      <c r="U923">
        <v>-0.25155100000000002</v>
      </c>
      <c r="V923">
        <v>-0.22403200000000001</v>
      </c>
      <c r="W923">
        <v>-0.18746599999999999</v>
      </c>
      <c r="X923">
        <v>-0.14391999999999999</v>
      </c>
      <c r="Y923">
        <v>-0.155026</v>
      </c>
      <c r="Z923">
        <v>-0.13083700000000001</v>
      </c>
      <c r="AA923">
        <v>-0.27016200000000001</v>
      </c>
      <c r="AB923">
        <v>-0.16845299999999999</v>
      </c>
    </row>
    <row r="924" spans="1:28" x14ac:dyDescent="0.2">
      <c r="A924">
        <v>20081128</v>
      </c>
      <c r="B924">
        <v>2008</v>
      </c>
      <c r="C924">
        <v>11</v>
      </c>
      <c r="D924">
        <v>-0.12731500000000001</v>
      </c>
      <c r="E924">
        <v>-0.124122</v>
      </c>
      <c r="F924">
        <v>-0.12398199999999999</v>
      </c>
      <c r="G924">
        <v>-0.118075</v>
      </c>
      <c r="H924">
        <v>-0.16182299999999999</v>
      </c>
      <c r="I924">
        <v>-0.110765</v>
      </c>
      <c r="J924">
        <v>-0.106252</v>
      </c>
      <c r="K924">
        <v>-0.104932</v>
      </c>
      <c r="L924">
        <v>-9.6980999999999998E-2</v>
      </c>
      <c r="M924">
        <v>-0.16742499999999999</v>
      </c>
      <c r="N924">
        <v>-0.117271</v>
      </c>
      <c r="O924">
        <v>-0.10262400000000001</v>
      </c>
      <c r="P924">
        <v>-9.3266000000000002E-2</v>
      </c>
      <c r="Q924">
        <v>-9.2843999999999996E-2</v>
      </c>
      <c r="R924">
        <v>-6.7782999999999996E-2</v>
      </c>
      <c r="S924">
        <v>-8.2913000000000001E-2</v>
      </c>
      <c r="T924">
        <v>-8.8149000000000005E-2</v>
      </c>
      <c r="U924">
        <v>-9.3738000000000002E-2</v>
      </c>
      <c r="V924">
        <v>-8.8313000000000003E-2</v>
      </c>
      <c r="W924">
        <v>-0.152947</v>
      </c>
      <c r="X924">
        <v>-6.0250999999999999E-2</v>
      </c>
      <c r="Y924">
        <v>-4.5704000000000002E-2</v>
      </c>
      <c r="Z924">
        <v>-6.7507999999999999E-2</v>
      </c>
      <c r="AA924">
        <v>-0.139905</v>
      </c>
      <c r="AB924">
        <v>-0.17192399999999999</v>
      </c>
    </row>
    <row r="925" spans="1:28" x14ac:dyDescent="0.2">
      <c r="A925">
        <v>20081231</v>
      </c>
      <c r="B925">
        <v>2008</v>
      </c>
      <c r="C925">
        <v>12</v>
      </c>
      <c r="D925">
        <v>2.6408000000000001E-2</v>
      </c>
      <c r="E925">
        <v>6.3311999999999993E-2</v>
      </c>
      <c r="F925">
        <v>5.6862000000000003E-2</v>
      </c>
      <c r="G925">
        <v>2.6057E-2</v>
      </c>
      <c r="H925">
        <v>4.24E-2</v>
      </c>
      <c r="I925">
        <v>3.8143999999999997E-2</v>
      </c>
      <c r="J925">
        <v>6.4306000000000002E-2</v>
      </c>
      <c r="K925">
        <v>6.2306E-2</v>
      </c>
      <c r="L925">
        <v>5.4634000000000002E-2</v>
      </c>
      <c r="M925">
        <v>6.9403999999999993E-2</v>
      </c>
      <c r="N925">
        <v>6.6118999999999997E-2</v>
      </c>
      <c r="O925">
        <v>3.3735000000000001E-2</v>
      </c>
      <c r="P925">
        <v>4.4795000000000001E-2</v>
      </c>
      <c r="Q925">
        <v>-1.6620000000000001E-3</v>
      </c>
      <c r="R925">
        <v>0.102627</v>
      </c>
      <c r="S925">
        <v>4.3912E-2</v>
      </c>
      <c r="T925">
        <v>6.7972000000000005E-2</v>
      </c>
      <c r="U925">
        <v>2.6072000000000001E-2</v>
      </c>
      <c r="V925">
        <v>2.4851999999999999E-2</v>
      </c>
      <c r="W925">
        <v>1.3199000000000001E-2</v>
      </c>
      <c r="X925">
        <v>1.5047E-2</v>
      </c>
      <c r="Y925">
        <v>9.7059999999999994E-3</v>
      </c>
      <c r="Z925">
        <v>4.6820000000000004E-3</v>
      </c>
      <c r="AA925">
        <v>-1.8058999999999999E-2</v>
      </c>
      <c r="AB925">
        <v>3.6935000000000003E-2</v>
      </c>
    </row>
    <row r="926" spans="1:28" x14ac:dyDescent="0.2">
      <c r="A926">
        <v>20090130</v>
      </c>
      <c r="B926">
        <v>2009</v>
      </c>
      <c r="C926">
        <v>1</v>
      </c>
      <c r="D926">
        <v>-6.8473000000000006E-2</v>
      </c>
      <c r="E926">
        <v>-7.6716999999999994E-2</v>
      </c>
      <c r="F926">
        <v>-9.7263000000000002E-2</v>
      </c>
      <c r="G926">
        <v>-0.15751000000000001</v>
      </c>
      <c r="H926">
        <v>-0.15306400000000001</v>
      </c>
      <c r="I926">
        <v>-6.9653000000000007E-2</v>
      </c>
      <c r="J926">
        <v>-5.4434000000000003E-2</v>
      </c>
      <c r="K926">
        <v>-0.11157599999999999</v>
      </c>
      <c r="L926">
        <v>-0.139183</v>
      </c>
      <c r="M926">
        <v>-0.195914</v>
      </c>
      <c r="N926">
        <v>-5.9840999999999998E-2</v>
      </c>
      <c r="O926">
        <v>-8.7277999999999994E-2</v>
      </c>
      <c r="P926">
        <v>-8.7113999999999997E-2</v>
      </c>
      <c r="Q926">
        <v>-6.6410999999999998E-2</v>
      </c>
      <c r="R926">
        <v>-0.18319299999999999</v>
      </c>
      <c r="S926">
        <v>-4.4718000000000001E-2</v>
      </c>
      <c r="T926">
        <v>-6.1899000000000003E-2</v>
      </c>
      <c r="U926">
        <v>-6.7697999999999994E-2</v>
      </c>
      <c r="V926">
        <v>-9.0176000000000006E-2</v>
      </c>
      <c r="W926">
        <v>-0.17035900000000001</v>
      </c>
      <c r="X926">
        <v>-3.2002999999999997E-2</v>
      </c>
      <c r="Y926">
        <v>-9.7497E-2</v>
      </c>
      <c r="Z926">
        <v>-0.108447</v>
      </c>
      <c r="AA926">
        <v>-0.18815200000000001</v>
      </c>
      <c r="AB926">
        <v>-0.126531</v>
      </c>
    </row>
    <row r="927" spans="1:28" x14ac:dyDescent="0.2">
      <c r="A927">
        <v>20090227</v>
      </c>
      <c r="B927">
        <v>2009</v>
      </c>
      <c r="C927">
        <v>2</v>
      </c>
      <c r="D927">
        <v>-0.110473</v>
      </c>
      <c r="E927">
        <v>-0.105707</v>
      </c>
      <c r="F927">
        <v>-0.12488</v>
      </c>
      <c r="G927">
        <v>-0.13206300000000001</v>
      </c>
      <c r="H927">
        <v>-0.14931800000000001</v>
      </c>
      <c r="I927">
        <v>-0.100414</v>
      </c>
      <c r="J927">
        <v>-8.6744000000000002E-2</v>
      </c>
      <c r="K927">
        <v>-0.106624</v>
      </c>
      <c r="L927">
        <v>-0.134967</v>
      </c>
      <c r="M927">
        <v>-0.215554</v>
      </c>
      <c r="N927">
        <v>-6.4116999999999993E-2</v>
      </c>
      <c r="O927">
        <v>-0.10777200000000001</v>
      </c>
      <c r="P927">
        <v>-9.4823000000000005E-2</v>
      </c>
      <c r="Q927">
        <v>-0.12618799999999999</v>
      </c>
      <c r="R927">
        <v>-0.114569</v>
      </c>
      <c r="S927">
        <v>-6.7047999999999996E-2</v>
      </c>
      <c r="T927">
        <v>-8.3004999999999995E-2</v>
      </c>
      <c r="U927">
        <v>-0.110107</v>
      </c>
      <c r="V927">
        <v>-0.140597</v>
      </c>
      <c r="W927">
        <v>-0.15153700000000001</v>
      </c>
      <c r="X927">
        <v>-7.8390000000000001E-2</v>
      </c>
      <c r="Y927">
        <v>-9.2991000000000004E-2</v>
      </c>
      <c r="Z927">
        <v>-0.119716</v>
      </c>
      <c r="AA927">
        <v>-0.196016</v>
      </c>
      <c r="AB927">
        <v>-0.117427</v>
      </c>
    </row>
    <row r="928" spans="1:28" x14ac:dyDescent="0.2">
      <c r="A928">
        <v>20090331</v>
      </c>
      <c r="B928">
        <v>2009</v>
      </c>
      <c r="C928">
        <v>3</v>
      </c>
      <c r="D928">
        <v>0.105702</v>
      </c>
      <c r="E928">
        <v>0.114523</v>
      </c>
      <c r="F928">
        <v>0.106223</v>
      </c>
      <c r="G928">
        <v>7.7757000000000007E-2</v>
      </c>
      <c r="H928">
        <v>0.103681</v>
      </c>
      <c r="I928">
        <v>8.2938999999999999E-2</v>
      </c>
      <c r="J928">
        <v>0.11146399999999999</v>
      </c>
      <c r="K928">
        <v>9.6791000000000002E-2</v>
      </c>
      <c r="L928">
        <v>7.4640999999999999E-2</v>
      </c>
      <c r="M928">
        <v>0.13897899999999999</v>
      </c>
      <c r="N928">
        <v>8.8404999999999997E-2</v>
      </c>
      <c r="O928">
        <v>9.2867000000000005E-2</v>
      </c>
      <c r="P928">
        <v>9.9900000000000003E-2</v>
      </c>
      <c r="Q928">
        <v>8.6149000000000003E-2</v>
      </c>
      <c r="R928">
        <v>0.132933</v>
      </c>
      <c r="S928">
        <v>8.3747000000000002E-2</v>
      </c>
      <c r="T928">
        <v>9.2563999999999994E-2</v>
      </c>
      <c r="U928">
        <v>7.4135000000000006E-2</v>
      </c>
      <c r="V928">
        <v>0.11038199999999999</v>
      </c>
      <c r="W928">
        <v>0.10469000000000001</v>
      </c>
      <c r="X928">
        <v>8.1272999999999998E-2</v>
      </c>
      <c r="Y928">
        <v>8.3737000000000006E-2</v>
      </c>
      <c r="Z928">
        <v>9.6625000000000003E-2</v>
      </c>
      <c r="AA928">
        <v>0.117664</v>
      </c>
      <c r="AB928">
        <v>0.115968</v>
      </c>
    </row>
    <row r="929" spans="1:28" x14ac:dyDescent="0.2">
      <c r="A929">
        <v>20090430</v>
      </c>
      <c r="B929">
        <v>2009</v>
      </c>
      <c r="C929">
        <v>4</v>
      </c>
      <c r="D929">
        <v>0.18915000000000001</v>
      </c>
      <c r="E929">
        <v>0.159326</v>
      </c>
      <c r="F929">
        <v>0.159777</v>
      </c>
      <c r="G929">
        <v>0.16034699999999999</v>
      </c>
      <c r="H929">
        <v>0.173432</v>
      </c>
      <c r="I929">
        <v>0.16053500000000001</v>
      </c>
      <c r="J929">
        <v>0.17816299999999999</v>
      </c>
      <c r="K929">
        <v>0.153889</v>
      </c>
      <c r="L929">
        <v>0.13728899999999999</v>
      </c>
      <c r="M929">
        <v>0.191497</v>
      </c>
      <c r="N929">
        <v>0.14119300000000001</v>
      </c>
      <c r="O929">
        <v>0.181893</v>
      </c>
      <c r="P929">
        <v>0.13852500000000001</v>
      </c>
      <c r="Q929">
        <v>0.16244900000000001</v>
      </c>
      <c r="R929">
        <v>0.15792900000000001</v>
      </c>
      <c r="S929">
        <v>0.11251700000000001</v>
      </c>
      <c r="T929">
        <v>0.13985900000000001</v>
      </c>
      <c r="U929">
        <v>0.16880500000000001</v>
      </c>
      <c r="V929">
        <v>0.14377699999999999</v>
      </c>
      <c r="W929">
        <v>0.170324</v>
      </c>
      <c r="X929">
        <v>6.7630999999999997E-2</v>
      </c>
      <c r="Y929">
        <v>7.0866999999999999E-2</v>
      </c>
      <c r="Z929">
        <v>0.10891099999999999</v>
      </c>
      <c r="AA929">
        <v>0.13828599999999999</v>
      </c>
      <c r="AB929">
        <v>0.236264</v>
      </c>
    </row>
    <row r="930" spans="1:28" x14ac:dyDescent="0.2">
      <c r="A930">
        <v>20090529</v>
      </c>
      <c r="B930">
        <v>2009</v>
      </c>
      <c r="C930">
        <v>5</v>
      </c>
      <c r="D930">
        <v>6.0812999999999999E-2</v>
      </c>
      <c r="E930">
        <v>5.6240999999999999E-2</v>
      </c>
      <c r="F930">
        <v>4.6831999999999999E-2</v>
      </c>
      <c r="G930">
        <v>4.3968E-2</v>
      </c>
      <c r="H930">
        <v>3.8653E-2</v>
      </c>
      <c r="I930">
        <v>4.3354999999999998E-2</v>
      </c>
      <c r="J930">
        <v>2.7233E-2</v>
      </c>
      <c r="K930">
        <v>2.6717000000000001E-2</v>
      </c>
      <c r="L930">
        <v>5.5329999999999997E-3</v>
      </c>
      <c r="M930">
        <v>4.8252000000000003E-2</v>
      </c>
      <c r="N930">
        <v>3.9147000000000001E-2</v>
      </c>
      <c r="O930">
        <v>1.4203E-2</v>
      </c>
      <c r="P930">
        <v>2.8646999999999999E-2</v>
      </c>
      <c r="Q930">
        <v>1.2742E-2</v>
      </c>
      <c r="R930">
        <v>-1.1027E-2</v>
      </c>
      <c r="S930">
        <v>3.6998000000000003E-2</v>
      </c>
      <c r="T930">
        <v>2.7352999999999999E-2</v>
      </c>
      <c r="U930">
        <v>4.9496999999999999E-2</v>
      </c>
      <c r="V930">
        <v>8.6146E-2</v>
      </c>
      <c r="W930">
        <v>3.8581999999999998E-2</v>
      </c>
      <c r="X930">
        <v>5.1263000000000003E-2</v>
      </c>
      <c r="Y930">
        <v>5.3799E-2</v>
      </c>
      <c r="Z930">
        <v>4.8590000000000001E-2</v>
      </c>
      <c r="AA930">
        <v>8.3486000000000005E-2</v>
      </c>
      <c r="AB930">
        <v>7.3482000000000006E-2</v>
      </c>
    </row>
    <row r="931" spans="1:28" x14ac:dyDescent="0.2">
      <c r="A931">
        <v>20090630</v>
      </c>
      <c r="B931">
        <v>2009</v>
      </c>
      <c r="C931">
        <v>6</v>
      </c>
      <c r="D931">
        <v>7.8384999999999996E-2</v>
      </c>
      <c r="E931">
        <v>5.2221999999999998E-2</v>
      </c>
      <c r="F931">
        <v>4.2375999999999997E-2</v>
      </c>
      <c r="G931">
        <v>2.6084E-2</v>
      </c>
      <c r="H931">
        <v>3.1348000000000001E-2</v>
      </c>
      <c r="I931">
        <v>6.3881999999999994E-2</v>
      </c>
      <c r="J931">
        <v>1.7937000000000002E-2</v>
      </c>
      <c r="K931">
        <v>1.1279000000000001E-2</v>
      </c>
      <c r="L931">
        <v>-2.3057000000000001E-2</v>
      </c>
      <c r="M931">
        <v>4.4710000000000001E-3</v>
      </c>
      <c r="N931">
        <v>1.8204999999999999E-2</v>
      </c>
      <c r="O931">
        <v>1.5176E-2</v>
      </c>
      <c r="P931">
        <v>-1.6709000000000002E-2</v>
      </c>
      <c r="Q931">
        <v>4.5149999999999999E-3</v>
      </c>
      <c r="R931">
        <v>2.0790000000000001E-3</v>
      </c>
      <c r="S931">
        <v>1.9469E-2</v>
      </c>
      <c r="T931">
        <v>5.313E-3</v>
      </c>
      <c r="U931">
        <v>-1.2511E-2</v>
      </c>
      <c r="V931">
        <v>-6.8529999999999997E-3</v>
      </c>
      <c r="W931">
        <v>-1.776E-3</v>
      </c>
      <c r="X931">
        <v>1.7923000000000001E-2</v>
      </c>
      <c r="Y931">
        <v>-1.6025000000000001E-2</v>
      </c>
      <c r="Z931">
        <v>-1.781E-3</v>
      </c>
      <c r="AA931">
        <v>-8.8540000000000008E-3</v>
      </c>
      <c r="AB931">
        <v>-1.6572E-2</v>
      </c>
    </row>
    <row r="932" spans="1:28" x14ac:dyDescent="0.2">
      <c r="A932">
        <v>20090731</v>
      </c>
      <c r="B932">
        <v>2009</v>
      </c>
      <c r="C932">
        <v>7</v>
      </c>
      <c r="D932">
        <v>8.6346000000000006E-2</v>
      </c>
      <c r="E932">
        <v>7.2776999999999994E-2</v>
      </c>
      <c r="F932">
        <v>9.1944999999999999E-2</v>
      </c>
      <c r="G932">
        <v>8.8982000000000006E-2</v>
      </c>
      <c r="H932">
        <v>0.13767199999999999</v>
      </c>
      <c r="I932">
        <v>5.9891E-2</v>
      </c>
      <c r="J932">
        <v>6.9449999999999998E-2</v>
      </c>
      <c r="K932">
        <v>0.12177200000000001</v>
      </c>
      <c r="L932">
        <v>0.118954</v>
      </c>
      <c r="M932">
        <v>0.13377</v>
      </c>
      <c r="N932">
        <v>6.9471000000000005E-2</v>
      </c>
      <c r="O932">
        <v>9.4486000000000001E-2</v>
      </c>
      <c r="P932">
        <v>0.100008</v>
      </c>
      <c r="Q932">
        <v>0.12330000000000001</v>
      </c>
      <c r="R932">
        <v>0.16107199999999999</v>
      </c>
      <c r="S932">
        <v>7.6746999999999996E-2</v>
      </c>
      <c r="T932">
        <v>7.6476000000000002E-2</v>
      </c>
      <c r="U932">
        <v>9.4108999999999998E-2</v>
      </c>
      <c r="V932">
        <v>0.120153</v>
      </c>
      <c r="W932">
        <v>0.110886</v>
      </c>
      <c r="X932">
        <v>5.9145000000000003E-2</v>
      </c>
      <c r="Y932">
        <v>8.8419999999999999E-2</v>
      </c>
      <c r="Z932">
        <v>7.6716999999999994E-2</v>
      </c>
      <c r="AA932">
        <v>8.5330000000000003E-2</v>
      </c>
      <c r="AB932">
        <v>9.2835000000000001E-2</v>
      </c>
    </row>
    <row r="933" spans="1:28" x14ac:dyDescent="0.2">
      <c r="A933">
        <v>20090831</v>
      </c>
      <c r="B933">
        <v>2009</v>
      </c>
      <c r="C933">
        <v>8</v>
      </c>
      <c r="D933">
        <v>3.5389999999999998E-2</v>
      </c>
      <c r="E933">
        <v>2.3466000000000001E-2</v>
      </c>
      <c r="F933">
        <v>3.6020999999999997E-2</v>
      </c>
      <c r="G933">
        <v>3.8684000000000003E-2</v>
      </c>
      <c r="H933">
        <v>0.10158499999999999</v>
      </c>
      <c r="I933">
        <v>2.4600000000000002E-4</v>
      </c>
      <c r="J933">
        <v>7.5709999999999996E-3</v>
      </c>
      <c r="K933">
        <v>3.2677999999999999E-2</v>
      </c>
      <c r="L933">
        <v>4.1974999999999998E-2</v>
      </c>
      <c r="M933">
        <v>8.0229999999999996E-2</v>
      </c>
      <c r="N933">
        <v>9.9760000000000005E-3</v>
      </c>
      <c r="O933">
        <v>9.972E-3</v>
      </c>
      <c r="P933">
        <v>3.8185999999999998E-2</v>
      </c>
      <c r="Q933">
        <v>4.478E-2</v>
      </c>
      <c r="R933">
        <v>0.11601300000000001</v>
      </c>
      <c r="S933">
        <v>2.0310000000000002E-2</v>
      </c>
      <c r="T933">
        <v>4.3860999999999997E-2</v>
      </c>
      <c r="U933">
        <v>3.2733999999999999E-2</v>
      </c>
      <c r="V933">
        <v>6.1338999999999998E-2</v>
      </c>
      <c r="W933">
        <v>0.15318599999999999</v>
      </c>
      <c r="X933">
        <v>1.2248999999999999E-2</v>
      </c>
      <c r="Y933">
        <v>4.4365000000000002E-2</v>
      </c>
      <c r="Z933">
        <v>2.5291999999999999E-2</v>
      </c>
      <c r="AA933">
        <v>6.2615000000000004E-2</v>
      </c>
      <c r="AB933">
        <v>0.146504</v>
      </c>
    </row>
    <row r="934" spans="1:28" x14ac:dyDescent="0.2">
      <c r="A934">
        <v>20090930</v>
      </c>
      <c r="B934">
        <v>2009</v>
      </c>
      <c r="C934">
        <v>9</v>
      </c>
      <c r="D934">
        <v>5.1408000000000002E-2</v>
      </c>
      <c r="E934">
        <v>5.4356000000000002E-2</v>
      </c>
      <c r="F934">
        <v>4.9629E-2</v>
      </c>
      <c r="G934">
        <v>6.3981999999999997E-2</v>
      </c>
      <c r="H934">
        <v>9.0533000000000002E-2</v>
      </c>
      <c r="I934">
        <v>8.0061999999999994E-2</v>
      </c>
      <c r="J934">
        <v>6.1325999999999999E-2</v>
      </c>
      <c r="K934">
        <v>7.3913999999999994E-2</v>
      </c>
      <c r="L934">
        <v>5.4986E-2</v>
      </c>
      <c r="M934">
        <v>8.0301999999999998E-2</v>
      </c>
      <c r="N934">
        <v>6.6861000000000004E-2</v>
      </c>
      <c r="O934">
        <v>4.0445000000000002E-2</v>
      </c>
      <c r="P934">
        <v>6.6476999999999994E-2</v>
      </c>
      <c r="Q934">
        <v>7.9273999999999997E-2</v>
      </c>
      <c r="R934">
        <v>6.9929000000000005E-2</v>
      </c>
      <c r="S934">
        <v>6.8515000000000006E-2</v>
      </c>
      <c r="T934">
        <v>5.0090999999999997E-2</v>
      </c>
      <c r="U934">
        <v>6.1343000000000002E-2</v>
      </c>
      <c r="V934">
        <v>6.4987000000000003E-2</v>
      </c>
      <c r="W934">
        <v>8.5431000000000007E-2</v>
      </c>
      <c r="X934">
        <v>3.4952999999999998E-2</v>
      </c>
      <c r="Y934">
        <v>2.7113999999999999E-2</v>
      </c>
      <c r="Z934">
        <v>4.1450000000000001E-2</v>
      </c>
      <c r="AA934">
        <v>5.1228999999999997E-2</v>
      </c>
      <c r="AB934">
        <v>5.0660000000000002E-3</v>
      </c>
    </row>
    <row r="935" spans="1:28" x14ac:dyDescent="0.2">
      <c r="A935">
        <v>20091030</v>
      </c>
      <c r="B935">
        <v>2009</v>
      </c>
      <c r="C935">
        <v>10</v>
      </c>
      <c r="D935">
        <v>-0.10279199999999999</v>
      </c>
      <c r="E935">
        <v>-7.4671000000000001E-2</v>
      </c>
      <c r="F935">
        <v>-6.8518999999999997E-2</v>
      </c>
      <c r="G935">
        <v>-7.6896999999999993E-2</v>
      </c>
      <c r="H935">
        <v>-9.0440999999999994E-2</v>
      </c>
      <c r="I935">
        <v>-7.3444999999999996E-2</v>
      </c>
      <c r="J935">
        <v>-5.1875999999999999E-2</v>
      </c>
      <c r="K935">
        <v>-7.0288000000000003E-2</v>
      </c>
      <c r="L935">
        <v>-9.3954999999999997E-2</v>
      </c>
      <c r="M935">
        <v>-0.100424</v>
      </c>
      <c r="N935">
        <v>-5.0087E-2</v>
      </c>
      <c r="O935">
        <v>-3.6387999999999997E-2</v>
      </c>
      <c r="P935">
        <v>-5.3936999999999999E-2</v>
      </c>
      <c r="Q935">
        <v>-5.4980000000000001E-2</v>
      </c>
      <c r="R935">
        <v>-9.6849000000000005E-2</v>
      </c>
      <c r="S935">
        <v>-4.6154000000000001E-2</v>
      </c>
      <c r="T935">
        <v>-2.7914000000000001E-2</v>
      </c>
      <c r="U935">
        <v>-4.0351999999999999E-2</v>
      </c>
      <c r="V935">
        <v>-7.4470999999999996E-2</v>
      </c>
      <c r="W935">
        <v>-6.3641000000000003E-2</v>
      </c>
      <c r="X935">
        <v>2.124E-3</v>
      </c>
      <c r="Y935">
        <v>-1.0952999999999999E-2</v>
      </c>
      <c r="Z935">
        <v>-3.0771E-2</v>
      </c>
      <c r="AA935">
        <v>-3.4483E-2</v>
      </c>
      <c r="AB935">
        <v>-0.100005</v>
      </c>
    </row>
    <row r="936" spans="1:28" x14ac:dyDescent="0.2">
      <c r="A936">
        <v>20091130</v>
      </c>
      <c r="B936">
        <v>2009</v>
      </c>
      <c r="C936">
        <v>11</v>
      </c>
      <c r="D936">
        <v>1.65E-3</v>
      </c>
      <c r="E936">
        <v>-1.0475E-2</v>
      </c>
      <c r="F936">
        <v>3.5520000000000003E-2</v>
      </c>
      <c r="G936">
        <v>1.2632000000000001E-2</v>
      </c>
      <c r="H936">
        <v>1.6292000000000001E-2</v>
      </c>
      <c r="I936">
        <v>2.3491999999999999E-2</v>
      </c>
      <c r="J936">
        <v>1.2253999999999999E-2</v>
      </c>
      <c r="K936">
        <v>2.3326E-2</v>
      </c>
      <c r="L936">
        <v>3.048E-2</v>
      </c>
      <c r="M936">
        <v>5.7456E-2</v>
      </c>
      <c r="N936">
        <v>3.1981000000000002E-2</v>
      </c>
      <c r="O936">
        <v>3.3105000000000002E-2</v>
      </c>
      <c r="P936">
        <v>1.354E-2</v>
      </c>
      <c r="Q936">
        <v>6.6217999999999999E-2</v>
      </c>
      <c r="R936">
        <v>7.2915999999999995E-2</v>
      </c>
      <c r="S936">
        <v>4.3999999999999997E-2</v>
      </c>
      <c r="T936">
        <v>4.4198000000000001E-2</v>
      </c>
      <c r="U936">
        <v>4.3959999999999999E-2</v>
      </c>
      <c r="V936">
        <v>4.3647999999999999E-2</v>
      </c>
      <c r="W936">
        <v>4.3928000000000002E-2</v>
      </c>
      <c r="X936">
        <v>7.0458999999999994E-2</v>
      </c>
      <c r="Y936">
        <v>5.3874999999999999E-2</v>
      </c>
      <c r="Z936">
        <v>4.4121E-2</v>
      </c>
      <c r="AA936">
        <v>4.6098E-2</v>
      </c>
      <c r="AB936">
        <v>5.8362999999999998E-2</v>
      </c>
    </row>
    <row r="937" spans="1:28" x14ac:dyDescent="0.2">
      <c r="A937">
        <v>20091231</v>
      </c>
      <c r="B937">
        <v>2009</v>
      </c>
      <c r="C937">
        <v>12</v>
      </c>
      <c r="D937">
        <v>5.9945999999999999E-2</v>
      </c>
      <c r="E937">
        <v>8.2710000000000006E-2</v>
      </c>
      <c r="F937">
        <v>7.7567999999999998E-2</v>
      </c>
      <c r="G937">
        <v>7.9385999999999998E-2</v>
      </c>
      <c r="H937">
        <v>0.10261099999999999</v>
      </c>
      <c r="I937">
        <v>9.3924999999999995E-2</v>
      </c>
      <c r="J937">
        <v>9.1897000000000006E-2</v>
      </c>
      <c r="K937">
        <v>9.3224000000000001E-2</v>
      </c>
      <c r="L937">
        <v>7.4388999999999997E-2</v>
      </c>
      <c r="M937">
        <v>9.2762999999999998E-2</v>
      </c>
      <c r="N937">
        <v>6.9435999999999998E-2</v>
      </c>
      <c r="O937">
        <v>7.2465000000000002E-2</v>
      </c>
      <c r="P937">
        <v>7.0260000000000003E-2</v>
      </c>
      <c r="Q937">
        <v>7.4352000000000001E-2</v>
      </c>
      <c r="R937">
        <v>8.4601999999999997E-2</v>
      </c>
      <c r="S937">
        <v>6.0970999999999997E-2</v>
      </c>
      <c r="T937">
        <v>4.4493999999999999E-2</v>
      </c>
      <c r="U937">
        <v>7.7248999999999998E-2</v>
      </c>
      <c r="V937">
        <v>5.8054000000000001E-2</v>
      </c>
      <c r="W937">
        <v>6.4631999999999995E-2</v>
      </c>
      <c r="X937">
        <v>9.0480000000000005E-3</v>
      </c>
      <c r="Y937">
        <v>2.5155E-2</v>
      </c>
      <c r="Z937">
        <v>2.8271000000000001E-2</v>
      </c>
      <c r="AA937">
        <v>1.7739000000000001E-2</v>
      </c>
      <c r="AB937">
        <v>-1.9531E-2</v>
      </c>
    </row>
    <row r="938" spans="1:28" x14ac:dyDescent="0.2">
      <c r="A938">
        <v>20100129</v>
      </c>
      <c r="B938">
        <v>2010</v>
      </c>
      <c r="C938">
        <v>1</v>
      </c>
      <c r="D938">
        <v>-4.0621999999999998E-2</v>
      </c>
      <c r="E938">
        <v>-5.1229999999999998E-2</v>
      </c>
      <c r="F938">
        <v>-4.1145000000000001E-2</v>
      </c>
      <c r="G938">
        <v>-3.7983999999999997E-2</v>
      </c>
      <c r="H938">
        <v>-1.1344E-2</v>
      </c>
      <c r="I938">
        <v>-3.1426999999999997E-2</v>
      </c>
      <c r="J938">
        <v>-3.5196999999999999E-2</v>
      </c>
      <c r="K938">
        <v>-9.0589999999999993E-3</v>
      </c>
      <c r="L938">
        <v>-2.8372999999999999E-2</v>
      </c>
      <c r="M938">
        <v>-3.8903E-2</v>
      </c>
      <c r="N938">
        <v>-3.6435000000000002E-2</v>
      </c>
      <c r="O938">
        <v>-3.2885999999999999E-2</v>
      </c>
      <c r="P938">
        <v>-3.9343999999999997E-2</v>
      </c>
      <c r="Q938">
        <v>-3.8989000000000003E-2</v>
      </c>
      <c r="R938">
        <v>-3.0180999999999999E-2</v>
      </c>
      <c r="S938">
        <v>-3.8330999999999997E-2</v>
      </c>
      <c r="T938">
        <v>-3.6378000000000001E-2</v>
      </c>
      <c r="U938">
        <v>-5.194E-2</v>
      </c>
      <c r="V938">
        <v>-2.0396999999999998E-2</v>
      </c>
      <c r="W938">
        <v>-2.3054999999999999E-2</v>
      </c>
      <c r="X938">
        <v>-4.1190999999999998E-2</v>
      </c>
      <c r="Y938">
        <v>-3.6563999999999999E-2</v>
      </c>
      <c r="Z938">
        <v>-8.9940000000000003E-3</v>
      </c>
      <c r="AA938">
        <v>-4.8510999999999999E-2</v>
      </c>
      <c r="AB938">
        <v>-1.4189999999999999E-2</v>
      </c>
    </row>
    <row r="939" spans="1:28" x14ac:dyDescent="0.2">
      <c r="A939">
        <v>20100226</v>
      </c>
      <c r="B939">
        <v>2010</v>
      </c>
      <c r="C939">
        <v>2</v>
      </c>
      <c r="D939">
        <v>3.8580000000000003E-2</v>
      </c>
      <c r="E939">
        <v>4.0006E-2</v>
      </c>
      <c r="F939">
        <v>4.9431000000000003E-2</v>
      </c>
      <c r="G939">
        <v>5.2789999999999997E-2</v>
      </c>
      <c r="H939">
        <v>6.9355E-2</v>
      </c>
      <c r="I939">
        <v>2.0851999999999999E-2</v>
      </c>
      <c r="J939">
        <v>3.5298000000000003E-2</v>
      </c>
      <c r="K939">
        <v>2.5881000000000001E-2</v>
      </c>
      <c r="L939">
        <v>6.1092E-2</v>
      </c>
      <c r="M939">
        <v>5.5150999999999999E-2</v>
      </c>
      <c r="N939">
        <v>4.1068E-2</v>
      </c>
      <c r="O939">
        <v>3.9551000000000003E-2</v>
      </c>
      <c r="P939">
        <v>4.1335999999999998E-2</v>
      </c>
      <c r="Q939">
        <v>6.898E-2</v>
      </c>
      <c r="R939">
        <v>8.9694999999999997E-2</v>
      </c>
      <c r="S939">
        <v>4.8306000000000002E-2</v>
      </c>
      <c r="T939">
        <v>7.0593000000000003E-2</v>
      </c>
      <c r="U939">
        <v>5.0390999999999998E-2</v>
      </c>
      <c r="V939">
        <v>3.9994000000000002E-2</v>
      </c>
      <c r="W939">
        <v>6.5728999999999996E-2</v>
      </c>
      <c r="X939">
        <v>2.4881E-2</v>
      </c>
      <c r="Y939">
        <v>3.0557999999999998E-2</v>
      </c>
      <c r="Z939">
        <v>2.5784000000000001E-2</v>
      </c>
      <c r="AA939">
        <v>4.1309999999999999E-2</v>
      </c>
      <c r="AB939">
        <v>5.9635000000000001E-2</v>
      </c>
    </row>
    <row r="940" spans="1:28" x14ac:dyDescent="0.2">
      <c r="A940">
        <v>20100331</v>
      </c>
      <c r="B940">
        <v>2010</v>
      </c>
      <c r="C940">
        <v>3</v>
      </c>
      <c r="D940">
        <v>7.2066000000000005E-2</v>
      </c>
      <c r="E940">
        <v>6.6017000000000006E-2</v>
      </c>
      <c r="F940">
        <v>8.1686999999999996E-2</v>
      </c>
      <c r="G940">
        <v>6.9150000000000003E-2</v>
      </c>
      <c r="H940">
        <v>9.9099999999999994E-2</v>
      </c>
      <c r="I940">
        <v>6.8576999999999999E-2</v>
      </c>
      <c r="J940">
        <v>8.1518999999999994E-2</v>
      </c>
      <c r="K940">
        <v>7.9299999999999995E-2</v>
      </c>
      <c r="L940">
        <v>7.2590000000000002E-2</v>
      </c>
      <c r="M940">
        <v>0.113525</v>
      </c>
      <c r="N940">
        <v>9.4071000000000002E-2</v>
      </c>
      <c r="O940">
        <v>6.8103999999999998E-2</v>
      </c>
      <c r="P940">
        <v>9.1881000000000004E-2</v>
      </c>
      <c r="Q940">
        <v>7.7963000000000005E-2</v>
      </c>
      <c r="R940">
        <v>7.6859999999999998E-2</v>
      </c>
      <c r="S940">
        <v>8.1990999999999994E-2</v>
      </c>
      <c r="T940">
        <v>6.3263E-2</v>
      </c>
      <c r="U940">
        <v>7.9537999999999998E-2</v>
      </c>
      <c r="V940">
        <v>5.7376000000000003E-2</v>
      </c>
      <c r="W940">
        <v>0.121351</v>
      </c>
      <c r="X940">
        <v>5.1371E-2</v>
      </c>
      <c r="Y940">
        <v>5.5585000000000002E-2</v>
      </c>
      <c r="Z940">
        <v>6.1537000000000001E-2</v>
      </c>
      <c r="AA940">
        <v>6.7749000000000004E-2</v>
      </c>
      <c r="AB940">
        <v>8.3202999999999999E-2</v>
      </c>
    </row>
    <row r="941" spans="1:28" x14ac:dyDescent="0.2">
      <c r="A941">
        <v>20100430</v>
      </c>
      <c r="B941">
        <v>2010</v>
      </c>
      <c r="C941">
        <v>4</v>
      </c>
      <c r="D941">
        <v>6.6718E-2</v>
      </c>
      <c r="E941">
        <v>6.9398000000000001E-2</v>
      </c>
      <c r="F941">
        <v>5.7057999999999998E-2</v>
      </c>
      <c r="G941">
        <v>0.100457</v>
      </c>
      <c r="H941">
        <v>0.12067600000000001</v>
      </c>
      <c r="I941">
        <v>0.02</v>
      </c>
      <c r="J941">
        <v>5.8180000000000003E-2</v>
      </c>
      <c r="K941">
        <v>5.3719000000000003E-2</v>
      </c>
      <c r="L941">
        <v>6.5530000000000005E-2</v>
      </c>
      <c r="M941">
        <v>7.2109999999999994E-2</v>
      </c>
      <c r="N941">
        <v>2.9219999999999999E-2</v>
      </c>
      <c r="O941">
        <v>5.8812999999999997E-2</v>
      </c>
      <c r="P941">
        <v>3.2439999999999997E-2</v>
      </c>
      <c r="Q941">
        <v>5.4601999999999998E-2</v>
      </c>
      <c r="R941">
        <v>5.7208000000000002E-2</v>
      </c>
      <c r="S941">
        <v>3.9836999999999997E-2</v>
      </c>
      <c r="T941">
        <v>4.5477999999999998E-2</v>
      </c>
      <c r="U941">
        <v>3.3262E-2</v>
      </c>
      <c r="V941">
        <v>7.0332000000000006E-2</v>
      </c>
      <c r="W941">
        <v>4.7656999999999998E-2</v>
      </c>
      <c r="X941">
        <v>3.3860000000000001E-3</v>
      </c>
      <c r="Y941">
        <v>2.6289E-2</v>
      </c>
      <c r="Z941">
        <v>1.7278999999999999E-2</v>
      </c>
      <c r="AA941">
        <v>-1.4683E-2</v>
      </c>
      <c r="AB941">
        <v>2.6298999999999999E-2</v>
      </c>
    </row>
    <row r="942" spans="1:28" x14ac:dyDescent="0.2">
      <c r="A942">
        <v>20100528</v>
      </c>
      <c r="B942">
        <v>2010</v>
      </c>
      <c r="C942">
        <v>5</v>
      </c>
      <c r="D942">
        <v>-7.5017E-2</v>
      </c>
      <c r="E942">
        <v>-5.3055999999999999E-2</v>
      </c>
      <c r="F942">
        <v>-7.0073999999999997E-2</v>
      </c>
      <c r="G942">
        <v>-9.4147999999999996E-2</v>
      </c>
      <c r="H942">
        <v>-0.104536</v>
      </c>
      <c r="I942">
        <v>-4.8197999999999998E-2</v>
      </c>
      <c r="J942">
        <v>-6.2799999999999995E-2</v>
      </c>
      <c r="K942">
        <v>-7.4889999999999998E-2</v>
      </c>
      <c r="L942">
        <v>-9.0594999999999995E-2</v>
      </c>
      <c r="M942">
        <v>-9.8143999999999995E-2</v>
      </c>
      <c r="N942">
        <v>-6.3590999999999995E-2</v>
      </c>
      <c r="O942">
        <v>-6.3158000000000006E-2</v>
      </c>
      <c r="P942">
        <v>-6.5588999999999995E-2</v>
      </c>
      <c r="Q942">
        <v>-9.6300999999999998E-2</v>
      </c>
      <c r="R942">
        <v>-9.2366000000000004E-2</v>
      </c>
      <c r="S942">
        <v>-5.1396999999999998E-2</v>
      </c>
      <c r="T942">
        <v>-8.3520999999999998E-2</v>
      </c>
      <c r="U942">
        <v>-8.7207999999999994E-2</v>
      </c>
      <c r="V942">
        <v>-6.9844000000000003E-2</v>
      </c>
      <c r="W942">
        <v>-7.9703999999999997E-2</v>
      </c>
      <c r="X942">
        <v>-7.4712000000000001E-2</v>
      </c>
      <c r="Y942">
        <v>-7.8419000000000003E-2</v>
      </c>
      <c r="Z942">
        <v>-9.2161999999999994E-2</v>
      </c>
      <c r="AA942">
        <v>-7.5657000000000002E-2</v>
      </c>
      <c r="AB942">
        <v>-0.10044500000000001</v>
      </c>
    </row>
    <row r="943" spans="1:28" x14ac:dyDescent="0.2">
      <c r="A943">
        <v>20100630</v>
      </c>
      <c r="B943">
        <v>2010</v>
      </c>
      <c r="C943">
        <v>6</v>
      </c>
      <c r="D943">
        <v>-6.9988999999999996E-2</v>
      </c>
      <c r="E943">
        <v>-7.0608000000000004E-2</v>
      </c>
      <c r="F943">
        <v>-6.8192000000000003E-2</v>
      </c>
      <c r="G943">
        <v>-7.2983999999999993E-2</v>
      </c>
      <c r="H943">
        <v>-0.115687</v>
      </c>
      <c r="I943">
        <v>-5.3345999999999998E-2</v>
      </c>
      <c r="J943">
        <v>-5.0763000000000003E-2</v>
      </c>
      <c r="K943">
        <v>-7.7811000000000005E-2</v>
      </c>
      <c r="L943">
        <v>-0.10109899999999999</v>
      </c>
      <c r="M943">
        <v>-0.12565999999999999</v>
      </c>
      <c r="N943">
        <v>-5.7095E-2</v>
      </c>
      <c r="O943">
        <v>-6.1030000000000001E-2</v>
      </c>
      <c r="P943">
        <v>-7.1498000000000006E-2</v>
      </c>
      <c r="Q943">
        <v>-7.5309000000000001E-2</v>
      </c>
      <c r="R943">
        <v>-0.11805300000000001</v>
      </c>
      <c r="S943">
        <v>-4.4153999999999999E-2</v>
      </c>
      <c r="T943">
        <v>-6.0670000000000002E-2</v>
      </c>
      <c r="U943">
        <v>-7.4800000000000005E-2</v>
      </c>
      <c r="V943">
        <v>-8.4454000000000001E-2</v>
      </c>
      <c r="W943">
        <v>-9.7448999999999994E-2</v>
      </c>
      <c r="X943">
        <v>-3.8675000000000001E-2</v>
      </c>
      <c r="Y943">
        <v>-6.8589999999999998E-2</v>
      </c>
      <c r="Z943">
        <v>-3.1738000000000002E-2</v>
      </c>
      <c r="AA943">
        <v>-7.3210999999999998E-2</v>
      </c>
      <c r="AB943">
        <v>-9.7677E-2</v>
      </c>
    </row>
    <row r="944" spans="1:28" x14ac:dyDescent="0.2">
      <c r="A944">
        <v>20100730</v>
      </c>
      <c r="B944">
        <v>2010</v>
      </c>
      <c r="C944">
        <v>7</v>
      </c>
      <c r="D944">
        <v>6.0948000000000002E-2</v>
      </c>
      <c r="E944">
        <v>5.3357000000000002E-2</v>
      </c>
      <c r="F944">
        <v>7.0834999999999995E-2</v>
      </c>
      <c r="G944">
        <v>6.0451999999999999E-2</v>
      </c>
      <c r="H944">
        <v>6.1247999999999997E-2</v>
      </c>
      <c r="I944">
        <v>6.8584999999999993E-2</v>
      </c>
      <c r="J944">
        <v>8.1903000000000004E-2</v>
      </c>
      <c r="K944">
        <v>6.2907000000000005E-2</v>
      </c>
      <c r="L944">
        <v>7.2036000000000003E-2</v>
      </c>
      <c r="M944">
        <v>6.1463999999999998E-2</v>
      </c>
      <c r="N944">
        <v>6.5769999999999995E-2</v>
      </c>
      <c r="O944">
        <v>7.3062000000000002E-2</v>
      </c>
      <c r="P944">
        <v>5.0445999999999998E-2</v>
      </c>
      <c r="Q944">
        <v>8.0854999999999996E-2</v>
      </c>
      <c r="R944">
        <v>7.9891000000000004E-2</v>
      </c>
      <c r="S944">
        <v>6.9327E-2</v>
      </c>
      <c r="T944">
        <v>6.4282000000000006E-2</v>
      </c>
      <c r="U944">
        <v>8.5225999999999996E-2</v>
      </c>
      <c r="V944">
        <v>8.0643999999999993E-2</v>
      </c>
      <c r="W944">
        <v>6.4437999999999995E-2</v>
      </c>
      <c r="X944">
        <v>6.9930000000000006E-2</v>
      </c>
      <c r="Y944">
        <v>5.8671000000000001E-2</v>
      </c>
      <c r="Z944">
        <v>7.6826000000000005E-2</v>
      </c>
      <c r="AA944">
        <v>7.4933E-2</v>
      </c>
      <c r="AB944">
        <v>5.4386999999999998E-2</v>
      </c>
    </row>
    <row r="945" spans="1:28" x14ac:dyDescent="0.2">
      <c r="A945">
        <v>20100831</v>
      </c>
      <c r="B945">
        <v>2010</v>
      </c>
      <c r="C945">
        <v>8</v>
      </c>
      <c r="D945">
        <v>-8.6751999999999996E-2</v>
      </c>
      <c r="E945">
        <v>-8.3838999999999997E-2</v>
      </c>
      <c r="F945">
        <v>-8.6324999999999999E-2</v>
      </c>
      <c r="G945">
        <v>-9.8077999999999999E-2</v>
      </c>
      <c r="H945">
        <v>-9.2155000000000001E-2</v>
      </c>
      <c r="I945">
        <v>-5.5953000000000003E-2</v>
      </c>
      <c r="J945">
        <v>-8.3767999999999995E-2</v>
      </c>
      <c r="K945">
        <v>-8.5427000000000003E-2</v>
      </c>
      <c r="L945">
        <v>-6.5993999999999997E-2</v>
      </c>
      <c r="M945">
        <v>-8.3265000000000006E-2</v>
      </c>
      <c r="N945">
        <v>-4.3959999999999999E-2</v>
      </c>
      <c r="O945">
        <v>-6.1295000000000002E-2</v>
      </c>
      <c r="P945">
        <v>-8.2788E-2</v>
      </c>
      <c r="Q945">
        <v>-6.6837999999999995E-2</v>
      </c>
      <c r="R945">
        <v>-6.4147999999999997E-2</v>
      </c>
      <c r="S945">
        <v>-4.3098999999999998E-2</v>
      </c>
      <c r="T945">
        <v>-4.6184999999999997E-2</v>
      </c>
      <c r="U945">
        <v>-5.4972E-2</v>
      </c>
      <c r="V945">
        <v>-4.1776000000000001E-2</v>
      </c>
      <c r="W945">
        <v>-6.1855E-2</v>
      </c>
      <c r="X945">
        <v>-4.0958000000000001E-2</v>
      </c>
      <c r="Y945">
        <v>-3.7301000000000001E-2</v>
      </c>
      <c r="Z945">
        <v>-2.3047000000000002E-2</v>
      </c>
      <c r="AA945">
        <v>-5.2254000000000002E-2</v>
      </c>
      <c r="AB945">
        <v>-8.7427000000000005E-2</v>
      </c>
    </row>
    <row r="946" spans="1:28" x14ac:dyDescent="0.2">
      <c r="A946">
        <v>20100930</v>
      </c>
      <c r="B946">
        <v>2010</v>
      </c>
      <c r="C946">
        <v>9</v>
      </c>
      <c r="D946">
        <v>0.11459800000000001</v>
      </c>
      <c r="E946">
        <v>0.111508</v>
      </c>
      <c r="F946">
        <v>0.13416600000000001</v>
      </c>
      <c r="G946">
        <v>0.118094</v>
      </c>
      <c r="H946">
        <v>0.10222000000000001</v>
      </c>
      <c r="I946">
        <v>0.150364</v>
      </c>
      <c r="J946">
        <v>0.150146</v>
      </c>
      <c r="K946">
        <v>0.133213</v>
      </c>
      <c r="L946">
        <v>0.10598</v>
      </c>
      <c r="M946">
        <v>0.11361599999999999</v>
      </c>
      <c r="N946">
        <v>0.12657499999999999</v>
      </c>
      <c r="O946">
        <v>0.14018900000000001</v>
      </c>
      <c r="P946">
        <v>0.122477</v>
      </c>
      <c r="Q946">
        <v>0.11426</v>
      </c>
      <c r="R946">
        <v>0.109953</v>
      </c>
      <c r="S946">
        <v>0.121064</v>
      </c>
      <c r="T946">
        <v>0.113236</v>
      </c>
      <c r="U946">
        <v>0.108583</v>
      </c>
      <c r="V946">
        <v>7.6312000000000005E-2</v>
      </c>
      <c r="W946">
        <v>9.7536999999999999E-2</v>
      </c>
      <c r="X946">
        <v>0.10191600000000001</v>
      </c>
      <c r="Y946">
        <v>8.1623000000000001E-2</v>
      </c>
      <c r="Z946">
        <v>8.294E-2</v>
      </c>
      <c r="AA946">
        <v>7.4386999999999995E-2</v>
      </c>
      <c r="AB946">
        <v>7.2861999999999996E-2</v>
      </c>
    </row>
    <row r="947" spans="1:28" x14ac:dyDescent="0.2">
      <c r="A947">
        <v>20101029</v>
      </c>
      <c r="B947">
        <v>2010</v>
      </c>
      <c r="C947">
        <v>10</v>
      </c>
      <c r="D947">
        <v>6.5728999999999996E-2</v>
      </c>
      <c r="E947">
        <v>5.1142E-2</v>
      </c>
      <c r="F947">
        <v>5.7939999999999998E-2</v>
      </c>
      <c r="G947">
        <v>5.0783000000000002E-2</v>
      </c>
      <c r="H947">
        <v>3.5680999999999997E-2</v>
      </c>
      <c r="I947">
        <v>3.5389999999999998E-2</v>
      </c>
      <c r="J947">
        <v>4.2952999999999998E-2</v>
      </c>
      <c r="K947">
        <v>3.7033000000000003E-2</v>
      </c>
      <c r="L947">
        <v>3.2697999999999998E-2</v>
      </c>
      <c r="M947">
        <v>2.6190999999999999E-2</v>
      </c>
      <c r="N947">
        <v>4.4915999999999998E-2</v>
      </c>
      <c r="O947">
        <v>3.9593000000000003E-2</v>
      </c>
      <c r="P947">
        <v>4.5448000000000002E-2</v>
      </c>
      <c r="Q947">
        <v>3.8483000000000003E-2</v>
      </c>
      <c r="R947">
        <v>3.1713999999999999E-2</v>
      </c>
      <c r="S947">
        <v>3.2035000000000001E-2</v>
      </c>
      <c r="T947">
        <v>4.6474000000000001E-2</v>
      </c>
      <c r="U947">
        <v>4.1812000000000002E-2</v>
      </c>
      <c r="V947">
        <v>1.7856E-2</v>
      </c>
      <c r="W947">
        <v>3.2950000000000002E-3</v>
      </c>
      <c r="X947">
        <v>4.8266000000000003E-2</v>
      </c>
      <c r="Y947">
        <v>4.4760000000000001E-2</v>
      </c>
      <c r="Z947">
        <v>4.1237000000000003E-2</v>
      </c>
      <c r="AA947">
        <v>1.8183999999999999E-2</v>
      </c>
      <c r="AB947" s="1">
        <v>3.9999999999999998E-6</v>
      </c>
    </row>
    <row r="948" spans="1:28" x14ac:dyDescent="0.2">
      <c r="A948">
        <v>20101130</v>
      </c>
      <c r="B948">
        <v>2010</v>
      </c>
      <c r="C948">
        <v>11</v>
      </c>
      <c r="D948">
        <v>1.5636000000000001E-2</v>
      </c>
      <c r="E948">
        <v>3.6660999999999999E-2</v>
      </c>
      <c r="F948">
        <v>5.4602999999999999E-2</v>
      </c>
      <c r="G948">
        <v>4.2276000000000001E-2</v>
      </c>
      <c r="H948">
        <v>3.4334999999999997E-2</v>
      </c>
      <c r="I948">
        <v>3.3481999999999998E-2</v>
      </c>
      <c r="J948">
        <v>4.5090999999999999E-2</v>
      </c>
      <c r="K948">
        <v>3.2953000000000003E-2</v>
      </c>
      <c r="L948">
        <v>0.03</v>
      </c>
      <c r="M948">
        <v>4.4080000000000001E-2</v>
      </c>
      <c r="N948">
        <v>3.7786E-2</v>
      </c>
      <c r="O948">
        <v>5.7084999999999997E-2</v>
      </c>
      <c r="P948">
        <v>2.4469999999999999E-2</v>
      </c>
      <c r="Q948">
        <v>3.7754000000000003E-2</v>
      </c>
      <c r="R948">
        <v>1.5962E-2</v>
      </c>
      <c r="S948">
        <v>4.6158999999999999E-2</v>
      </c>
      <c r="T948">
        <v>3.6986999999999999E-2</v>
      </c>
      <c r="U948">
        <v>2.7015000000000001E-2</v>
      </c>
      <c r="V948">
        <v>1.3251000000000001E-2</v>
      </c>
      <c r="W948">
        <v>-6.5370000000000003E-3</v>
      </c>
      <c r="X948">
        <v>-9.3449999999999991E-3</v>
      </c>
      <c r="Y948">
        <v>2.1989000000000002E-2</v>
      </c>
      <c r="Z948">
        <v>-7.0949999999999997E-3</v>
      </c>
      <c r="AA948">
        <v>-1.6509999999999999E-3</v>
      </c>
      <c r="AB948">
        <v>-3.3022000000000003E-2</v>
      </c>
    </row>
    <row r="949" spans="1:28" x14ac:dyDescent="0.2">
      <c r="A949">
        <v>20101231</v>
      </c>
      <c r="B949">
        <v>2010</v>
      </c>
      <c r="C949">
        <v>12</v>
      </c>
      <c r="D949">
        <v>0.100469</v>
      </c>
      <c r="E949">
        <v>8.0415E-2</v>
      </c>
      <c r="F949">
        <v>7.5878000000000001E-2</v>
      </c>
      <c r="G949">
        <v>8.6680999999999994E-2</v>
      </c>
      <c r="H949">
        <v>9.4987000000000002E-2</v>
      </c>
      <c r="I949">
        <v>7.8424999999999995E-2</v>
      </c>
      <c r="J949">
        <v>7.4387999999999996E-2</v>
      </c>
      <c r="K949">
        <v>7.8608999999999998E-2</v>
      </c>
      <c r="L949">
        <v>8.0373E-2</v>
      </c>
      <c r="M949">
        <v>0.10327</v>
      </c>
      <c r="N949">
        <v>6.2908000000000006E-2</v>
      </c>
      <c r="O949">
        <v>7.8666E-2</v>
      </c>
      <c r="P949">
        <v>8.7401999999999994E-2</v>
      </c>
      <c r="Q949">
        <v>7.0392999999999997E-2</v>
      </c>
      <c r="R949">
        <v>8.3042000000000005E-2</v>
      </c>
      <c r="S949">
        <v>4.9827999999999997E-2</v>
      </c>
      <c r="T949">
        <v>7.0734000000000005E-2</v>
      </c>
      <c r="U949">
        <v>7.5151999999999997E-2</v>
      </c>
      <c r="V949">
        <v>8.9610999999999996E-2</v>
      </c>
      <c r="W949">
        <v>9.4169000000000003E-2</v>
      </c>
      <c r="X949">
        <v>4.4068000000000003E-2</v>
      </c>
      <c r="Y949">
        <v>6.1663999999999997E-2</v>
      </c>
      <c r="Z949">
        <v>6.6536999999999999E-2</v>
      </c>
      <c r="AA949">
        <v>9.1544E-2</v>
      </c>
      <c r="AB949">
        <v>0.13911399999999999</v>
      </c>
    </row>
    <row r="950" spans="1:28" x14ac:dyDescent="0.2">
      <c r="A950">
        <v>20110131</v>
      </c>
      <c r="B950">
        <v>2011</v>
      </c>
      <c r="C950">
        <v>1</v>
      </c>
      <c r="D950">
        <v>-2.9531000000000002E-2</v>
      </c>
      <c r="E950">
        <v>-1.8384999999999999E-2</v>
      </c>
      <c r="F950">
        <v>-1.4994E-2</v>
      </c>
      <c r="G950">
        <v>-1.0345E-2</v>
      </c>
      <c r="H950">
        <v>-9.0530000000000003E-3</v>
      </c>
      <c r="I950">
        <v>7.5249999999999996E-3</v>
      </c>
      <c r="J950">
        <v>-6.1539999999999997E-3</v>
      </c>
      <c r="K950">
        <v>2.0171000000000001E-2</v>
      </c>
      <c r="L950">
        <v>2.4899999999999998E-4</v>
      </c>
      <c r="M950">
        <v>2.4795999999999999E-2</v>
      </c>
      <c r="N950">
        <v>1.9938000000000001E-2</v>
      </c>
      <c r="O950">
        <v>1.8231000000000001E-2</v>
      </c>
      <c r="P950">
        <v>-4.1830000000000001E-3</v>
      </c>
      <c r="Q950">
        <v>3.8275000000000003E-2</v>
      </c>
      <c r="R950">
        <v>-5.9080000000000001E-3</v>
      </c>
      <c r="S950">
        <v>1.8178E-2</v>
      </c>
      <c r="T950">
        <v>3.6878000000000001E-2</v>
      </c>
      <c r="U950">
        <v>1.7391E-2</v>
      </c>
      <c r="V950">
        <v>1.8648999999999999E-2</v>
      </c>
      <c r="W950">
        <v>7.9690000000000004E-3</v>
      </c>
      <c r="X950">
        <v>1.3073E-2</v>
      </c>
      <c r="Y950">
        <v>3.5996E-2</v>
      </c>
      <c r="Z950">
        <v>2.8173E-2</v>
      </c>
      <c r="AA950">
        <v>2.5427000000000002E-2</v>
      </c>
      <c r="AB950">
        <v>3.3646000000000002E-2</v>
      </c>
    </row>
    <row r="951" spans="1:28" x14ac:dyDescent="0.2">
      <c r="A951">
        <v>20110228</v>
      </c>
      <c r="B951">
        <v>2011</v>
      </c>
      <c r="C951">
        <v>2</v>
      </c>
      <c r="D951">
        <v>1.3723000000000001E-2</v>
      </c>
      <c r="E951">
        <v>5.2998999999999998E-2</v>
      </c>
      <c r="F951">
        <v>3.8138999999999999E-2</v>
      </c>
      <c r="G951">
        <v>4.8326000000000001E-2</v>
      </c>
      <c r="H951">
        <v>6.4285999999999996E-2</v>
      </c>
      <c r="I951">
        <v>5.6665E-2</v>
      </c>
      <c r="J951">
        <v>6.9650000000000004E-2</v>
      </c>
      <c r="K951">
        <v>6.3469999999999999E-2</v>
      </c>
      <c r="L951">
        <v>4.7208E-2</v>
      </c>
      <c r="M951">
        <v>5.4716000000000001E-2</v>
      </c>
      <c r="N951">
        <v>5.1196999999999999E-2</v>
      </c>
      <c r="O951">
        <v>6.3391000000000003E-2</v>
      </c>
      <c r="P951">
        <v>5.6418999999999997E-2</v>
      </c>
      <c r="Q951">
        <v>5.1572E-2</v>
      </c>
      <c r="R951">
        <v>4.3090999999999997E-2</v>
      </c>
      <c r="S951">
        <v>4.6427999999999997E-2</v>
      </c>
      <c r="T951">
        <v>4.2078999999999998E-2</v>
      </c>
      <c r="U951">
        <v>4.1967999999999998E-2</v>
      </c>
      <c r="V951">
        <v>3.8385000000000002E-2</v>
      </c>
      <c r="W951">
        <v>2.4825E-2</v>
      </c>
      <c r="X951">
        <v>1.8858E-2</v>
      </c>
      <c r="Y951">
        <v>3.6967E-2</v>
      </c>
      <c r="Z951">
        <v>5.074E-2</v>
      </c>
      <c r="AA951">
        <v>3.7809000000000002E-2</v>
      </c>
      <c r="AB951">
        <v>4.2458999999999997E-2</v>
      </c>
    </row>
    <row r="952" spans="1:28" x14ac:dyDescent="0.2">
      <c r="A952">
        <v>20110331</v>
      </c>
      <c r="B952">
        <v>2011</v>
      </c>
      <c r="C952">
        <v>3</v>
      </c>
      <c r="D952">
        <v>3.4903000000000003E-2</v>
      </c>
      <c r="E952">
        <v>4.5502000000000001E-2</v>
      </c>
      <c r="F952">
        <v>9.2800000000000001E-3</v>
      </c>
      <c r="G952">
        <v>2.0678999999999999E-2</v>
      </c>
      <c r="H952">
        <v>1.6580000000000001E-2</v>
      </c>
      <c r="I952">
        <v>2.5888000000000001E-2</v>
      </c>
      <c r="J952">
        <v>2.6027000000000002E-2</v>
      </c>
      <c r="K952">
        <v>3.041E-2</v>
      </c>
      <c r="L952">
        <v>1.4038999999999999E-2</v>
      </c>
      <c r="M952">
        <v>3.3481999999999998E-2</v>
      </c>
      <c r="N952">
        <v>4.8772000000000003E-2</v>
      </c>
      <c r="O952">
        <v>3.0970999999999999E-2</v>
      </c>
      <c r="P952">
        <v>2.7191E-2</v>
      </c>
      <c r="Q952">
        <v>2.4011999999999999E-2</v>
      </c>
      <c r="R952">
        <v>1.7691999999999999E-2</v>
      </c>
      <c r="S952">
        <v>1.8284000000000002E-2</v>
      </c>
      <c r="T952">
        <v>3.2499E-2</v>
      </c>
      <c r="U952">
        <v>2.4797E-2</v>
      </c>
      <c r="V952">
        <v>8.7039999999999999E-3</v>
      </c>
      <c r="W952">
        <v>2.9550000000000002E-3</v>
      </c>
      <c r="X952">
        <v>-1.2589999999999999E-3</v>
      </c>
      <c r="Y952">
        <v>-1.114E-3</v>
      </c>
      <c r="Z952">
        <v>1.4475E-2</v>
      </c>
      <c r="AA952">
        <v>-3.777E-3</v>
      </c>
      <c r="AB952">
        <v>-2.7871E-2</v>
      </c>
    </row>
    <row r="953" spans="1:28" x14ac:dyDescent="0.2">
      <c r="A953">
        <v>20110429</v>
      </c>
      <c r="B953">
        <v>2011</v>
      </c>
      <c r="C953">
        <v>4</v>
      </c>
      <c r="D953">
        <v>2.613E-2</v>
      </c>
      <c r="E953">
        <v>8.4460000000000004E-3</v>
      </c>
      <c r="F953">
        <v>5.8089999999999999E-3</v>
      </c>
      <c r="G953">
        <v>1.4936E-2</v>
      </c>
      <c r="H953">
        <v>3.156E-3</v>
      </c>
      <c r="I953">
        <v>4.2453999999999999E-2</v>
      </c>
      <c r="J953">
        <v>2.1325E-2</v>
      </c>
      <c r="K953">
        <v>2.2685E-2</v>
      </c>
      <c r="L953">
        <v>1.8884999999999999E-2</v>
      </c>
      <c r="M953">
        <v>-8.3699999999999996E-4</v>
      </c>
      <c r="N953">
        <v>4.0252000000000003E-2</v>
      </c>
      <c r="O953">
        <v>3.9462999999999998E-2</v>
      </c>
      <c r="P953">
        <v>3.2939000000000003E-2</v>
      </c>
      <c r="Q953">
        <v>3.0026000000000001E-2</v>
      </c>
      <c r="R953">
        <v>1.9733000000000001E-2</v>
      </c>
      <c r="S953">
        <v>3.3924000000000003E-2</v>
      </c>
      <c r="T953">
        <v>1.7267000000000001E-2</v>
      </c>
      <c r="U953">
        <v>1.7871000000000001E-2</v>
      </c>
      <c r="V953">
        <v>2.8739000000000001E-2</v>
      </c>
      <c r="W953">
        <v>2.3314999999999999E-2</v>
      </c>
      <c r="X953">
        <v>3.6352000000000002E-2</v>
      </c>
      <c r="Y953">
        <v>4.5039999999999997E-2</v>
      </c>
      <c r="Z953">
        <v>3.4382999999999997E-2</v>
      </c>
      <c r="AA953">
        <v>6.5139999999999998E-3</v>
      </c>
      <c r="AB953">
        <v>1.0266000000000001E-2</v>
      </c>
    </row>
    <row r="954" spans="1:28" x14ac:dyDescent="0.2">
      <c r="A954">
        <v>20110531</v>
      </c>
      <c r="B954">
        <v>2011</v>
      </c>
      <c r="C954">
        <v>5</v>
      </c>
      <c r="D954">
        <v>-1.0087E-2</v>
      </c>
      <c r="E954">
        <v>-1.2009000000000001E-2</v>
      </c>
      <c r="F954">
        <v>-2.3460000000000002E-2</v>
      </c>
      <c r="G954">
        <v>-4.3593E-2</v>
      </c>
      <c r="H954">
        <v>-2.7987000000000001E-2</v>
      </c>
      <c r="I954">
        <v>-1.9647999999999999E-2</v>
      </c>
      <c r="J954">
        <v>-1.3119E-2</v>
      </c>
      <c r="K954">
        <v>-5.3940000000000004E-3</v>
      </c>
      <c r="L954">
        <v>-3.5112999999999998E-2</v>
      </c>
      <c r="M954">
        <v>-3.1019999999999999E-2</v>
      </c>
      <c r="N954">
        <v>-1.4884E-2</v>
      </c>
      <c r="O954">
        <v>-1.231E-2</v>
      </c>
      <c r="P954">
        <v>-1.6390999999999999E-2</v>
      </c>
      <c r="Q954">
        <v>-4.2616000000000001E-2</v>
      </c>
      <c r="R954">
        <v>-4.6439999999999997E-3</v>
      </c>
      <c r="S954">
        <v>2.32E-3</v>
      </c>
      <c r="T954">
        <v>-5.1669999999999997E-3</v>
      </c>
      <c r="U954">
        <v>-1.3847E-2</v>
      </c>
      <c r="V954">
        <v>-1.2304000000000001E-2</v>
      </c>
      <c r="W954">
        <v>-8.7770000000000001E-3</v>
      </c>
      <c r="X954">
        <v>2.7099999999999997E-4</v>
      </c>
      <c r="Y954">
        <v>-2.4156E-2</v>
      </c>
      <c r="Z954">
        <v>-1.3492000000000001E-2</v>
      </c>
      <c r="AA954">
        <v>-2.1269E-2</v>
      </c>
      <c r="AB954">
        <v>-3.4361000000000003E-2</v>
      </c>
    </row>
    <row r="955" spans="1:28" x14ac:dyDescent="0.2">
      <c r="A955">
        <v>20110630</v>
      </c>
      <c r="B955">
        <v>2011</v>
      </c>
      <c r="C955">
        <v>6</v>
      </c>
      <c r="D955">
        <v>-4.4823000000000002E-2</v>
      </c>
      <c r="E955">
        <v>-3.5756000000000003E-2</v>
      </c>
      <c r="F955">
        <v>-2.4074000000000002E-2</v>
      </c>
      <c r="G955">
        <v>-1.7500000000000002E-2</v>
      </c>
      <c r="H955">
        <v>-2.4733000000000002E-2</v>
      </c>
      <c r="I955">
        <v>-8.9999999999999993E-3</v>
      </c>
      <c r="J955">
        <v>-2.172E-2</v>
      </c>
      <c r="K955">
        <v>-1.3922E-2</v>
      </c>
      <c r="L955">
        <v>-5.0959999999999998E-3</v>
      </c>
      <c r="M955">
        <v>-1.5864E-2</v>
      </c>
      <c r="N955">
        <v>-8.6420000000000004E-3</v>
      </c>
      <c r="O955">
        <v>-2.0652E-2</v>
      </c>
      <c r="P955">
        <v>-1.7419E-2</v>
      </c>
      <c r="Q955">
        <v>-9.6489999999999996E-3</v>
      </c>
      <c r="R955">
        <v>-3.6082000000000003E-2</v>
      </c>
      <c r="S955">
        <v>-1.5136E-2</v>
      </c>
      <c r="T955">
        <v>-2.0315E-2</v>
      </c>
      <c r="U955">
        <v>-2.9399999999999999E-2</v>
      </c>
      <c r="V955">
        <v>-2.0306000000000001E-2</v>
      </c>
      <c r="W955">
        <v>-1.9401999999999999E-2</v>
      </c>
      <c r="X955">
        <v>-1.1662E-2</v>
      </c>
      <c r="Y955">
        <v>-1.7892999999999999E-2</v>
      </c>
      <c r="Z955">
        <v>-2.1701000000000002E-2</v>
      </c>
      <c r="AA955">
        <v>-1.5178000000000001E-2</v>
      </c>
      <c r="AB955">
        <v>-2.6407E-2</v>
      </c>
    </row>
    <row r="956" spans="1:28" x14ac:dyDescent="0.2">
      <c r="A956">
        <v>20110729</v>
      </c>
      <c r="B956">
        <v>2011</v>
      </c>
      <c r="C956">
        <v>7</v>
      </c>
      <c r="D956">
        <v>-5.1410999999999998E-2</v>
      </c>
      <c r="E956">
        <v>-2.9167999999999999E-2</v>
      </c>
      <c r="F956">
        <v>-2.9655000000000001E-2</v>
      </c>
      <c r="G956">
        <v>-1.2099E-2</v>
      </c>
      <c r="H956">
        <v>-1.4558E-2</v>
      </c>
      <c r="I956">
        <v>-3.6090999999999998E-2</v>
      </c>
      <c r="J956">
        <v>-3.6302000000000001E-2</v>
      </c>
      <c r="K956">
        <v>-5.2509E-2</v>
      </c>
      <c r="L956">
        <v>-3.0079000000000002E-2</v>
      </c>
      <c r="M956">
        <v>-5.6372999999999999E-2</v>
      </c>
      <c r="N956">
        <v>-4.8051000000000003E-2</v>
      </c>
      <c r="O956">
        <v>-3.8538999999999997E-2</v>
      </c>
      <c r="P956">
        <v>-3.1432000000000002E-2</v>
      </c>
      <c r="Q956">
        <v>-5.1739E-2</v>
      </c>
      <c r="R956">
        <v>-3.9893999999999999E-2</v>
      </c>
      <c r="S956">
        <v>-4.2804000000000002E-2</v>
      </c>
      <c r="T956">
        <v>-3.2701000000000001E-2</v>
      </c>
      <c r="U956">
        <v>-3.7505999999999998E-2</v>
      </c>
      <c r="V956">
        <v>-2.7851999999999998E-2</v>
      </c>
      <c r="W956">
        <v>-3.7830999999999997E-2</v>
      </c>
      <c r="X956">
        <v>1.408E-3</v>
      </c>
      <c r="Y956">
        <v>-1.7462999999999999E-2</v>
      </c>
      <c r="Z956">
        <v>-1.4538000000000001E-2</v>
      </c>
      <c r="AA956">
        <v>-3.9655000000000003E-2</v>
      </c>
      <c r="AB956">
        <v>-5.4769999999999999E-2</v>
      </c>
    </row>
    <row r="957" spans="1:28" x14ac:dyDescent="0.2">
      <c r="A957">
        <v>20110831</v>
      </c>
      <c r="B957">
        <v>2011</v>
      </c>
      <c r="C957">
        <v>8</v>
      </c>
      <c r="D957">
        <v>-0.122698</v>
      </c>
      <c r="E957">
        <v>-0.121271</v>
      </c>
      <c r="F957">
        <v>-8.8723999999999997E-2</v>
      </c>
      <c r="G957">
        <v>-0.104364</v>
      </c>
      <c r="H957">
        <v>-9.7286999999999998E-2</v>
      </c>
      <c r="I957">
        <v>-9.3403E-2</v>
      </c>
      <c r="J957">
        <v>-8.7941000000000005E-2</v>
      </c>
      <c r="K957">
        <v>-0.10352</v>
      </c>
      <c r="L957">
        <v>-7.9490000000000005E-2</v>
      </c>
      <c r="M957">
        <v>-0.109226</v>
      </c>
      <c r="N957">
        <v>-7.4209999999999998E-2</v>
      </c>
      <c r="O957">
        <v>-8.3375000000000005E-2</v>
      </c>
      <c r="P957">
        <v>-8.3878999999999995E-2</v>
      </c>
      <c r="Q957">
        <v>-8.7044999999999997E-2</v>
      </c>
      <c r="R957">
        <v>-9.3123999999999998E-2</v>
      </c>
      <c r="S957">
        <v>-7.9977999999999994E-2</v>
      </c>
      <c r="T957">
        <v>-7.7234999999999998E-2</v>
      </c>
      <c r="U957">
        <v>-8.8210999999999998E-2</v>
      </c>
      <c r="V957">
        <v>-8.6713999999999999E-2</v>
      </c>
      <c r="W957">
        <v>-6.7735000000000004E-2</v>
      </c>
      <c r="X957">
        <v>-3.7475000000000001E-2</v>
      </c>
      <c r="Y957">
        <v>-4.6663999999999997E-2</v>
      </c>
      <c r="Z957">
        <v>-6.9630999999999998E-2</v>
      </c>
      <c r="AA957">
        <v>-3.8949999999999999E-2</v>
      </c>
      <c r="AB957">
        <v>-0.116246</v>
      </c>
    </row>
    <row r="958" spans="1:28" x14ac:dyDescent="0.2">
      <c r="A958">
        <v>20110930</v>
      </c>
      <c r="B958">
        <v>2011</v>
      </c>
      <c r="C958">
        <v>9</v>
      </c>
      <c r="D958">
        <v>-0.113747</v>
      </c>
      <c r="E958">
        <v>-0.127857</v>
      </c>
      <c r="F958">
        <v>-0.10791199999999999</v>
      </c>
      <c r="G958">
        <v>-0.109101</v>
      </c>
      <c r="H958">
        <v>-0.103686</v>
      </c>
      <c r="I958">
        <v>-0.10419</v>
      </c>
      <c r="J958">
        <v>-0.11931799999999999</v>
      </c>
      <c r="K958">
        <v>-0.11834699999999999</v>
      </c>
      <c r="L958">
        <v>-0.107002</v>
      </c>
      <c r="M958">
        <v>-0.109002</v>
      </c>
      <c r="N958">
        <v>-0.103191</v>
      </c>
      <c r="O958">
        <v>-0.129334</v>
      </c>
      <c r="P958">
        <v>-0.118282</v>
      </c>
      <c r="Q958">
        <v>-0.110473</v>
      </c>
      <c r="R958">
        <v>-0.108268</v>
      </c>
      <c r="S958">
        <v>-9.0978000000000003E-2</v>
      </c>
      <c r="T958">
        <v>-0.110662</v>
      </c>
      <c r="U958">
        <v>-0.12548699999999999</v>
      </c>
      <c r="V958">
        <v>-8.9113999999999999E-2</v>
      </c>
      <c r="W958">
        <v>-9.5561999999999994E-2</v>
      </c>
      <c r="X958">
        <v>-6.2302000000000003E-2</v>
      </c>
      <c r="Y958">
        <v>-5.0289E-2</v>
      </c>
      <c r="Z958">
        <v>-7.0641999999999996E-2</v>
      </c>
      <c r="AA958">
        <v>-5.8327999999999998E-2</v>
      </c>
      <c r="AB958">
        <v>-0.13744300000000001</v>
      </c>
    </row>
    <row r="959" spans="1:28" x14ac:dyDescent="0.2">
      <c r="A959">
        <v>20111031</v>
      </c>
      <c r="B959">
        <v>2011</v>
      </c>
      <c r="C959">
        <v>10</v>
      </c>
      <c r="D959">
        <v>0.12776499999999999</v>
      </c>
      <c r="E959">
        <v>0.152144</v>
      </c>
      <c r="F959">
        <v>0.145428</v>
      </c>
      <c r="G959">
        <v>0.14882500000000001</v>
      </c>
      <c r="H959">
        <v>0.10084600000000001</v>
      </c>
      <c r="I959">
        <v>0.17988199999999999</v>
      </c>
      <c r="J959">
        <v>0.148176</v>
      </c>
      <c r="K959">
        <v>0.16345499999999999</v>
      </c>
      <c r="L959">
        <v>0.15021300000000001</v>
      </c>
      <c r="M959">
        <v>0.148697</v>
      </c>
      <c r="N959">
        <v>0.14130499999999999</v>
      </c>
      <c r="O959">
        <v>0.16691400000000001</v>
      </c>
      <c r="P959">
        <v>0.17160600000000001</v>
      </c>
      <c r="Q959">
        <v>0.15192800000000001</v>
      </c>
      <c r="R959">
        <v>0.12470100000000001</v>
      </c>
      <c r="S959">
        <v>0.150001</v>
      </c>
      <c r="T959">
        <v>0.158558</v>
      </c>
      <c r="U959">
        <v>0.15509300000000001</v>
      </c>
      <c r="V959">
        <v>0.11842800000000001</v>
      </c>
      <c r="W959">
        <v>0.122514</v>
      </c>
      <c r="X959">
        <v>9.2886999999999997E-2</v>
      </c>
      <c r="Y959">
        <v>0.105424</v>
      </c>
      <c r="Z959">
        <v>0.12639</v>
      </c>
      <c r="AA959">
        <v>8.8391999999999998E-2</v>
      </c>
      <c r="AB959">
        <v>0.15043599999999999</v>
      </c>
    </row>
    <row r="960" spans="1:28" x14ac:dyDescent="0.2">
      <c r="A960">
        <v>20111130</v>
      </c>
      <c r="B960">
        <v>2011</v>
      </c>
      <c r="C960">
        <v>11</v>
      </c>
      <c r="D960">
        <v>-2.3941E-2</v>
      </c>
      <c r="E960">
        <v>-1.0101000000000001E-2</v>
      </c>
      <c r="F960">
        <v>-3.0026000000000001E-2</v>
      </c>
      <c r="G960">
        <v>-1.0819E-2</v>
      </c>
      <c r="H960">
        <v>-2.189E-3</v>
      </c>
      <c r="I960">
        <v>-2.0799999999999998E-3</v>
      </c>
      <c r="J960">
        <v>-2.0079E-2</v>
      </c>
      <c r="K960">
        <v>-7.1500000000000003E-4</v>
      </c>
      <c r="L960">
        <v>1.7968000000000001E-2</v>
      </c>
      <c r="M960">
        <v>2.996E-3</v>
      </c>
      <c r="N960">
        <v>-1.4029E-2</v>
      </c>
      <c r="O960">
        <v>1.3832000000000001E-2</v>
      </c>
      <c r="P960">
        <v>-6.5709999999999996E-3</v>
      </c>
      <c r="Q960">
        <v>1.2789E-2</v>
      </c>
      <c r="R960">
        <v>-1.114E-3</v>
      </c>
      <c r="S960">
        <v>-5.1269999999999996E-3</v>
      </c>
      <c r="T960">
        <v>-7.0130000000000001E-3</v>
      </c>
      <c r="U960">
        <v>1.2309E-2</v>
      </c>
      <c r="V960">
        <v>1.4670000000000001E-2</v>
      </c>
      <c r="W960">
        <v>-1.3298000000000001E-2</v>
      </c>
      <c r="X960">
        <v>-6.0390000000000001E-3</v>
      </c>
      <c r="Y960">
        <v>1.2976E-2</v>
      </c>
      <c r="Z960">
        <v>8.0800000000000004E-3</v>
      </c>
      <c r="AA960">
        <v>3.4299999999999999E-4</v>
      </c>
      <c r="AB960">
        <v>-6.2871999999999997E-2</v>
      </c>
    </row>
    <row r="961" spans="1:28" x14ac:dyDescent="0.2">
      <c r="A961">
        <v>20111230</v>
      </c>
      <c r="B961">
        <v>2011</v>
      </c>
      <c r="C961">
        <v>12</v>
      </c>
      <c r="D961">
        <v>-5.2960000000000004E-3</v>
      </c>
      <c r="E961">
        <v>1.9775999999999998E-2</v>
      </c>
      <c r="F961">
        <v>8.7840000000000001E-3</v>
      </c>
      <c r="G961">
        <v>1.9127000000000002E-2</v>
      </c>
      <c r="H961">
        <v>1.3297E-2</v>
      </c>
      <c r="I961">
        <v>-8.6580000000000008E-3</v>
      </c>
      <c r="J961">
        <v>4.5279999999999999E-3</v>
      </c>
      <c r="K961">
        <v>1.383E-2</v>
      </c>
      <c r="L961">
        <v>5.6670000000000002E-3</v>
      </c>
      <c r="M961">
        <v>1.2198000000000001E-2</v>
      </c>
      <c r="N961">
        <v>-2.1264999999999999E-2</v>
      </c>
      <c r="O961">
        <v>-2.6310000000000001E-3</v>
      </c>
      <c r="P961">
        <v>3.79E-3</v>
      </c>
      <c r="Q961">
        <v>1.637E-3</v>
      </c>
      <c r="R961">
        <v>2.9905999999999999E-2</v>
      </c>
      <c r="S961">
        <v>-2.5647E-2</v>
      </c>
      <c r="T961">
        <v>4.679E-3</v>
      </c>
      <c r="U961">
        <v>-4.2209999999999999E-3</v>
      </c>
      <c r="V961">
        <v>3.9934999999999998E-2</v>
      </c>
      <c r="W961">
        <v>-3.1830000000000001E-3</v>
      </c>
      <c r="X961">
        <v>-4.1419999999999998E-3</v>
      </c>
      <c r="Y961">
        <v>7.7759999999999999E-3</v>
      </c>
      <c r="Z961">
        <v>2.1080999999999999E-2</v>
      </c>
      <c r="AA961">
        <v>3.4959999999999998E-2</v>
      </c>
      <c r="AB961">
        <v>1.3697000000000001E-2</v>
      </c>
    </row>
    <row r="962" spans="1:28" x14ac:dyDescent="0.2">
      <c r="A962">
        <v>20120131</v>
      </c>
      <c r="B962">
        <v>2012</v>
      </c>
      <c r="C962">
        <v>1</v>
      </c>
      <c r="D962">
        <v>0.12528400000000001</v>
      </c>
      <c r="E962">
        <v>7.5361999999999998E-2</v>
      </c>
      <c r="F962">
        <v>7.4175000000000005E-2</v>
      </c>
      <c r="G962">
        <v>7.7011999999999997E-2</v>
      </c>
      <c r="H962">
        <v>7.6754000000000003E-2</v>
      </c>
      <c r="I962">
        <v>7.9689999999999997E-2</v>
      </c>
      <c r="J962">
        <v>5.9429000000000003E-2</v>
      </c>
      <c r="K962">
        <v>7.7662999999999996E-2</v>
      </c>
      <c r="L962">
        <v>5.4442999999999998E-2</v>
      </c>
      <c r="M962">
        <v>5.3053999999999997E-2</v>
      </c>
      <c r="N962">
        <v>8.1017000000000006E-2</v>
      </c>
      <c r="O962">
        <v>5.4482000000000003E-2</v>
      </c>
      <c r="P962">
        <v>7.3663000000000006E-2</v>
      </c>
      <c r="Q962">
        <v>5.7597000000000002E-2</v>
      </c>
      <c r="R962">
        <v>2.7213999999999999E-2</v>
      </c>
      <c r="S962">
        <v>9.6155000000000004E-2</v>
      </c>
      <c r="T962">
        <v>6.3738000000000003E-2</v>
      </c>
      <c r="U962">
        <v>4.9484E-2</v>
      </c>
      <c r="V962">
        <v>3.1989999999999998E-2</v>
      </c>
      <c r="W962">
        <v>4.1620999999999998E-2</v>
      </c>
      <c r="X962">
        <v>7.1775000000000005E-2</v>
      </c>
      <c r="Y962">
        <v>2.5413999999999999E-2</v>
      </c>
      <c r="Z962">
        <v>2.0435999999999999E-2</v>
      </c>
      <c r="AA962">
        <v>2.1654E-2</v>
      </c>
      <c r="AB962">
        <v>9.2604000000000006E-2</v>
      </c>
    </row>
    <row r="963" spans="1:28" x14ac:dyDescent="0.2">
      <c r="A963">
        <v>20120229</v>
      </c>
      <c r="B963">
        <v>2012</v>
      </c>
      <c r="C963">
        <v>2</v>
      </c>
      <c r="D963">
        <v>1.2453000000000001E-2</v>
      </c>
      <c r="E963">
        <v>7.9629999999999996E-3</v>
      </c>
      <c r="F963">
        <v>1.3221999999999999E-2</v>
      </c>
      <c r="G963">
        <v>1.0233000000000001E-2</v>
      </c>
      <c r="H963">
        <v>2.598E-2</v>
      </c>
      <c r="I963">
        <v>4.1119999999999997E-2</v>
      </c>
      <c r="J963">
        <v>3.7074000000000003E-2</v>
      </c>
      <c r="K963">
        <v>1.3677999999999999E-2</v>
      </c>
      <c r="L963">
        <v>2.7195E-2</v>
      </c>
      <c r="M963">
        <v>4.5585000000000001E-2</v>
      </c>
      <c r="N963">
        <v>4.1551999999999999E-2</v>
      </c>
      <c r="O963">
        <v>3.7891000000000001E-2</v>
      </c>
      <c r="P963">
        <v>3.6211E-2</v>
      </c>
      <c r="Q963">
        <v>4.0398999999999997E-2</v>
      </c>
      <c r="R963">
        <v>3.6347999999999998E-2</v>
      </c>
      <c r="S963">
        <v>4.7280000000000003E-2</v>
      </c>
      <c r="T963">
        <v>5.3059000000000002E-2</v>
      </c>
      <c r="U963">
        <v>3.7888999999999999E-2</v>
      </c>
      <c r="V963">
        <v>3.6371000000000001E-2</v>
      </c>
      <c r="W963">
        <v>6.0817999999999997E-2</v>
      </c>
      <c r="X963">
        <v>5.2117999999999998E-2</v>
      </c>
      <c r="Y963">
        <v>2.9635000000000002E-2</v>
      </c>
      <c r="Z963">
        <v>3.9632000000000001E-2</v>
      </c>
      <c r="AA963">
        <v>4.6119E-2</v>
      </c>
      <c r="AB963">
        <v>6.8243999999999999E-2</v>
      </c>
    </row>
    <row r="964" spans="1:28" x14ac:dyDescent="0.2">
      <c r="A964">
        <v>20120330</v>
      </c>
      <c r="B964">
        <v>2012</v>
      </c>
      <c r="C964">
        <v>3</v>
      </c>
      <c r="D964">
        <v>2.6218000000000002E-2</v>
      </c>
      <c r="E964">
        <v>3.5184E-2</v>
      </c>
      <c r="F964">
        <v>3.4639000000000003E-2</v>
      </c>
      <c r="G964">
        <v>3.1440999999999997E-2</v>
      </c>
      <c r="H964">
        <v>4.8355000000000002E-2</v>
      </c>
      <c r="I964">
        <v>1.839E-2</v>
      </c>
      <c r="J964">
        <v>1.754E-2</v>
      </c>
      <c r="K964">
        <v>2.7414000000000001E-2</v>
      </c>
      <c r="L964">
        <v>3.8087000000000003E-2</v>
      </c>
      <c r="M964">
        <v>2.7545E-2</v>
      </c>
      <c r="N964">
        <v>1.5167E-2</v>
      </c>
      <c r="O964">
        <v>1.2193000000000001E-2</v>
      </c>
      <c r="P964">
        <v>1.7565999999999998E-2</v>
      </c>
      <c r="Q964">
        <v>1.7415E-2</v>
      </c>
      <c r="R964">
        <v>-4.2399999999999998E-3</v>
      </c>
      <c r="S964">
        <v>4.5095999999999997E-2</v>
      </c>
      <c r="T964">
        <v>3.0379999999999999E-3</v>
      </c>
      <c r="U964">
        <v>-8.7220000000000006E-3</v>
      </c>
      <c r="V964">
        <v>2.5826999999999999E-2</v>
      </c>
      <c r="W964">
        <v>1.8311999999999998E-2</v>
      </c>
      <c r="X964">
        <v>4.1974999999999998E-2</v>
      </c>
      <c r="Y964">
        <v>2.1281000000000001E-2</v>
      </c>
      <c r="Z964">
        <v>4.731E-3</v>
      </c>
      <c r="AA964">
        <v>3.6525000000000002E-2</v>
      </c>
      <c r="AB964">
        <v>7.7969999999999998E-2</v>
      </c>
    </row>
    <row r="965" spans="1:28" x14ac:dyDescent="0.2">
      <c r="A965">
        <v>20120430</v>
      </c>
      <c r="B965">
        <v>2012</v>
      </c>
      <c r="C965">
        <v>4</v>
      </c>
      <c r="D965">
        <v>-3.7527999999999999E-2</v>
      </c>
      <c r="E965">
        <v>-2.1486000000000002E-2</v>
      </c>
      <c r="F965">
        <v>-1.8069000000000002E-2</v>
      </c>
      <c r="G965">
        <v>-1.6802000000000001E-2</v>
      </c>
      <c r="H965">
        <v>-1.756E-3</v>
      </c>
      <c r="I965">
        <v>-5.0900000000000001E-4</v>
      </c>
      <c r="J965">
        <v>-2.6213E-2</v>
      </c>
      <c r="K965">
        <v>-2.1534999999999999E-2</v>
      </c>
      <c r="L965">
        <v>-2.4556999999999999E-2</v>
      </c>
      <c r="M965">
        <v>-1.8356000000000001E-2</v>
      </c>
      <c r="N965">
        <v>-2.4226999999999999E-2</v>
      </c>
      <c r="O965">
        <v>-7.9769999999999997E-3</v>
      </c>
      <c r="P965">
        <v>-1.3051999999999999E-2</v>
      </c>
      <c r="Q965">
        <v>-1.0068000000000001E-2</v>
      </c>
      <c r="R965">
        <v>4.0229999999999997E-3</v>
      </c>
      <c r="S965">
        <v>-5.999E-3</v>
      </c>
      <c r="T965">
        <v>2.4260000000000002E-3</v>
      </c>
      <c r="U965">
        <v>-3.7680000000000001E-3</v>
      </c>
      <c r="V965">
        <v>8.2369999999999995E-3</v>
      </c>
      <c r="W965">
        <v>-3.1863000000000002E-2</v>
      </c>
      <c r="X965">
        <v>-2.7529999999999998E-3</v>
      </c>
      <c r="Y965">
        <v>-8.1969999999999994E-3</v>
      </c>
      <c r="Z965">
        <v>-4.4299999999999998E-4</v>
      </c>
      <c r="AA965">
        <v>-6.6239999999999997E-3</v>
      </c>
      <c r="AB965">
        <v>-4.0059999999999998E-2</v>
      </c>
    </row>
    <row r="966" spans="1:28" x14ac:dyDescent="0.2">
      <c r="A966">
        <v>20120531</v>
      </c>
      <c r="B966">
        <v>2012</v>
      </c>
      <c r="C966">
        <v>5</v>
      </c>
      <c r="D966">
        <v>-8.4995000000000001E-2</v>
      </c>
      <c r="E966">
        <v>-5.6465000000000001E-2</v>
      </c>
      <c r="F966">
        <v>-7.2322999999999998E-2</v>
      </c>
      <c r="G966">
        <v>-8.1795999999999994E-2</v>
      </c>
      <c r="H966">
        <v>-4.9313999999999997E-2</v>
      </c>
      <c r="I966">
        <v>-5.7645000000000002E-2</v>
      </c>
      <c r="J966">
        <v>-5.8499000000000002E-2</v>
      </c>
      <c r="K966">
        <v>-7.6755000000000004E-2</v>
      </c>
      <c r="L966">
        <v>-5.3379000000000003E-2</v>
      </c>
      <c r="M966">
        <v>-7.2915999999999995E-2</v>
      </c>
      <c r="N966">
        <v>-6.5277000000000002E-2</v>
      </c>
      <c r="O966">
        <v>-6.8977999999999998E-2</v>
      </c>
      <c r="P966">
        <v>-7.6391000000000001E-2</v>
      </c>
      <c r="Q966">
        <v>-6.1253000000000002E-2</v>
      </c>
      <c r="R966">
        <v>-6.8950999999999998E-2</v>
      </c>
      <c r="S966">
        <v>-7.2575000000000001E-2</v>
      </c>
      <c r="T966">
        <v>-8.5972000000000007E-2</v>
      </c>
      <c r="U966">
        <v>-9.3574000000000004E-2</v>
      </c>
      <c r="V966">
        <v>-6.3896999999999995E-2</v>
      </c>
      <c r="W966">
        <v>-5.7102E-2</v>
      </c>
      <c r="X966">
        <v>-6.2796000000000005E-2</v>
      </c>
      <c r="Y966">
        <v>-5.2724E-2</v>
      </c>
      <c r="Z966">
        <v>-5.1514999999999998E-2</v>
      </c>
      <c r="AA966">
        <v>-2.8059000000000001E-2</v>
      </c>
      <c r="AB966">
        <v>-0.126471</v>
      </c>
    </row>
    <row r="967" spans="1:28" x14ac:dyDescent="0.2">
      <c r="A967">
        <v>20120629</v>
      </c>
      <c r="B967">
        <v>2012</v>
      </c>
      <c r="C967">
        <v>6</v>
      </c>
      <c r="D967">
        <v>7.0023000000000002E-2</v>
      </c>
      <c r="E967">
        <v>7.7238000000000001E-2</v>
      </c>
      <c r="F967">
        <v>5.4119E-2</v>
      </c>
      <c r="G967">
        <v>5.7709000000000003E-2</v>
      </c>
      <c r="H967">
        <v>5.4445E-2</v>
      </c>
      <c r="I967">
        <v>6.3782000000000005E-2</v>
      </c>
      <c r="J967">
        <v>4.6183000000000002E-2</v>
      </c>
      <c r="K967">
        <v>4.7432000000000002E-2</v>
      </c>
      <c r="L967">
        <v>2.9877000000000001E-2</v>
      </c>
      <c r="M967">
        <v>5.1919E-2</v>
      </c>
      <c r="N967">
        <v>5.2387999999999997E-2</v>
      </c>
      <c r="O967">
        <v>2.7118E-2</v>
      </c>
      <c r="P967">
        <v>2.4336E-2</v>
      </c>
      <c r="Q967">
        <v>2.4681000000000002E-2</v>
      </c>
      <c r="R967">
        <v>3.5000000000000003E-2</v>
      </c>
      <c r="S967">
        <v>4.8260000000000004E-3</v>
      </c>
      <c r="T967">
        <v>1.789E-2</v>
      </c>
      <c r="U967">
        <v>3.4632000000000003E-2</v>
      </c>
      <c r="V967">
        <v>2.7084E-2</v>
      </c>
      <c r="W967">
        <v>3.5685000000000001E-2</v>
      </c>
      <c r="X967">
        <v>2.6214000000000001E-2</v>
      </c>
      <c r="Y967">
        <v>4.4879000000000002E-2</v>
      </c>
      <c r="Z967">
        <v>4.6323999999999997E-2</v>
      </c>
      <c r="AA967">
        <v>5.4508000000000001E-2</v>
      </c>
      <c r="AB967">
        <v>5.9292999999999998E-2</v>
      </c>
    </row>
    <row r="968" spans="1:28" x14ac:dyDescent="0.2">
      <c r="A968">
        <v>20120731</v>
      </c>
      <c r="B968">
        <v>2012</v>
      </c>
      <c r="C968">
        <v>7</v>
      </c>
      <c r="D968">
        <v>-2.6008E-2</v>
      </c>
      <c r="E968">
        <v>1.278E-2</v>
      </c>
      <c r="F968">
        <v>-2.9281000000000001E-2</v>
      </c>
      <c r="G968">
        <v>-1.695E-2</v>
      </c>
      <c r="H968">
        <v>-2.3956999999999999E-2</v>
      </c>
      <c r="I968">
        <v>-4.1286000000000003E-2</v>
      </c>
      <c r="J968">
        <v>-2.5089999999999999E-3</v>
      </c>
      <c r="K968">
        <v>-1.1257E-2</v>
      </c>
      <c r="L968">
        <v>-1.3191E-2</v>
      </c>
      <c r="M968">
        <v>-4.5830000000000003E-3</v>
      </c>
      <c r="N968">
        <v>-2.0122000000000001E-2</v>
      </c>
      <c r="O968">
        <v>-2.66E-3</v>
      </c>
      <c r="P968">
        <v>-2.7239999999999999E-3</v>
      </c>
      <c r="Q968">
        <v>5.0210000000000003E-3</v>
      </c>
      <c r="R968">
        <v>-4.6355E-2</v>
      </c>
      <c r="S968">
        <v>-2.4354000000000001E-2</v>
      </c>
      <c r="T968">
        <v>3.026E-3</v>
      </c>
      <c r="U968">
        <v>-3.0179999999999998E-3</v>
      </c>
      <c r="V968">
        <v>-6.1799999999999997E-3</v>
      </c>
      <c r="W968">
        <v>-1.1813000000000001E-2</v>
      </c>
      <c r="X968">
        <v>1.0984000000000001E-2</v>
      </c>
      <c r="Y968">
        <v>2.5557E-2</v>
      </c>
      <c r="Z968">
        <v>1.217E-2</v>
      </c>
      <c r="AA968">
        <v>1.9324000000000001E-2</v>
      </c>
      <c r="AB968">
        <v>-1.2911000000000001E-2</v>
      </c>
    </row>
    <row r="969" spans="1:28" x14ac:dyDescent="0.2">
      <c r="A969">
        <v>20120831</v>
      </c>
      <c r="B969">
        <v>2012</v>
      </c>
      <c r="C969">
        <v>8</v>
      </c>
      <c r="D969">
        <v>2.5308000000000001E-2</v>
      </c>
      <c r="E969">
        <v>4.8760000000000001E-3</v>
      </c>
      <c r="F969">
        <v>3.9433999999999997E-2</v>
      </c>
      <c r="G969">
        <v>2.8143000000000001E-2</v>
      </c>
      <c r="H969">
        <v>3.3491E-2</v>
      </c>
      <c r="I969">
        <v>2.0811E-2</v>
      </c>
      <c r="J969">
        <v>2.3864E-2</v>
      </c>
      <c r="K969">
        <v>3.0053E-2</v>
      </c>
      <c r="L969">
        <v>3.3426999999999998E-2</v>
      </c>
      <c r="M969">
        <v>3.465E-2</v>
      </c>
      <c r="N969">
        <v>5.4033999999999999E-2</v>
      </c>
      <c r="O969">
        <v>3.0849999999999999E-2</v>
      </c>
      <c r="P969">
        <v>4.3261000000000001E-2</v>
      </c>
      <c r="Q969">
        <v>4.2042999999999997E-2</v>
      </c>
      <c r="R969">
        <v>3.4598999999999998E-2</v>
      </c>
      <c r="S969">
        <v>4.0953999999999997E-2</v>
      </c>
      <c r="T969">
        <v>4.1647000000000003E-2</v>
      </c>
      <c r="U969">
        <v>2.3299E-2</v>
      </c>
      <c r="V969">
        <v>3.9868000000000001E-2</v>
      </c>
      <c r="W969">
        <v>6.0005999999999997E-2</v>
      </c>
      <c r="X969">
        <v>2.7303999999999998E-2</v>
      </c>
      <c r="Y969">
        <v>2.0080000000000001E-2</v>
      </c>
      <c r="Z969">
        <v>1.4008E-2</v>
      </c>
      <c r="AA969">
        <v>-2.4970000000000001E-3</v>
      </c>
      <c r="AB969">
        <v>6.6012000000000001E-2</v>
      </c>
    </row>
    <row r="970" spans="1:28" x14ac:dyDescent="0.2">
      <c r="A970">
        <v>20120928</v>
      </c>
      <c r="B970">
        <v>2012</v>
      </c>
      <c r="C970">
        <v>9</v>
      </c>
      <c r="D970">
        <v>5.0042999999999997E-2</v>
      </c>
      <c r="E970">
        <v>5.1366000000000002E-2</v>
      </c>
      <c r="F970">
        <v>4.7307000000000002E-2</v>
      </c>
      <c r="G970">
        <v>4.5870000000000001E-2</v>
      </c>
      <c r="H970">
        <v>4.5407000000000003E-2</v>
      </c>
      <c r="I970">
        <v>4.9036999999999997E-2</v>
      </c>
      <c r="J970">
        <v>3.4957000000000002E-2</v>
      </c>
      <c r="K970">
        <v>4.0995999999999998E-2</v>
      </c>
      <c r="L970">
        <v>3.8427999999999997E-2</v>
      </c>
      <c r="M970">
        <v>3.5052E-2</v>
      </c>
      <c r="N970">
        <v>2.6494E-2</v>
      </c>
      <c r="O970">
        <v>1.5455E-2</v>
      </c>
      <c r="P970">
        <v>1.9474000000000002E-2</v>
      </c>
      <c r="Q970">
        <v>2.8209000000000001E-2</v>
      </c>
      <c r="R970">
        <v>3.6047000000000003E-2</v>
      </c>
      <c r="S970">
        <v>1.9973999999999999E-2</v>
      </c>
      <c r="T970">
        <v>2.0379000000000001E-2</v>
      </c>
      <c r="U970">
        <v>2.6946999999999999E-2</v>
      </c>
      <c r="V970">
        <v>2.3823E-2</v>
      </c>
      <c r="W970">
        <v>3.2987000000000002E-2</v>
      </c>
      <c r="X970">
        <v>1.5603000000000001E-2</v>
      </c>
      <c r="Y970">
        <v>2.3757E-2</v>
      </c>
      <c r="Z970">
        <v>3.8939000000000001E-2</v>
      </c>
      <c r="AA970">
        <v>3.2243000000000001E-2</v>
      </c>
      <c r="AB970">
        <v>5.3172999999999998E-2</v>
      </c>
    </row>
    <row r="971" spans="1:28" x14ac:dyDescent="0.2">
      <c r="A971">
        <v>20121031</v>
      </c>
      <c r="B971">
        <v>2012</v>
      </c>
      <c r="C971">
        <v>10</v>
      </c>
      <c r="D971">
        <v>-5.6041000000000001E-2</v>
      </c>
      <c r="E971">
        <v>-4.4291999999999998E-2</v>
      </c>
      <c r="F971">
        <v>-3.7449000000000003E-2</v>
      </c>
      <c r="G971">
        <v>-3.4514999999999997E-2</v>
      </c>
      <c r="H971">
        <v>-1.1847999999999999E-2</v>
      </c>
      <c r="I971">
        <v>-6.0188999999999999E-2</v>
      </c>
      <c r="J971">
        <v>-2.2669000000000002E-2</v>
      </c>
      <c r="K971">
        <v>-1.1498E-2</v>
      </c>
      <c r="L971">
        <v>-1.7988000000000001E-2</v>
      </c>
      <c r="M971">
        <v>-1.0151E-2</v>
      </c>
      <c r="N971">
        <v>-3.9704000000000003E-2</v>
      </c>
      <c r="O971">
        <v>3.5430000000000001E-3</v>
      </c>
      <c r="P971">
        <v>-4.2469999999999999E-3</v>
      </c>
      <c r="Q971">
        <v>7.2119999999999997E-3</v>
      </c>
      <c r="R971">
        <v>5.9199999999999997E-4</v>
      </c>
      <c r="S971">
        <v>-1.1981E-2</v>
      </c>
      <c r="T971">
        <v>1.2899999999999999E-4</v>
      </c>
      <c r="U971">
        <v>-7.4229999999999999E-3</v>
      </c>
      <c r="V971">
        <v>1.4008E-2</v>
      </c>
      <c r="W971">
        <v>1.099E-2</v>
      </c>
      <c r="X971">
        <v>-4.0508000000000002E-2</v>
      </c>
      <c r="Y971">
        <v>-9.6520000000000009E-3</v>
      </c>
      <c r="Z971">
        <v>-1.5873000000000002E-2</v>
      </c>
      <c r="AA971">
        <v>-1.8432E-2</v>
      </c>
      <c r="AB971">
        <v>4.0016000000000003E-2</v>
      </c>
    </row>
    <row r="972" spans="1:28" x14ac:dyDescent="0.2">
      <c r="A972">
        <v>20121130</v>
      </c>
      <c r="B972">
        <v>2012</v>
      </c>
      <c r="C972">
        <v>11</v>
      </c>
      <c r="D972">
        <v>-6.2389999999999998E-3</v>
      </c>
      <c r="E972">
        <v>1.9165999999999999E-2</v>
      </c>
      <c r="F972">
        <v>7.6860000000000001E-3</v>
      </c>
      <c r="G972">
        <v>-5.2919999999999998E-3</v>
      </c>
      <c r="H972">
        <v>1.1513000000000001E-2</v>
      </c>
      <c r="I972">
        <v>-5.9239999999999996E-3</v>
      </c>
      <c r="J972">
        <v>4.3270000000000001E-3</v>
      </c>
      <c r="K972">
        <v>4.2490000000000002E-3</v>
      </c>
      <c r="L972">
        <v>4.5919999999999997E-3</v>
      </c>
      <c r="M972">
        <v>2.6845000000000001E-2</v>
      </c>
      <c r="N972">
        <v>2.8657999999999999E-2</v>
      </c>
      <c r="O972">
        <v>3.4549999999999997E-2</v>
      </c>
      <c r="P972">
        <v>2.5727E-2</v>
      </c>
      <c r="Q972">
        <v>1.3476E-2</v>
      </c>
      <c r="R972">
        <v>9.6970000000000008E-3</v>
      </c>
      <c r="S972">
        <v>2.8670999999999999E-2</v>
      </c>
      <c r="T972">
        <v>3.1517000000000003E-2</v>
      </c>
      <c r="U972">
        <v>6.4450000000000002E-3</v>
      </c>
      <c r="V972">
        <v>-4.5999999999999999E-3</v>
      </c>
      <c r="W972">
        <v>8.6110000000000006E-3</v>
      </c>
      <c r="X972">
        <v>1.6972000000000001E-2</v>
      </c>
      <c r="Y972">
        <v>2.1930000000000001E-3</v>
      </c>
      <c r="Z972">
        <v>-4.8900000000000002E-3</v>
      </c>
      <c r="AA972">
        <v>-5.8100000000000001E-3</v>
      </c>
      <c r="AB972">
        <v>-1.4387E-2</v>
      </c>
    </row>
    <row r="973" spans="1:28" x14ac:dyDescent="0.2">
      <c r="A973">
        <v>20121231</v>
      </c>
      <c r="B973">
        <v>2012</v>
      </c>
      <c r="C973">
        <v>12</v>
      </c>
      <c r="D973">
        <v>3.4020000000000001E-3</v>
      </c>
      <c r="E973">
        <v>3.6720000000000003E-2</v>
      </c>
      <c r="F973">
        <v>3.9518999999999999E-2</v>
      </c>
      <c r="G973">
        <v>4.4356E-2</v>
      </c>
      <c r="H973">
        <v>4.4478999999999998E-2</v>
      </c>
      <c r="I973">
        <v>3.8455999999999997E-2</v>
      </c>
      <c r="J973">
        <v>3.1206000000000001E-2</v>
      </c>
      <c r="K973">
        <v>3.857E-2</v>
      </c>
      <c r="L973">
        <v>3.6088000000000002E-2</v>
      </c>
      <c r="M973">
        <v>4.8295999999999999E-2</v>
      </c>
      <c r="N973">
        <v>2.4111E-2</v>
      </c>
      <c r="O973">
        <v>3.8337000000000003E-2</v>
      </c>
      <c r="P973">
        <v>2.1805000000000001E-2</v>
      </c>
      <c r="Q973">
        <v>2.7587E-2</v>
      </c>
      <c r="R973">
        <v>4.6262999999999999E-2</v>
      </c>
      <c r="S973">
        <v>1.8787999999999999E-2</v>
      </c>
      <c r="T973">
        <v>2.2407E-2</v>
      </c>
      <c r="U973">
        <v>3.3748E-2</v>
      </c>
      <c r="V973">
        <v>3.9509000000000002E-2</v>
      </c>
      <c r="W973">
        <v>3.1848000000000001E-2</v>
      </c>
      <c r="X973">
        <v>-1.0500000000000001E-2</v>
      </c>
      <c r="Y973">
        <v>-1.614E-3</v>
      </c>
      <c r="Z973">
        <v>1.6934999999999999E-2</v>
      </c>
      <c r="AA973">
        <v>1.5143999999999999E-2</v>
      </c>
      <c r="AB973">
        <v>7.4980000000000005E-2</v>
      </c>
    </row>
    <row r="974" spans="1:28" x14ac:dyDescent="0.2">
      <c r="A974">
        <v>20130131</v>
      </c>
      <c r="B974">
        <v>2013</v>
      </c>
      <c r="C974">
        <v>1</v>
      </c>
      <c r="D974">
        <v>6.6974000000000006E-2</v>
      </c>
      <c r="E974">
        <v>4.2828999999999999E-2</v>
      </c>
      <c r="F974">
        <v>6.0109999999999997E-2</v>
      </c>
      <c r="G974">
        <v>5.5821999999999997E-2</v>
      </c>
      <c r="H974">
        <v>5.6356000000000003E-2</v>
      </c>
      <c r="I974">
        <v>7.6590000000000005E-2</v>
      </c>
      <c r="J974">
        <v>6.2905000000000003E-2</v>
      </c>
      <c r="K974">
        <v>6.4485000000000001E-2</v>
      </c>
      <c r="L974">
        <v>7.7058000000000001E-2</v>
      </c>
      <c r="M974">
        <v>4.0509000000000003E-2</v>
      </c>
      <c r="N974">
        <v>5.3628000000000002E-2</v>
      </c>
      <c r="O974">
        <v>6.3228000000000006E-2</v>
      </c>
      <c r="P974">
        <v>6.3335000000000002E-2</v>
      </c>
      <c r="Q974">
        <v>6.6405000000000006E-2</v>
      </c>
      <c r="R974">
        <v>8.5929000000000005E-2</v>
      </c>
      <c r="S974">
        <v>7.3357000000000006E-2</v>
      </c>
      <c r="T974">
        <v>6.6655000000000006E-2</v>
      </c>
      <c r="U974">
        <v>7.6642000000000002E-2</v>
      </c>
      <c r="V974">
        <v>8.5504999999999998E-2</v>
      </c>
      <c r="W974">
        <v>9.3833E-2</v>
      </c>
      <c r="X974">
        <v>3.6108000000000001E-2</v>
      </c>
      <c r="Y974">
        <v>5.4074999999999998E-2</v>
      </c>
      <c r="Z974">
        <v>5.6548000000000001E-2</v>
      </c>
      <c r="AA974">
        <v>6.5886E-2</v>
      </c>
      <c r="AB974">
        <v>6.7643999999999996E-2</v>
      </c>
    </row>
    <row r="975" spans="1:28" x14ac:dyDescent="0.2">
      <c r="A975">
        <v>20130228</v>
      </c>
      <c r="B975">
        <v>2013</v>
      </c>
      <c r="C975">
        <v>2</v>
      </c>
      <c r="D975">
        <v>-1.2635E-2</v>
      </c>
      <c r="E975">
        <v>-1.776E-3</v>
      </c>
      <c r="F975">
        <v>-5.9740000000000001E-3</v>
      </c>
      <c r="G975">
        <v>1.9268E-2</v>
      </c>
      <c r="H975">
        <v>1.5903E-2</v>
      </c>
      <c r="I975">
        <v>1.0104999999999999E-2</v>
      </c>
      <c r="J975">
        <v>1.2848E-2</v>
      </c>
      <c r="K975">
        <v>7.2630000000000004E-3</v>
      </c>
      <c r="L975">
        <v>2.0212999999999998E-2</v>
      </c>
      <c r="M975">
        <v>1.1364000000000001E-2</v>
      </c>
      <c r="N975">
        <v>5.4320000000000002E-3</v>
      </c>
      <c r="O975">
        <v>9.8359999999999993E-3</v>
      </c>
      <c r="P975">
        <v>1.1837E-2</v>
      </c>
      <c r="Q975">
        <v>2.0278000000000001E-2</v>
      </c>
      <c r="R975">
        <v>1.174E-2</v>
      </c>
      <c r="S975">
        <v>7.1580000000000003E-3</v>
      </c>
      <c r="T975">
        <v>1.4977000000000001E-2</v>
      </c>
      <c r="U975">
        <v>1.8929000000000001E-2</v>
      </c>
      <c r="V975">
        <v>1.647E-3</v>
      </c>
      <c r="W975">
        <v>2.6922000000000001E-2</v>
      </c>
      <c r="X975">
        <v>9.476E-3</v>
      </c>
      <c r="Y975">
        <v>1.4179000000000001E-2</v>
      </c>
      <c r="Z975">
        <v>1.9687E-2</v>
      </c>
      <c r="AA975">
        <v>2.9335E-2</v>
      </c>
      <c r="AB975">
        <v>1.84E-4</v>
      </c>
    </row>
    <row r="976" spans="1:28" x14ac:dyDescent="0.2">
      <c r="A976">
        <v>20130328</v>
      </c>
      <c r="B976">
        <v>2013</v>
      </c>
      <c r="C976">
        <v>3</v>
      </c>
      <c r="D976">
        <v>7.5616000000000003E-2</v>
      </c>
      <c r="E976">
        <v>6.7473000000000005E-2</v>
      </c>
      <c r="F976">
        <v>5.0441E-2</v>
      </c>
      <c r="G976">
        <v>3.9355000000000001E-2</v>
      </c>
      <c r="H976">
        <v>4.5695E-2</v>
      </c>
      <c r="I976">
        <v>5.2173999999999998E-2</v>
      </c>
      <c r="J976">
        <v>4.7392999999999998E-2</v>
      </c>
      <c r="K976">
        <v>3.9224000000000002E-2</v>
      </c>
      <c r="L976">
        <v>4.4722999999999999E-2</v>
      </c>
      <c r="M976">
        <v>4.2678000000000001E-2</v>
      </c>
      <c r="N976">
        <v>4.1259999999999998E-2</v>
      </c>
      <c r="O976">
        <v>4.7349000000000002E-2</v>
      </c>
      <c r="P976">
        <v>5.8068000000000002E-2</v>
      </c>
      <c r="Q976">
        <v>3.1601999999999998E-2</v>
      </c>
      <c r="R976">
        <v>6.1039999999999997E-2</v>
      </c>
      <c r="S976">
        <v>3.9717000000000002E-2</v>
      </c>
      <c r="T976">
        <v>4.2458999999999997E-2</v>
      </c>
      <c r="U976">
        <v>5.4345999999999998E-2</v>
      </c>
      <c r="V976">
        <v>5.2519999999999997E-2</v>
      </c>
      <c r="W976">
        <v>5.9718E-2</v>
      </c>
      <c r="X976">
        <v>3.6589000000000003E-2</v>
      </c>
      <c r="Y976">
        <v>3.3625000000000002E-2</v>
      </c>
      <c r="Z976">
        <v>4.2151000000000001E-2</v>
      </c>
      <c r="AA976">
        <v>4.5953000000000001E-2</v>
      </c>
      <c r="AB976">
        <v>3.2177999999999998E-2</v>
      </c>
    </row>
    <row r="977" spans="1:28" x14ac:dyDescent="0.2">
      <c r="A977">
        <v>20130430</v>
      </c>
      <c r="B977">
        <v>2013</v>
      </c>
      <c r="C977">
        <v>4</v>
      </c>
      <c r="D977">
        <v>-9.0499999999999999E-4</v>
      </c>
      <c r="E977">
        <v>-3.2910000000000001E-3</v>
      </c>
      <c r="F977">
        <v>-9.7619999999999998E-3</v>
      </c>
      <c r="G977">
        <v>-7.6420000000000004E-3</v>
      </c>
      <c r="H977">
        <v>8.3689999999999997E-3</v>
      </c>
      <c r="I977">
        <v>-1.2652999999999999E-2</v>
      </c>
      <c r="J977">
        <v>-1.7741E-2</v>
      </c>
      <c r="K977">
        <v>-1.1276E-2</v>
      </c>
      <c r="L977">
        <v>-1.5406E-2</v>
      </c>
      <c r="M977">
        <v>1.5632E-2</v>
      </c>
      <c r="N977">
        <v>-1.9658999999999999E-2</v>
      </c>
      <c r="O977">
        <v>6.672E-3</v>
      </c>
      <c r="P977">
        <v>-7.4009999999999996E-3</v>
      </c>
      <c r="Q977">
        <v>-9.0559999999999998E-3</v>
      </c>
      <c r="R977">
        <v>-1.6833999999999998E-2</v>
      </c>
      <c r="S977">
        <v>9.3950000000000006E-3</v>
      </c>
      <c r="T977">
        <v>1.2156999999999999E-2</v>
      </c>
      <c r="U977">
        <v>1.9699999999999999E-4</v>
      </c>
      <c r="V977">
        <v>1.5465E-2</v>
      </c>
      <c r="W977">
        <v>8.4749999999999999E-3</v>
      </c>
      <c r="X977">
        <v>1.8603000000000001E-2</v>
      </c>
      <c r="Y977">
        <v>1.5415999999999999E-2</v>
      </c>
      <c r="Z977">
        <v>2.4264999999999998E-2</v>
      </c>
      <c r="AA977">
        <v>1.5422999999999999E-2</v>
      </c>
      <c r="AB977">
        <v>3.3363999999999998E-2</v>
      </c>
    </row>
    <row r="978" spans="1:28" x14ac:dyDescent="0.2">
      <c r="A978">
        <v>20130531</v>
      </c>
      <c r="B978">
        <v>2013</v>
      </c>
      <c r="C978">
        <v>5</v>
      </c>
      <c r="D978">
        <v>7.8063999999999995E-2</v>
      </c>
      <c r="E978">
        <v>4.0386999999999999E-2</v>
      </c>
      <c r="F978">
        <v>3.6475E-2</v>
      </c>
      <c r="G978">
        <v>6.5017000000000005E-2</v>
      </c>
      <c r="H978">
        <v>4.1340000000000002E-2</v>
      </c>
      <c r="I978">
        <v>5.4514E-2</v>
      </c>
      <c r="J978">
        <v>4.4428000000000002E-2</v>
      </c>
      <c r="K978">
        <v>5.9910999999999999E-2</v>
      </c>
      <c r="L978">
        <v>4.8601999999999999E-2</v>
      </c>
      <c r="M978">
        <v>7.8307000000000002E-2</v>
      </c>
      <c r="N978">
        <v>3.0776999999999999E-2</v>
      </c>
      <c r="O978">
        <v>5.5891999999999997E-2</v>
      </c>
      <c r="P978">
        <v>4.3721000000000003E-2</v>
      </c>
      <c r="Q978">
        <v>5.1808E-2</v>
      </c>
      <c r="R978">
        <v>4.1908000000000001E-2</v>
      </c>
      <c r="S978">
        <v>3.6977999999999997E-2</v>
      </c>
      <c r="T978">
        <v>3.7186999999999998E-2</v>
      </c>
      <c r="U978">
        <v>1.3911E-2</v>
      </c>
      <c r="V978">
        <v>3.184E-2</v>
      </c>
      <c r="W978">
        <v>5.0036999999999998E-2</v>
      </c>
      <c r="X978">
        <v>1.9445E-2</v>
      </c>
      <c r="Y978">
        <v>2.3538E-2</v>
      </c>
      <c r="Z978">
        <v>5.3270000000000001E-3</v>
      </c>
      <c r="AA978">
        <v>1.9425999999999999E-2</v>
      </c>
      <c r="AB978">
        <v>8.7881000000000001E-2</v>
      </c>
    </row>
    <row r="979" spans="1:28" x14ac:dyDescent="0.2">
      <c r="A979">
        <v>20130628</v>
      </c>
      <c r="B979">
        <v>2013</v>
      </c>
      <c r="C979">
        <v>6</v>
      </c>
      <c r="D979">
        <v>-8.2070000000000008E-3</v>
      </c>
      <c r="E979">
        <v>-6.4409999999999997E-3</v>
      </c>
      <c r="F979">
        <v>1.6053999999999999E-2</v>
      </c>
      <c r="G979">
        <v>1.4416E-2</v>
      </c>
      <c r="H979">
        <v>1.312E-3</v>
      </c>
      <c r="I979">
        <v>1.8430999999999999E-2</v>
      </c>
      <c r="J979">
        <v>-8.7200000000000005E-4</v>
      </c>
      <c r="K979">
        <v>-4.6909999999999999E-3</v>
      </c>
      <c r="L979">
        <v>-9.6500000000000006E-3</v>
      </c>
      <c r="M979">
        <v>-4.8269999999999997E-3</v>
      </c>
      <c r="N979">
        <v>-1.8439999999999999E-3</v>
      </c>
      <c r="O979">
        <v>-1.1193E-2</v>
      </c>
      <c r="P979">
        <v>-1.4805E-2</v>
      </c>
      <c r="Q979">
        <v>-8.7709999999999993E-3</v>
      </c>
      <c r="R979">
        <v>-4.3299999999999996E-3</v>
      </c>
      <c r="S979">
        <v>-2.0445999999999999E-2</v>
      </c>
      <c r="T979">
        <v>-2.2218000000000002E-2</v>
      </c>
      <c r="U979">
        <v>-9.7890000000000008E-3</v>
      </c>
      <c r="V979">
        <v>-2.2815999999999999E-2</v>
      </c>
      <c r="W979">
        <v>-1.2403000000000001E-2</v>
      </c>
      <c r="X979">
        <v>-2.7581000000000001E-2</v>
      </c>
      <c r="Y979">
        <v>-2.9780000000000002E-3</v>
      </c>
      <c r="Z979">
        <v>2.032E-3</v>
      </c>
      <c r="AA979">
        <v>-1.6100000000000001E-4</v>
      </c>
      <c r="AB979">
        <v>-2.9269E-2</v>
      </c>
    </row>
    <row r="980" spans="1:28" x14ac:dyDescent="0.2">
      <c r="A980">
        <v>20130731</v>
      </c>
      <c r="B980">
        <v>2013</v>
      </c>
      <c r="C980">
        <v>7</v>
      </c>
      <c r="D980">
        <v>7.5235999999999997E-2</v>
      </c>
      <c r="E980">
        <v>9.5908999999999994E-2</v>
      </c>
      <c r="F980">
        <v>7.8118999999999994E-2</v>
      </c>
      <c r="G980">
        <v>8.6013000000000006E-2</v>
      </c>
      <c r="H980">
        <v>7.4636999999999995E-2</v>
      </c>
      <c r="I980">
        <v>6.7208000000000004E-2</v>
      </c>
      <c r="J980">
        <v>7.1623000000000006E-2</v>
      </c>
      <c r="K980">
        <v>6.7155999999999993E-2</v>
      </c>
      <c r="L980">
        <v>6.8990999999999997E-2</v>
      </c>
      <c r="M980">
        <v>7.9246999999999998E-2</v>
      </c>
      <c r="N980">
        <v>8.5462999999999997E-2</v>
      </c>
      <c r="O980">
        <v>6.9901000000000005E-2</v>
      </c>
      <c r="P980">
        <v>6.1629000000000003E-2</v>
      </c>
      <c r="Q980">
        <v>8.0710000000000004E-2</v>
      </c>
      <c r="R980">
        <v>9.0583999999999998E-2</v>
      </c>
      <c r="S980">
        <v>7.9739000000000004E-2</v>
      </c>
      <c r="T980">
        <v>4.4477000000000003E-2</v>
      </c>
      <c r="U980">
        <v>6.3011999999999999E-2</v>
      </c>
      <c r="V980">
        <v>7.6521000000000006E-2</v>
      </c>
      <c r="W980">
        <v>5.7647999999999998E-2</v>
      </c>
      <c r="X980">
        <v>5.2596999999999998E-2</v>
      </c>
      <c r="Y980">
        <v>4.8957000000000001E-2</v>
      </c>
      <c r="Z980">
        <v>4.6760999999999997E-2</v>
      </c>
      <c r="AA980">
        <v>5.0194999999999997E-2</v>
      </c>
      <c r="AB980">
        <v>6.8912000000000001E-2</v>
      </c>
    </row>
    <row r="981" spans="1:28" x14ac:dyDescent="0.2">
      <c r="A981">
        <v>20130830</v>
      </c>
      <c r="B981">
        <v>2013</v>
      </c>
      <c r="C981">
        <v>8</v>
      </c>
      <c r="D981">
        <v>-2.3064000000000001E-2</v>
      </c>
      <c r="E981">
        <v>-2.4424999999999999E-2</v>
      </c>
      <c r="F981">
        <v>-2.7262000000000002E-2</v>
      </c>
      <c r="G981">
        <v>-3.4868999999999997E-2</v>
      </c>
      <c r="H981">
        <v>-3.2974000000000003E-2</v>
      </c>
      <c r="I981">
        <v>-4.4510000000000001E-3</v>
      </c>
      <c r="J981">
        <v>-1.5047E-2</v>
      </c>
      <c r="K981">
        <v>-3.2210999999999997E-2</v>
      </c>
      <c r="L981">
        <v>-3.5255000000000002E-2</v>
      </c>
      <c r="M981">
        <v>-3.7630999999999998E-2</v>
      </c>
      <c r="N981">
        <v>-1.8697999999999999E-2</v>
      </c>
      <c r="O981">
        <v>-2.0056999999999998E-2</v>
      </c>
      <c r="P981">
        <v>-3.5666999999999997E-2</v>
      </c>
      <c r="Q981">
        <v>-4.4788000000000001E-2</v>
      </c>
      <c r="R981">
        <v>-4.0582E-2</v>
      </c>
      <c r="S981">
        <v>-1.5899E-2</v>
      </c>
      <c r="T981">
        <v>-1.9802E-2</v>
      </c>
      <c r="U981">
        <v>-3.3978000000000001E-2</v>
      </c>
      <c r="V981">
        <v>-3.0263000000000002E-2</v>
      </c>
      <c r="W981">
        <v>-2.9602E-2</v>
      </c>
      <c r="X981">
        <v>-9.5469999999999999E-3</v>
      </c>
      <c r="Y981">
        <v>-3.3105999999999997E-2</v>
      </c>
      <c r="Z981">
        <v>-3.4672000000000001E-2</v>
      </c>
      <c r="AA981">
        <v>-3.6170000000000001E-2</v>
      </c>
      <c r="AB981">
        <v>-4.4519000000000003E-2</v>
      </c>
    </row>
    <row r="982" spans="1:28" x14ac:dyDescent="0.2">
      <c r="A982">
        <v>20130930</v>
      </c>
      <c r="B982">
        <v>2013</v>
      </c>
      <c r="C982">
        <v>9</v>
      </c>
      <c r="D982">
        <v>7.4597999999999998E-2</v>
      </c>
      <c r="E982">
        <v>8.0443000000000001E-2</v>
      </c>
      <c r="F982">
        <v>6.3988000000000003E-2</v>
      </c>
      <c r="G982">
        <v>6.7357E-2</v>
      </c>
      <c r="H982">
        <v>6.2052999999999997E-2</v>
      </c>
      <c r="I982">
        <v>7.0235000000000006E-2</v>
      </c>
      <c r="J982">
        <v>6.0964999999999998E-2</v>
      </c>
      <c r="K982">
        <v>7.4026999999999996E-2</v>
      </c>
      <c r="L982">
        <v>5.9718E-2</v>
      </c>
      <c r="M982">
        <v>5.5342000000000002E-2</v>
      </c>
      <c r="N982">
        <v>6.0058E-2</v>
      </c>
      <c r="O982">
        <v>5.9506000000000003E-2</v>
      </c>
      <c r="P982">
        <v>5.6974999999999998E-2</v>
      </c>
      <c r="Q982">
        <v>5.2108000000000002E-2</v>
      </c>
      <c r="R982">
        <v>4.2403999999999997E-2</v>
      </c>
      <c r="S982">
        <v>5.4414999999999998E-2</v>
      </c>
      <c r="T982">
        <v>5.9158000000000002E-2</v>
      </c>
      <c r="U982">
        <v>4.8335999999999997E-2</v>
      </c>
      <c r="V982">
        <v>5.4854E-2</v>
      </c>
      <c r="W982">
        <v>4.4896999999999999E-2</v>
      </c>
      <c r="X982">
        <v>4.2101E-2</v>
      </c>
      <c r="Y982">
        <v>2.6193000000000001E-2</v>
      </c>
      <c r="Z982">
        <v>2.4143000000000001E-2</v>
      </c>
      <c r="AA982">
        <v>2.7747000000000001E-2</v>
      </c>
      <c r="AB982">
        <v>2.0388E-2</v>
      </c>
    </row>
    <row r="983" spans="1:28" x14ac:dyDescent="0.2">
      <c r="A983">
        <v>20131031</v>
      </c>
      <c r="B983">
        <v>2013</v>
      </c>
      <c r="C983">
        <v>10</v>
      </c>
      <c r="D983">
        <v>-6.2630000000000003E-3</v>
      </c>
      <c r="E983">
        <v>1.4074E-2</v>
      </c>
      <c r="F983">
        <v>2.5715999999999999E-2</v>
      </c>
      <c r="G983">
        <v>3.4687999999999997E-2</v>
      </c>
      <c r="H983">
        <v>2.8604999999999998E-2</v>
      </c>
      <c r="I983">
        <v>8.2799999999999992E-3</v>
      </c>
      <c r="J983">
        <v>6.1799999999999997E-3</v>
      </c>
      <c r="K983">
        <v>1.6205000000000001E-2</v>
      </c>
      <c r="L983">
        <v>4.9473000000000003E-2</v>
      </c>
      <c r="M983">
        <v>3.7463000000000003E-2</v>
      </c>
      <c r="N983">
        <v>3.3252999999999998E-2</v>
      </c>
      <c r="O983">
        <v>3.4809E-2</v>
      </c>
      <c r="P983">
        <v>3.1688000000000001E-2</v>
      </c>
      <c r="Q983">
        <v>4.2323E-2</v>
      </c>
      <c r="R983">
        <v>5.9809000000000001E-2</v>
      </c>
      <c r="S983">
        <v>2.0688000000000002E-2</v>
      </c>
      <c r="T983">
        <v>3.9461000000000003E-2</v>
      </c>
      <c r="U983">
        <v>2.7951E-2</v>
      </c>
      <c r="V983">
        <v>4.2085999999999998E-2</v>
      </c>
      <c r="W983">
        <v>6.2212999999999997E-2</v>
      </c>
      <c r="X983">
        <v>4.7847000000000001E-2</v>
      </c>
      <c r="Y983">
        <v>4.5134000000000001E-2</v>
      </c>
      <c r="Z983">
        <v>5.2509E-2</v>
      </c>
      <c r="AA983">
        <v>3.5238999999999999E-2</v>
      </c>
      <c r="AB983">
        <v>3.6351000000000001E-2</v>
      </c>
    </row>
    <row r="984" spans="1:28" x14ac:dyDescent="0.2">
      <c r="A984">
        <v>20131129</v>
      </c>
      <c r="B984">
        <v>2013</v>
      </c>
      <c r="C984">
        <v>11</v>
      </c>
      <c r="D984">
        <v>7.7394000000000004E-2</v>
      </c>
      <c r="E984">
        <v>5.8382000000000003E-2</v>
      </c>
      <c r="F984">
        <v>5.6189000000000003E-2</v>
      </c>
      <c r="G984">
        <v>7.2551000000000004E-2</v>
      </c>
      <c r="H984">
        <v>4.5858999999999997E-2</v>
      </c>
      <c r="I984">
        <v>5.9218E-2</v>
      </c>
      <c r="J984">
        <v>3.4075000000000001E-2</v>
      </c>
      <c r="K984">
        <v>3.5640999999999999E-2</v>
      </c>
      <c r="L984">
        <v>2.9929000000000001E-2</v>
      </c>
      <c r="M984">
        <v>5.2415999999999997E-2</v>
      </c>
      <c r="N984">
        <v>3.0943999999999999E-2</v>
      </c>
      <c r="O984">
        <v>3.2648000000000003E-2</v>
      </c>
      <c r="P984">
        <v>3.2469999999999999E-2</v>
      </c>
      <c r="Q984">
        <v>2.7612999999999999E-2</v>
      </c>
      <c r="R984">
        <v>3.5882999999999998E-2</v>
      </c>
      <c r="S984">
        <v>2.0208E-2</v>
      </c>
      <c r="T984">
        <v>1.7173000000000001E-2</v>
      </c>
      <c r="U984">
        <v>1.0305E-2</v>
      </c>
      <c r="V984">
        <v>-2.0500000000000002E-3</v>
      </c>
      <c r="W984">
        <v>2.6918999999999998E-2</v>
      </c>
      <c r="X984">
        <v>3.6361999999999998E-2</v>
      </c>
      <c r="Y984">
        <v>3.0567E-2</v>
      </c>
      <c r="Z984">
        <v>1.3938000000000001E-2</v>
      </c>
      <c r="AA984">
        <v>2.2638999999999999E-2</v>
      </c>
      <c r="AB984">
        <v>5.8986999999999998E-2</v>
      </c>
    </row>
    <row r="985" spans="1:28" x14ac:dyDescent="0.2">
      <c r="A985">
        <v>20131231</v>
      </c>
      <c r="B985">
        <v>2013</v>
      </c>
      <c r="C985">
        <v>12</v>
      </c>
      <c r="D985">
        <v>2.4213999999999999E-2</v>
      </c>
      <c r="E985">
        <v>3.7844000000000003E-2</v>
      </c>
      <c r="F985">
        <v>2.0988E-2</v>
      </c>
      <c r="G985">
        <v>1.3365E-2</v>
      </c>
      <c r="H985">
        <v>1.5221E-2</v>
      </c>
      <c r="I985">
        <v>2.6779000000000001E-2</v>
      </c>
      <c r="J985">
        <v>5.6509999999999998E-3</v>
      </c>
      <c r="K985">
        <v>3.4946999999999999E-2</v>
      </c>
      <c r="L985">
        <v>1.5442000000000001E-2</v>
      </c>
      <c r="M985">
        <v>1.3101E-2</v>
      </c>
      <c r="N985">
        <v>1.6386999999999999E-2</v>
      </c>
      <c r="O985">
        <v>3.9773000000000003E-2</v>
      </c>
      <c r="P985">
        <v>3.1643999999999999E-2</v>
      </c>
      <c r="Q985">
        <v>3.0983E-2</v>
      </c>
      <c r="R985">
        <v>2.2207000000000001E-2</v>
      </c>
      <c r="S985">
        <v>3.1566999999999998E-2</v>
      </c>
      <c r="T985">
        <v>3.3961999999999999E-2</v>
      </c>
      <c r="U985">
        <v>3.1022000000000001E-2</v>
      </c>
      <c r="V985">
        <v>3.6558E-2</v>
      </c>
      <c r="W985">
        <v>2.6238999999999998E-2</v>
      </c>
      <c r="X985">
        <v>2.3570000000000001E-2</v>
      </c>
      <c r="Y985">
        <v>2.6249000000000001E-2</v>
      </c>
      <c r="Z985">
        <v>3.8175000000000001E-2</v>
      </c>
      <c r="AA985">
        <v>2.4798000000000001E-2</v>
      </c>
      <c r="AB985">
        <v>1.8922000000000001E-2</v>
      </c>
    </row>
    <row r="986" spans="1:28" x14ac:dyDescent="0.2">
      <c r="A986">
        <v>20140131</v>
      </c>
      <c r="B986">
        <v>2014</v>
      </c>
      <c r="C986">
        <v>1</v>
      </c>
      <c r="D986">
        <v>2.6161E-2</v>
      </c>
      <c r="E986">
        <v>-2.8835E-2</v>
      </c>
      <c r="F986">
        <v>-1.7894E-2</v>
      </c>
      <c r="G986">
        <v>-4.1654999999999998E-2</v>
      </c>
      <c r="H986">
        <v>-2.8354000000000001E-2</v>
      </c>
      <c r="I986">
        <v>2.5500000000000002E-4</v>
      </c>
      <c r="J986">
        <v>-2.0535000000000001E-2</v>
      </c>
      <c r="K986">
        <v>-5.4463999999999999E-2</v>
      </c>
      <c r="L986">
        <v>-4.5193999999999998E-2</v>
      </c>
      <c r="M986">
        <v>-5.8664000000000001E-2</v>
      </c>
      <c r="N986">
        <v>-2.8119999999999998E-3</v>
      </c>
      <c r="O986">
        <v>-3.7113E-2</v>
      </c>
      <c r="P986">
        <v>-4.9505E-2</v>
      </c>
      <c r="Q986">
        <v>-1.5053E-2</v>
      </c>
      <c r="R986">
        <v>-2.3928000000000001E-2</v>
      </c>
      <c r="S986">
        <v>-2.5037E-2</v>
      </c>
      <c r="T986">
        <v>-3.6158999999999997E-2</v>
      </c>
      <c r="U986">
        <v>-7.1349999999999998E-3</v>
      </c>
      <c r="V986">
        <v>-2.7272999999999999E-2</v>
      </c>
      <c r="W986">
        <v>-5.9205000000000001E-2</v>
      </c>
      <c r="X986">
        <v>-3.8207999999999999E-2</v>
      </c>
      <c r="Y986">
        <v>-2.9190000000000001E-2</v>
      </c>
      <c r="Z986">
        <v>-2.9613E-2</v>
      </c>
      <c r="AA986">
        <v>-4.7626000000000002E-2</v>
      </c>
      <c r="AB986">
        <v>-4.0083000000000001E-2</v>
      </c>
    </row>
    <row r="987" spans="1:28" x14ac:dyDescent="0.2">
      <c r="A987">
        <v>20140228</v>
      </c>
      <c r="B987">
        <v>2014</v>
      </c>
      <c r="C987">
        <v>2</v>
      </c>
      <c r="D987">
        <v>4.7564000000000002E-2</v>
      </c>
      <c r="E987">
        <v>2.4627E-2</v>
      </c>
      <c r="F987">
        <v>4.0542000000000002E-2</v>
      </c>
      <c r="G987">
        <v>5.9150000000000001E-2</v>
      </c>
      <c r="H987">
        <v>4.6635000000000003E-2</v>
      </c>
      <c r="I987">
        <v>4.6205999999999997E-2</v>
      </c>
      <c r="J987">
        <v>4.3434E-2</v>
      </c>
      <c r="K987">
        <v>5.1711E-2</v>
      </c>
      <c r="L987">
        <v>5.3155000000000001E-2</v>
      </c>
      <c r="M987">
        <v>4.0482999999999998E-2</v>
      </c>
      <c r="N987">
        <v>6.7476999999999995E-2</v>
      </c>
      <c r="O987">
        <v>4.4172999999999997E-2</v>
      </c>
      <c r="P987">
        <v>4.9098000000000003E-2</v>
      </c>
      <c r="Q987">
        <v>6.2247999999999998E-2</v>
      </c>
      <c r="R987">
        <v>4.2001999999999998E-2</v>
      </c>
      <c r="S987">
        <v>5.8990000000000001E-2</v>
      </c>
      <c r="T987">
        <v>6.0430999999999999E-2</v>
      </c>
      <c r="U987">
        <v>5.0014000000000003E-2</v>
      </c>
      <c r="V987">
        <v>4.9548000000000002E-2</v>
      </c>
      <c r="W987">
        <v>5.8763999999999997E-2</v>
      </c>
      <c r="X987">
        <v>5.0944000000000003E-2</v>
      </c>
      <c r="Y987">
        <v>5.0196999999999999E-2</v>
      </c>
      <c r="Z987">
        <v>2.9647E-2</v>
      </c>
      <c r="AA987">
        <v>4.1546E-2</v>
      </c>
      <c r="AB987">
        <v>2.5604999999999999E-2</v>
      </c>
    </row>
    <row r="988" spans="1:28" x14ac:dyDescent="0.2">
      <c r="A988">
        <v>20140331</v>
      </c>
      <c r="B988">
        <v>2014</v>
      </c>
      <c r="C988">
        <v>3</v>
      </c>
      <c r="D988">
        <v>-4.2111000000000003E-2</v>
      </c>
      <c r="E988">
        <v>2.9090000000000001E-3</v>
      </c>
      <c r="F988">
        <v>8.4010000000000005E-3</v>
      </c>
      <c r="G988">
        <v>1.0290000000000001E-2</v>
      </c>
      <c r="H988">
        <v>1.3679999999999999E-2</v>
      </c>
      <c r="I988">
        <v>-3.9135999999999997E-2</v>
      </c>
      <c r="J988">
        <v>5.1479999999999998E-3</v>
      </c>
      <c r="K988">
        <v>1.5897000000000001E-2</v>
      </c>
      <c r="L988">
        <v>9.2390000000000007E-3</v>
      </c>
      <c r="M988">
        <v>2.7129E-2</v>
      </c>
      <c r="N988">
        <v>-4.5307E-2</v>
      </c>
      <c r="O988">
        <v>-2.918E-3</v>
      </c>
      <c r="P988">
        <v>8.3820000000000006E-3</v>
      </c>
      <c r="Q988">
        <v>1.7791999999999999E-2</v>
      </c>
      <c r="R988">
        <v>2.2682000000000001E-2</v>
      </c>
      <c r="S988">
        <v>-2.2738000000000001E-2</v>
      </c>
      <c r="T988">
        <v>2.7520000000000001E-3</v>
      </c>
      <c r="U988">
        <v>2.48E-3</v>
      </c>
      <c r="V988">
        <v>1.4557E-2</v>
      </c>
      <c r="W988">
        <v>4.8021000000000001E-2</v>
      </c>
      <c r="X988">
        <v>-1.0274999999999999E-2</v>
      </c>
      <c r="Y988">
        <v>2.4090000000000001E-3</v>
      </c>
      <c r="Z988">
        <v>2.4257999999999998E-2</v>
      </c>
      <c r="AA988">
        <v>3.5349999999999999E-2</v>
      </c>
      <c r="AB988">
        <v>3.7494E-2</v>
      </c>
    </row>
    <row r="989" spans="1:28" x14ac:dyDescent="0.2">
      <c r="A989">
        <v>20140430</v>
      </c>
      <c r="B989">
        <v>2014</v>
      </c>
      <c r="C989">
        <v>4</v>
      </c>
      <c r="D989">
        <v>-8.5944000000000007E-2</v>
      </c>
      <c r="E989">
        <v>-7.0576E-2</v>
      </c>
      <c r="F989">
        <v>-4.8823999999999999E-2</v>
      </c>
      <c r="G989">
        <v>-3.2487000000000002E-2</v>
      </c>
      <c r="H989">
        <v>-4.3902999999999998E-2</v>
      </c>
      <c r="I989">
        <v>-6.5425999999999998E-2</v>
      </c>
      <c r="J989">
        <v>-3.1370000000000002E-2</v>
      </c>
      <c r="K989">
        <v>-3.0367000000000002E-2</v>
      </c>
      <c r="L989">
        <v>-1.9952000000000001E-2</v>
      </c>
      <c r="M989">
        <v>-2.0138E-2</v>
      </c>
      <c r="N989">
        <v>-5.4363000000000002E-2</v>
      </c>
      <c r="O989">
        <v>-1.8046E-2</v>
      </c>
      <c r="P989">
        <v>-1.3348E-2</v>
      </c>
      <c r="Q989">
        <v>-1.8402000000000002E-2</v>
      </c>
      <c r="R989">
        <v>-2.8936E-2</v>
      </c>
      <c r="S989">
        <v>-2.8607E-2</v>
      </c>
      <c r="T989">
        <v>-1.1018999999999999E-2</v>
      </c>
      <c r="U989">
        <v>3.3599999999999998E-4</v>
      </c>
      <c r="V989">
        <v>3.1470000000000001E-3</v>
      </c>
      <c r="W989">
        <v>-4.5999999999999999E-3</v>
      </c>
      <c r="X989">
        <v>1.1913999999999999E-2</v>
      </c>
      <c r="Y989">
        <v>2.9640000000000001E-3</v>
      </c>
      <c r="Z989">
        <v>1.7462999999999999E-2</v>
      </c>
      <c r="AA989">
        <v>1.7162E-2</v>
      </c>
      <c r="AB989">
        <v>-1.8527999999999999E-2</v>
      </c>
    </row>
    <row r="990" spans="1:28" x14ac:dyDescent="0.2">
      <c r="A990">
        <v>20140530</v>
      </c>
      <c r="B990">
        <v>2014</v>
      </c>
      <c r="C990">
        <v>5</v>
      </c>
      <c r="D990">
        <v>-2.3449999999999999E-2</v>
      </c>
      <c r="E990">
        <v>-1.6487999999999999E-2</v>
      </c>
      <c r="F990">
        <v>-7.7510000000000001E-3</v>
      </c>
      <c r="G990">
        <v>-1.0704E-2</v>
      </c>
      <c r="H990">
        <v>6.3199999999999997E-4</v>
      </c>
      <c r="I990">
        <v>-4.7879999999999997E-3</v>
      </c>
      <c r="J990">
        <v>2.5469999999999998E-3</v>
      </c>
      <c r="K990">
        <v>1.5774E-2</v>
      </c>
      <c r="L990">
        <v>-5.4029999999999998E-3</v>
      </c>
      <c r="M990">
        <v>1.8500000000000001E-3</v>
      </c>
      <c r="N990">
        <v>1.371E-2</v>
      </c>
      <c r="O990">
        <v>3.8600000000000001E-3</v>
      </c>
      <c r="P990">
        <v>2.5231E-2</v>
      </c>
      <c r="Q990">
        <v>3.7369999999999999E-3</v>
      </c>
      <c r="R990">
        <v>1.3220000000000001E-2</v>
      </c>
      <c r="S990">
        <v>2.8329E-2</v>
      </c>
      <c r="T990">
        <v>1.9127999999999999E-2</v>
      </c>
      <c r="U990">
        <v>2.6953000000000001E-2</v>
      </c>
      <c r="V990">
        <v>1.4880000000000001E-2</v>
      </c>
      <c r="W990">
        <v>1.5384999999999999E-2</v>
      </c>
      <c r="X990">
        <v>2.9849000000000001E-2</v>
      </c>
      <c r="Y990">
        <v>1.5125E-2</v>
      </c>
      <c r="Z990">
        <v>2.3519000000000002E-2</v>
      </c>
      <c r="AA990">
        <v>1.6313000000000001E-2</v>
      </c>
      <c r="AB990">
        <v>1.4408000000000001E-2</v>
      </c>
    </row>
    <row r="991" spans="1:28" x14ac:dyDescent="0.2">
      <c r="A991">
        <v>20140630</v>
      </c>
      <c r="B991">
        <v>2014</v>
      </c>
      <c r="C991">
        <v>6</v>
      </c>
      <c r="D991">
        <v>6.2675999999999996E-2</v>
      </c>
      <c r="E991">
        <v>0.110443</v>
      </c>
      <c r="F991">
        <v>3.5242999999999997E-2</v>
      </c>
      <c r="G991">
        <v>4.2139000000000003E-2</v>
      </c>
      <c r="H991">
        <v>3.8047999999999998E-2</v>
      </c>
      <c r="I991">
        <v>7.5813000000000005E-2</v>
      </c>
      <c r="J991">
        <v>7.1517999999999998E-2</v>
      </c>
      <c r="K991">
        <v>5.3238000000000001E-2</v>
      </c>
      <c r="L991">
        <v>4.9521999999999997E-2</v>
      </c>
      <c r="M991">
        <v>5.9408000000000002E-2</v>
      </c>
      <c r="N991">
        <v>5.9156E-2</v>
      </c>
      <c r="O991">
        <v>5.1686999999999997E-2</v>
      </c>
      <c r="P991">
        <v>4.0846E-2</v>
      </c>
      <c r="Q991">
        <v>4.4509E-2</v>
      </c>
      <c r="R991">
        <v>5.4408999999999999E-2</v>
      </c>
      <c r="S991">
        <v>4.4574000000000003E-2</v>
      </c>
      <c r="T991">
        <v>3.7860999999999999E-2</v>
      </c>
      <c r="U991">
        <v>3.4284000000000002E-2</v>
      </c>
      <c r="V991">
        <v>4.1429000000000001E-2</v>
      </c>
      <c r="W991">
        <v>3.7363E-2</v>
      </c>
      <c r="X991">
        <v>1.4331999999999999E-2</v>
      </c>
      <c r="Y991">
        <v>9.5420000000000001E-3</v>
      </c>
      <c r="Z991">
        <v>2.3784E-2</v>
      </c>
      <c r="AA991">
        <v>3.3488999999999998E-2</v>
      </c>
      <c r="AB991">
        <v>3.3418000000000003E-2</v>
      </c>
    </row>
    <row r="992" spans="1:28" x14ac:dyDescent="0.2">
      <c r="A992">
        <v>20140731</v>
      </c>
      <c r="B992">
        <v>2014</v>
      </c>
      <c r="C992">
        <v>7</v>
      </c>
      <c r="D992">
        <v>-9.0208999999999998E-2</v>
      </c>
      <c r="E992">
        <v>-7.782E-2</v>
      </c>
      <c r="F992">
        <v>-5.9278999999999998E-2</v>
      </c>
      <c r="G992">
        <v>-4.5430999999999999E-2</v>
      </c>
      <c r="H992">
        <v>-4.8854000000000002E-2</v>
      </c>
      <c r="I992">
        <v>-5.4473000000000001E-2</v>
      </c>
      <c r="J992">
        <v>-6.5293000000000004E-2</v>
      </c>
      <c r="K992">
        <v>-5.1860999999999997E-2</v>
      </c>
      <c r="L992">
        <v>-6.2398000000000002E-2</v>
      </c>
      <c r="M992">
        <v>-6.1066000000000002E-2</v>
      </c>
      <c r="N992">
        <v>-5.4924000000000001E-2</v>
      </c>
      <c r="O992">
        <v>-5.7640999999999998E-2</v>
      </c>
      <c r="P992">
        <v>-6.3505000000000006E-2</v>
      </c>
      <c r="Q992">
        <v>-6.0817000000000003E-2</v>
      </c>
      <c r="R992">
        <v>-3.7142000000000001E-2</v>
      </c>
      <c r="S992">
        <v>-2.1375999999999999E-2</v>
      </c>
      <c r="T992">
        <v>-4.3836E-2</v>
      </c>
      <c r="U992">
        <v>-3.6271999999999999E-2</v>
      </c>
      <c r="V992">
        <v>-3.3037999999999998E-2</v>
      </c>
      <c r="W992">
        <v>-3.6901000000000003E-2</v>
      </c>
      <c r="X992">
        <v>-1.677E-2</v>
      </c>
      <c r="Y992">
        <v>-9.9979999999999999E-3</v>
      </c>
      <c r="Z992">
        <v>-3.4220000000000001E-3</v>
      </c>
      <c r="AA992">
        <v>-1.8724000000000001E-2</v>
      </c>
      <c r="AB992">
        <v>-1.6254999999999999E-2</v>
      </c>
    </row>
    <row r="993" spans="1:28" x14ac:dyDescent="0.2">
      <c r="A993">
        <v>20140829</v>
      </c>
      <c r="B993">
        <v>2014</v>
      </c>
      <c r="C993">
        <v>8</v>
      </c>
      <c r="D993">
        <v>2.7484999999999999E-2</v>
      </c>
      <c r="E993">
        <v>4.58E-2</v>
      </c>
      <c r="F993">
        <v>2.6679999999999999E-2</v>
      </c>
      <c r="G993">
        <v>4.7144999999999999E-2</v>
      </c>
      <c r="H993">
        <v>3.3991E-2</v>
      </c>
      <c r="I993">
        <v>5.7526000000000001E-2</v>
      </c>
      <c r="J993">
        <v>5.0200000000000002E-2</v>
      </c>
      <c r="K993">
        <v>3.9550000000000002E-2</v>
      </c>
      <c r="L993">
        <v>4.6260999999999997E-2</v>
      </c>
      <c r="M993">
        <v>5.4758000000000001E-2</v>
      </c>
      <c r="N993">
        <v>5.8604999999999997E-2</v>
      </c>
      <c r="O993">
        <v>4.3804000000000003E-2</v>
      </c>
      <c r="P993">
        <v>4.9928E-2</v>
      </c>
      <c r="Q993">
        <v>5.2904E-2</v>
      </c>
      <c r="R993">
        <v>4.1683999999999999E-2</v>
      </c>
      <c r="S993">
        <v>5.9662E-2</v>
      </c>
      <c r="T993">
        <v>4.8884999999999998E-2</v>
      </c>
      <c r="U993">
        <v>5.491E-2</v>
      </c>
      <c r="V993">
        <v>3.6891E-2</v>
      </c>
      <c r="W993">
        <v>4.6011999999999997E-2</v>
      </c>
      <c r="X993">
        <v>4.9510999999999999E-2</v>
      </c>
      <c r="Y993">
        <v>4.7452000000000001E-2</v>
      </c>
      <c r="Z993">
        <v>2.2693000000000001E-2</v>
      </c>
      <c r="AA993">
        <v>1.8450999999999999E-2</v>
      </c>
      <c r="AB993">
        <v>5.1372000000000001E-2</v>
      </c>
    </row>
    <row r="994" spans="1:28" x14ac:dyDescent="0.2">
      <c r="A994">
        <v>20140930</v>
      </c>
      <c r="B994">
        <v>2014</v>
      </c>
      <c r="C994">
        <v>9</v>
      </c>
      <c r="D994">
        <v>-7.1374999999999994E-2</v>
      </c>
      <c r="E994">
        <v>-4.7593000000000003E-2</v>
      </c>
      <c r="F994">
        <v>-7.1053000000000005E-2</v>
      </c>
      <c r="G994">
        <v>-5.3897E-2</v>
      </c>
      <c r="H994">
        <v>-5.8861999999999998E-2</v>
      </c>
      <c r="I994">
        <v>-4.5815000000000002E-2</v>
      </c>
      <c r="J994">
        <v>-4.861E-2</v>
      </c>
      <c r="K994">
        <v>-5.2086E-2</v>
      </c>
      <c r="L994">
        <v>-5.2414000000000002E-2</v>
      </c>
      <c r="M994">
        <v>-8.3405000000000007E-2</v>
      </c>
      <c r="N994">
        <v>-2.8981E-2</v>
      </c>
      <c r="O994">
        <v>-6.2440000000000002E-2</v>
      </c>
      <c r="P994">
        <v>-4.6543000000000001E-2</v>
      </c>
      <c r="Q994">
        <v>-6.4838000000000007E-2</v>
      </c>
      <c r="R994">
        <v>-7.0788000000000004E-2</v>
      </c>
      <c r="S994">
        <v>-3.0023999999999999E-2</v>
      </c>
      <c r="T994">
        <v>-3.5944999999999998E-2</v>
      </c>
      <c r="U994">
        <v>-4.8591000000000002E-2</v>
      </c>
      <c r="V994">
        <v>-3.7948000000000003E-2</v>
      </c>
      <c r="W994">
        <v>-4.8272000000000002E-2</v>
      </c>
      <c r="X994">
        <v>-5.254E-3</v>
      </c>
      <c r="Y994">
        <v>-8.1630000000000001E-3</v>
      </c>
      <c r="Z994">
        <v>-1.3535E-2</v>
      </c>
      <c r="AA994">
        <v>-3.9203000000000002E-2</v>
      </c>
      <c r="AB994">
        <v>-3.552E-3</v>
      </c>
    </row>
    <row r="995" spans="1:28" x14ac:dyDescent="0.2">
      <c r="A995">
        <v>20141031</v>
      </c>
      <c r="B995">
        <v>2014</v>
      </c>
      <c r="C995">
        <v>10</v>
      </c>
      <c r="D995">
        <v>5.8339000000000002E-2</v>
      </c>
      <c r="E995">
        <v>6.6243999999999997E-2</v>
      </c>
      <c r="F995">
        <v>6.3002000000000002E-2</v>
      </c>
      <c r="G995">
        <v>7.5017E-2</v>
      </c>
      <c r="H995">
        <v>4.2081E-2</v>
      </c>
      <c r="I995">
        <v>8.2714999999999997E-2</v>
      </c>
      <c r="J995">
        <v>6.6194000000000003E-2</v>
      </c>
      <c r="K995">
        <v>6.2784000000000006E-2</v>
      </c>
      <c r="L995">
        <v>5.3463999999999998E-2</v>
      </c>
      <c r="M995">
        <v>4.3783000000000002E-2</v>
      </c>
      <c r="N995">
        <v>6.3725000000000004E-2</v>
      </c>
      <c r="O995">
        <v>5.4805E-2</v>
      </c>
      <c r="P995">
        <v>3.7404E-2</v>
      </c>
      <c r="Q995">
        <v>4.5059000000000002E-2</v>
      </c>
      <c r="R995">
        <v>3.7388999999999999E-2</v>
      </c>
      <c r="S995">
        <v>3.8508000000000001E-2</v>
      </c>
      <c r="T995">
        <v>6.3119999999999999E-3</v>
      </c>
      <c r="U995">
        <v>3.3198999999999999E-2</v>
      </c>
      <c r="V995">
        <v>3.9896000000000001E-2</v>
      </c>
      <c r="W995">
        <v>-1.1429E-2</v>
      </c>
      <c r="X995">
        <v>2.2176999999999999E-2</v>
      </c>
      <c r="Y995">
        <v>2.7112000000000001E-2</v>
      </c>
      <c r="Z995">
        <v>2.2121999999999999E-2</v>
      </c>
      <c r="AA995">
        <v>-2.2399999999999998E-3</v>
      </c>
      <c r="AB995">
        <v>1.5153E-2</v>
      </c>
    </row>
    <row r="996" spans="1:28" x14ac:dyDescent="0.2">
      <c r="A996">
        <v>20141128</v>
      </c>
      <c r="B996">
        <v>2014</v>
      </c>
      <c r="C996">
        <v>11</v>
      </c>
      <c r="D996">
        <v>1.108E-3</v>
      </c>
      <c r="E996">
        <v>2.0890000000000001E-3</v>
      </c>
      <c r="F996">
        <v>-1.1937E-2</v>
      </c>
      <c r="G996">
        <v>-1.3539000000000001E-2</v>
      </c>
      <c r="H996">
        <v>-2.648E-2</v>
      </c>
      <c r="I996">
        <v>1.4964E-2</v>
      </c>
      <c r="J996">
        <v>-5.6979999999999999E-3</v>
      </c>
      <c r="K996">
        <v>-6.4530000000000004E-3</v>
      </c>
      <c r="L996">
        <v>-6.7369999999999999E-3</v>
      </c>
      <c r="M996">
        <v>-8.0870000000000004E-3</v>
      </c>
      <c r="N996">
        <v>2.4747000000000002E-2</v>
      </c>
      <c r="O996">
        <v>2.6268E-2</v>
      </c>
      <c r="P996">
        <v>-2.1919999999999999E-3</v>
      </c>
      <c r="Q996">
        <v>5.104E-3</v>
      </c>
      <c r="R996">
        <v>-4.411E-3</v>
      </c>
      <c r="S996">
        <v>3.5076999999999997E-2</v>
      </c>
      <c r="T996">
        <v>2.826E-2</v>
      </c>
      <c r="U996">
        <v>3.2194E-2</v>
      </c>
      <c r="V996">
        <v>1.1852E-2</v>
      </c>
      <c r="W996">
        <v>-2.2338E-2</v>
      </c>
      <c r="X996">
        <v>3.5215999999999997E-2</v>
      </c>
      <c r="Y996">
        <v>3.7566000000000002E-2</v>
      </c>
      <c r="Z996">
        <v>3.1188E-2</v>
      </c>
      <c r="AA996">
        <v>6.8800000000000003E-4</v>
      </c>
      <c r="AB996">
        <v>1.1231E-2</v>
      </c>
    </row>
    <row r="997" spans="1:28" x14ac:dyDescent="0.2">
      <c r="A997">
        <v>20141231</v>
      </c>
      <c r="B997">
        <v>2014</v>
      </c>
      <c r="C997">
        <v>12</v>
      </c>
      <c r="D997">
        <v>5.8651000000000002E-2</v>
      </c>
      <c r="E997">
        <v>7.2281999999999999E-2</v>
      </c>
      <c r="F997">
        <v>5.4448999999999997E-2</v>
      </c>
      <c r="G997">
        <v>4.4443999999999997E-2</v>
      </c>
      <c r="H997">
        <v>3.5006000000000002E-2</v>
      </c>
      <c r="I997">
        <v>1.0212000000000001E-2</v>
      </c>
      <c r="J997">
        <v>3.8135000000000002E-2</v>
      </c>
      <c r="K997">
        <v>2.7385E-2</v>
      </c>
      <c r="L997">
        <v>2.9930999999999999E-2</v>
      </c>
      <c r="M997">
        <v>2.5117E-2</v>
      </c>
      <c r="N997">
        <v>1.7378999999999999E-2</v>
      </c>
      <c r="O997">
        <v>7.5459999999999998E-3</v>
      </c>
      <c r="P997">
        <v>5.6899999999999997E-3</v>
      </c>
      <c r="Q997">
        <v>1.9613999999999999E-2</v>
      </c>
      <c r="R997">
        <v>-2.251E-3</v>
      </c>
      <c r="S997">
        <v>3.9789999999999999E-3</v>
      </c>
      <c r="T997">
        <v>3.3800000000000002E-3</v>
      </c>
      <c r="U997">
        <v>8.3529999999999993E-3</v>
      </c>
      <c r="V997">
        <v>7.9989999999999992E-3</v>
      </c>
      <c r="W997">
        <v>2.777E-3</v>
      </c>
      <c r="X997">
        <v>-1.3694E-2</v>
      </c>
      <c r="Y997">
        <v>-1.0397E-2</v>
      </c>
      <c r="Z997">
        <v>-4.006E-3</v>
      </c>
      <c r="AA997">
        <v>2.3839999999999998E-3</v>
      </c>
      <c r="AB997">
        <v>2.4500000000000001E-2</v>
      </c>
    </row>
    <row r="998" spans="1:28" x14ac:dyDescent="0.2">
      <c r="A998">
        <v>20150130</v>
      </c>
      <c r="B998">
        <v>2015</v>
      </c>
      <c r="C998">
        <v>1</v>
      </c>
      <c r="D998">
        <v>-3.5604999999999998E-2</v>
      </c>
      <c r="E998">
        <v>-6.5956000000000001E-2</v>
      </c>
      <c r="F998">
        <v>-4.6031000000000002E-2</v>
      </c>
      <c r="G998">
        <v>-4.8696999999999997E-2</v>
      </c>
      <c r="H998">
        <v>-5.0555000000000003E-2</v>
      </c>
      <c r="I998">
        <v>-1.7208000000000001E-2</v>
      </c>
      <c r="J998">
        <v>-4.1117000000000001E-2</v>
      </c>
      <c r="K998">
        <v>-4.4434000000000001E-2</v>
      </c>
      <c r="L998">
        <v>-5.0823E-2</v>
      </c>
      <c r="M998">
        <v>-6.6151000000000001E-2</v>
      </c>
      <c r="N998">
        <v>-8.9409999999999993E-3</v>
      </c>
      <c r="O998">
        <v>-1.1507E-2</v>
      </c>
      <c r="P998">
        <v>-4.0481999999999997E-2</v>
      </c>
      <c r="Q998">
        <v>-4.7404000000000002E-2</v>
      </c>
      <c r="R998">
        <v>-4.8842999999999998E-2</v>
      </c>
      <c r="S998">
        <v>-1.3478E-2</v>
      </c>
      <c r="T998">
        <v>-2.2703999999999998E-2</v>
      </c>
      <c r="U998">
        <v>-9.9919999999999991E-3</v>
      </c>
      <c r="V998">
        <v>-1.5696000000000002E-2</v>
      </c>
      <c r="W998">
        <v>-3.9805E-2</v>
      </c>
      <c r="X998">
        <v>-8.1370000000000001E-3</v>
      </c>
      <c r="Y998">
        <v>-2.7358E-2</v>
      </c>
      <c r="Z998">
        <v>-4.1647000000000003E-2</v>
      </c>
      <c r="AA998">
        <v>-3.9123999999999999E-2</v>
      </c>
      <c r="AB998">
        <v>-7.5465000000000004E-2</v>
      </c>
    </row>
    <row r="999" spans="1:28" x14ac:dyDescent="0.2">
      <c r="A999">
        <v>20150227</v>
      </c>
      <c r="B999">
        <v>2015</v>
      </c>
      <c r="C999">
        <v>2</v>
      </c>
      <c r="D999">
        <v>4.3744999999999999E-2</v>
      </c>
      <c r="E999">
        <v>6.1702E-2</v>
      </c>
      <c r="F999">
        <v>6.2741000000000005E-2</v>
      </c>
      <c r="G999">
        <v>5.3539000000000003E-2</v>
      </c>
      <c r="H999">
        <v>5.6451000000000001E-2</v>
      </c>
      <c r="I999">
        <v>7.0678000000000005E-2</v>
      </c>
      <c r="J999">
        <v>8.7356000000000003E-2</v>
      </c>
      <c r="K999">
        <v>6.3087000000000004E-2</v>
      </c>
      <c r="L999">
        <v>5.8749000000000003E-2</v>
      </c>
      <c r="M999">
        <v>4.8106000000000003E-2</v>
      </c>
      <c r="N999">
        <v>7.9744999999999996E-2</v>
      </c>
      <c r="O999">
        <v>7.9590999999999995E-2</v>
      </c>
      <c r="P999">
        <v>8.2177E-2</v>
      </c>
      <c r="Q999">
        <v>6.8532999999999997E-2</v>
      </c>
      <c r="R999">
        <v>5.7952999999999998E-2</v>
      </c>
      <c r="S999">
        <v>7.8003000000000003E-2</v>
      </c>
      <c r="T999">
        <v>6.8990999999999997E-2</v>
      </c>
      <c r="U999">
        <v>7.5049000000000005E-2</v>
      </c>
      <c r="V999">
        <v>5.0474999999999999E-2</v>
      </c>
      <c r="W999">
        <v>8.7830000000000005E-2</v>
      </c>
      <c r="X999">
        <v>6.4341999999999996E-2</v>
      </c>
      <c r="Y999">
        <v>5.5128000000000003E-2</v>
      </c>
      <c r="Z999">
        <v>6.7853999999999998E-2</v>
      </c>
      <c r="AA999">
        <v>4.0966000000000002E-2</v>
      </c>
      <c r="AB999">
        <v>5.9174999999999998E-2</v>
      </c>
    </row>
    <row r="1000" spans="1:28" x14ac:dyDescent="0.2">
      <c r="A1000">
        <v>20150331</v>
      </c>
      <c r="B1000">
        <v>2015</v>
      </c>
      <c r="C1000">
        <v>3</v>
      </c>
      <c r="D1000">
        <v>-9.6989999999999993E-3</v>
      </c>
      <c r="E1000">
        <v>2.6946999999999999E-2</v>
      </c>
      <c r="F1000">
        <v>2.4829E-2</v>
      </c>
      <c r="G1000">
        <v>1.5021E-2</v>
      </c>
      <c r="H1000">
        <v>1.0777999999999999E-2</v>
      </c>
      <c r="I1000">
        <v>2.9049999999999999E-2</v>
      </c>
      <c r="J1000">
        <v>2.3813999999999998E-2</v>
      </c>
      <c r="K1000">
        <v>3.5729999999999998E-3</v>
      </c>
      <c r="L1000">
        <v>2.7907000000000001E-2</v>
      </c>
      <c r="M1000">
        <v>1.3826E-2</v>
      </c>
      <c r="N1000">
        <v>8.2690000000000003E-3</v>
      </c>
      <c r="O1000">
        <v>9.8160000000000001E-3</v>
      </c>
      <c r="P1000">
        <v>2.1499000000000001E-2</v>
      </c>
      <c r="Q1000">
        <v>1.1091999999999999E-2</v>
      </c>
      <c r="R1000">
        <v>6.1419999999999999E-3</v>
      </c>
      <c r="S1000">
        <v>9.3869999999999995E-3</v>
      </c>
      <c r="T1000">
        <v>9.3609999999999995E-3</v>
      </c>
      <c r="U1000">
        <v>1.3351999999999999E-2</v>
      </c>
      <c r="V1000">
        <v>-1.634E-2</v>
      </c>
      <c r="W1000">
        <v>-5.9519999999999998E-3</v>
      </c>
      <c r="X1000">
        <v>-1.5665999999999999E-2</v>
      </c>
      <c r="Y1000">
        <v>-1.8225000000000002E-2</v>
      </c>
      <c r="Z1000">
        <v>-2.0715000000000001E-2</v>
      </c>
      <c r="AA1000">
        <v>-2.2468999999999999E-2</v>
      </c>
      <c r="AB1000">
        <v>-1.4654E-2</v>
      </c>
    </row>
    <row r="1001" spans="1:28" x14ac:dyDescent="0.2">
      <c r="A1001">
        <v>20150430</v>
      </c>
      <c r="B1001">
        <v>2015</v>
      </c>
      <c r="C1001">
        <v>4</v>
      </c>
      <c r="D1001">
        <v>-3.8657999999999998E-2</v>
      </c>
      <c r="E1001">
        <v>-2.5363E-2</v>
      </c>
      <c r="F1001">
        <v>-2.8545000000000001E-2</v>
      </c>
      <c r="G1001">
        <v>-2.1250999999999999E-2</v>
      </c>
      <c r="H1001">
        <v>-3.581E-3</v>
      </c>
      <c r="I1001">
        <v>-3.8858999999999998E-2</v>
      </c>
      <c r="J1001">
        <v>-2.6841E-2</v>
      </c>
      <c r="K1001">
        <v>-2.3599999999999999E-2</v>
      </c>
      <c r="L1001">
        <v>-1.235E-3</v>
      </c>
      <c r="M1001">
        <v>-6.097E-3</v>
      </c>
      <c r="N1001">
        <v>-3.0422000000000001E-2</v>
      </c>
      <c r="O1001">
        <v>-1.5469999999999999E-2</v>
      </c>
      <c r="P1001">
        <v>-1.1147000000000001E-2</v>
      </c>
      <c r="Q1001">
        <v>-1.1632E-2</v>
      </c>
      <c r="R1001">
        <v>-2.2049999999999999E-3</v>
      </c>
      <c r="S1001">
        <v>-1.5184E-2</v>
      </c>
      <c r="T1001">
        <v>1.3489999999999999E-3</v>
      </c>
      <c r="U1001">
        <v>-1.5789999999999998E-2</v>
      </c>
      <c r="V1001">
        <v>-7.783E-3</v>
      </c>
      <c r="W1001">
        <v>7.7850000000000003E-3</v>
      </c>
      <c r="X1001">
        <v>1.885E-3</v>
      </c>
      <c r="Y1001">
        <v>8.7080000000000005E-3</v>
      </c>
      <c r="Z1001">
        <v>1.4269E-2</v>
      </c>
      <c r="AA1001">
        <v>3.7601000000000002E-2</v>
      </c>
      <c r="AB1001">
        <v>1.5807000000000002E-2</v>
      </c>
    </row>
    <row r="1002" spans="1:28" x14ac:dyDescent="0.2">
      <c r="A1002">
        <v>20150529</v>
      </c>
      <c r="B1002">
        <v>2015</v>
      </c>
      <c r="C1002">
        <v>5</v>
      </c>
      <c r="D1002">
        <v>3.2781999999999999E-2</v>
      </c>
      <c r="E1002">
        <v>5.4198999999999997E-2</v>
      </c>
      <c r="F1002">
        <v>5.9569999999999996E-3</v>
      </c>
      <c r="G1002">
        <v>3.4740000000000001E-3</v>
      </c>
      <c r="H1002">
        <v>-6.8599999999999998E-4</v>
      </c>
      <c r="I1002">
        <v>2.9172E-2</v>
      </c>
      <c r="J1002">
        <v>5.3488000000000001E-2</v>
      </c>
      <c r="K1002">
        <v>2.5933999999999999E-2</v>
      </c>
      <c r="L1002">
        <v>1.5056999999999999E-2</v>
      </c>
      <c r="M1002">
        <v>-5.4949999999999999E-3</v>
      </c>
      <c r="N1002">
        <v>4.4523E-2</v>
      </c>
      <c r="O1002">
        <v>2.1676000000000001E-2</v>
      </c>
      <c r="P1002">
        <v>3.5841999999999999E-2</v>
      </c>
      <c r="Q1002">
        <v>2.0244999999999999E-2</v>
      </c>
      <c r="R1002">
        <v>8.8470000000000007E-3</v>
      </c>
      <c r="S1002">
        <v>1.7003999999999998E-2</v>
      </c>
      <c r="T1002">
        <v>2.0122000000000001E-2</v>
      </c>
      <c r="U1002">
        <v>2.2127999999999998E-2</v>
      </c>
      <c r="V1002">
        <v>1.3542E-2</v>
      </c>
      <c r="W1002">
        <v>-3.48E-4</v>
      </c>
      <c r="X1002">
        <v>1.8865E-2</v>
      </c>
      <c r="Y1002">
        <v>5.7229999999999998E-3</v>
      </c>
      <c r="Z1002">
        <v>1.1561E-2</v>
      </c>
      <c r="AA1002">
        <v>1.7769999999999999E-3</v>
      </c>
      <c r="AB1002">
        <v>1.7382999999999999E-2</v>
      </c>
    </row>
    <row r="1003" spans="1:28" x14ac:dyDescent="0.2">
      <c r="A1003">
        <v>20150630</v>
      </c>
      <c r="B1003">
        <v>2015</v>
      </c>
      <c r="C1003">
        <v>6</v>
      </c>
      <c r="D1003">
        <v>4.0957E-2</v>
      </c>
      <c r="E1003">
        <v>2.5425E-2</v>
      </c>
      <c r="F1003">
        <v>1.9824000000000001E-2</v>
      </c>
      <c r="G1003">
        <v>2.3359999999999999E-2</v>
      </c>
      <c r="H1003">
        <v>1.8440999999999999E-2</v>
      </c>
      <c r="I1003">
        <v>1.0066E-2</v>
      </c>
      <c r="J1003">
        <v>1.5765999999999999E-2</v>
      </c>
      <c r="K1003">
        <v>-7.1789999999999996E-3</v>
      </c>
      <c r="L1003">
        <v>6.2719999999999998E-3</v>
      </c>
      <c r="M1003">
        <v>1.7309999999999999E-3</v>
      </c>
      <c r="N1003">
        <v>1.3753E-2</v>
      </c>
      <c r="O1003">
        <v>3.8049999999999998E-3</v>
      </c>
      <c r="P1003">
        <v>-4.6449999999999998E-3</v>
      </c>
      <c r="Q1003">
        <v>-1.9939999999999999E-2</v>
      </c>
      <c r="R1003">
        <v>-2.039E-3</v>
      </c>
      <c r="S1003">
        <v>-1.3263E-2</v>
      </c>
      <c r="T1003">
        <v>-2.7139999999999998E-3</v>
      </c>
      <c r="U1003">
        <v>-2.2641999999999999E-2</v>
      </c>
      <c r="V1003">
        <v>-2.6835999999999999E-2</v>
      </c>
      <c r="W1003">
        <v>4.6899999999999997E-3</v>
      </c>
      <c r="X1003">
        <v>-6.5690000000000002E-3</v>
      </c>
      <c r="Y1003">
        <v>-3.1967000000000002E-2</v>
      </c>
      <c r="Z1003">
        <v>-2.1864000000000001E-2</v>
      </c>
      <c r="AA1003">
        <v>-2.3843E-2</v>
      </c>
      <c r="AB1003">
        <v>-8.1320000000000003E-3</v>
      </c>
    </row>
    <row r="1004" spans="1:28" x14ac:dyDescent="0.2">
      <c r="A1004">
        <v>20150731</v>
      </c>
      <c r="B1004">
        <v>2015</v>
      </c>
      <c r="C1004">
        <v>7</v>
      </c>
      <c r="D1004">
        <v>-5.1482E-2</v>
      </c>
      <c r="E1004">
        <v>-1.9913E-2</v>
      </c>
      <c r="F1004">
        <v>-4.9876999999999998E-2</v>
      </c>
      <c r="G1004">
        <v>-5.2983000000000002E-2</v>
      </c>
      <c r="H1004">
        <v>-6.4710000000000004E-2</v>
      </c>
      <c r="I1004">
        <v>-1.8860000000000001E-3</v>
      </c>
      <c r="J1004">
        <v>-1.435E-2</v>
      </c>
      <c r="K1004">
        <v>-1.1891000000000001E-2</v>
      </c>
      <c r="L1004">
        <v>-3.3890000000000003E-2</v>
      </c>
      <c r="M1004">
        <v>-5.3543E-2</v>
      </c>
      <c r="N1004">
        <v>2.2856000000000001E-2</v>
      </c>
      <c r="O1004">
        <v>1.243E-3</v>
      </c>
      <c r="P1004">
        <v>-3.6400000000000002E-2</v>
      </c>
      <c r="Q1004">
        <v>-3.5902000000000003E-2</v>
      </c>
      <c r="R1004">
        <v>-6.9991999999999999E-2</v>
      </c>
      <c r="S1004">
        <v>2.2585999999999998E-2</v>
      </c>
      <c r="T1004">
        <v>2.9700000000000001E-4</v>
      </c>
      <c r="U1004">
        <v>-5.2960000000000004E-3</v>
      </c>
      <c r="V1004">
        <v>2.0253E-2</v>
      </c>
      <c r="W1004">
        <v>-2.1958999999999999E-2</v>
      </c>
      <c r="X1004">
        <v>3.5414000000000001E-2</v>
      </c>
      <c r="Y1004">
        <v>2.8676E-2</v>
      </c>
      <c r="Z1004">
        <v>5.365E-3</v>
      </c>
      <c r="AA1004">
        <v>-1.3860000000000001E-3</v>
      </c>
      <c r="AB1004">
        <v>4.9290000000000002E-3</v>
      </c>
    </row>
    <row r="1005" spans="1:28" x14ac:dyDescent="0.2">
      <c r="A1005">
        <v>20150831</v>
      </c>
      <c r="B1005">
        <v>2015</v>
      </c>
      <c r="C1005">
        <v>8</v>
      </c>
      <c r="D1005">
        <v>-8.3464999999999998E-2</v>
      </c>
      <c r="E1005">
        <v>-7.5310000000000002E-2</v>
      </c>
      <c r="F1005">
        <v>-4.5261000000000003E-2</v>
      </c>
      <c r="G1005">
        <v>-3.7037E-2</v>
      </c>
      <c r="H1005">
        <v>-9.9310000000000006E-3</v>
      </c>
      <c r="I1005">
        <v>-9.9130999999999997E-2</v>
      </c>
      <c r="J1005">
        <v>-5.5558999999999997E-2</v>
      </c>
      <c r="K1005">
        <v>-3.7324000000000003E-2</v>
      </c>
      <c r="L1005">
        <v>-5.0049000000000003E-2</v>
      </c>
      <c r="M1005">
        <v>-4.5040999999999998E-2</v>
      </c>
      <c r="N1005">
        <v>-7.8562999999999994E-2</v>
      </c>
      <c r="O1005">
        <v>-5.3012999999999998E-2</v>
      </c>
      <c r="P1005">
        <v>-4.2091000000000003E-2</v>
      </c>
      <c r="Q1005">
        <v>-3.7928999999999997E-2</v>
      </c>
      <c r="R1005">
        <v>-2.9273E-2</v>
      </c>
      <c r="S1005">
        <v>-8.2472000000000004E-2</v>
      </c>
      <c r="T1005">
        <v>-4.9304000000000001E-2</v>
      </c>
      <c r="U1005">
        <v>-4.6356000000000001E-2</v>
      </c>
      <c r="V1005">
        <v>-3.2367E-2</v>
      </c>
      <c r="W1005">
        <v>-5.7893E-2</v>
      </c>
      <c r="X1005">
        <v>-5.9317000000000002E-2</v>
      </c>
      <c r="Y1005">
        <v>-6.5015000000000003E-2</v>
      </c>
      <c r="Z1005">
        <v>-6.0677000000000002E-2</v>
      </c>
      <c r="AA1005">
        <v>-5.2241000000000003E-2</v>
      </c>
      <c r="AB1005">
        <v>-7.6263999999999998E-2</v>
      </c>
    </row>
    <row r="1006" spans="1:28" x14ac:dyDescent="0.2">
      <c r="A1006">
        <v>20150930</v>
      </c>
      <c r="B1006">
        <v>2015</v>
      </c>
      <c r="C1006">
        <v>9</v>
      </c>
      <c r="D1006">
        <v>-8.1773999999999999E-2</v>
      </c>
      <c r="E1006">
        <v>-9.3405000000000002E-2</v>
      </c>
      <c r="F1006">
        <v>-5.8372E-2</v>
      </c>
      <c r="G1006">
        <v>-3.8330000000000003E-2</v>
      </c>
      <c r="H1006">
        <v>-6.0413000000000001E-2</v>
      </c>
      <c r="I1006">
        <v>-9.2650999999999997E-2</v>
      </c>
      <c r="J1006">
        <v>-5.7375000000000002E-2</v>
      </c>
      <c r="K1006">
        <v>-4.6755999999999999E-2</v>
      </c>
      <c r="L1006">
        <v>-3.0287000000000001E-2</v>
      </c>
      <c r="M1006">
        <v>-5.4176000000000002E-2</v>
      </c>
      <c r="N1006">
        <v>-6.0699000000000003E-2</v>
      </c>
      <c r="O1006">
        <v>-3.8533999999999999E-2</v>
      </c>
      <c r="P1006">
        <v>-5.4739000000000003E-2</v>
      </c>
      <c r="Q1006">
        <v>-5.0505000000000001E-2</v>
      </c>
      <c r="R1006">
        <v>-5.8354000000000003E-2</v>
      </c>
      <c r="S1006">
        <v>-5.5418000000000002E-2</v>
      </c>
      <c r="T1006">
        <v>-3.6091999999999999E-2</v>
      </c>
      <c r="U1006">
        <v>-4.9146000000000002E-2</v>
      </c>
      <c r="V1006">
        <v>-2.4433E-2</v>
      </c>
      <c r="W1006">
        <v>-5.2830000000000002E-2</v>
      </c>
      <c r="X1006">
        <v>-1.7166000000000001E-2</v>
      </c>
      <c r="Y1006">
        <v>-2.7739E-2</v>
      </c>
      <c r="Z1006">
        <v>-2.3975E-2</v>
      </c>
      <c r="AA1006">
        <v>-1.324E-2</v>
      </c>
      <c r="AB1006">
        <v>-5.6545999999999999E-2</v>
      </c>
    </row>
    <row r="1007" spans="1:28" x14ac:dyDescent="0.2">
      <c r="A1007">
        <v>20151030</v>
      </c>
      <c r="B1007">
        <v>2015</v>
      </c>
      <c r="C1007">
        <v>10</v>
      </c>
      <c r="D1007">
        <v>6.2572000000000003E-2</v>
      </c>
      <c r="E1007">
        <v>6.6187999999999997E-2</v>
      </c>
      <c r="F1007">
        <v>5.6089E-2</v>
      </c>
      <c r="G1007">
        <v>5.0953999999999999E-2</v>
      </c>
      <c r="H1007">
        <v>4.4512999999999997E-2</v>
      </c>
      <c r="I1007">
        <v>2.7552E-2</v>
      </c>
      <c r="J1007">
        <v>7.2350999999999999E-2</v>
      </c>
      <c r="K1007">
        <v>6.2978999999999993E-2</v>
      </c>
      <c r="L1007">
        <v>5.6391999999999998E-2</v>
      </c>
      <c r="M1007">
        <v>5.5053999999999999E-2</v>
      </c>
      <c r="N1007">
        <v>3.7530000000000001E-2</v>
      </c>
      <c r="O1007">
        <v>6.0680999999999999E-2</v>
      </c>
      <c r="P1007">
        <v>8.3809999999999996E-2</v>
      </c>
      <c r="Q1007">
        <v>4.9965000000000002E-2</v>
      </c>
      <c r="R1007">
        <v>7.1540000000000006E-2</v>
      </c>
      <c r="S1007">
        <v>6.5912999999999999E-2</v>
      </c>
      <c r="T1007">
        <v>7.0123000000000005E-2</v>
      </c>
      <c r="U1007">
        <v>6.8989999999999996E-2</v>
      </c>
      <c r="V1007">
        <v>3.2550999999999997E-2</v>
      </c>
      <c r="W1007">
        <v>5.4566999999999997E-2</v>
      </c>
      <c r="X1007">
        <v>8.4122000000000002E-2</v>
      </c>
      <c r="Y1007">
        <v>8.6942000000000005E-2</v>
      </c>
      <c r="Z1007">
        <v>8.6617E-2</v>
      </c>
      <c r="AA1007">
        <v>7.0258000000000001E-2</v>
      </c>
      <c r="AB1007">
        <v>7.6216000000000006E-2</v>
      </c>
    </row>
    <row r="1008" spans="1:28" x14ac:dyDescent="0.2">
      <c r="A1008">
        <v>20151130</v>
      </c>
      <c r="B1008">
        <v>2015</v>
      </c>
      <c r="C1008">
        <v>11</v>
      </c>
      <c r="D1008">
        <v>4.8541000000000001E-2</v>
      </c>
      <c r="E1008">
        <v>5.3041999999999999E-2</v>
      </c>
      <c r="F1008">
        <v>2.002E-2</v>
      </c>
      <c r="G1008">
        <v>3.1599000000000002E-2</v>
      </c>
      <c r="H1008">
        <v>2.0045E-2</v>
      </c>
      <c r="I1008">
        <v>8.1985000000000002E-2</v>
      </c>
      <c r="J1008">
        <v>2.2644000000000001E-2</v>
      </c>
      <c r="K1008">
        <v>3.1142E-2</v>
      </c>
      <c r="L1008">
        <v>5.1700000000000003E-2</v>
      </c>
      <c r="M1008">
        <v>5.2205000000000001E-2</v>
      </c>
      <c r="N1008">
        <v>2.1229000000000001E-2</v>
      </c>
      <c r="O1008">
        <v>2.316E-2</v>
      </c>
      <c r="P1008">
        <v>6.3400000000000001E-3</v>
      </c>
      <c r="Q1008">
        <v>2.3963999999999999E-2</v>
      </c>
      <c r="R1008">
        <v>2.4105000000000001E-2</v>
      </c>
      <c r="S1008">
        <v>1.2609E-2</v>
      </c>
      <c r="T1008">
        <v>9.7739999999999997E-3</v>
      </c>
      <c r="U1008">
        <v>4.6610000000000002E-3</v>
      </c>
      <c r="V1008">
        <v>1.6819000000000001E-2</v>
      </c>
      <c r="W1008">
        <v>5.0749999999999997E-3</v>
      </c>
      <c r="X1008">
        <v>1.3780000000000001E-3</v>
      </c>
      <c r="Y1008">
        <v>4.26E-4</v>
      </c>
      <c r="Z1008">
        <v>-7.2389999999999998E-3</v>
      </c>
      <c r="AA1008">
        <v>5.1409999999999997E-3</v>
      </c>
      <c r="AB1008">
        <v>3.1335000000000002E-2</v>
      </c>
    </row>
    <row r="1009" spans="1:28" x14ac:dyDescent="0.2">
      <c r="A1009">
        <v>20151231</v>
      </c>
      <c r="B1009">
        <v>2015</v>
      </c>
      <c r="C1009">
        <v>12</v>
      </c>
      <c r="D1009">
        <v>-4.0405000000000003E-2</v>
      </c>
      <c r="E1009">
        <v>-4.9359E-2</v>
      </c>
      <c r="F1009">
        <v>-5.1284999999999997E-2</v>
      </c>
      <c r="G1009">
        <v>-5.3571000000000001E-2</v>
      </c>
      <c r="H1009">
        <v>-4.5388999999999999E-2</v>
      </c>
      <c r="I1009">
        <v>-2.7182000000000001E-2</v>
      </c>
      <c r="J1009">
        <v>-4.1204999999999999E-2</v>
      </c>
      <c r="K1009">
        <v>-5.5362000000000001E-2</v>
      </c>
      <c r="L1009">
        <v>-5.5849000000000003E-2</v>
      </c>
      <c r="M1009">
        <v>-6.4654000000000003E-2</v>
      </c>
      <c r="N1009">
        <v>-3.0478000000000002E-2</v>
      </c>
      <c r="O1009">
        <v>-4.9681999999999997E-2</v>
      </c>
      <c r="P1009">
        <v>-4.7364000000000003E-2</v>
      </c>
      <c r="Q1009">
        <v>-6.2401999999999999E-2</v>
      </c>
      <c r="R1009">
        <v>-9.2191999999999996E-2</v>
      </c>
      <c r="S1009">
        <v>-2.9860999999999999E-2</v>
      </c>
      <c r="T1009">
        <v>-3.1286000000000001E-2</v>
      </c>
      <c r="U1009">
        <v>-4.8163999999999998E-2</v>
      </c>
      <c r="V1009">
        <v>-4.9201000000000002E-2</v>
      </c>
      <c r="W1009">
        <v>-6.2784000000000006E-2</v>
      </c>
      <c r="X1009">
        <v>-1.2351000000000001E-2</v>
      </c>
      <c r="Y1009">
        <v>-1.2081E-2</v>
      </c>
      <c r="Z1009">
        <v>-2.4174000000000001E-2</v>
      </c>
      <c r="AA1009">
        <v>-9.8589999999999997E-3</v>
      </c>
      <c r="AB1009">
        <v>-4.1702999999999997E-2</v>
      </c>
    </row>
    <row r="1010" spans="1:28" x14ac:dyDescent="0.2">
      <c r="A1010">
        <v>20160129</v>
      </c>
      <c r="B1010">
        <v>2016</v>
      </c>
      <c r="C1010">
        <v>1</v>
      </c>
      <c r="D1010">
        <v>-0.12884899999999999</v>
      </c>
      <c r="E1010">
        <v>-0.14755799999999999</v>
      </c>
      <c r="F1010">
        <v>-9.4195000000000001E-2</v>
      </c>
      <c r="G1010">
        <v>-6.5851000000000007E-2</v>
      </c>
      <c r="H1010">
        <v>-7.3287000000000005E-2</v>
      </c>
      <c r="I1010">
        <v>-0.169906</v>
      </c>
      <c r="J1010">
        <v>-7.0827000000000001E-2</v>
      </c>
      <c r="K1010">
        <v>-8.3713999999999997E-2</v>
      </c>
      <c r="L1010">
        <v>-7.3657E-2</v>
      </c>
      <c r="M1010">
        <v>-8.6653999999999995E-2</v>
      </c>
      <c r="N1010">
        <v>-0.12359299999999999</v>
      </c>
      <c r="O1010">
        <v>-6.1669000000000002E-2</v>
      </c>
      <c r="P1010">
        <v>-7.3066999999999993E-2</v>
      </c>
      <c r="Q1010">
        <v>-6.3918000000000003E-2</v>
      </c>
      <c r="R1010">
        <v>-7.5965000000000005E-2</v>
      </c>
      <c r="S1010">
        <v>-0.10398399999999999</v>
      </c>
      <c r="T1010">
        <v>-6.6573999999999994E-2</v>
      </c>
      <c r="U1010">
        <v>-6.5512000000000001E-2</v>
      </c>
      <c r="V1010">
        <v>-5.9721999999999997E-2</v>
      </c>
      <c r="W1010">
        <v>-7.8550999999999996E-2</v>
      </c>
      <c r="X1010">
        <v>-5.8407000000000001E-2</v>
      </c>
      <c r="Y1010">
        <v>-3.3413999999999999E-2</v>
      </c>
      <c r="Z1010">
        <v>-5.0160000000000003E-2</v>
      </c>
      <c r="AA1010">
        <v>-3.3633000000000003E-2</v>
      </c>
      <c r="AB1010">
        <v>-0.12067700000000001</v>
      </c>
    </row>
    <row r="1011" spans="1:28" x14ac:dyDescent="0.2">
      <c r="A1011">
        <v>20160229</v>
      </c>
      <c r="B1011">
        <v>2016</v>
      </c>
      <c r="C1011">
        <v>2</v>
      </c>
      <c r="D1011">
        <v>-2.6636E-2</v>
      </c>
      <c r="E1011">
        <v>5.8529999999999997E-3</v>
      </c>
      <c r="F1011">
        <v>-3.9779999999999998E-3</v>
      </c>
      <c r="G1011">
        <v>-9.1400000000000006E-3</v>
      </c>
      <c r="H1011">
        <v>7.5600000000000005E-4</v>
      </c>
      <c r="I1011">
        <v>-1.5495E-2</v>
      </c>
      <c r="J1011">
        <v>8.8599999999999996E-4</v>
      </c>
      <c r="K1011">
        <v>2.4666E-2</v>
      </c>
      <c r="L1011">
        <v>8.7860000000000004E-3</v>
      </c>
      <c r="M1011">
        <v>5.3499999999999997E-3</v>
      </c>
      <c r="N1011">
        <v>-9.1000000000000003E-5</v>
      </c>
      <c r="O1011">
        <v>1.1756000000000001E-2</v>
      </c>
      <c r="P1011">
        <v>2.5878999999999999E-2</v>
      </c>
      <c r="Q1011">
        <v>1.4368000000000001E-2</v>
      </c>
      <c r="R1011">
        <v>2.0326E-2</v>
      </c>
      <c r="S1011">
        <v>7.9019999999999993E-3</v>
      </c>
      <c r="T1011">
        <v>1.5181E-2</v>
      </c>
      <c r="U1011">
        <v>6.8110000000000002E-3</v>
      </c>
      <c r="V1011">
        <v>1.1074000000000001E-2</v>
      </c>
      <c r="W1011">
        <v>-2.6138000000000002E-2</v>
      </c>
      <c r="X1011">
        <v>-1.403E-3</v>
      </c>
      <c r="Y1011">
        <v>-1.0169999999999999E-3</v>
      </c>
      <c r="Z1011">
        <v>1.7104000000000001E-2</v>
      </c>
      <c r="AA1011">
        <v>3.457E-3</v>
      </c>
      <c r="AB1011">
        <v>-6.0455000000000002E-2</v>
      </c>
    </row>
    <row r="1012" spans="1:28" x14ac:dyDescent="0.2">
      <c r="A1012">
        <v>20160331</v>
      </c>
      <c r="B1012">
        <v>2016</v>
      </c>
      <c r="C1012">
        <v>3</v>
      </c>
      <c r="D1012">
        <v>4.2653999999999997E-2</v>
      </c>
      <c r="E1012">
        <v>8.5712999999999998E-2</v>
      </c>
      <c r="F1012">
        <v>6.6674999999999998E-2</v>
      </c>
      <c r="G1012">
        <v>7.0137000000000005E-2</v>
      </c>
      <c r="H1012">
        <v>6.5937999999999997E-2</v>
      </c>
      <c r="I1012">
        <v>9.1399999999999995E-2</v>
      </c>
      <c r="J1012">
        <v>7.6228000000000004E-2</v>
      </c>
      <c r="K1012">
        <v>7.5731000000000007E-2</v>
      </c>
      <c r="L1012">
        <v>7.4421000000000001E-2</v>
      </c>
      <c r="M1012">
        <v>8.9662000000000006E-2</v>
      </c>
      <c r="N1012">
        <v>5.6703000000000003E-2</v>
      </c>
      <c r="O1012">
        <v>7.6264999999999999E-2</v>
      </c>
      <c r="P1012">
        <v>8.1846000000000002E-2</v>
      </c>
      <c r="Q1012">
        <v>9.4663999999999998E-2</v>
      </c>
      <c r="R1012">
        <v>0.118393</v>
      </c>
      <c r="S1012">
        <v>8.2863000000000006E-2</v>
      </c>
      <c r="T1012">
        <v>7.2315000000000004E-2</v>
      </c>
      <c r="U1012">
        <v>9.7271999999999997E-2</v>
      </c>
      <c r="V1012">
        <v>8.4652000000000005E-2</v>
      </c>
      <c r="W1012">
        <v>9.9265999999999993E-2</v>
      </c>
      <c r="X1012">
        <v>6.5490000000000007E-2</v>
      </c>
      <c r="Y1012">
        <v>6.4027000000000001E-2</v>
      </c>
      <c r="Z1012">
        <v>6.1499999999999999E-2</v>
      </c>
      <c r="AA1012">
        <v>7.5047000000000003E-2</v>
      </c>
      <c r="AB1012">
        <v>7.6326000000000005E-2</v>
      </c>
    </row>
    <row r="1013" spans="1:28" x14ac:dyDescent="0.2">
      <c r="A1013">
        <v>20160429</v>
      </c>
      <c r="B1013">
        <v>2016</v>
      </c>
      <c r="C1013">
        <v>4</v>
      </c>
      <c r="D1013">
        <v>2.1361000000000002E-2</v>
      </c>
      <c r="E1013">
        <v>3.5876999999999999E-2</v>
      </c>
      <c r="F1013">
        <v>2.0570999999999999E-2</v>
      </c>
      <c r="G1013">
        <v>1.7365999999999999E-2</v>
      </c>
      <c r="H1013">
        <v>5.9406E-2</v>
      </c>
      <c r="I1013">
        <v>5.1568000000000003E-2</v>
      </c>
      <c r="J1013">
        <v>-3.8539999999999998E-3</v>
      </c>
      <c r="K1013">
        <v>-3.5379999999999999E-3</v>
      </c>
      <c r="L1013">
        <v>3.4019000000000001E-2</v>
      </c>
      <c r="M1013">
        <v>2.9423999999999999E-2</v>
      </c>
      <c r="N1013">
        <v>7.0889999999999998E-3</v>
      </c>
      <c r="O1013">
        <v>-3.241E-3</v>
      </c>
      <c r="P1013">
        <v>1.2382000000000001E-2</v>
      </c>
      <c r="Q1013">
        <v>3.7776999999999998E-2</v>
      </c>
      <c r="R1013">
        <v>4.7261999999999998E-2</v>
      </c>
      <c r="S1013">
        <v>1.7968000000000001E-2</v>
      </c>
      <c r="T1013">
        <v>4.5690000000000001E-3</v>
      </c>
      <c r="U1013">
        <v>2.5752000000000001E-2</v>
      </c>
      <c r="V1013">
        <v>8.5299999999999994E-3</v>
      </c>
      <c r="W1013">
        <v>5.4192999999999998E-2</v>
      </c>
      <c r="X1013">
        <v>-7.4609999999999998E-3</v>
      </c>
      <c r="Y1013">
        <v>-1.0364999999999999E-2</v>
      </c>
      <c r="Z1013">
        <v>3.6214999999999997E-2</v>
      </c>
      <c r="AA1013">
        <v>1.5604E-2</v>
      </c>
      <c r="AB1013">
        <v>7.1344000000000005E-2</v>
      </c>
    </row>
    <row r="1014" spans="1:28" x14ac:dyDescent="0.2">
      <c r="A1014">
        <v>20160531</v>
      </c>
      <c r="B1014">
        <v>2016</v>
      </c>
      <c r="C1014">
        <v>5</v>
      </c>
      <c r="D1014">
        <v>6.992E-3</v>
      </c>
      <c r="E1014">
        <v>2.2654000000000001E-2</v>
      </c>
      <c r="F1014">
        <v>1.4428E-2</v>
      </c>
      <c r="G1014">
        <v>-9.7160000000000007E-3</v>
      </c>
      <c r="H1014">
        <v>-1.2024E-2</v>
      </c>
      <c r="I1014">
        <v>3.9341000000000001E-2</v>
      </c>
      <c r="J1014">
        <v>2.2325999999999999E-2</v>
      </c>
      <c r="K1014">
        <v>9.3919999999999993E-3</v>
      </c>
      <c r="L1014">
        <v>1.8962E-2</v>
      </c>
      <c r="M1014">
        <v>1.1497E-2</v>
      </c>
      <c r="N1014">
        <v>3.4224999999999998E-2</v>
      </c>
      <c r="O1014">
        <v>1.6389000000000001E-2</v>
      </c>
      <c r="P1014">
        <v>6.4390000000000003E-3</v>
      </c>
      <c r="Q1014">
        <v>6.02E-4</v>
      </c>
      <c r="R1014">
        <v>7.463E-3</v>
      </c>
      <c r="S1014">
        <v>3.2029000000000002E-2</v>
      </c>
      <c r="T1014">
        <v>2.0428999999999999E-2</v>
      </c>
      <c r="U1014">
        <v>4.4354999999999999E-2</v>
      </c>
      <c r="V1014">
        <v>2.2280999999999999E-2</v>
      </c>
      <c r="W1014">
        <v>2.1642999999999999E-2</v>
      </c>
      <c r="X1014">
        <v>1.8252000000000001E-2</v>
      </c>
      <c r="Y1014">
        <v>2.0721E-2</v>
      </c>
      <c r="Z1014">
        <v>2.6741999999999998E-2</v>
      </c>
      <c r="AA1014">
        <v>-3.1150000000000001E-3</v>
      </c>
      <c r="AB1014">
        <v>1.4928E-2</v>
      </c>
    </row>
    <row r="1015" spans="1:28" x14ac:dyDescent="0.2">
      <c r="A1015">
        <v>20160630</v>
      </c>
      <c r="B1015">
        <v>2016</v>
      </c>
      <c r="C1015">
        <v>6</v>
      </c>
      <c r="D1015">
        <v>-4.1508000000000003E-2</v>
      </c>
      <c r="E1015">
        <v>-1.5925000000000002E-2</v>
      </c>
      <c r="F1015">
        <v>-2.2569999999999999E-3</v>
      </c>
      <c r="G1015">
        <v>3.058E-3</v>
      </c>
      <c r="H1015">
        <v>1.342E-2</v>
      </c>
      <c r="I1015">
        <v>3.4250000000000001E-3</v>
      </c>
      <c r="J1015">
        <v>7.1289999999999999E-3</v>
      </c>
      <c r="K1015">
        <v>-1.12E-2</v>
      </c>
      <c r="L1015">
        <v>-1.3176E-2</v>
      </c>
      <c r="M1015">
        <v>-2.2659999999999998E-3</v>
      </c>
      <c r="N1015">
        <v>9.979E-3</v>
      </c>
      <c r="O1015">
        <v>-2.0331999999999999E-2</v>
      </c>
      <c r="P1015">
        <v>-1.83E-3</v>
      </c>
      <c r="Q1015">
        <v>-2.3709999999999998E-3</v>
      </c>
      <c r="R1015">
        <v>-2.0886999999999999E-2</v>
      </c>
      <c r="S1015">
        <v>-9.6270000000000001E-3</v>
      </c>
      <c r="T1015">
        <v>-1.4336E-2</v>
      </c>
      <c r="U1015">
        <v>-9.5639999999999996E-3</v>
      </c>
      <c r="V1015">
        <v>3.8149999999999998E-3</v>
      </c>
      <c r="W1015">
        <v>-4.4809000000000002E-2</v>
      </c>
      <c r="X1015">
        <v>-1.874E-3</v>
      </c>
      <c r="Y1015">
        <v>3.1979999999999999E-3</v>
      </c>
      <c r="Z1015">
        <v>1.4269E-2</v>
      </c>
      <c r="AA1015">
        <v>2.2242000000000001E-2</v>
      </c>
      <c r="AB1015">
        <v>-6.5511E-2</v>
      </c>
    </row>
    <row r="1016" spans="1:28" x14ac:dyDescent="0.2">
      <c r="A1016">
        <v>20160729</v>
      </c>
      <c r="B1016">
        <v>2016</v>
      </c>
      <c r="C1016">
        <v>7</v>
      </c>
      <c r="D1016">
        <v>4.7921999999999999E-2</v>
      </c>
      <c r="E1016">
        <v>6.0644999999999998E-2</v>
      </c>
      <c r="F1016">
        <v>6.8196000000000007E-2</v>
      </c>
      <c r="G1016">
        <v>4.8145E-2</v>
      </c>
      <c r="H1016">
        <v>5.9944999999999998E-2</v>
      </c>
      <c r="I1016">
        <v>8.4956000000000004E-2</v>
      </c>
      <c r="J1016">
        <v>6.6185999999999995E-2</v>
      </c>
      <c r="K1016">
        <v>6.2109999999999999E-2</v>
      </c>
      <c r="L1016">
        <v>4.5171999999999997E-2</v>
      </c>
      <c r="M1016">
        <v>6.6693000000000002E-2</v>
      </c>
      <c r="N1016">
        <v>7.2808999999999999E-2</v>
      </c>
      <c r="O1016">
        <v>4.7427999999999998E-2</v>
      </c>
      <c r="P1016">
        <v>5.9179000000000002E-2</v>
      </c>
      <c r="Q1016">
        <v>4.3761000000000001E-2</v>
      </c>
      <c r="R1016">
        <v>6.5199999999999994E-2</v>
      </c>
      <c r="S1016">
        <v>5.2782000000000003E-2</v>
      </c>
      <c r="T1016">
        <v>4.2055000000000002E-2</v>
      </c>
      <c r="U1016">
        <v>3.2204000000000003E-2</v>
      </c>
      <c r="V1016">
        <v>1.8762000000000001E-2</v>
      </c>
      <c r="W1016">
        <v>6.7109000000000002E-2</v>
      </c>
      <c r="X1016">
        <v>5.0613999999999999E-2</v>
      </c>
      <c r="Y1016">
        <v>3.4076000000000002E-2</v>
      </c>
      <c r="Z1016">
        <v>1.9328999999999999E-2</v>
      </c>
      <c r="AA1016">
        <v>1.2982E-2</v>
      </c>
      <c r="AB1016">
        <v>4.6900999999999998E-2</v>
      </c>
    </row>
    <row r="1017" spans="1:28" x14ac:dyDescent="0.2">
      <c r="A1017">
        <v>20160831</v>
      </c>
      <c r="B1017">
        <v>2016</v>
      </c>
      <c r="C1017">
        <v>8</v>
      </c>
      <c r="D1017">
        <v>2.5770000000000001E-2</v>
      </c>
      <c r="E1017">
        <v>3.5901000000000002E-2</v>
      </c>
      <c r="F1017">
        <v>3.9392000000000003E-2</v>
      </c>
      <c r="G1017">
        <v>4.514E-2</v>
      </c>
      <c r="H1017">
        <v>2.9876E-2</v>
      </c>
      <c r="I1017">
        <v>8.92E-4</v>
      </c>
      <c r="J1017">
        <v>2.7788E-2</v>
      </c>
      <c r="K1017">
        <v>2.1713E-2</v>
      </c>
      <c r="L1017">
        <v>3.3388000000000001E-2</v>
      </c>
      <c r="M1017">
        <v>3.2169999999999997E-2</v>
      </c>
      <c r="N1017">
        <v>-9.7470000000000005E-3</v>
      </c>
      <c r="O1017">
        <v>2.3290999999999999E-2</v>
      </c>
      <c r="P1017">
        <v>3.6325999999999997E-2</v>
      </c>
      <c r="Q1017">
        <v>2.4298E-2</v>
      </c>
      <c r="R1017">
        <v>1.32E-2</v>
      </c>
      <c r="S1017">
        <v>1.3513000000000001E-2</v>
      </c>
      <c r="T1017">
        <v>8.2579999999999997E-3</v>
      </c>
      <c r="U1017">
        <v>1.9313E-2</v>
      </c>
      <c r="V1017">
        <v>-3.411E-3</v>
      </c>
      <c r="W1017">
        <v>5.0050999999999998E-2</v>
      </c>
      <c r="X1017">
        <v>-6.8669999999999998E-3</v>
      </c>
      <c r="Y1017">
        <v>-3.8999999999999998E-3</v>
      </c>
      <c r="Z1017">
        <v>5.8180000000000003E-3</v>
      </c>
      <c r="AA1017">
        <v>1.8225999999999999E-2</v>
      </c>
      <c r="AB1017">
        <v>4.3659000000000003E-2</v>
      </c>
    </row>
    <row r="1018" spans="1:28" x14ac:dyDescent="0.2">
      <c r="A1018">
        <v>20160930</v>
      </c>
      <c r="B1018">
        <v>2016</v>
      </c>
      <c r="C1018">
        <v>9</v>
      </c>
      <c r="D1018">
        <v>0.112107</v>
      </c>
      <c r="E1018">
        <v>3.1641000000000002E-2</v>
      </c>
      <c r="F1018">
        <v>4.0903000000000002E-2</v>
      </c>
      <c r="G1018">
        <v>2.7747999999999998E-2</v>
      </c>
      <c r="H1018">
        <v>1.7604999999999999E-2</v>
      </c>
      <c r="I1018">
        <v>5.6180000000000001E-2</v>
      </c>
      <c r="J1018">
        <v>2.1014999999999999E-2</v>
      </c>
      <c r="K1018">
        <v>1.2071E-2</v>
      </c>
      <c r="L1018">
        <v>-4.5240000000000002E-3</v>
      </c>
      <c r="M1018">
        <v>2.2046E-2</v>
      </c>
      <c r="N1018">
        <v>-2.5379999999999999E-3</v>
      </c>
      <c r="O1018">
        <v>-3.6099999999999999E-4</v>
      </c>
      <c r="P1018">
        <v>5.5199999999999997E-3</v>
      </c>
      <c r="Q1018">
        <v>1.0978999999999999E-2</v>
      </c>
      <c r="R1018">
        <v>1.6619999999999999E-2</v>
      </c>
      <c r="S1018">
        <v>-8.3500000000000002E-4</v>
      </c>
      <c r="T1018">
        <v>-2.8479999999999998E-3</v>
      </c>
      <c r="U1018">
        <v>6.8069999999999997E-3</v>
      </c>
      <c r="V1018">
        <v>2.5010000000000002E-3</v>
      </c>
      <c r="W1018">
        <v>-1.5740000000000001E-3</v>
      </c>
      <c r="X1018">
        <v>4.7679999999999997E-3</v>
      </c>
      <c r="Y1018">
        <v>1.776E-3</v>
      </c>
      <c r="Z1018">
        <v>1.2128E-2</v>
      </c>
      <c r="AA1018">
        <v>-2.4157000000000001E-2</v>
      </c>
      <c r="AB1018">
        <v>7.0689999999999998E-3</v>
      </c>
    </row>
    <row r="1019" spans="1:28" x14ac:dyDescent="0.2">
      <c r="A1019">
        <v>20161031</v>
      </c>
      <c r="B1019">
        <v>2016</v>
      </c>
      <c r="C1019">
        <v>10</v>
      </c>
      <c r="D1019">
        <v>-0.104611</v>
      </c>
      <c r="E1019">
        <v>-9.3904000000000001E-2</v>
      </c>
      <c r="F1019">
        <v>-6.5836000000000006E-2</v>
      </c>
      <c r="G1019">
        <v>-3.2625000000000001E-2</v>
      </c>
      <c r="H1019">
        <v>-3.4174000000000003E-2</v>
      </c>
      <c r="I1019">
        <v>-9.9922999999999998E-2</v>
      </c>
      <c r="J1019">
        <v>-7.0708999999999994E-2</v>
      </c>
      <c r="K1019">
        <v>-5.5388E-2</v>
      </c>
      <c r="L1019">
        <v>-2.5243000000000002E-2</v>
      </c>
      <c r="M1019">
        <v>-4.9296E-2</v>
      </c>
      <c r="N1019">
        <v>-5.1812999999999998E-2</v>
      </c>
      <c r="O1019">
        <v>-4.9440999999999999E-2</v>
      </c>
      <c r="P1019">
        <v>-2.6582999999999999E-2</v>
      </c>
      <c r="Q1019">
        <v>-2.6294000000000001E-2</v>
      </c>
      <c r="R1019">
        <v>-4.1182000000000003E-2</v>
      </c>
      <c r="S1019">
        <v>-3.3660000000000002E-2</v>
      </c>
      <c r="T1019">
        <v>-1.8127999999999998E-2</v>
      </c>
      <c r="U1019">
        <v>-1.025E-2</v>
      </c>
      <c r="V1019">
        <v>-1.9153E-2</v>
      </c>
      <c r="W1019">
        <v>-4.1850000000000004E-3</v>
      </c>
      <c r="X1019">
        <v>-2.4138E-2</v>
      </c>
      <c r="Y1019">
        <v>-2.0011000000000001E-2</v>
      </c>
      <c r="Z1019">
        <v>-1.3714E-2</v>
      </c>
      <c r="AA1019">
        <v>1.245E-3</v>
      </c>
      <c r="AB1019">
        <v>1.7271999999999999E-2</v>
      </c>
    </row>
    <row r="1020" spans="1:28" x14ac:dyDescent="0.2">
      <c r="A1020">
        <v>20161130</v>
      </c>
      <c r="B1020">
        <v>2016</v>
      </c>
      <c r="C1020">
        <v>11</v>
      </c>
      <c r="D1020">
        <v>7.6992000000000005E-2</v>
      </c>
      <c r="E1020">
        <v>9.2772999999999994E-2</v>
      </c>
      <c r="F1020">
        <v>0.13315199999999999</v>
      </c>
      <c r="G1020">
        <v>0.13464899999999999</v>
      </c>
      <c r="H1020">
        <v>0.13222500000000001</v>
      </c>
      <c r="I1020">
        <v>9.74E-2</v>
      </c>
      <c r="J1020">
        <v>0.10517</v>
      </c>
      <c r="K1020">
        <v>0.12449499999999999</v>
      </c>
      <c r="L1020">
        <v>0.16254099999999999</v>
      </c>
      <c r="M1020">
        <v>0.13678399999999999</v>
      </c>
      <c r="N1020">
        <v>5.5705999999999999E-2</v>
      </c>
      <c r="O1020">
        <v>8.3738999999999994E-2</v>
      </c>
      <c r="P1020">
        <v>0.103084</v>
      </c>
      <c r="Q1020">
        <v>0.137601</v>
      </c>
      <c r="R1020">
        <v>0.17392299999999999</v>
      </c>
      <c r="S1020">
        <v>3.8411000000000001E-2</v>
      </c>
      <c r="T1020">
        <v>6.6545000000000007E-2</v>
      </c>
      <c r="U1020">
        <v>7.0982000000000003E-2</v>
      </c>
      <c r="V1020">
        <v>8.3613000000000007E-2</v>
      </c>
      <c r="W1020">
        <v>0.15537799999999999</v>
      </c>
      <c r="X1020">
        <v>8.7449999999999993E-3</v>
      </c>
      <c r="Y1020">
        <v>3.85E-2</v>
      </c>
      <c r="Z1020">
        <v>4.5846999999999999E-2</v>
      </c>
      <c r="AA1020">
        <v>7.4547000000000002E-2</v>
      </c>
      <c r="AB1020">
        <v>0.13641800000000001</v>
      </c>
    </row>
    <row r="1021" spans="1:28" x14ac:dyDescent="0.2">
      <c r="A1021">
        <v>20161230</v>
      </c>
      <c r="B1021">
        <v>2016</v>
      </c>
      <c r="C1021">
        <v>12</v>
      </c>
      <c r="D1021">
        <v>1.5871E-2</v>
      </c>
      <c r="E1021">
        <v>3.6045000000000001E-2</v>
      </c>
      <c r="F1021">
        <v>2.3392E-2</v>
      </c>
      <c r="G1021">
        <v>8.0002000000000004E-2</v>
      </c>
      <c r="H1021">
        <v>4.5524000000000002E-2</v>
      </c>
      <c r="I1021">
        <v>-3.2451000000000001E-2</v>
      </c>
      <c r="J1021">
        <v>1.5544000000000001E-2</v>
      </c>
      <c r="K1021">
        <v>2.5489999999999999E-2</v>
      </c>
      <c r="L1021">
        <v>4.9758999999999998E-2</v>
      </c>
      <c r="M1021">
        <v>3.6733000000000002E-2</v>
      </c>
      <c r="N1021">
        <v>4.7540000000000004E-3</v>
      </c>
      <c r="O1021">
        <v>1.8506000000000002E-2</v>
      </c>
      <c r="P1021">
        <v>2.2286E-2</v>
      </c>
      <c r="Q1021">
        <v>2.2324E-2</v>
      </c>
      <c r="R1021">
        <v>1.2315E-2</v>
      </c>
      <c r="S1021">
        <v>-3.5070000000000001E-3</v>
      </c>
      <c r="T1021">
        <v>3.895E-3</v>
      </c>
      <c r="U1021">
        <v>1.1601E-2</v>
      </c>
      <c r="V1021">
        <v>1.3041000000000001E-2</v>
      </c>
      <c r="W1021">
        <v>1.9709000000000001E-2</v>
      </c>
      <c r="X1021">
        <v>1.3129999999999999E-2</v>
      </c>
      <c r="Y1021">
        <v>1.3539000000000001E-2</v>
      </c>
      <c r="Z1021">
        <v>1.5774E-2</v>
      </c>
      <c r="AA1021">
        <v>5.1137000000000002E-2</v>
      </c>
      <c r="AB1021">
        <v>3.3498E-2</v>
      </c>
    </row>
    <row r="1022" spans="1:28" x14ac:dyDescent="0.2">
      <c r="A1022">
        <v>20170131</v>
      </c>
      <c r="B1022">
        <v>2017</v>
      </c>
      <c r="C1022">
        <v>1</v>
      </c>
      <c r="D1022">
        <v>1.6136999999999999E-2</v>
      </c>
      <c r="E1022">
        <v>-3.8052999999999997E-2</v>
      </c>
      <c r="F1022">
        <v>-1.41E-3</v>
      </c>
      <c r="G1022">
        <v>-1.7082E-2</v>
      </c>
      <c r="H1022">
        <v>-1.503E-3</v>
      </c>
      <c r="I1022">
        <v>2.9097000000000001E-2</v>
      </c>
      <c r="J1022">
        <v>1.8572000000000002E-2</v>
      </c>
      <c r="K1022">
        <v>-4.5750000000000001E-3</v>
      </c>
      <c r="L1022">
        <v>-2.3095000000000001E-2</v>
      </c>
      <c r="M1022">
        <v>8.4379999999999993E-3</v>
      </c>
      <c r="N1022">
        <v>2.4122000000000001E-2</v>
      </c>
      <c r="O1022">
        <v>1.354E-2</v>
      </c>
      <c r="P1022">
        <v>1.4163E-2</v>
      </c>
      <c r="Q1022">
        <v>1.8090000000000001E-3</v>
      </c>
      <c r="R1022">
        <v>7.2989999999999999E-3</v>
      </c>
      <c r="S1022">
        <v>3.4825000000000002E-2</v>
      </c>
      <c r="T1022">
        <v>3.6035999999999999E-2</v>
      </c>
      <c r="U1022">
        <v>1.7458999999999999E-2</v>
      </c>
      <c r="V1022">
        <v>1.2295E-2</v>
      </c>
      <c r="W1022">
        <v>2.1048999999999998E-2</v>
      </c>
      <c r="X1022">
        <v>3.5014999999999998E-2</v>
      </c>
      <c r="Y1022">
        <v>2.2936000000000002E-2</v>
      </c>
      <c r="Z1022">
        <v>-6.1809999999999999E-3</v>
      </c>
      <c r="AA1022">
        <v>8.2030000000000002E-3</v>
      </c>
      <c r="AB1022">
        <v>-2.2699999999999999E-4</v>
      </c>
    </row>
    <row r="1023" spans="1:28" x14ac:dyDescent="0.2">
      <c r="A1023">
        <v>20170228</v>
      </c>
      <c r="B1023">
        <v>2017</v>
      </c>
      <c r="C1023">
        <v>2</v>
      </c>
      <c r="D1023">
        <v>2.3852000000000002E-2</v>
      </c>
      <c r="E1023">
        <v>1.4959999999999999E-2</v>
      </c>
      <c r="F1023">
        <v>2.3352999999999999E-2</v>
      </c>
      <c r="G1023">
        <v>7.1009999999999997E-3</v>
      </c>
      <c r="H1023">
        <v>-1.8591E-2</v>
      </c>
      <c r="I1023">
        <v>5.7680000000000002E-2</v>
      </c>
      <c r="J1023">
        <v>5.3899999999999998E-3</v>
      </c>
      <c r="K1023">
        <v>1.3995E-2</v>
      </c>
      <c r="L1023">
        <v>1.3473000000000001E-2</v>
      </c>
      <c r="M1023">
        <v>1.4121E-2</v>
      </c>
      <c r="N1023">
        <v>4.3612999999999999E-2</v>
      </c>
      <c r="O1023">
        <v>2.2823E-2</v>
      </c>
      <c r="P1023">
        <v>6.1960000000000001E-3</v>
      </c>
      <c r="Q1023">
        <v>1.0788000000000001E-2</v>
      </c>
      <c r="R1023">
        <v>3.2940000000000001E-3</v>
      </c>
      <c r="S1023">
        <v>3.9128999999999997E-2</v>
      </c>
      <c r="T1023">
        <v>2.6863000000000001E-2</v>
      </c>
      <c r="U1023">
        <v>2.9578E-2</v>
      </c>
      <c r="V1023">
        <v>1.6108000000000001E-2</v>
      </c>
      <c r="W1023">
        <v>3.3707000000000001E-2</v>
      </c>
      <c r="X1023">
        <v>4.8467000000000003E-2</v>
      </c>
      <c r="Y1023">
        <v>3.2288999999999998E-2</v>
      </c>
      <c r="Z1023">
        <v>2.5465999999999999E-2</v>
      </c>
      <c r="AA1023">
        <v>3.5964999999999997E-2</v>
      </c>
      <c r="AB1023">
        <v>4.1598000000000003E-2</v>
      </c>
    </row>
    <row r="1024" spans="1:28" x14ac:dyDescent="0.2">
      <c r="A1024">
        <v>20170331</v>
      </c>
      <c r="B1024">
        <v>2017</v>
      </c>
      <c r="C1024">
        <v>3</v>
      </c>
      <c r="D1024">
        <v>1.967E-2</v>
      </c>
      <c r="E1024">
        <v>3.1973000000000001E-2</v>
      </c>
      <c r="F1024">
        <v>2.0338999999999999E-2</v>
      </c>
      <c r="G1024">
        <v>8.0230000000000006E-3</v>
      </c>
      <c r="H1024">
        <v>3.065E-3</v>
      </c>
      <c r="I1024">
        <v>3.7402999999999999E-2</v>
      </c>
      <c r="J1024">
        <v>4.1440000000000001E-3</v>
      </c>
      <c r="K1024">
        <v>-5.3189999999999999E-3</v>
      </c>
      <c r="L1024">
        <v>-8.2920000000000008E-3</v>
      </c>
      <c r="M1024">
        <v>-1.6854999999999998E-2</v>
      </c>
      <c r="N1024">
        <v>1.5767E-2</v>
      </c>
      <c r="O1024">
        <v>-3.4870000000000001E-3</v>
      </c>
      <c r="P1024">
        <v>3.7160000000000001E-3</v>
      </c>
      <c r="Q1024">
        <v>-7.5820000000000002E-3</v>
      </c>
      <c r="R1024">
        <v>-2.3002999999999999E-2</v>
      </c>
      <c r="S1024">
        <v>3.0660000000000001E-3</v>
      </c>
      <c r="T1024">
        <v>1.2800000000000001E-3</v>
      </c>
      <c r="U1024">
        <v>2.8830000000000001E-3</v>
      </c>
      <c r="V1024">
        <v>-1.567E-3</v>
      </c>
      <c r="W1024">
        <v>-3.3647000000000003E-2</v>
      </c>
      <c r="X1024">
        <v>1.5592999999999999E-2</v>
      </c>
      <c r="Y1024">
        <v>3.1749999999999999E-3</v>
      </c>
      <c r="Z1024">
        <v>-5.1260000000000003E-3</v>
      </c>
      <c r="AA1024">
        <v>-1.6274E-2</v>
      </c>
      <c r="AB1024">
        <v>-2.9856000000000001E-2</v>
      </c>
    </row>
    <row r="1025" spans="1:28" x14ac:dyDescent="0.2">
      <c r="A1025">
        <v>20170428</v>
      </c>
      <c r="B1025">
        <v>2017</v>
      </c>
      <c r="C1025">
        <v>4</v>
      </c>
      <c r="D1025">
        <v>3.6624999999999998E-2</v>
      </c>
      <c r="E1025">
        <v>5.3810000000000004E-3</v>
      </c>
      <c r="F1025">
        <v>1.1354E-2</v>
      </c>
      <c r="G1025">
        <v>1.9519999999999999E-2</v>
      </c>
      <c r="H1025">
        <v>2.0249999999999999E-3</v>
      </c>
      <c r="I1025">
        <v>3.9389E-2</v>
      </c>
      <c r="J1025">
        <v>8.4010000000000005E-3</v>
      </c>
      <c r="K1025">
        <v>1.7989999999999999E-2</v>
      </c>
      <c r="L1025">
        <v>1.2472E-2</v>
      </c>
      <c r="M1025">
        <v>7.8079999999999998E-3</v>
      </c>
      <c r="N1025">
        <v>1.6798E-2</v>
      </c>
      <c r="O1025">
        <v>1.4959E-2</v>
      </c>
      <c r="P1025">
        <v>9.5999999999999992E-3</v>
      </c>
      <c r="Q1025">
        <v>-6.4999999999999994E-5</v>
      </c>
      <c r="R1025">
        <v>-2.7515000000000001E-2</v>
      </c>
      <c r="S1025">
        <v>1.7656999999999999E-2</v>
      </c>
      <c r="T1025">
        <v>1.4657E-2</v>
      </c>
      <c r="U1025">
        <v>2.075E-3</v>
      </c>
      <c r="V1025">
        <v>-1.498E-3</v>
      </c>
      <c r="W1025">
        <v>-8.4159999999999999E-3</v>
      </c>
      <c r="X1025">
        <v>1.8387000000000001E-2</v>
      </c>
      <c r="Y1025">
        <v>1.9348000000000001E-2</v>
      </c>
      <c r="Z1025">
        <v>1.1204E-2</v>
      </c>
      <c r="AA1025">
        <v>-7.9970000000000006E-3</v>
      </c>
      <c r="AB1025">
        <v>-7.162E-3</v>
      </c>
    </row>
    <row r="1026" spans="1:28" x14ac:dyDescent="0.2">
      <c r="A1026">
        <v>20170531</v>
      </c>
      <c r="B1026">
        <v>2017</v>
      </c>
      <c r="C1026">
        <v>5</v>
      </c>
      <c r="D1026">
        <v>-1.7405E-2</v>
      </c>
      <c r="E1026">
        <v>-2.2911999999999998E-2</v>
      </c>
      <c r="F1026">
        <v>-2.3099000000000001E-2</v>
      </c>
      <c r="G1026">
        <v>-2.6422000000000001E-2</v>
      </c>
      <c r="H1026">
        <v>-2.988E-2</v>
      </c>
      <c r="I1026">
        <v>1.49E-3</v>
      </c>
      <c r="J1026">
        <v>-1.2383999999999999E-2</v>
      </c>
      <c r="K1026">
        <v>-1.5893999999999998E-2</v>
      </c>
      <c r="L1026">
        <v>-4.6618E-2</v>
      </c>
      <c r="M1026">
        <v>-4.2069000000000002E-2</v>
      </c>
      <c r="N1026">
        <v>2.0829E-2</v>
      </c>
      <c r="O1026">
        <v>-1.1475000000000001E-2</v>
      </c>
      <c r="P1026">
        <v>-2.3122E-2</v>
      </c>
      <c r="Q1026">
        <v>-2.3043999999999999E-2</v>
      </c>
      <c r="R1026">
        <v>-4.1938999999999997E-2</v>
      </c>
      <c r="S1026">
        <v>1.9255999999999999E-2</v>
      </c>
      <c r="T1026">
        <v>-5.6280000000000002E-3</v>
      </c>
      <c r="U1026">
        <v>1.8079999999999999E-3</v>
      </c>
      <c r="V1026">
        <v>-1.3240000000000001E-3</v>
      </c>
      <c r="W1026">
        <v>-3.1628000000000003E-2</v>
      </c>
      <c r="X1026">
        <v>2.9080999999999999E-2</v>
      </c>
      <c r="Y1026">
        <v>2.1824E-2</v>
      </c>
      <c r="Z1026">
        <v>1.0371E-2</v>
      </c>
      <c r="AA1026">
        <v>-1.3299999999999999E-2</v>
      </c>
      <c r="AB1026">
        <v>-1.4062E-2</v>
      </c>
    </row>
    <row r="1027" spans="1:28" x14ac:dyDescent="0.2">
      <c r="A1027">
        <v>20170630</v>
      </c>
      <c r="B1027">
        <v>2017</v>
      </c>
      <c r="C1027">
        <v>6</v>
      </c>
      <c r="D1027">
        <v>8.8904999999999998E-2</v>
      </c>
      <c r="E1027">
        <v>8.7888999999999995E-2</v>
      </c>
      <c r="F1027">
        <v>4.5178000000000003E-2</v>
      </c>
      <c r="G1027">
        <v>4.0319000000000001E-2</v>
      </c>
      <c r="H1027">
        <v>4.3339999999999997E-2</v>
      </c>
      <c r="I1027">
        <v>6.2135000000000003E-2</v>
      </c>
      <c r="J1027">
        <v>3.0445E-2</v>
      </c>
      <c r="K1027">
        <v>3.4984000000000001E-2</v>
      </c>
      <c r="L1027">
        <v>2.6617999999999999E-2</v>
      </c>
      <c r="M1027">
        <v>3.8045000000000002E-2</v>
      </c>
      <c r="N1027">
        <v>2.4764999999999999E-2</v>
      </c>
      <c r="O1027">
        <v>2.2339999999999999E-2</v>
      </c>
      <c r="P1027">
        <v>2.4766E-2</v>
      </c>
      <c r="Q1027">
        <v>2.3109000000000001E-2</v>
      </c>
      <c r="R1027">
        <v>3.3134999999999998E-2</v>
      </c>
      <c r="S1027">
        <v>1.6056000000000001E-2</v>
      </c>
      <c r="T1027">
        <v>1.5361E-2</v>
      </c>
      <c r="U1027">
        <v>1.5682999999999999E-2</v>
      </c>
      <c r="V1027">
        <v>2.1243999999999999E-2</v>
      </c>
      <c r="W1027">
        <v>4.3857E-2</v>
      </c>
      <c r="X1027">
        <v>-5.4409999999999997E-3</v>
      </c>
      <c r="Y1027">
        <v>3.274E-3</v>
      </c>
      <c r="Z1027">
        <v>-5.2519999999999997E-3</v>
      </c>
      <c r="AA1027">
        <v>3.1081000000000001E-2</v>
      </c>
      <c r="AB1027">
        <v>3.6208999999999998E-2</v>
      </c>
    </row>
    <row r="1028" spans="1:28" x14ac:dyDescent="0.2">
      <c r="A1028">
        <v>20170731</v>
      </c>
      <c r="B1028">
        <v>2017</v>
      </c>
      <c r="C1028">
        <v>7</v>
      </c>
      <c r="D1028">
        <v>-7.5719999999999997E-3</v>
      </c>
      <c r="E1028">
        <v>-2.5489999999999999E-2</v>
      </c>
      <c r="F1028">
        <v>-8.5900000000000004E-3</v>
      </c>
      <c r="G1028">
        <v>-8.0680000000000005E-3</v>
      </c>
      <c r="H1028">
        <v>-2.3289999999999999E-3</v>
      </c>
      <c r="I1028">
        <v>-5.0350000000000004E-3</v>
      </c>
      <c r="J1028">
        <v>1.1561999999999999E-2</v>
      </c>
      <c r="K1028">
        <v>9.2409999999999992E-3</v>
      </c>
      <c r="L1028">
        <v>1.6219000000000001E-2</v>
      </c>
      <c r="M1028">
        <v>1.6614E-2</v>
      </c>
      <c r="N1028">
        <v>7.7920000000000003E-3</v>
      </c>
      <c r="O1028">
        <v>7.0860000000000003E-3</v>
      </c>
      <c r="P1028">
        <v>1.5067000000000001E-2</v>
      </c>
      <c r="Q1028">
        <v>2.542E-3</v>
      </c>
      <c r="R1028">
        <v>2.4257999999999998E-2</v>
      </c>
      <c r="S1028">
        <v>1.7042000000000002E-2</v>
      </c>
      <c r="T1028">
        <v>1.5184E-2</v>
      </c>
      <c r="U1028">
        <v>1.1172E-2</v>
      </c>
      <c r="V1028">
        <v>2.4164000000000001E-2</v>
      </c>
      <c r="W1028">
        <v>2.4782999999999999E-2</v>
      </c>
      <c r="X1028">
        <v>2.5522E-2</v>
      </c>
      <c r="Y1028">
        <v>2.0729000000000001E-2</v>
      </c>
      <c r="Z1028">
        <v>1.5939999999999999E-2</v>
      </c>
      <c r="AA1028">
        <v>2.4236000000000001E-2</v>
      </c>
      <c r="AB1028">
        <v>2.2726E-2</v>
      </c>
    </row>
    <row r="1029" spans="1:28" x14ac:dyDescent="0.2">
      <c r="A1029">
        <v>20170831</v>
      </c>
      <c r="B1029">
        <v>2017</v>
      </c>
      <c r="C1029">
        <v>8</v>
      </c>
      <c r="D1029">
        <v>-2.6640000000000001E-3</v>
      </c>
      <c r="E1029">
        <v>-2.8969999999999998E-3</v>
      </c>
      <c r="F1029">
        <v>-1.9540999999999999E-2</v>
      </c>
      <c r="G1029">
        <v>-1.7236999999999999E-2</v>
      </c>
      <c r="H1029">
        <v>-2.0302000000000001E-2</v>
      </c>
      <c r="I1029">
        <v>-4.2490000000000002E-3</v>
      </c>
      <c r="J1029">
        <v>-1.2061000000000001E-2</v>
      </c>
      <c r="K1029">
        <v>-1.9505000000000002E-2</v>
      </c>
      <c r="L1029">
        <v>-3.2468999999999998E-2</v>
      </c>
      <c r="M1029">
        <v>-3.6686000000000003E-2</v>
      </c>
      <c r="N1029">
        <v>6.7380000000000001E-3</v>
      </c>
      <c r="O1029">
        <v>-2.0752E-2</v>
      </c>
      <c r="P1029">
        <v>-1.8331E-2</v>
      </c>
      <c r="Q1029">
        <v>-1.0331E-2</v>
      </c>
      <c r="R1029">
        <v>-3.039E-2</v>
      </c>
      <c r="S1029">
        <v>9.0580000000000001E-3</v>
      </c>
      <c r="T1029">
        <v>-3.2039999999999998E-3</v>
      </c>
      <c r="U1029">
        <v>-1.9900000000000001E-4</v>
      </c>
      <c r="V1029">
        <v>-1.9251999999999998E-2</v>
      </c>
      <c r="W1029">
        <v>-2.0465000000000001E-2</v>
      </c>
      <c r="X1029">
        <v>2.1593999999999999E-2</v>
      </c>
      <c r="Y1029">
        <v>9.1699999999999995E-4</v>
      </c>
      <c r="Z1029">
        <v>-3.663E-3</v>
      </c>
      <c r="AA1029">
        <v>-3.8059999999999999E-3</v>
      </c>
      <c r="AB1029">
        <v>-1.6784E-2</v>
      </c>
    </row>
    <row r="1030" spans="1:28" x14ac:dyDescent="0.2">
      <c r="A1030">
        <v>20170929</v>
      </c>
      <c r="B1030">
        <v>2017</v>
      </c>
      <c r="C1030">
        <v>9</v>
      </c>
      <c r="D1030">
        <v>7.5062000000000004E-2</v>
      </c>
      <c r="E1030">
        <v>5.5258000000000002E-2</v>
      </c>
      <c r="F1030">
        <v>0.103395</v>
      </c>
      <c r="G1030">
        <v>9.2872999999999997E-2</v>
      </c>
      <c r="H1030">
        <v>9.2924999999999994E-2</v>
      </c>
      <c r="I1030">
        <v>5.4748999999999999E-2</v>
      </c>
      <c r="J1030">
        <v>7.059E-2</v>
      </c>
      <c r="K1030">
        <v>8.9689000000000005E-2</v>
      </c>
      <c r="L1030">
        <v>9.2709E-2</v>
      </c>
      <c r="M1030">
        <v>7.0111000000000007E-2</v>
      </c>
      <c r="N1030">
        <v>2.2818999999999999E-2</v>
      </c>
      <c r="O1030">
        <v>4.8510999999999999E-2</v>
      </c>
      <c r="P1030">
        <v>7.0585999999999996E-2</v>
      </c>
      <c r="Q1030">
        <v>6.5674999999999997E-2</v>
      </c>
      <c r="R1030">
        <v>5.2972999999999999E-2</v>
      </c>
      <c r="S1030">
        <v>2.7161000000000001E-2</v>
      </c>
      <c r="T1030">
        <v>3.7754999999999997E-2</v>
      </c>
      <c r="U1030">
        <v>4.3389999999999998E-2</v>
      </c>
      <c r="V1030">
        <v>4.1084000000000002E-2</v>
      </c>
      <c r="W1030">
        <v>5.1390999999999999E-2</v>
      </c>
      <c r="X1030">
        <v>1.0023000000000001E-2</v>
      </c>
      <c r="Y1030">
        <v>1.3968E-2</v>
      </c>
      <c r="Z1030">
        <v>3.2663999999999999E-2</v>
      </c>
      <c r="AA1030">
        <v>2.9686000000000001E-2</v>
      </c>
      <c r="AB1030">
        <v>5.1740000000000001E-2</v>
      </c>
    </row>
    <row r="1031" spans="1:28" x14ac:dyDescent="0.2">
      <c r="A1031">
        <v>20171031</v>
      </c>
      <c r="B1031">
        <v>2017</v>
      </c>
      <c r="C1031">
        <v>10</v>
      </c>
      <c r="D1031">
        <v>-3.2473000000000002E-2</v>
      </c>
      <c r="E1031">
        <v>-2.8459000000000002E-2</v>
      </c>
      <c r="F1031">
        <v>2.5758E-2</v>
      </c>
      <c r="G1031">
        <v>2.1849999999999999E-3</v>
      </c>
      <c r="H1031">
        <v>8.2799999999999992E-3</v>
      </c>
      <c r="I1031">
        <v>2.826E-3</v>
      </c>
      <c r="J1031">
        <v>1.4770999999999999E-2</v>
      </c>
      <c r="K1031">
        <v>4.9540000000000001E-3</v>
      </c>
      <c r="L1031">
        <v>-1.9469999999999999E-3</v>
      </c>
      <c r="M1031">
        <v>2.9499999999999999E-3</v>
      </c>
      <c r="N1031">
        <v>2.7525999999999998E-2</v>
      </c>
      <c r="O1031">
        <v>1.5010000000000001E-2</v>
      </c>
      <c r="P1031">
        <v>1.3798E-2</v>
      </c>
      <c r="Q1031">
        <v>7.463E-3</v>
      </c>
      <c r="R1031">
        <v>3.2173E-2</v>
      </c>
      <c r="S1031">
        <v>2.5822999999999999E-2</v>
      </c>
      <c r="T1031">
        <v>3.4210999999999998E-2</v>
      </c>
      <c r="U1031">
        <v>2.2492999999999999E-2</v>
      </c>
      <c r="V1031">
        <v>-1.0867E-2</v>
      </c>
      <c r="W1031">
        <v>2.1527000000000001E-2</v>
      </c>
      <c r="X1031">
        <v>4.1366E-2</v>
      </c>
      <c r="Y1031">
        <v>1.2418E-2</v>
      </c>
      <c r="Z1031">
        <v>2.9406999999999999E-2</v>
      </c>
      <c r="AA1031">
        <v>-1.737E-3</v>
      </c>
      <c r="AB1031">
        <v>4.2292999999999997E-2</v>
      </c>
    </row>
    <row r="1032" spans="1:28" x14ac:dyDescent="0.2">
      <c r="A1032">
        <v>20171130</v>
      </c>
      <c r="B1032">
        <v>2017</v>
      </c>
      <c r="C1032">
        <v>11</v>
      </c>
      <c r="D1032">
        <v>1.9779000000000001E-2</v>
      </c>
      <c r="E1032">
        <v>4.1575000000000001E-2</v>
      </c>
      <c r="F1032">
        <v>2.9749000000000001E-2</v>
      </c>
      <c r="G1032">
        <v>2.0160000000000001E-2</v>
      </c>
      <c r="H1032">
        <v>4.1197999999999999E-2</v>
      </c>
      <c r="I1032">
        <v>1.8839000000000002E-2</v>
      </c>
      <c r="J1032">
        <v>3.5504000000000001E-2</v>
      </c>
      <c r="K1032">
        <v>2.9815000000000001E-2</v>
      </c>
      <c r="L1032">
        <v>2.2765000000000001E-2</v>
      </c>
      <c r="M1032">
        <v>6.6699999999999997E-3</v>
      </c>
      <c r="N1032">
        <v>3.5615000000000001E-2</v>
      </c>
      <c r="O1032">
        <v>3.8698999999999997E-2</v>
      </c>
      <c r="P1032">
        <v>3.4203999999999998E-2</v>
      </c>
      <c r="Q1032">
        <v>3.1948999999999998E-2</v>
      </c>
      <c r="R1032">
        <v>3.7661E-2</v>
      </c>
      <c r="S1032">
        <v>4.5683000000000001E-2</v>
      </c>
      <c r="T1032">
        <v>4.9908000000000001E-2</v>
      </c>
      <c r="U1032">
        <v>4.4000999999999998E-2</v>
      </c>
      <c r="V1032">
        <v>3.1304999999999999E-2</v>
      </c>
      <c r="W1032">
        <v>4.4901999999999997E-2</v>
      </c>
      <c r="X1032">
        <v>3.1302000000000003E-2</v>
      </c>
      <c r="Y1032">
        <v>2.5531999999999999E-2</v>
      </c>
      <c r="Z1032">
        <v>4.4580000000000002E-2</v>
      </c>
      <c r="AA1032">
        <v>3.3730000000000003E-2</v>
      </c>
      <c r="AB1032">
        <v>2.4025999999999999E-2</v>
      </c>
    </row>
    <row r="1033" spans="1:28" x14ac:dyDescent="0.2">
      <c r="A1033">
        <v>20171229</v>
      </c>
      <c r="B1033">
        <v>2017</v>
      </c>
      <c r="C1033">
        <v>12</v>
      </c>
      <c r="D1033">
        <v>1.4893E-2</v>
      </c>
      <c r="E1033">
        <v>5.385E-3</v>
      </c>
      <c r="F1033">
        <v>-5.3319999999999999E-3</v>
      </c>
      <c r="G1033">
        <v>-1.6808E-2</v>
      </c>
      <c r="H1033">
        <v>2.6919999999999999E-3</v>
      </c>
      <c r="I1033">
        <v>-1.8799999999999999E-3</v>
      </c>
      <c r="J1033">
        <v>2.2012E-2</v>
      </c>
      <c r="K1033">
        <v>-1.2661E-2</v>
      </c>
      <c r="L1033">
        <v>-2.7200000000000002E-3</v>
      </c>
      <c r="M1033">
        <v>5.326E-3</v>
      </c>
      <c r="N1033">
        <v>1.0924E-2</v>
      </c>
      <c r="O1033">
        <v>-2.3110000000000001E-3</v>
      </c>
      <c r="P1033">
        <v>4.0309999999999999E-3</v>
      </c>
      <c r="Q1033">
        <v>-1.4309000000000001E-2</v>
      </c>
      <c r="R1033">
        <v>6.2350000000000001E-3</v>
      </c>
      <c r="S1033">
        <v>3.493E-3</v>
      </c>
      <c r="T1033">
        <v>9.4579999999999994E-3</v>
      </c>
      <c r="U1033">
        <v>3.568E-3</v>
      </c>
      <c r="V1033">
        <v>1.4487999999999999E-2</v>
      </c>
      <c r="W1033">
        <v>3.1546999999999999E-2</v>
      </c>
      <c r="X1033">
        <v>1.0827E-2</v>
      </c>
      <c r="Y1033">
        <v>1.1134E-2</v>
      </c>
      <c r="Z1033">
        <v>1.4728E-2</v>
      </c>
      <c r="AA1033">
        <v>1.6962999999999999E-2</v>
      </c>
      <c r="AB1033">
        <v>1.1679E-2</v>
      </c>
    </row>
    <row r="1034" spans="1:28" x14ac:dyDescent="0.2">
      <c r="A1034">
        <v>20180131</v>
      </c>
      <c r="B1034">
        <v>2018</v>
      </c>
      <c r="C1034">
        <v>1</v>
      </c>
      <c r="D1034">
        <v>2.6450000000000001E-2</v>
      </c>
      <c r="E1034">
        <v>2.4729000000000001E-2</v>
      </c>
      <c r="F1034">
        <v>3.3091000000000002E-2</v>
      </c>
      <c r="G1034">
        <v>2.8500000000000001E-2</v>
      </c>
      <c r="H1034">
        <v>4.7299999999999998E-3</v>
      </c>
      <c r="I1034">
        <v>3.6562999999999998E-2</v>
      </c>
      <c r="J1034">
        <v>1.9168000000000001E-2</v>
      </c>
      <c r="K1034">
        <v>2.9051E-2</v>
      </c>
      <c r="L1034">
        <v>2.3803000000000001E-2</v>
      </c>
      <c r="M1034">
        <v>1.8748999999999998E-2</v>
      </c>
      <c r="N1034">
        <v>5.1853999999999997E-2</v>
      </c>
      <c r="O1034">
        <v>3.8209E-2</v>
      </c>
      <c r="P1034">
        <v>3.5846000000000003E-2</v>
      </c>
      <c r="Q1034">
        <v>3.3009999999999998E-2</v>
      </c>
      <c r="R1034">
        <v>2.4024E-2</v>
      </c>
      <c r="S1034">
        <v>5.4447000000000002E-2</v>
      </c>
      <c r="T1034">
        <v>5.3723E-2</v>
      </c>
      <c r="U1034">
        <v>4.8496999999999998E-2</v>
      </c>
      <c r="V1034">
        <v>3.1962999999999998E-2</v>
      </c>
      <c r="W1034">
        <v>2.1679E-2</v>
      </c>
      <c r="X1034">
        <v>7.9504000000000005E-2</v>
      </c>
      <c r="Y1034">
        <v>5.1919E-2</v>
      </c>
      <c r="Z1034">
        <v>5.8026000000000001E-2</v>
      </c>
      <c r="AA1034">
        <v>3.7748999999999998E-2</v>
      </c>
      <c r="AB1034">
        <v>5.6204999999999998E-2</v>
      </c>
    </row>
    <row r="1035" spans="1:28" x14ac:dyDescent="0.2">
      <c r="A1035">
        <v>20180228</v>
      </c>
      <c r="B1035">
        <v>2018</v>
      </c>
      <c r="C1035">
        <v>2</v>
      </c>
      <c r="D1035">
        <v>-2.2429999999999999E-2</v>
      </c>
      <c r="E1035">
        <v>-1.8026E-2</v>
      </c>
      <c r="F1035">
        <v>-3.9260000000000003E-2</v>
      </c>
      <c r="G1035">
        <v>-3.4264000000000003E-2</v>
      </c>
      <c r="H1035">
        <v>-3.7900000000000003E-2</v>
      </c>
      <c r="I1035">
        <v>-3.6137000000000002E-2</v>
      </c>
      <c r="J1035">
        <v>-2.4104E-2</v>
      </c>
      <c r="K1035">
        <v>-3.5692000000000002E-2</v>
      </c>
      <c r="L1035">
        <v>-3.7711000000000001E-2</v>
      </c>
      <c r="M1035">
        <v>-4.6280000000000002E-2</v>
      </c>
      <c r="N1035">
        <v>-2.5888000000000001E-2</v>
      </c>
      <c r="O1035">
        <v>-4.1008000000000003E-2</v>
      </c>
      <c r="P1035">
        <v>-4.9673000000000002E-2</v>
      </c>
      <c r="Q1035">
        <v>-4.3906000000000001E-2</v>
      </c>
      <c r="R1035">
        <v>-4.4962000000000002E-2</v>
      </c>
      <c r="S1035">
        <v>-3.1053999999999998E-2</v>
      </c>
      <c r="T1035">
        <v>-4.8411999999999997E-2</v>
      </c>
      <c r="U1035">
        <v>-3.3456E-2</v>
      </c>
      <c r="V1035">
        <v>-4.6720999999999999E-2</v>
      </c>
      <c r="W1035">
        <v>-4.9567E-2</v>
      </c>
      <c r="X1035">
        <v>-1.3956E-2</v>
      </c>
      <c r="Y1035">
        <v>-4.8061E-2</v>
      </c>
      <c r="Z1035">
        <v>-5.3016000000000001E-2</v>
      </c>
      <c r="AA1035">
        <v>-5.5371999999999998E-2</v>
      </c>
      <c r="AB1035">
        <v>-2.0111E-2</v>
      </c>
    </row>
    <row r="1036" spans="1:28" x14ac:dyDescent="0.2">
      <c r="A1036">
        <v>20180329</v>
      </c>
      <c r="B1036">
        <v>2018</v>
      </c>
      <c r="C1036">
        <v>3</v>
      </c>
      <c r="D1036">
        <v>2.4715999999999998E-2</v>
      </c>
      <c r="E1036">
        <v>-1.2414E-2</v>
      </c>
      <c r="F1036">
        <v>6.7889999999999999E-3</v>
      </c>
      <c r="G1036">
        <v>2.7848000000000001E-2</v>
      </c>
      <c r="H1036">
        <v>2.2998999999999999E-2</v>
      </c>
      <c r="I1036">
        <v>1.5081000000000001E-2</v>
      </c>
      <c r="J1036">
        <v>6.8500000000000002E-3</v>
      </c>
      <c r="K1036">
        <v>9.051E-3</v>
      </c>
      <c r="L1036">
        <v>1.7101000000000002E-2</v>
      </c>
      <c r="M1036">
        <v>4.3819999999999996E-3</v>
      </c>
      <c r="N1036">
        <v>1.7975999999999999E-2</v>
      </c>
      <c r="O1036">
        <v>1.0495000000000001E-2</v>
      </c>
      <c r="P1036">
        <v>-1.0355E-2</v>
      </c>
      <c r="Q1036">
        <v>1.5862000000000001E-2</v>
      </c>
      <c r="R1036">
        <v>6.9220000000000002E-3</v>
      </c>
      <c r="S1036">
        <v>-2.493E-3</v>
      </c>
      <c r="T1036">
        <v>1.0430000000000001E-3</v>
      </c>
      <c r="U1036">
        <v>-2.32E-4</v>
      </c>
      <c r="V1036">
        <v>1.1370999999999999E-2</v>
      </c>
      <c r="W1036">
        <v>-2.5839999999999999E-3</v>
      </c>
      <c r="X1036">
        <v>-2.8169E-2</v>
      </c>
      <c r="Y1036">
        <v>-3.7983000000000003E-2</v>
      </c>
      <c r="Z1036">
        <v>-1.6521999999999998E-2</v>
      </c>
      <c r="AA1036">
        <v>-1.619E-2</v>
      </c>
      <c r="AB1036">
        <v>-4.4477999999999997E-2</v>
      </c>
    </row>
    <row r="1037" spans="1:28" x14ac:dyDescent="0.2">
      <c r="A1037">
        <v>20180430</v>
      </c>
      <c r="B1037">
        <v>2018</v>
      </c>
      <c r="C1037">
        <v>4</v>
      </c>
      <c r="D1037">
        <v>-2.6689999999999999E-3</v>
      </c>
      <c r="E1037">
        <v>5.0030999999999999E-2</v>
      </c>
      <c r="F1037">
        <v>4.4060000000000002E-3</v>
      </c>
      <c r="G1037">
        <v>8.4399999999999996E-3</v>
      </c>
      <c r="H1037">
        <v>1.4149999999999999E-2</v>
      </c>
      <c r="I1037">
        <v>1.1233999999999999E-2</v>
      </c>
      <c r="J1037">
        <v>3.6909999999999998E-3</v>
      </c>
      <c r="K1037">
        <v>1.2236E-2</v>
      </c>
      <c r="L1037">
        <v>7.3619999999999996E-3</v>
      </c>
      <c r="M1037">
        <v>4.9345E-2</v>
      </c>
      <c r="N1037">
        <v>-4.3449999999999999E-3</v>
      </c>
      <c r="O1037">
        <v>4.8979999999999996E-3</v>
      </c>
      <c r="P1037">
        <v>-1.6896000000000001E-2</v>
      </c>
      <c r="Q1037">
        <v>9.0489999999999998E-3</v>
      </c>
      <c r="R1037">
        <v>6.8079999999999998E-3</v>
      </c>
      <c r="S1037">
        <v>-2.4710000000000001E-3</v>
      </c>
      <c r="T1037">
        <v>-5.8780000000000004E-3</v>
      </c>
      <c r="U1037">
        <v>-7.7120000000000001E-3</v>
      </c>
      <c r="V1037">
        <v>6.3350000000000004E-3</v>
      </c>
      <c r="W1037">
        <v>1.2673E-2</v>
      </c>
      <c r="X1037">
        <v>3.1089999999999998E-3</v>
      </c>
      <c r="Y1037">
        <v>8.4069999999999995E-3</v>
      </c>
      <c r="Z1037">
        <v>1.3788E-2</v>
      </c>
      <c r="AA1037">
        <v>1.9239999999999999E-3</v>
      </c>
      <c r="AB1037">
        <v>-3.2899999999999997E-4</v>
      </c>
    </row>
    <row r="1038" spans="1:28" x14ac:dyDescent="0.2">
      <c r="A1038">
        <v>20180531</v>
      </c>
      <c r="B1038">
        <v>2018</v>
      </c>
      <c r="C1038">
        <v>5</v>
      </c>
      <c r="D1038">
        <v>0.136878</v>
      </c>
      <c r="E1038">
        <v>8.9456999999999995E-2</v>
      </c>
      <c r="F1038">
        <v>7.4583999999999998E-2</v>
      </c>
      <c r="G1038">
        <v>6.3425999999999996E-2</v>
      </c>
      <c r="H1038">
        <v>6.3807000000000003E-2</v>
      </c>
      <c r="I1038">
        <v>8.7760000000000005E-2</v>
      </c>
      <c r="J1038">
        <v>6.5852999999999995E-2</v>
      </c>
      <c r="K1038">
        <v>7.5641E-2</v>
      </c>
      <c r="L1038">
        <v>7.2413000000000005E-2</v>
      </c>
      <c r="M1038">
        <v>3.7275000000000003E-2</v>
      </c>
      <c r="N1038">
        <v>6.3504000000000005E-2</v>
      </c>
      <c r="O1038">
        <v>4.8842000000000003E-2</v>
      </c>
      <c r="P1038">
        <v>4.4644999999999997E-2</v>
      </c>
      <c r="Q1038">
        <v>5.3096999999999998E-2</v>
      </c>
      <c r="R1038">
        <v>5.3578000000000001E-2</v>
      </c>
      <c r="S1038">
        <v>4.3459999999999999E-2</v>
      </c>
      <c r="T1038">
        <v>3.9982999999999998E-2</v>
      </c>
      <c r="U1038">
        <v>2.9061E-2</v>
      </c>
      <c r="V1038">
        <v>1.6626999999999999E-2</v>
      </c>
      <c r="W1038">
        <v>1.7777000000000001E-2</v>
      </c>
      <c r="X1038">
        <v>4.4001999999999999E-2</v>
      </c>
      <c r="Y1038">
        <v>2.3775999999999999E-2</v>
      </c>
      <c r="Z1038">
        <v>1.0946000000000001E-2</v>
      </c>
      <c r="AA1038">
        <v>3.6159999999999999E-3</v>
      </c>
      <c r="AB1038">
        <v>-1.4926999999999999E-2</v>
      </c>
    </row>
    <row r="1039" spans="1:28" x14ac:dyDescent="0.2">
      <c r="A1039">
        <v>20180629</v>
      </c>
      <c r="B1039">
        <v>2018</v>
      </c>
      <c r="C1039">
        <v>6</v>
      </c>
      <c r="D1039">
        <v>3.7858000000000003E-2</v>
      </c>
      <c r="E1039">
        <v>3.2944000000000001E-2</v>
      </c>
      <c r="F1039">
        <v>1.7260000000000001E-3</v>
      </c>
      <c r="G1039">
        <v>1.3058E-2</v>
      </c>
      <c r="H1039">
        <v>1.7092E-2</v>
      </c>
      <c r="I1039">
        <v>8.9499999999999996E-3</v>
      </c>
      <c r="J1039">
        <v>4.6414999999999998E-2</v>
      </c>
      <c r="K1039">
        <v>-5.1099999999999995E-4</v>
      </c>
      <c r="L1039">
        <v>-7.7320000000000002E-3</v>
      </c>
      <c r="M1039">
        <v>8.5540000000000008E-3</v>
      </c>
      <c r="N1039">
        <v>-3.4069999999999999E-3</v>
      </c>
      <c r="O1039">
        <v>1.1613E-2</v>
      </c>
      <c r="P1039">
        <v>-3.2200000000000002E-4</v>
      </c>
      <c r="Q1039">
        <v>1.449E-3</v>
      </c>
      <c r="R1039">
        <v>-1.5382E-2</v>
      </c>
      <c r="S1039">
        <v>1.3638000000000001E-2</v>
      </c>
      <c r="T1039">
        <v>2.0478E-2</v>
      </c>
      <c r="U1039">
        <v>-6.7330000000000003E-3</v>
      </c>
      <c r="V1039">
        <v>-1.0227999999999999E-2</v>
      </c>
      <c r="W1039">
        <v>-3.2539999999999999E-3</v>
      </c>
      <c r="X1039">
        <v>1.0403000000000001E-2</v>
      </c>
      <c r="Y1039">
        <v>1.1004E-2</v>
      </c>
      <c r="Z1039">
        <v>2.72E-4</v>
      </c>
      <c r="AA1039">
        <v>3.9309999999999996E-3</v>
      </c>
      <c r="AB1039">
        <v>-2.3958E-2</v>
      </c>
    </row>
    <row r="1040" spans="1:28" x14ac:dyDescent="0.2">
      <c r="B1040">
        <v>2018</v>
      </c>
      <c r="C1040">
        <v>7</v>
      </c>
      <c r="D1040">
        <v>-7.5890000000000003E-3</v>
      </c>
      <c r="E1040">
        <v>-1.0685E-2</v>
      </c>
      <c r="F1040">
        <v>1.1387E-2</v>
      </c>
      <c r="G1040">
        <v>-3.542E-3</v>
      </c>
      <c r="H1040">
        <v>2.359E-3</v>
      </c>
      <c r="I1040">
        <v>1.1834000000000001E-2</v>
      </c>
      <c r="J1040">
        <v>4.2363999999999999E-2</v>
      </c>
      <c r="K1040">
        <v>3.4380000000000001E-2</v>
      </c>
      <c r="L1040">
        <v>7.3099999999999997E-3</v>
      </c>
      <c r="M1040">
        <v>2.8081999999999999E-2</v>
      </c>
      <c r="N1040">
        <v>1.2522E-2</v>
      </c>
      <c r="O1040">
        <v>2.7366000000000001E-2</v>
      </c>
      <c r="P1040">
        <v>2.1715999999999999E-2</v>
      </c>
      <c r="Q1040">
        <v>2.3172000000000002E-2</v>
      </c>
      <c r="R1040">
        <v>-1.403E-3</v>
      </c>
      <c r="S1040">
        <v>2.2467999999999998E-2</v>
      </c>
      <c r="T1040">
        <v>3.1625E-2</v>
      </c>
      <c r="U1040">
        <v>2.4577999999999999E-2</v>
      </c>
      <c r="V1040">
        <v>1.0735E-2</v>
      </c>
      <c r="W1040">
        <v>2.7774E-2</v>
      </c>
      <c r="X1040">
        <v>2.8969999999999999E-2</v>
      </c>
      <c r="Y1040">
        <v>5.2539000000000002E-2</v>
      </c>
      <c r="Z1040">
        <v>3.2694000000000001E-2</v>
      </c>
      <c r="AA1040">
        <v>3.7844999999999997E-2</v>
      </c>
      <c r="AB1040">
        <v>5.1906000000000001E-2</v>
      </c>
    </row>
    <row r="1041" spans="2:28" x14ac:dyDescent="0.2">
      <c r="B1041">
        <v>2018</v>
      </c>
      <c r="C1041">
        <v>8</v>
      </c>
      <c r="D1041">
        <v>4.3489E-2</v>
      </c>
      <c r="E1041">
        <v>8.2050999999999999E-2</v>
      </c>
      <c r="F1041">
        <v>2.8036999999999999E-2</v>
      </c>
      <c r="G1041">
        <v>1.7322000000000001E-2</v>
      </c>
      <c r="H1041">
        <v>2.9406000000000002E-2</v>
      </c>
      <c r="I1041">
        <v>7.4292999999999998E-2</v>
      </c>
      <c r="J1041">
        <v>4.9428E-2</v>
      </c>
      <c r="K1041">
        <v>3.7726999999999997E-2</v>
      </c>
      <c r="L1041">
        <v>2.5253000000000001E-2</v>
      </c>
      <c r="M1041">
        <v>2.8265999999999999E-2</v>
      </c>
      <c r="N1041">
        <v>6.5320000000000003E-2</v>
      </c>
      <c r="O1041">
        <v>5.2224E-2</v>
      </c>
      <c r="P1041">
        <v>2.3876000000000001E-2</v>
      </c>
      <c r="Q1041">
        <v>2.6478999999999999E-2</v>
      </c>
      <c r="R1041">
        <v>4.2534000000000002E-2</v>
      </c>
      <c r="S1041">
        <v>7.3487999999999998E-2</v>
      </c>
      <c r="T1041">
        <v>3.3146000000000002E-2</v>
      </c>
      <c r="U1041">
        <v>-9.9850000000000008E-3</v>
      </c>
      <c r="V1041">
        <v>1.0725E-2</v>
      </c>
      <c r="W1041">
        <v>-8.6940000000000003E-3</v>
      </c>
      <c r="X1041">
        <v>6.0987E-2</v>
      </c>
      <c r="Y1041">
        <v>2.0060999999999999E-2</v>
      </c>
      <c r="Z1041">
        <v>2.5328E-2</v>
      </c>
      <c r="AA1041">
        <v>2.8159999999999999E-3</v>
      </c>
      <c r="AB1041">
        <v>1.1627E-2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6.83203125" bestFit="1" customWidth="1"/>
    <col min="2" max="2" width="49" bestFit="1" customWidth="1"/>
  </cols>
  <sheetData>
    <row r="1" spans="1:2" x14ac:dyDescent="0.2">
      <c r="A1" t="s">
        <v>32</v>
      </c>
      <c r="B1" t="s">
        <v>33</v>
      </c>
    </row>
    <row r="2" spans="1:2" x14ac:dyDescent="0.2">
      <c r="A2" t="s">
        <v>0</v>
      </c>
    </row>
    <row r="3" spans="1:2" x14ac:dyDescent="0.2">
      <c r="A3" t="s">
        <v>6</v>
      </c>
      <c r="B3" t="s">
        <v>34</v>
      </c>
    </row>
    <row r="4" spans="1:2" x14ac:dyDescent="0.2">
      <c r="A4" t="s">
        <v>3</v>
      </c>
      <c r="B4" t="s">
        <v>35</v>
      </c>
    </row>
    <row r="5" spans="1:2" x14ac:dyDescent="0.2">
      <c r="A5" t="s">
        <v>2</v>
      </c>
      <c r="B5" t="s">
        <v>36</v>
      </c>
    </row>
    <row r="6" spans="1:2" x14ac:dyDescent="0.2">
      <c r="A6" t="s">
        <v>4</v>
      </c>
      <c r="B6" t="s">
        <v>37</v>
      </c>
    </row>
    <row r="7" spans="1:2" x14ac:dyDescent="0.2">
      <c r="A7" t="s">
        <v>5</v>
      </c>
      <c r="B7" t="s">
        <v>38</v>
      </c>
    </row>
    <row r="8" spans="1:2" x14ac:dyDescent="0.2">
      <c r="A8" t="s">
        <v>1</v>
      </c>
      <c r="B8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zoomScale="169" workbookViewId="0">
      <selection activeCell="B4" sqref="B4"/>
    </sheetView>
  </sheetViews>
  <sheetFormatPr baseColWidth="10" defaultColWidth="8.83203125" defaultRowHeight="15" x14ac:dyDescent="0.2"/>
  <cols>
    <col min="1" max="1" width="11.1640625" bestFit="1" customWidth="1"/>
    <col min="2" max="2" width="51.33203125" bestFit="1" customWidth="1"/>
  </cols>
  <sheetData>
    <row r="1" spans="1:2" x14ac:dyDescent="0.2">
      <c r="A1" t="s">
        <v>32</v>
      </c>
      <c r="B1" t="s">
        <v>33</v>
      </c>
    </row>
    <row r="2" spans="1:2" x14ac:dyDescent="0.2">
      <c r="A2" t="s">
        <v>0</v>
      </c>
    </row>
    <row r="3" spans="1:2" x14ac:dyDescent="0.2">
      <c r="A3" t="s">
        <v>2</v>
      </c>
    </row>
    <row r="4" spans="1:2" x14ac:dyDescent="0.2">
      <c r="A4" t="s">
        <v>7</v>
      </c>
      <c r="B4" t="s">
        <v>40</v>
      </c>
    </row>
    <row r="5" spans="1:2" x14ac:dyDescent="0.2">
      <c r="A5" t="s">
        <v>8</v>
      </c>
      <c r="B5" t="s">
        <v>41</v>
      </c>
    </row>
    <row r="6" spans="1:2" x14ac:dyDescent="0.2">
      <c r="A6" t="s">
        <v>9</v>
      </c>
      <c r="B6" t="s">
        <v>42</v>
      </c>
    </row>
    <row r="7" spans="1:2" x14ac:dyDescent="0.2">
      <c r="A7" t="s">
        <v>10</v>
      </c>
      <c r="B7" t="s">
        <v>43</v>
      </c>
    </row>
    <row r="8" spans="1:2" x14ac:dyDescent="0.2">
      <c r="A8" t="s">
        <v>11</v>
      </c>
      <c r="B8" t="s">
        <v>44</v>
      </c>
    </row>
    <row r="9" spans="1:2" x14ac:dyDescent="0.2">
      <c r="A9" t="s">
        <v>12</v>
      </c>
      <c r="B9" t="s">
        <v>45</v>
      </c>
    </row>
    <row r="10" spans="1:2" x14ac:dyDescent="0.2">
      <c r="A10" t="s">
        <v>13</v>
      </c>
      <c r="B10" t="s">
        <v>46</v>
      </c>
    </row>
    <row r="11" spans="1:2" x14ac:dyDescent="0.2">
      <c r="A11" t="s">
        <v>14</v>
      </c>
      <c r="B11" t="s">
        <v>47</v>
      </c>
    </row>
    <row r="12" spans="1:2" x14ac:dyDescent="0.2">
      <c r="A12" t="s">
        <v>15</v>
      </c>
      <c r="B12" t="s">
        <v>48</v>
      </c>
    </row>
    <row r="13" spans="1:2" x14ac:dyDescent="0.2">
      <c r="A13" t="s">
        <v>16</v>
      </c>
      <c r="B13" t="s">
        <v>49</v>
      </c>
    </row>
    <row r="14" spans="1:2" x14ac:dyDescent="0.2">
      <c r="A14" t="s">
        <v>17</v>
      </c>
      <c r="B14" t="s">
        <v>50</v>
      </c>
    </row>
    <row r="15" spans="1:2" x14ac:dyDescent="0.2">
      <c r="A15" t="s">
        <v>18</v>
      </c>
      <c r="B15" t="s">
        <v>51</v>
      </c>
    </row>
    <row r="16" spans="1:2" x14ac:dyDescent="0.2">
      <c r="A16" t="s">
        <v>19</v>
      </c>
      <c r="B16" t="s">
        <v>52</v>
      </c>
    </row>
    <row r="17" spans="1:2" x14ac:dyDescent="0.2">
      <c r="A17" t="s">
        <v>20</v>
      </c>
      <c r="B17" t="s">
        <v>53</v>
      </c>
    </row>
    <row r="18" spans="1:2" x14ac:dyDescent="0.2">
      <c r="A18" t="s">
        <v>21</v>
      </c>
      <c r="B18" t="s">
        <v>54</v>
      </c>
    </row>
    <row r="19" spans="1:2" x14ac:dyDescent="0.2">
      <c r="A19" t="s">
        <v>22</v>
      </c>
      <c r="B19" t="s">
        <v>55</v>
      </c>
    </row>
    <row r="20" spans="1:2" x14ac:dyDescent="0.2">
      <c r="A20" t="s">
        <v>23</v>
      </c>
      <c r="B20" t="s">
        <v>56</v>
      </c>
    </row>
    <row r="21" spans="1:2" x14ac:dyDescent="0.2">
      <c r="A21" t="s">
        <v>24</v>
      </c>
      <c r="B21" t="s">
        <v>57</v>
      </c>
    </row>
    <row r="22" spans="1:2" x14ac:dyDescent="0.2">
      <c r="A22" t="s">
        <v>25</v>
      </c>
      <c r="B22" t="s">
        <v>58</v>
      </c>
    </row>
    <row r="23" spans="1:2" x14ac:dyDescent="0.2">
      <c r="A23" t="s">
        <v>26</v>
      </c>
      <c r="B23" t="s">
        <v>59</v>
      </c>
    </row>
    <row r="24" spans="1:2" x14ac:dyDescent="0.2">
      <c r="A24" t="s">
        <v>27</v>
      </c>
      <c r="B24" t="s">
        <v>60</v>
      </c>
    </row>
    <row r="25" spans="1:2" x14ac:dyDescent="0.2">
      <c r="A25" t="s">
        <v>28</v>
      </c>
      <c r="B25" t="s">
        <v>61</v>
      </c>
    </row>
    <row r="26" spans="1:2" x14ac:dyDescent="0.2">
      <c r="A26" t="s">
        <v>29</v>
      </c>
      <c r="B26" t="s">
        <v>62</v>
      </c>
    </row>
    <row r="27" spans="1:2" x14ac:dyDescent="0.2">
      <c r="A27" t="s">
        <v>30</v>
      </c>
      <c r="B27" t="s">
        <v>63</v>
      </c>
    </row>
    <row r="28" spans="1:2" x14ac:dyDescent="0.2">
      <c r="A28" t="s">
        <v>31</v>
      </c>
      <c r="B28" t="s">
        <v>64</v>
      </c>
    </row>
    <row r="29" spans="1:2" x14ac:dyDescent="0.2">
      <c r="A2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CAPM</vt:lpstr>
      <vt:lpstr>Hoja4</vt:lpstr>
      <vt:lpstr>Hoja5</vt:lpstr>
      <vt:lpstr>ff_factors</vt:lpstr>
      <vt:lpstr>ff_portfolios25</vt:lpstr>
      <vt:lpstr>ff_factors_desc</vt:lpstr>
      <vt:lpstr>ff_portfolios25_desc</vt:lpstr>
      <vt:lpstr>ff_factors!ff_factors</vt:lpstr>
      <vt:lpstr>ff_factors_desc!ff_factors_desc</vt:lpstr>
      <vt:lpstr>ff_portfolios25!ff_portfolios25</vt:lpstr>
      <vt:lpstr>ff_portfolios25_desc!ff_portfolios25_desc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Gandhi</dc:creator>
  <cp:lastModifiedBy>Jay Ballesteros</cp:lastModifiedBy>
  <dcterms:created xsi:type="dcterms:W3CDTF">2018-10-15T17:12:28Z</dcterms:created>
  <dcterms:modified xsi:type="dcterms:W3CDTF">2026-10-28T01:38:16Z</dcterms:modified>
</cp:coreProperties>
</file>