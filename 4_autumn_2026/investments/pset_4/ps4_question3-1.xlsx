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ballesteros/Documents/git/uchicago-mpp/4_autumn_2026/investments/pset_4/"/>
    </mc:Choice>
  </mc:AlternateContent>
  <xr:revisionPtr revIDLastSave="0" documentId="13_ncr:1_{4FB91270-C873-D94B-BCCA-1731EF8E62A0}" xr6:coauthVersionLast="47" xr6:coauthVersionMax="47" xr10:uidLastSave="{00000000-0000-0000-0000-000000000000}"/>
  <bookViews>
    <workbookView xWindow="-4480" yWindow="-20980" windowWidth="38400" windowHeight="20980" tabRatio="500" xr2:uid="{00000000-000D-0000-FFFF-FFFF00000000}"/>
  </bookViews>
  <sheets>
    <sheet name="test2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J10" i="1"/>
  <c r="I10" i="1"/>
  <c r="H10" i="1"/>
  <c r="J9" i="1"/>
  <c r="I9" i="1"/>
  <c r="H9" i="1"/>
  <c r="I5" i="1"/>
  <c r="J5" i="1"/>
  <c r="H5" i="1"/>
  <c r="J4" i="1"/>
  <c r="I4" i="1"/>
  <c r="H4" i="1"/>
</calcChain>
</file>

<file path=xl/sharedStrings.xml><?xml version="1.0" encoding="utf-8"?>
<sst xmlns="http://schemas.openxmlformats.org/spreadsheetml/2006/main" count="15" uniqueCount="12">
  <si>
    <t>Quarter</t>
  </si>
  <si>
    <t>Market</t>
  </si>
  <si>
    <t>Small Cap</t>
  </si>
  <si>
    <t>Value</t>
  </si>
  <si>
    <t>mean</t>
  </si>
  <si>
    <t>stdev</t>
  </si>
  <si>
    <t>market-small</t>
  </si>
  <si>
    <t>market-value</t>
  </si>
  <si>
    <t>small-value</t>
  </si>
  <si>
    <t>correlation</t>
  </si>
  <si>
    <t>covariance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</si>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</sst>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="137" zoomScaleNormal="231" workbookViewId="0">
      <selection activeCell="H5" sqref="H5:J5"/>
    </sheetView>
  </sheetViews>
  <sheetFormatPr baseColWidth="10" defaultRowHeight="16" x14ac:dyDescent="0.2"/>
  <cols>
    <col min="1" max="1" width="24.6640625" customWidth="1"/>
    <col min="2" max="2" width="17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3" spans="1:10" x14ac:dyDescent="0.2">
      <c r="A3" s="1">
        <v>200801</v>
      </c>
      <c r="B3">
        <v>-0.38479999999999998</v>
      </c>
      <c r="C3">
        <v>-0.38917000000000002</v>
      </c>
      <c r="D3">
        <v>-0.44791999999999998</v>
      </c>
      <c r="H3" s="2" t="s">
        <v>1</v>
      </c>
      <c r="I3" s="2" t="s">
        <v>2</v>
      </c>
      <c r="J3" s="2" t="s">
        <v>3</v>
      </c>
    </row>
    <row r="4" spans="1:10" x14ac:dyDescent="0.2">
      <c r="A4" s="1">
        <v>200802</v>
      </c>
      <c r="B4">
        <v>-7.6982999999999996E-2</v>
      </c>
      <c r="C4">
        <v>-6.6213000000000001E-3</v>
      </c>
      <c r="D4">
        <v>2.3300999999999999E-2</v>
      </c>
      <c r="G4" s="2" t="s">
        <v>4</v>
      </c>
      <c r="H4">
        <f>AVERAGE(B3:B44)</f>
        <v>9.8566447619047606E-2</v>
      </c>
      <c r="I4">
        <f>AVERAGE(C3:C44)</f>
        <v>0.1192016119047619</v>
      </c>
      <c r="J4">
        <f>AVERAGE(D3:D44)</f>
        <v>0.11545617619047618</v>
      </c>
    </row>
    <row r="5" spans="1:10" x14ac:dyDescent="0.2">
      <c r="A5" s="1">
        <v>200803</v>
      </c>
      <c r="B5">
        <v>-0.32616000000000001</v>
      </c>
      <c r="C5">
        <v>-2.9104000000000001E-2</v>
      </c>
      <c r="D5">
        <v>-0.31953999999999999</v>
      </c>
      <c r="G5" s="2" t="s">
        <v>5</v>
      </c>
      <c r="H5">
        <f>STDEV(B3:B44)</f>
        <v>0.32705741796524779</v>
      </c>
      <c r="I5">
        <f t="shared" ref="I5:J5" si="0">STDEV(C3:C44)</f>
        <v>0.41592850431744327</v>
      </c>
      <c r="J5">
        <f t="shared" si="0"/>
        <v>0.35371210800352726</v>
      </c>
    </row>
    <row r="6" spans="1:10" x14ac:dyDescent="0.2">
      <c r="A6" s="1">
        <v>200804</v>
      </c>
      <c r="B6">
        <v>-0.89234000000000002</v>
      </c>
      <c r="C6">
        <v>-1.0806</v>
      </c>
      <c r="D6">
        <v>-0.9335</v>
      </c>
      <c r="G6" s="2" t="s">
        <v>11</v>
      </c>
      <c r="H6">
        <f>H5^2</f>
        <v>0.10696655464609478</v>
      </c>
      <c r="I6">
        <f>I5^2</f>
        <v>0.17299652070374544</v>
      </c>
      <c r="J6">
        <f>J5^2</f>
        <v>0.12511225534829892</v>
      </c>
    </row>
    <row r="7" spans="1:10" x14ac:dyDescent="0.2">
      <c r="A7" s="1">
        <v>200901</v>
      </c>
      <c r="B7">
        <v>-0.39922999999999997</v>
      </c>
      <c r="C7">
        <v>-0.55649999999999999</v>
      </c>
      <c r="D7">
        <v>-0.27328000000000002</v>
      </c>
    </row>
    <row r="8" spans="1:10" x14ac:dyDescent="0.2">
      <c r="A8" s="1">
        <v>200902</v>
      </c>
      <c r="B8">
        <v>0.65805999999999998</v>
      </c>
      <c r="C8">
        <v>0.94049000000000005</v>
      </c>
      <c r="D8">
        <v>0.81715000000000004</v>
      </c>
      <c r="H8" s="2" t="s">
        <v>6</v>
      </c>
      <c r="I8" s="2" t="s">
        <v>7</v>
      </c>
      <c r="J8" s="2" t="s">
        <v>8</v>
      </c>
    </row>
    <row r="9" spans="1:10" x14ac:dyDescent="0.2">
      <c r="A9" s="1">
        <v>200903</v>
      </c>
      <c r="B9">
        <v>0.63526000000000005</v>
      </c>
      <c r="C9">
        <v>0.90161000000000002</v>
      </c>
      <c r="D9">
        <v>0.55018999999999996</v>
      </c>
      <c r="G9" s="2" t="s">
        <v>9</v>
      </c>
      <c r="H9">
        <f>CORREL(B3:B44, C3:C44)</f>
        <v>0.94690058584574099</v>
      </c>
      <c r="I9">
        <f>CORREL(B3:B44, D3:D44)</f>
        <v>0.96763163587708267</v>
      </c>
      <c r="J9">
        <f>CORREL(C3:C44, D3:D44)</f>
        <v>0.94856387882316728</v>
      </c>
    </row>
    <row r="10" spans="1:10" x14ac:dyDescent="0.2">
      <c r="A10" s="1">
        <v>200904</v>
      </c>
      <c r="B10">
        <v>0.22656000000000001</v>
      </c>
      <c r="C10">
        <v>0.11677999999999999</v>
      </c>
      <c r="D10">
        <v>0.21908</v>
      </c>
      <c r="G10" s="2" t="s">
        <v>10</v>
      </c>
      <c r="H10">
        <f>_xlfn.COVARIANCE.S(B3:B44,C3:C44)</f>
        <v>0.1288092564819536</v>
      </c>
      <c r="I10">
        <f>_xlfn.COVARIANCE.S(B3:B44,D3:D44)</f>
        <v>0.11193966144942893</v>
      </c>
      <c r="J10">
        <f>_xlfn.COVARIANCE.S(C3:C44,D3:D44)</f>
        <v>0.13955172000203836</v>
      </c>
    </row>
    <row r="11" spans="1:10" x14ac:dyDescent="0.2">
      <c r="A11" s="1">
        <v>201001</v>
      </c>
      <c r="B11">
        <v>0.24964</v>
      </c>
      <c r="C11">
        <v>0.39245000000000002</v>
      </c>
      <c r="D11">
        <v>0.21770999999999999</v>
      </c>
    </row>
    <row r="12" spans="1:10" x14ac:dyDescent="0.2">
      <c r="A12" s="1">
        <v>201002</v>
      </c>
      <c r="B12">
        <v>-0.44974999999999998</v>
      </c>
      <c r="C12">
        <v>-0.39123999999999998</v>
      </c>
      <c r="D12">
        <v>-0.37513999999999997</v>
      </c>
    </row>
    <row r="13" spans="1:10" x14ac:dyDescent="0.2">
      <c r="A13" s="1">
        <v>201003</v>
      </c>
      <c r="B13">
        <v>0.46305000000000002</v>
      </c>
      <c r="C13">
        <v>0.44116</v>
      </c>
      <c r="D13">
        <v>0.52659</v>
      </c>
    </row>
    <row r="14" spans="1:10" x14ac:dyDescent="0.2">
      <c r="A14" s="1">
        <v>201004</v>
      </c>
      <c r="B14">
        <v>0.46650999999999998</v>
      </c>
      <c r="C14">
        <v>0.67822000000000005</v>
      </c>
      <c r="D14">
        <v>0.52937999999999996</v>
      </c>
    </row>
    <row r="15" spans="1:10" x14ac:dyDescent="0.2">
      <c r="A15" s="1">
        <v>201101</v>
      </c>
      <c r="B15">
        <v>0.24221999999999999</v>
      </c>
      <c r="C15">
        <v>0.32335000000000003</v>
      </c>
      <c r="D15">
        <v>0.26425999999999999</v>
      </c>
    </row>
    <row r="16" spans="1:10" x14ac:dyDescent="0.2">
      <c r="A16" s="1">
        <v>201102</v>
      </c>
      <c r="B16">
        <v>-7.3883999999999998E-3</v>
      </c>
      <c r="C16">
        <v>-8.4633E-2</v>
      </c>
      <c r="D16">
        <v>3.0488999999999999E-2</v>
      </c>
    </row>
    <row r="17" spans="1:4" x14ac:dyDescent="0.2">
      <c r="A17" s="1">
        <v>201103</v>
      </c>
      <c r="B17">
        <v>-0.60665999999999998</v>
      </c>
      <c r="C17">
        <v>-0.90532000000000001</v>
      </c>
      <c r="D17">
        <v>-0.67869999999999997</v>
      </c>
    </row>
    <row r="18" spans="1:4" x14ac:dyDescent="0.2">
      <c r="A18" s="1">
        <v>201104</v>
      </c>
      <c r="B18">
        <v>0.47439999999999999</v>
      </c>
      <c r="C18">
        <v>0.57765</v>
      </c>
      <c r="D18">
        <v>0.44717000000000001</v>
      </c>
    </row>
    <row r="19" spans="1:4" x14ac:dyDescent="0.2">
      <c r="A19" s="1">
        <v>201201</v>
      </c>
      <c r="B19">
        <v>0.52419000000000004</v>
      </c>
      <c r="C19">
        <v>0.52237</v>
      </c>
      <c r="D19">
        <v>0.58440999999999999</v>
      </c>
    </row>
    <row r="20" spans="1:4" x14ac:dyDescent="0.2">
      <c r="A20" s="1">
        <v>201202</v>
      </c>
      <c r="B20">
        <v>-0.13436000000000001</v>
      </c>
      <c r="C20">
        <v>-0.12457</v>
      </c>
      <c r="D20">
        <v>-0.11284</v>
      </c>
    </row>
    <row r="21" spans="1:4" x14ac:dyDescent="0.2">
      <c r="A21" s="1">
        <v>201203</v>
      </c>
      <c r="B21">
        <v>0.24809999999999999</v>
      </c>
      <c r="C21">
        <v>0.20305000000000001</v>
      </c>
      <c r="D21">
        <v>0.17584</v>
      </c>
    </row>
    <row r="22" spans="1:4" x14ac:dyDescent="0.2">
      <c r="A22" s="1">
        <v>201204</v>
      </c>
      <c r="B22">
        <v>8.1834999999999998E-3</v>
      </c>
      <c r="C22">
        <v>9.3688999999999995E-2</v>
      </c>
      <c r="D22">
        <v>-4.2983E-2</v>
      </c>
    </row>
    <row r="23" spans="1:4" x14ac:dyDescent="0.2">
      <c r="A23" s="1">
        <v>201301</v>
      </c>
      <c r="B23">
        <v>0.44964999999999999</v>
      </c>
      <c r="C23">
        <v>0.49925999999999998</v>
      </c>
      <c r="D23">
        <v>0.47833999999999999</v>
      </c>
    </row>
    <row r="24" spans="1:4" x14ac:dyDescent="0.2">
      <c r="A24" s="1">
        <v>201302</v>
      </c>
      <c r="B24">
        <v>0.12562999999999999</v>
      </c>
      <c r="C24">
        <v>0.17741999999999999</v>
      </c>
      <c r="D24">
        <v>0.12424</v>
      </c>
    </row>
    <row r="25" spans="1:4" x14ac:dyDescent="0.2">
      <c r="A25" s="1">
        <v>201303</v>
      </c>
      <c r="B25">
        <v>0.26647999999999999</v>
      </c>
      <c r="C25">
        <v>0.43415999999999999</v>
      </c>
      <c r="D25">
        <v>0.41797000000000001</v>
      </c>
    </row>
    <row r="26" spans="1:4" x14ac:dyDescent="0.2">
      <c r="A26" s="1">
        <v>201304</v>
      </c>
      <c r="B26">
        <v>0.41797000000000001</v>
      </c>
      <c r="C26">
        <v>0.38247999999999999</v>
      </c>
      <c r="D26">
        <v>0.37702999999999998</v>
      </c>
    </row>
    <row r="27" spans="1:4" x14ac:dyDescent="0.2">
      <c r="A27" s="1">
        <v>201401</v>
      </c>
      <c r="B27">
        <v>6.4426999999999998E-2</v>
      </c>
      <c r="C27">
        <v>6.148E-2</v>
      </c>
      <c r="D27">
        <v>2.4327999999999999E-2</v>
      </c>
    </row>
    <row r="28" spans="1:4" x14ac:dyDescent="0.2">
      <c r="A28" s="1">
        <v>201402</v>
      </c>
      <c r="B28">
        <v>0.18099000000000001</v>
      </c>
      <c r="C28">
        <v>5.3691999999999997E-2</v>
      </c>
      <c r="D28">
        <v>9.4767000000000004E-2</v>
      </c>
    </row>
    <row r="29" spans="1:4" x14ac:dyDescent="0.2">
      <c r="A29" s="1">
        <v>201403</v>
      </c>
      <c r="B29">
        <v>4.0746999999999997E-3</v>
      </c>
      <c r="C29">
        <v>-0.28683999999999998</v>
      </c>
      <c r="D29">
        <v>-8.0213999999999994E-2</v>
      </c>
    </row>
    <row r="30" spans="1:4" x14ac:dyDescent="0.2">
      <c r="A30" s="1">
        <v>201404</v>
      </c>
      <c r="B30">
        <v>0.20285</v>
      </c>
      <c r="C30">
        <v>0.37075999999999998</v>
      </c>
      <c r="D30">
        <v>0.34654000000000001</v>
      </c>
    </row>
    <row r="31" spans="1:4" x14ac:dyDescent="0.2">
      <c r="A31" s="1">
        <v>201501</v>
      </c>
      <c r="B31">
        <v>6.7107E-2</v>
      </c>
      <c r="C31">
        <v>0.14210999999999999</v>
      </c>
      <c r="D31">
        <v>0.20258000000000001</v>
      </c>
    </row>
    <row r="32" spans="1:4" x14ac:dyDescent="0.2">
      <c r="A32" s="1">
        <v>201502</v>
      </c>
      <c r="B32">
        <v>1.5923E-2</v>
      </c>
      <c r="C32">
        <v>4.7853E-2</v>
      </c>
      <c r="D32">
        <v>4.4815000000000001E-2</v>
      </c>
    </row>
    <row r="33" spans="1:4" x14ac:dyDescent="0.2">
      <c r="A33" s="1">
        <v>201503</v>
      </c>
      <c r="B33">
        <v>-0.30125999999999997</v>
      </c>
      <c r="C33">
        <v>-0.53963000000000005</v>
      </c>
      <c r="D33">
        <v>-0.43920999999999999</v>
      </c>
    </row>
    <row r="34" spans="1:4" x14ac:dyDescent="0.2">
      <c r="A34" s="1">
        <v>201504</v>
      </c>
      <c r="B34">
        <v>0.24052000000000001</v>
      </c>
      <c r="C34">
        <v>0.17654</v>
      </c>
      <c r="D34">
        <v>0.26956999999999998</v>
      </c>
    </row>
    <row r="35" spans="1:4" x14ac:dyDescent="0.2">
      <c r="A35" s="1">
        <v>201601</v>
      </c>
      <c r="B35">
        <v>3.0702E-2</v>
      </c>
      <c r="C35">
        <v>-7.6886999999999997E-2</v>
      </c>
      <c r="D35">
        <v>-0.13034999999999999</v>
      </c>
    </row>
    <row r="36" spans="1:4" x14ac:dyDescent="0.2">
      <c r="A36" s="1">
        <v>201602</v>
      </c>
      <c r="B36">
        <v>0.10823000000000001</v>
      </c>
      <c r="C36">
        <v>0.15012</v>
      </c>
      <c r="D36">
        <v>0.13908999999999999</v>
      </c>
    </row>
    <row r="37" spans="1:4" x14ac:dyDescent="0.2">
      <c r="A37" s="1">
        <v>201603</v>
      </c>
      <c r="B37">
        <v>0.19170999999999999</v>
      </c>
      <c r="C37">
        <v>0.43697999999999998</v>
      </c>
      <c r="D37">
        <v>0.33051000000000003</v>
      </c>
    </row>
    <row r="38" spans="1:4" x14ac:dyDescent="0.2">
      <c r="A38" s="1">
        <v>201604</v>
      </c>
      <c r="B38">
        <v>0.18695999999999999</v>
      </c>
      <c r="C38">
        <v>0.33305000000000001</v>
      </c>
      <c r="D38">
        <v>9.8093999999999994E-3</v>
      </c>
    </row>
    <row r="39" spans="1:4" x14ac:dyDescent="0.2">
      <c r="A39" s="1">
        <v>201701</v>
      </c>
      <c r="B39">
        <v>0.23491000000000001</v>
      </c>
      <c r="C39">
        <v>0.11221</v>
      </c>
      <c r="D39">
        <v>0.34832000000000002</v>
      </c>
    </row>
    <row r="40" spans="1:4" x14ac:dyDescent="0.2">
      <c r="A40" s="1">
        <v>201702</v>
      </c>
      <c r="B40">
        <v>0.12526999999999999</v>
      </c>
      <c r="C40">
        <v>0.11448</v>
      </c>
      <c r="D40">
        <v>0.21367</v>
      </c>
    </row>
    <row r="41" spans="1:4" x14ac:dyDescent="0.2">
      <c r="A41" s="1">
        <v>201703</v>
      </c>
      <c r="B41">
        <v>0.19408</v>
      </c>
      <c r="C41">
        <v>0.25163999999999997</v>
      </c>
      <c r="D41">
        <v>0.22817999999999999</v>
      </c>
    </row>
    <row r="42" spans="1:4" x14ac:dyDescent="0.2">
      <c r="A42" s="1">
        <v>201704</v>
      </c>
      <c r="B42">
        <v>0.27317999999999998</v>
      </c>
      <c r="C42">
        <v>0.12809000000000001</v>
      </c>
      <c r="D42">
        <v>0.23155999999999999</v>
      </c>
    </row>
    <row r="43" spans="1:4" x14ac:dyDescent="0.2">
      <c r="A43" s="1">
        <v>201801</v>
      </c>
      <c r="B43">
        <v>-1.2995E-2</v>
      </c>
      <c r="C43">
        <v>1.3119E-2</v>
      </c>
      <c r="D43">
        <v>5.4796999999999998E-2</v>
      </c>
    </row>
    <row r="44" spans="1:4" x14ac:dyDescent="0.2">
      <c r="A44" s="1">
        <v>201802</v>
      </c>
      <c r="B44">
        <v>0.15487999999999999</v>
      </c>
      <c r="C44">
        <v>0.40132000000000001</v>
      </c>
      <c r="D44">
        <v>0.36115000000000003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test2.csv</vt:lpstr>
    </vt:vector>
  </TitlesOfParts>
  <Company>Booth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Heaton</dc:creator>
  <cp:lastModifiedBy>Jay Ballesteros</cp:lastModifiedBy>
  <dcterms:created xsi:type="dcterms:W3CDTF">2018-10-15T15:41:45Z</dcterms:created>
  <dcterms:modified xsi:type="dcterms:W3CDTF">2026-10-28T05:31:49Z</dcterms:modified>
</cp:coreProperties>
</file>